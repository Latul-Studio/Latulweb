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8" documentId="13_ncr:1_{049585E0-9EFC-4A1C-83D7-C5D64DCB32BC}" xr6:coauthVersionLast="47" xr6:coauthVersionMax="47" xr10:uidLastSave="{107F1DD5-68E8-4704-AB78-D27C1B359214}"/>
  <bookViews>
    <workbookView xWindow="-38520" yWindow="-6645" windowWidth="38640" windowHeight="21120" firstSheet="1" xr2:uid="{00000000-000D-0000-FFFF-FFFF00000000}"/>
  </bookViews>
  <sheets>
    <sheet name="Leads verificados" sheetId="5" r:id="rId1"/>
    <sheet name="centraldecomunicacion.es" sheetId="2" r:id="rId2"/>
    <sheet name="Estadísticas" sheetId="3" r:id="rId3"/>
    <sheet name="Copyright" sheetId="4" r:id="rId4"/>
  </sheets>
  <definedNames>
    <definedName name="_xlnm._FilterDatabase" localSheetId="1" hidden="1">'centraldecomunicacion.es'!$A$1:$I$4837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2" i="2"/>
  <c r="H2" i="3" a="1"/>
  <c r="H2" i="3"/>
  <c r="G2" i="3" a="1"/>
  <c r="G2" i="3" s="1"/>
  <c r="F2" i="3"/>
  <c r="D2" i="3"/>
  <c r="E2" i="3"/>
  <c r="C2" i="3"/>
  <c r="B2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<sst xmlns="http://schemas.openxmlformats.org/spreadsheetml/2006/main" count="41524" uniqueCount="16880">
  <si>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</si>
  <si>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</si>
  <si>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</si>
  <si>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</si>
  <si>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</si>
  <si>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</si>
  <si>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</si>
  <si>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</si>
  <si>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mail verificado</t>
  </si>
  <si>
    <t>FONTANERÍA ERIKA</t>
  </si>
  <si>
    <t>Fontanero</t>
  </si>
  <si>
    <t>Plaza de los Oficios, 1, 04230 Huércal de Almería, Almería</t>
  </si>
  <si>
    <t>Huércal de Almería</t>
  </si>
  <si>
    <t>Almería</t>
  </si>
  <si>
    <t>fontaneriaerika.com</t>
  </si>
  <si>
    <t>643 43 06 37</t>
  </si>
  <si>
    <t>jlorenzofernandez32@gmail.com</t>
  </si>
  <si>
    <t>ROTRISA S.L.U</t>
  </si>
  <si>
    <t>Tienda de artículos de fontanería</t>
  </si>
  <si>
    <t>Ctra. Sierra Alhamilla, 306, 04007 Almería</t>
  </si>
  <si>
    <t>rotrisa.com</t>
  </si>
  <si>
    <t>950 22 03 11</t>
  </si>
  <si>
    <t>cial@rotrisa.com</t>
  </si>
  <si>
    <t>Rafael López Obstrucciones Y Recalos</t>
  </si>
  <si>
    <t>Calle Sierra de Castillejo, 11, BAJO, 04240 Viator, Almería</t>
  </si>
  <si>
    <t>Viator</t>
  </si>
  <si>
    <t>rafaellopezfontaneriayreformas.com</t>
  </si>
  <si>
    <t>950 14 25 60</t>
  </si>
  <si>
    <t>rafaellopez@rlopezm.com</t>
  </si>
  <si>
    <t>SC Hogar Multiservicio</t>
  </si>
  <si>
    <t/>
  </si>
  <si>
    <t>Abla</t>
  </si>
  <si>
    <t>schogar.com</t>
  </si>
  <si>
    <t>638 82 46 15</t>
  </si>
  <si>
    <t>servicios@schogar.com</t>
  </si>
  <si>
    <t>FONTACLIMA</t>
  </si>
  <si>
    <t>Av. Segunda Aguada, 21, 11012 Cádiz</t>
  </si>
  <si>
    <t>Cádiz</t>
  </si>
  <si>
    <t>fontaclimacadiz.es</t>
  </si>
  <si>
    <t>856 07 36 25</t>
  </si>
  <si>
    <t>fontaclima@hotmail.es</t>
  </si>
  <si>
    <t>Fontanería Altamirano</t>
  </si>
  <si>
    <t>Calle Francisco García de Sola, 10, 11008 Cádiz</t>
  </si>
  <si>
    <t>fontaneriaaltamirano.es</t>
  </si>
  <si>
    <t>956 22 15 87</t>
  </si>
  <si>
    <t>altamiranosl@live.com</t>
  </si>
  <si>
    <t>DESATASCOS PA’YÁ</t>
  </si>
  <si>
    <t>Calle Virgen de las Angustias, 5, 11010 Cádiz</t>
  </si>
  <si>
    <t>desatascos-paya.ueniweb.com</t>
  </si>
  <si>
    <t>655 09 94 85</t>
  </si>
  <si>
    <t>jose.m.sanchez.paya@gmail.com</t>
  </si>
  <si>
    <t>Suinprosur SL</t>
  </si>
  <si>
    <t>Poligono Industrial Salinas de Poniente, c/ Alfred Nobel 22, Nave 2, Módulo B, Buzón 8, 11500 Puerto de Santa María (El), Cádiz</t>
  </si>
  <si>
    <t>El Puerto de Sta María</t>
  </si>
  <si>
    <t>suinprosur.es</t>
  </si>
  <si>
    <t>956 85 75 96</t>
  </si>
  <si>
    <t>suinprosur@suinprosur.es</t>
  </si>
  <si>
    <t>Desatascos Chiclana urgentes 24h</t>
  </si>
  <si>
    <t>Calle Aurora, 3, 11130 Chiclana de la Frontera, Cádiz</t>
  </si>
  <si>
    <t>Chiclana de la Frontera</t>
  </si>
  <si>
    <t>desatascoscurro.es</t>
  </si>
  <si>
    <t>650 54 14 92</t>
  </si>
  <si>
    <t>desatascosomega@gmail.com</t>
  </si>
  <si>
    <t>Fugascor localizacion de fugas de agua en Córdoba, detección de fugas averías y localizador en Córdoba</t>
  </si>
  <si>
    <t>Calle Escritora Ana María Matutes, 6, local, 14014 Córdoba</t>
  </si>
  <si>
    <t>Córdoba</t>
  </si>
  <si>
    <t>fugascor.com</t>
  </si>
  <si>
    <t>661 92 22 32</t>
  </si>
  <si>
    <t>fugascor@gmail.com</t>
  </si>
  <si>
    <t>Esmebra</t>
  </si>
  <si>
    <t>Av. de Libia, 71, 14014 Córdoba</t>
  </si>
  <si>
    <t>esmebra.com</t>
  </si>
  <si>
    <t>957 26 10 08</t>
  </si>
  <si>
    <t>esmebra@esmebra.com</t>
  </si>
  <si>
    <t>Fontanería Y Gas</t>
  </si>
  <si>
    <t>Adamuz</t>
  </si>
  <si>
    <t>fontaneriaygas.com</t>
  </si>
  <si>
    <t>667 56 20 77</t>
  </si>
  <si>
    <t>fontaneriaygasandalucia@gmail.com</t>
  </si>
  <si>
    <t>SANEAMIENTOS LUQUE, S.L.</t>
  </si>
  <si>
    <t>Calle Infante Molina, 3, 14700 Palma del Río, Córdoba</t>
  </si>
  <si>
    <t>Palma del Río</t>
  </si>
  <si>
    <t>saneamientosluque.es</t>
  </si>
  <si>
    <t>957 64 33 98</t>
  </si>
  <si>
    <t>sanealuque@hotmail.com</t>
  </si>
  <si>
    <t>Canalcor - Canalones En Córdoba</t>
  </si>
  <si>
    <t>Calle la Higuera, 1, 1º 1º, 14720 Almodóvar del Río, Córdoba</t>
  </si>
  <si>
    <t>Almodóvar del Río</t>
  </si>
  <si>
    <t>canalcor.com</t>
  </si>
  <si>
    <t>610 03 23 91</t>
  </si>
  <si>
    <t>canalcor@hotmail.com</t>
  </si>
  <si>
    <t>Julio Saneamientos - Revestimientos</t>
  </si>
  <si>
    <t>Calle Fontanal, 14800 Priego de Córdoba, Córdoba</t>
  </si>
  <si>
    <t>Priego de Córdoba</t>
  </si>
  <si>
    <t>revestimientosjulio.es</t>
  </si>
  <si>
    <t>957 54 09 43</t>
  </si>
  <si>
    <t>revestimiento@revestimientosjulio.es</t>
  </si>
  <si>
    <t>Fontanero en Cordoba</t>
  </si>
  <si>
    <t>Calle Mateo Inurria, 14001 Córdoba</t>
  </si>
  <si>
    <t>fontanerocordoba.es</t>
  </si>
  <si>
    <t>608 52 40 73</t>
  </si>
  <si>
    <t>fontaneroscordoba@gmail.com</t>
  </si>
  <si>
    <t>fontanerogranada.net</t>
  </si>
  <si>
    <t>Agrón</t>
  </si>
  <si>
    <t>666 58 41 90</t>
  </si>
  <si>
    <t>jramonruizcastro@gmail.com</t>
  </si>
  <si>
    <t>Antonio Benítez Torres - Fontanería</t>
  </si>
  <si>
    <t>Calle Imperio, 32, BAJO, 18007 Granada</t>
  </si>
  <si>
    <t>Granada</t>
  </si>
  <si>
    <t>reformasbenitez.com</t>
  </si>
  <si>
    <t>958 12 79 51</t>
  </si>
  <si>
    <t>antoniobenitezt@telefonica.net</t>
  </si>
  <si>
    <t>Fontanería Reyes</t>
  </si>
  <si>
    <t>Calle Laurel, 7, 18195 Cúllar Vega, Granada</t>
  </si>
  <si>
    <t>Cúllar Vega</t>
  </si>
  <si>
    <t>fontaneriareyes.com</t>
  </si>
  <si>
    <t>661 84 06 66</t>
  </si>
  <si>
    <t>sergioreyesye@gmail.com</t>
  </si>
  <si>
    <t>Desatranques TUBORED Granada</t>
  </si>
  <si>
    <t>Calle Viñas Viejas, 16, bajo a, 18194 Churriana de la Vega, Granada</t>
  </si>
  <si>
    <t>Churriana de la Vega</t>
  </si>
  <si>
    <t>desatascosgranada.biz</t>
  </si>
  <si>
    <t>651 51 03 52</t>
  </si>
  <si>
    <t>desatranquessierranevada@gmail.com</t>
  </si>
  <si>
    <t>Suministros Antonio Ruiz</t>
  </si>
  <si>
    <t>N-432, KM. 22, 18230 Atarfe, Granada</t>
  </si>
  <si>
    <t>Atarfe</t>
  </si>
  <si>
    <t>todofontaneria.com</t>
  </si>
  <si>
    <t>958 43 90 90</t>
  </si>
  <si>
    <t>carlos@todofontaneria.com</t>
  </si>
  <si>
    <t>DESATASCOS GRANADA (FONTADUR)</t>
  </si>
  <si>
    <t>desatascos-granada.es</t>
  </si>
  <si>
    <t>677 41 11 40</t>
  </si>
  <si>
    <t>instalacionesfontadur@gmail.com</t>
  </si>
  <si>
    <t>Reparaciones y Servicios Dhogar</t>
  </si>
  <si>
    <t>Calle Casillas de Prats, 16, 18002 Granada</t>
  </si>
  <si>
    <t>reparacionesdhogar.com</t>
  </si>
  <si>
    <t>634 61 47 76</t>
  </si>
  <si>
    <t>reparaciones@reparacionesdhogar.com</t>
  </si>
  <si>
    <t>DESATASCOS TARTESOS HUELVA</t>
  </si>
  <si>
    <t>Calle Gonzalo de Berceo, 24, 21005 Huelva</t>
  </si>
  <si>
    <t>Huelva</t>
  </si>
  <si>
    <t>desatascosenhuelvatartesos.com</t>
  </si>
  <si>
    <t>615 54 68 51</t>
  </si>
  <si>
    <t>multiserviciostartesos@hotmail.com</t>
  </si>
  <si>
    <t>Fontaneria y Gas Huelva</t>
  </si>
  <si>
    <t>Alájar</t>
  </si>
  <si>
    <t>fontaneriaygashuelva.es</t>
  </si>
  <si>
    <t>603 45 28 79</t>
  </si>
  <si>
    <t>valeocarrasco@gmail.com</t>
  </si>
  <si>
    <t>Fontaneria Prera</t>
  </si>
  <si>
    <t>Calle Alondra, N 8, 21620 Trigueros, Huelva</t>
  </si>
  <si>
    <t>Trigueros</t>
  </si>
  <si>
    <t>fontaneria-prera.ueniweb.com</t>
  </si>
  <si>
    <t>628 85 02 44</t>
  </si>
  <si>
    <t>el090584@hotmail.com</t>
  </si>
  <si>
    <t>Instalaciones Andevalo, S.L.U.</t>
  </si>
  <si>
    <t>Calle Cuartel, 21560 Paymogo, Huelva</t>
  </si>
  <si>
    <t>Paymogo</t>
  </si>
  <si>
    <t>instalacionesandevalo.es</t>
  </si>
  <si>
    <t>959 57 05 64</t>
  </si>
  <si>
    <t>comercio@instalacionesandevalo.es</t>
  </si>
  <si>
    <t>MasFugas localizacion de fugas de agua en Huelva, detección de fugas averías y localizador en Huelva</t>
  </si>
  <si>
    <t>Calle Menéndez Pelayo, 66, 21730 Almonte, Huelva</t>
  </si>
  <si>
    <t>Almonte</t>
  </si>
  <si>
    <t>masfugas.es</t>
  </si>
  <si>
    <t>635 96 17 57</t>
  </si>
  <si>
    <t>masfugas@gmail.com</t>
  </si>
  <si>
    <t>Mulbay Multiservicios</t>
  </si>
  <si>
    <t>Calle Carlos Cano, 17, 23710 Bailén, Jaén</t>
  </si>
  <si>
    <t>Bailén</t>
  </si>
  <si>
    <t>Jaén</t>
  </si>
  <si>
    <t>mulbay.es</t>
  </si>
  <si>
    <t>953 67 01 05</t>
  </si>
  <si>
    <t>mulbaymultiservicios@gmail.com</t>
  </si>
  <si>
    <t>Fontanero Autónomo Málaga 649 09 91 90</t>
  </si>
  <si>
    <t>Calle, Plaza Arriola, Nº 3, 29005 Málaga</t>
  </si>
  <si>
    <t>Málaga</t>
  </si>
  <si>
    <t>malagafontanero.es</t>
  </si>
  <si>
    <t>649 09 91 90</t>
  </si>
  <si>
    <t>malagafont@gmail.com</t>
  </si>
  <si>
    <t>Fontanero en Torremolinos</t>
  </si>
  <si>
    <t>Av. del Lido, 30, 29620 Torremolinos, Málaga</t>
  </si>
  <si>
    <t>Torremolinos</t>
  </si>
  <si>
    <t>fontanero-torremolinos.es</t>
  </si>
  <si>
    <t>635 15 43 30</t>
  </si>
  <si>
    <t>jms@malaga-fontanero.com</t>
  </si>
  <si>
    <t>Sermafugas</t>
  </si>
  <si>
    <t>Calle Río Sil, n59 Polígono Industrial Trévenez, 29196 Málaga</t>
  </si>
  <si>
    <t>sermafugas.com</t>
  </si>
  <si>
    <t>690 28 29 96</t>
  </si>
  <si>
    <t>sermafugas@gmail.com</t>
  </si>
  <si>
    <t>SUSANFO S.L. Arroyo de la Miel</t>
  </si>
  <si>
    <t>Calle Moscatel, 29, 29631 Benalmádena, Málaga</t>
  </si>
  <si>
    <t>Benalmádena</t>
  </si>
  <si>
    <t>susanfo.es</t>
  </si>
  <si>
    <t>952 44 44 28</t>
  </si>
  <si>
    <t>susanfonave@hotmail.com</t>
  </si>
  <si>
    <t>Multiservicios Ceres</t>
  </si>
  <si>
    <t>Calle Vasija, numero 11, 29591 Maqueda, Málaga</t>
  </si>
  <si>
    <t>Maqueda</t>
  </si>
  <si>
    <t>multiservicios-ceres.com</t>
  </si>
  <si>
    <t>695 87 70 98</t>
  </si>
  <si>
    <t>multiserviciosceresmlg@gmail.com</t>
  </si>
  <si>
    <t>Bomdesa</t>
  </si>
  <si>
    <t>La Boheme 14 Pg Alameda, 29006 Málaga</t>
  </si>
  <si>
    <t>bomdesa.com</t>
  </si>
  <si>
    <t>952 35 20 12</t>
  </si>
  <si>
    <t>bomdesa@bomdesa.com</t>
  </si>
  <si>
    <t>Fontanero Málaga Urgente</t>
  </si>
  <si>
    <t>Calle Acebuche, 34, b3, 29730 Rincón de la Victoria, Málaga</t>
  </si>
  <si>
    <t>Rincón de la Victoria</t>
  </si>
  <si>
    <t>fontaneromalagaurgente.es</t>
  </si>
  <si>
    <t>656 73 74 12</t>
  </si>
  <si>
    <t>mundoweb.d@gmail.com</t>
  </si>
  <si>
    <t>Montes Torres Suministros ~ Achedosol Estepona</t>
  </si>
  <si>
    <t>Calle Franklin, 15, 19, 29680 Estepona, Málaga</t>
  </si>
  <si>
    <t>Estepona</t>
  </si>
  <si>
    <t>montestorres.es</t>
  </si>
  <si>
    <t>952 80 46 96</t>
  </si>
  <si>
    <t>proyectos@achedosol.es</t>
  </si>
  <si>
    <t>Gas y Fontanería Coín S.L.</t>
  </si>
  <si>
    <t>Calle Buenavista, 41, Bajo, 29100 Coín, Málaga</t>
  </si>
  <si>
    <t>Coín</t>
  </si>
  <si>
    <t>gasyfontaneriacoin.es</t>
  </si>
  <si>
    <t>952 45 13 27</t>
  </si>
  <si>
    <t>gfcoin@gmail.com</t>
  </si>
  <si>
    <t>Fontaneria Lago S.l.</t>
  </si>
  <si>
    <t>GALERIA COMER, Av. Ciudad de Chiva, LOCAL, 27, BAJO(LOC 32, 41019 Sevilla</t>
  </si>
  <si>
    <t>Sevilla</t>
  </si>
  <si>
    <t>fontanerialago.com</t>
  </si>
  <si>
    <t>954 67 50 28</t>
  </si>
  <si>
    <t>fontalago@hotmail.es</t>
  </si>
  <si>
    <t>Fontanería sin Obras Sevilla. Distrai tecnología</t>
  </si>
  <si>
    <t>Av. de las Ciencias, 22, 8-6B, 41020 Sevilla</t>
  </si>
  <si>
    <t>fontaneriasinobrassevilla.com</t>
  </si>
  <si>
    <t>623 15 31 95</t>
  </si>
  <si>
    <t>bannss1@gmail.com</t>
  </si>
  <si>
    <t>DRD Suministros de Fontanería</t>
  </si>
  <si>
    <t>Carretera A-92, Km 5 Polígono Industrial La Red 1, Nave 17, 41500 La Soledad, Sevilla</t>
  </si>
  <si>
    <t>suministrosdefontaneriaensevilla.com</t>
  </si>
  <si>
    <t>954 47 59 42</t>
  </si>
  <si>
    <t>dprieto@drdsll.com</t>
  </si>
  <si>
    <t>Repa Instalaciones y Mantenimiento S.L.</t>
  </si>
  <si>
    <t>Calle María Ortiz, 11 A;BAJO;LOCAL-ACC, 41010 Sevilla</t>
  </si>
  <si>
    <t>repa.es</t>
  </si>
  <si>
    <t>954 33 30 42</t>
  </si>
  <si>
    <t>repa@repa.es</t>
  </si>
  <si>
    <t>ROYNOR. Fontanrería - Instalaciones</t>
  </si>
  <si>
    <t>Aguadulce</t>
  </si>
  <si>
    <t>roynor.com</t>
  </si>
  <si>
    <t>627 43 87 75</t>
  </si>
  <si>
    <t>fontaneria@roynor.com</t>
  </si>
  <si>
    <t>Cohiser obras y servicios</t>
  </si>
  <si>
    <t>Avda. Republica Argentina nº40, 41011 Sevilla</t>
  </si>
  <si>
    <t>cohiser.es</t>
  </si>
  <si>
    <t>954 27 57 96</t>
  </si>
  <si>
    <t>cohiser@cohiser.es</t>
  </si>
  <si>
    <t>Talleres Desa</t>
  </si>
  <si>
    <t>Calle Sta. Maria, 13, 41960 Gines, Sevilla</t>
  </si>
  <si>
    <t>Gines</t>
  </si>
  <si>
    <t>talleresdesasl.es</t>
  </si>
  <si>
    <t>954 71 92 80</t>
  </si>
  <si>
    <t>desa@talleresdesasl.es</t>
  </si>
  <si>
    <t>ok fugas de agua</t>
  </si>
  <si>
    <t>Calle Jaén, 22, 41120 Gelves, Sevilla</t>
  </si>
  <si>
    <t>Gelves</t>
  </si>
  <si>
    <t>okfugasdeagua.com</t>
  </si>
  <si>
    <t>685 83 39 44</t>
  </si>
  <si>
    <t>okfugasdeagua@gmail.com</t>
  </si>
  <si>
    <t>FONTATUBO</t>
  </si>
  <si>
    <t>C/JUAN ANTONIO MELO MONTIEL,2K, 41960 Gines, Sevilla</t>
  </si>
  <si>
    <t>fontatubo.com</t>
  </si>
  <si>
    <t>955 70 82 08</t>
  </si>
  <si>
    <t>fontatubo@fontatubo.com</t>
  </si>
  <si>
    <t>Solymel</t>
  </si>
  <si>
    <t>Calle Ganadería PARCELA 27-B, NAVE 2, 22006 Huesca</t>
  </si>
  <si>
    <t>Huesca</t>
  </si>
  <si>
    <t>solymel.com</t>
  </si>
  <si>
    <t>974 24 52 05</t>
  </si>
  <si>
    <t>solymel@solymel.com</t>
  </si>
  <si>
    <t>Suministros de Calefacción Aragón S.L.</t>
  </si>
  <si>
    <t>Polígono Sepes, Ronda de la Industria, 103, Parcela 4, nave 1, 22006 Huesca</t>
  </si>
  <si>
    <t>sumicar.es</t>
  </si>
  <si>
    <t>974 23 00 68</t>
  </si>
  <si>
    <t>huesca@sumicarpropibsa.com</t>
  </si>
  <si>
    <t>Fontanería Chema</t>
  </si>
  <si>
    <t>Calle Luis Buñuel, 8, 22200 Sariñena, Huesca</t>
  </si>
  <si>
    <t>Sariñena</t>
  </si>
  <si>
    <t>fontaneriachema.com</t>
  </si>
  <si>
    <t>974 57 13 80</t>
  </si>
  <si>
    <t>chema@fontaneriachema.com</t>
  </si>
  <si>
    <t>Montaser Aragón Sociedad Limitada</t>
  </si>
  <si>
    <t>Calle Berenice, 20, 50012 Zaragoza</t>
  </si>
  <si>
    <t>Zaragoza</t>
  </si>
  <si>
    <t>montaseraragon.negocio.site</t>
  </si>
  <si>
    <t>615 89 38 66</t>
  </si>
  <si>
    <t>montaseraragon@gmail.com</t>
  </si>
  <si>
    <t>Fontanería Manuel Rodríguez</t>
  </si>
  <si>
    <t>Calle Encomienda, 4, 22300 Barbastro, Huesca</t>
  </si>
  <si>
    <t>Barbastro</t>
  </si>
  <si>
    <t>fontaneriamanuelrodriguez.es</t>
  </si>
  <si>
    <t>974 31 14 45</t>
  </si>
  <si>
    <t>manuel@fontaneriamanuelrodriguez.es</t>
  </si>
  <si>
    <t>INSTALACIONES LARRAMONA</t>
  </si>
  <si>
    <t>Av. Sudiera, 22330 Aínsa, Huesca</t>
  </si>
  <si>
    <t>Aínsa</t>
  </si>
  <si>
    <t>ilarramona.blogspot.com.es</t>
  </si>
  <si>
    <t>607 95 06 98</t>
  </si>
  <si>
    <t>jdelarramona@gmail.com</t>
  </si>
  <si>
    <t>Jose Abril e Hijos, S.L.</t>
  </si>
  <si>
    <t>Poligono La Paz C/A Parc.2, 44195 Teruel</t>
  </si>
  <si>
    <t>Teruel</t>
  </si>
  <si>
    <t>abrilehijos.com</t>
  </si>
  <si>
    <t>978 62 11 90</t>
  </si>
  <si>
    <t>abrilehijos@abrilehijos.com</t>
  </si>
  <si>
    <t>Urbabany Fontaneros</t>
  </si>
  <si>
    <t>Ababuj</t>
  </si>
  <si>
    <t>fontanerocastellon.es</t>
  </si>
  <si>
    <t>656 98 48 45</t>
  </si>
  <si>
    <t>urbabany@gmail.com</t>
  </si>
  <si>
    <t>Fontanero en Castellon Rodalar S.L</t>
  </si>
  <si>
    <t>Calle Marie Curie, 14, 12200 Onda, Castellón</t>
  </si>
  <si>
    <t>Onda</t>
  </si>
  <si>
    <t>Castellón</t>
  </si>
  <si>
    <t>rodalar.es</t>
  </si>
  <si>
    <t>964 60 04 64</t>
  </si>
  <si>
    <t>rodalar@rodalar.com</t>
  </si>
  <si>
    <t>Rales Fontanería</t>
  </si>
  <si>
    <t>Calle Tomaso Albinoni, 2, 50012 Zaragoza</t>
  </si>
  <si>
    <t>ralesfontaneria.com</t>
  </si>
  <si>
    <t>620 08 81 60</t>
  </si>
  <si>
    <t>ralesfontaneria@gmail.com</t>
  </si>
  <si>
    <t>FONTANERIA ITURBIDE</t>
  </si>
  <si>
    <t>Calle Comuneros de Castilla, 1, 50002 Zaragoza</t>
  </si>
  <si>
    <t>fontaneriaiturbide.es</t>
  </si>
  <si>
    <t>976 29 40 52</t>
  </si>
  <si>
    <t>fontaneria@iturbidesl.com</t>
  </si>
  <si>
    <t>Aquacenter Ebro</t>
  </si>
  <si>
    <t>Calle Mariano Baselga, 16, 50015 Zaragoza</t>
  </si>
  <si>
    <t>aquacenterebro.com</t>
  </si>
  <si>
    <t>976 73 73 05</t>
  </si>
  <si>
    <t>pedidos@aquacenterebro.com</t>
  </si>
  <si>
    <t>FONTANEROS ZARAGOZA 24H SL</t>
  </si>
  <si>
    <t>Calle del Río Matarraña, 6, 50014 Zaragoza</t>
  </si>
  <si>
    <t>fontaneroszaragoza24h.com</t>
  </si>
  <si>
    <t>976 90 64 06</t>
  </si>
  <si>
    <t>contable2016@gmail.com</t>
  </si>
  <si>
    <t>Fontanero zaragoza</t>
  </si>
  <si>
    <t>Calle Félix Latassa, 17, 50006 Zaragoza</t>
  </si>
  <si>
    <t>fontanero-zaragoza.com</t>
  </si>
  <si>
    <t>976 56 98 31</t>
  </si>
  <si>
    <t>reformaslatassa@hotmail.com</t>
  </si>
  <si>
    <t>Fugas de Agua Zaragoza (PRESUPUESTO GRATIS)</t>
  </si>
  <si>
    <t>Abanto</t>
  </si>
  <si>
    <t>fugasdeaguazaragoza.es</t>
  </si>
  <si>
    <t>657 99 02 59</t>
  </si>
  <si>
    <t>ebnburgo1@hotmail.com</t>
  </si>
  <si>
    <t>Bartolí Calefacción y Fontanería S.L.</t>
  </si>
  <si>
    <t>Calle Sevilla, 8, 50006 Zaragoza</t>
  </si>
  <si>
    <t>bartolifontaneria.es</t>
  </si>
  <si>
    <t>629 62 54 99</t>
  </si>
  <si>
    <t>bartolicalfon@gmail.com</t>
  </si>
  <si>
    <t>Cerámicas Bagil</t>
  </si>
  <si>
    <t>Camino de las Torres, 50, 50008 Zaragoza</t>
  </si>
  <si>
    <t>bagil.com</t>
  </si>
  <si>
    <t>976 29 28 46</t>
  </si>
  <si>
    <t>bagil@bagil.com</t>
  </si>
  <si>
    <t>Compañía BF de Comercio Zaragoza</t>
  </si>
  <si>
    <t>Agrupación Nido, Calle Jaime Ferrán, 11, NAVE 11, 50014 Zaragoza</t>
  </si>
  <si>
    <t>bfdecomercio.es</t>
  </si>
  <si>
    <t>976 47 08 48</t>
  </si>
  <si>
    <t>bfclientes@bfdecomercio.es</t>
  </si>
  <si>
    <t>Abance Instalaciones</t>
  </si>
  <si>
    <t>Calle Pablo Iglesias, 28, Local 1, 50018 Zaragoza</t>
  </si>
  <si>
    <t>abanceinstalaciones.com</t>
  </si>
  <si>
    <t>606 19 31 36</t>
  </si>
  <si>
    <t>abance@abanceinstalaciones.com</t>
  </si>
  <si>
    <t>Fontanería Casa Fácil</t>
  </si>
  <si>
    <t>Avda. Madrid, 241, 50017 Zaragoza</t>
  </si>
  <si>
    <t>casafacilfontaneria.es</t>
  </si>
  <si>
    <t>876 16 01 93</t>
  </si>
  <si>
    <t>f.casafacil@gmail.com</t>
  </si>
  <si>
    <t>Hermanos Heredia Instalaciones Urbanas</t>
  </si>
  <si>
    <t>Calle Tulipán, 28, 50012 Zaragoza</t>
  </si>
  <si>
    <t>hermanosheredia.com</t>
  </si>
  <si>
    <t>670 29 42 29</t>
  </si>
  <si>
    <t>hermanosheredia@gmail.com</t>
  </si>
  <si>
    <t>Desatascos en Zaragoza Pro: Fregaderos, Tuberías, WC | Económicos</t>
  </si>
  <si>
    <t>Calle Ramiro I de Aragón, 18, P-2 L-E, 50017 Zaragoza</t>
  </si>
  <si>
    <t>desatascoszaragoza.pro</t>
  </si>
  <si>
    <t>644 57 69 19</t>
  </si>
  <si>
    <t>24hprofesionales@gmail.com</t>
  </si>
  <si>
    <t>Rehabilitaweb Zaragoza - Oficinas</t>
  </si>
  <si>
    <t>Paseo de la Independencia, 8, planta 2, 50004 Zaragoza</t>
  </si>
  <si>
    <t>rehabilitaweb.es</t>
  </si>
  <si>
    <t>876 66 01 23</t>
  </si>
  <si>
    <t>webinfo@rehabilitaweb.com</t>
  </si>
  <si>
    <t>Comercial Quemoil</t>
  </si>
  <si>
    <t>Calle de Don Manuel Lorenzo Pardo, 28, 50008 Zaragoza</t>
  </si>
  <si>
    <t>quemoil.es</t>
  </si>
  <si>
    <t>976 49 36 94</t>
  </si>
  <si>
    <t>protecciondedatos@quemoil.es</t>
  </si>
  <si>
    <t>Cocinas Y Baños Lamar</t>
  </si>
  <si>
    <t>Calle Padre Manjón, 29, 50010 Zaragoza</t>
  </si>
  <si>
    <t>cocinaslamar.com</t>
  </si>
  <si>
    <t>976 30 43 16</t>
  </si>
  <si>
    <t>cocinaslamar@gmail.com</t>
  </si>
  <si>
    <t>REPARA LIZARA</t>
  </si>
  <si>
    <t>Calle Domingo Ram, 54, 50017 Zaragoza</t>
  </si>
  <si>
    <t>reparalizara.com</t>
  </si>
  <si>
    <t>627 91 44 98</t>
  </si>
  <si>
    <t>reparalizara@gmail.com</t>
  </si>
  <si>
    <t>Ajuar del Baño</t>
  </si>
  <si>
    <t>Calle Sta. Teresa de Jesús, 7, 50006 Zaragoza</t>
  </si>
  <si>
    <t>ajuardelbano.es</t>
  </si>
  <si>
    <t>976 35 50 18</t>
  </si>
  <si>
    <t>caragonesa@hotmail.com</t>
  </si>
  <si>
    <t>MZ del Río S.A.</t>
  </si>
  <si>
    <t>Pol. Ind. Empresarium, C/ Lentisco, 12, 50720 Cartuja Baja, Zaragoza</t>
  </si>
  <si>
    <t>Cartuja Baja</t>
  </si>
  <si>
    <t>mzrio.com</t>
  </si>
  <si>
    <t>976 57 15 17</t>
  </si>
  <si>
    <t>mzrio@mzrio.com</t>
  </si>
  <si>
    <t>Jm Castillo Fontanería</t>
  </si>
  <si>
    <t>Calle Severo Ochoa, 15, 50180 Utebo, Zaragoza</t>
  </si>
  <si>
    <t>Utebo</t>
  </si>
  <si>
    <t>jmcastillofontaneria.com</t>
  </si>
  <si>
    <t>673 43 14 08</t>
  </si>
  <si>
    <t>jlcastillo@movistar.es</t>
  </si>
  <si>
    <t>Gerardo Robles Fontanería y Calefacción</t>
  </si>
  <si>
    <t>Calle Instituto, 19, 33205 Gijón, Asturias</t>
  </si>
  <si>
    <t>Gijón</t>
  </si>
  <si>
    <t>Asturias</t>
  </si>
  <si>
    <t>gerardorobles.es</t>
  </si>
  <si>
    <t>661 88 98 88</t>
  </si>
  <si>
    <t>correo@gerardorobles.es</t>
  </si>
  <si>
    <t>Fontanería Fran Rivaya</t>
  </si>
  <si>
    <t>Lugar LLames bajo, 7, 33529 Nava, Asturias</t>
  </si>
  <si>
    <t>Nava</t>
  </si>
  <si>
    <t>fontaneriafranrivaya.com</t>
  </si>
  <si>
    <t>639 76 47 93</t>
  </si>
  <si>
    <t>fran.r.v1975@hotmail.com</t>
  </si>
  <si>
    <t>Todogas</t>
  </si>
  <si>
    <t>33199 Viella, Asturias</t>
  </si>
  <si>
    <t>Viella</t>
  </si>
  <si>
    <t>todogas.es</t>
  </si>
  <si>
    <t>985 79 33 18</t>
  </si>
  <si>
    <t>todogas@todogas.es</t>
  </si>
  <si>
    <t>Instalpa</t>
  </si>
  <si>
    <t>Parades 11, 33190, Asturias</t>
  </si>
  <si>
    <t>Parades</t>
  </si>
  <si>
    <t>instalpa-es.ueniweb.com</t>
  </si>
  <si>
    <t>627 41 69 56</t>
  </si>
  <si>
    <t>instalpa@gmail.com</t>
  </si>
  <si>
    <t>Fontanería y Reformas Carlos Prado</t>
  </si>
  <si>
    <t>Calle Eslava, 27, 47007 Valladolid</t>
  </si>
  <si>
    <t>Valladolid</t>
  </si>
  <si>
    <t>fontaneriayreformascarlosprado.es</t>
  </si>
  <si>
    <t>983 47 07 56</t>
  </si>
  <si>
    <t>prado@carlosprado.es</t>
  </si>
  <si>
    <t>Fontaneria Alonso</t>
  </si>
  <si>
    <t>Carrer de Ramon Muntaner, 49B, 07010 Palma, Illes Balears</t>
  </si>
  <si>
    <t>Palma</t>
  </si>
  <si>
    <t>Illes Balears</t>
  </si>
  <si>
    <t>fontanerialonso.com</t>
  </si>
  <si>
    <t>630 64 36 50</t>
  </si>
  <si>
    <t>fontanerialonso@gmail.com</t>
  </si>
  <si>
    <t>Fontaneria Martin</t>
  </si>
  <si>
    <t>Carrer d&amp;apos;Eusebi Estada, 113, 07004 Palma, Illes Balears</t>
  </si>
  <si>
    <t>fontaneria-martin.negocio.site</t>
  </si>
  <si>
    <t>625 41 46 25</t>
  </si>
  <si>
    <t>fontaneria_martin@hotmail.com</t>
  </si>
  <si>
    <t>Fontanería Bilfont - Fontaneros en Palma de Mallorca</t>
  </si>
  <si>
    <t>Carrer d&amp;apos;Hiroshima, 27, 07004 Palma, Illes Balears</t>
  </si>
  <si>
    <t>fontaneriabilfont.com</t>
  </si>
  <si>
    <t>628 79 21 23</t>
  </si>
  <si>
    <t>bilfont@gmail.com</t>
  </si>
  <si>
    <t>Repara Balear - Localizacion De Fugas De Agua</t>
  </si>
  <si>
    <t>Carrer del Cardenal Rossell, 67, 07007 Palma, Illes Balears</t>
  </si>
  <si>
    <t>reparabalear.com</t>
  </si>
  <si>
    <t>678 75 72 62</t>
  </si>
  <si>
    <t>reparabalear@gmail.com</t>
  </si>
  <si>
    <t>Bombas Y Servicios Son Dameto</t>
  </si>
  <si>
    <t>Carrer de Vicenç Joan i Rosselló, 38, 07013 Palma, Illes Balears</t>
  </si>
  <si>
    <t>bombasyservicios.es</t>
  </si>
  <si>
    <t>971 45 03 89</t>
  </si>
  <si>
    <t>marta@sondameto.com</t>
  </si>
  <si>
    <t>Fontanería Artigues</t>
  </si>
  <si>
    <t>49, Balears, Carrer del Vapor Santueri, 07670 Portocolom</t>
  </si>
  <si>
    <t>Portocolom</t>
  </si>
  <si>
    <t>fontaneriaartigues.com</t>
  </si>
  <si>
    <t>609 65 46 99</t>
  </si>
  <si>
    <t>fontaneriaartigues@hotmail.com</t>
  </si>
  <si>
    <t>Hermanos Cabañero</t>
  </si>
  <si>
    <t>Carrer de Guillem Forteza, 28, 07010 Palma, Illes Balears</t>
  </si>
  <si>
    <t>hercasa.org</t>
  </si>
  <si>
    <t>971 29 80 00</t>
  </si>
  <si>
    <t>cabanero@hercasa.org</t>
  </si>
  <si>
    <t>Fontanero en Mallorca</t>
  </si>
  <si>
    <t>Avinguda de Son Rigo, 25, 07610 Palma, Illes Balears</t>
  </si>
  <si>
    <t>fontaneroenmallorca.com</t>
  </si>
  <si>
    <t>971 26 19 19</t>
  </si>
  <si>
    <t>fidelcarrera@me.com</t>
  </si>
  <si>
    <t>Fontaneria de Hierros y Aceros de Mallorca, S.A</t>
  </si>
  <si>
    <t>Carrer Gremi de Boneters, 32, 07009 Palma, Illes Balears</t>
  </si>
  <si>
    <t>hierrosmallorca.es</t>
  </si>
  <si>
    <t>971 43 11 08</t>
  </si>
  <si>
    <t>pedidos@hierrosmallorca.es</t>
  </si>
  <si>
    <t>Instalacions Sanitaries M&amp;amp;S - Instalaciones de fontanería y climatización en Andratx, Mallorca</t>
  </si>
  <si>
    <t>Carrer sa Teulera, 6, Local 2, 07150 Andratx, Balearic Islands</t>
  </si>
  <si>
    <t>Andrach</t>
  </si>
  <si>
    <t>Balearic Islands</t>
  </si>
  <si>
    <t>instalacionssanitariesms.com</t>
  </si>
  <si>
    <t>650 20 97 84</t>
  </si>
  <si>
    <t>instalacionsms@gmail.com</t>
  </si>
  <si>
    <t>Instalaciones Sanitarias Artà</t>
  </si>
  <si>
    <t>Carrer d&amp;apos;Antoni M. Alcover Sureda, 27, 07570 Artà, Illes Balears</t>
  </si>
  <si>
    <t>Artá</t>
  </si>
  <si>
    <t>instalacionessanitariasarta.com</t>
  </si>
  <si>
    <t>971 83 56 16</t>
  </si>
  <si>
    <t>esmatallana@hotmail.com</t>
  </si>
  <si>
    <t>Fontanería JK</t>
  </si>
  <si>
    <t>Carrer de Federico Chueca, 1, PISO, 07004 Palma, Balearic Islands</t>
  </si>
  <si>
    <t>fontaneriajk.com</t>
  </si>
  <si>
    <t>617 86 24 21</t>
  </si>
  <si>
    <t>fontaneriajk@gmail.com</t>
  </si>
  <si>
    <t>Carlos Moreno Sielva</t>
  </si>
  <si>
    <t>Carrer La Rioja, 2, 07829 Sant Agustí des Vedrà, Illes Balears</t>
  </si>
  <si>
    <t>Sant Agustí des Vedrà</t>
  </si>
  <si>
    <t>cmsibiza.com</t>
  </si>
  <si>
    <t>633 56 73 46</t>
  </si>
  <si>
    <t>carlosmorenoibiza@gmail.com</t>
  </si>
  <si>
    <t>DURAN Tienda Online</t>
  </si>
  <si>
    <t>Carrer de Son Fondo, 35, 1º piso, 07007 Palma, Balearic Islands</t>
  </si>
  <si>
    <t>gdurantienda.com</t>
  </si>
  <si>
    <t>971 46 00 00</t>
  </si>
  <si>
    <t>tiendaonline@gdurantienda.com</t>
  </si>
  <si>
    <t>Fontanería Carmelo Castellano</t>
  </si>
  <si>
    <t>NUEVA ISLETA, Calle Sancho Panza, 38, LOCAL 15, 35009 Las Palmas de Gran Canaria, Las Palmas</t>
  </si>
  <si>
    <t>Las Palmas de Gran Canaria</t>
  </si>
  <si>
    <t>Las Palmas</t>
  </si>
  <si>
    <t>fontaneriacarmelocastellano.es</t>
  </si>
  <si>
    <t>672 41 26 55</t>
  </si>
  <si>
    <t>fontaneriacarmelocastellano@hotmail.com</t>
  </si>
  <si>
    <t>Desatascos Lois</t>
  </si>
  <si>
    <t>Calle Palestina, n°4, 35018 Las Palmas de Gran Canaria, Las Palmas</t>
  </si>
  <si>
    <t>desatascoslois.com</t>
  </si>
  <si>
    <t>656 67 95 75</t>
  </si>
  <si>
    <t>ayoseloisdesatascos@hotmail.com</t>
  </si>
  <si>
    <t>Central de Representaciones Canarias S.L.</t>
  </si>
  <si>
    <t>Urb. Ind, Calle Labrador, 4, 35219 Salinetas, Las Palmas</t>
  </si>
  <si>
    <t>Telde</t>
  </si>
  <si>
    <t>centralderepresentaciones.com</t>
  </si>
  <si>
    <t>928 13 18 42</t>
  </si>
  <si>
    <t>crc@centralderepresentaciones.com</t>
  </si>
  <si>
    <t>Fontanería Santana y Viera, S.L.</t>
  </si>
  <si>
    <t>Calle Tamarán C.C. ANCORA, LOCAL 111, 35120 Arguineguin, Las Palmas</t>
  </si>
  <si>
    <t>Arguineguin</t>
  </si>
  <si>
    <t>fontaneriasantanayviera.es</t>
  </si>
  <si>
    <t>928 15 02 24</t>
  </si>
  <si>
    <t>fontaneriasantanayviera@gmail.com</t>
  </si>
  <si>
    <t>Alexmafuer</t>
  </si>
  <si>
    <t>C/ Nasa, 20 - 22, 35600 Puerto del Rosario, Las Palmas</t>
  </si>
  <si>
    <t>Puerto del Rosario</t>
  </si>
  <si>
    <t>alexmafuer.com</t>
  </si>
  <si>
    <t>928 54 80 16</t>
  </si>
  <si>
    <t>alexmafuer@grupogalfuer.es</t>
  </si>
  <si>
    <t>FontaReD Fontanería y Reparaciones Domésticas</t>
  </si>
  <si>
    <t>C. Ganivet, n6, 38007 Santa Cruz de Tenerife</t>
  </si>
  <si>
    <t>Santa Cruz de Tenerife</t>
  </si>
  <si>
    <t>fontared.es</t>
  </si>
  <si>
    <t>652 42 14 99</t>
  </si>
  <si>
    <t>correo@fontared.es</t>
  </si>
  <si>
    <t>Fontasol</t>
  </si>
  <si>
    <t>Calle Tijarafe, nº 19, 38108 San Cristóbal de La Laguna, Santa Cruz de Tenerife</t>
  </si>
  <si>
    <t>San Cristóbal de La Laguna</t>
  </si>
  <si>
    <t>fontasol.com</t>
  </si>
  <si>
    <t>922 31 13 41</t>
  </si>
  <si>
    <t>vanessa@fontasol.com</t>
  </si>
  <si>
    <t>Tinerfe7Fontaneros</t>
  </si>
  <si>
    <t>Calle el Calvario, 74, 38107 Los Baldios, Santa Cruz de Tenerife</t>
  </si>
  <si>
    <t>Los Baldios</t>
  </si>
  <si>
    <t>tinerfe7fontaneros.com</t>
  </si>
  <si>
    <t>tomaspereram@gmail.com</t>
  </si>
  <si>
    <t>Servicio 24 horas - Empresa de desatascos urgentes 24 horas en Tenerife</t>
  </si>
  <si>
    <t>Adeje</t>
  </si>
  <si>
    <t>desatascosentenerife.com</t>
  </si>
  <si>
    <t>633 91 50 37</t>
  </si>
  <si>
    <t>nibaldosingler@hotmail.com</t>
  </si>
  <si>
    <t>ACG Abastecimientos</t>
  </si>
  <si>
    <t>Calle Fuencaliente, 2-4, 38108 San Cristóbal de La Laguna, Santa Cruz de Tenerife</t>
  </si>
  <si>
    <t>acgabastecimientos.es</t>
  </si>
  <si>
    <t>922 31 08 40</t>
  </si>
  <si>
    <t>acg@acgabastecimientos.com</t>
  </si>
  <si>
    <t>Fontanero 24H Tenerife</t>
  </si>
  <si>
    <t>fontanero24h-tenerife.es</t>
  </si>
  <si>
    <t>650 68 43 99</t>
  </si>
  <si>
    <t>fontabel24h@gmail.com</t>
  </si>
  <si>
    <t>Fontanería Alexis</t>
  </si>
  <si>
    <t>Calle la Cruz, 68, 38620 San Miguel, Santa Cruz de Tenerife</t>
  </si>
  <si>
    <t>San Miguel</t>
  </si>
  <si>
    <t>insttf.com</t>
  </si>
  <si>
    <t>670 82 24 60</t>
  </si>
  <si>
    <t>gonmaralexis@gmail.com</t>
  </si>
  <si>
    <t>A-Z Hidráulica</t>
  </si>
  <si>
    <t>Av. Reina Sofía, 4, 38687 Playa San Juan, Santa Cruz de Tenerife</t>
  </si>
  <si>
    <t>Playa San Juan</t>
  </si>
  <si>
    <t>azhidraulica.com</t>
  </si>
  <si>
    <t>672 46 11 14</t>
  </si>
  <si>
    <t>azhidraulica@hotmail.com</t>
  </si>
  <si>
    <t>Desatascos Cantabria F.C.G.</t>
  </si>
  <si>
    <t>Grupo Santa Teresa, 13 Oficina Acristalada, 39610 Guarnizo, Cantabria</t>
  </si>
  <si>
    <t>Guarnizo</t>
  </si>
  <si>
    <t>Cantabria</t>
  </si>
  <si>
    <t>fcgcantabria.com</t>
  </si>
  <si>
    <t>661 65 00 85</t>
  </si>
  <si>
    <t>jesus@fcgcantabria.com</t>
  </si>
  <si>
    <t>Suministros Luis Pinto</t>
  </si>
  <si>
    <t>Av. de los Castros, 95, 39005 Santander, Cantabria</t>
  </si>
  <si>
    <t>Santander</t>
  </si>
  <si>
    <t>suministrosluispinto.com</t>
  </si>
  <si>
    <t>942 23 80 90</t>
  </si>
  <si>
    <t>loscastros@suministrosluispinto.com</t>
  </si>
  <si>
    <t>Carmelo Rojas Fontaneria y Calefaccion</t>
  </si>
  <si>
    <t>Poligono Trascueto CEM, 217, 39600 Revilla de Camargo, Cantabria</t>
  </si>
  <si>
    <t>Revilla de Camargo</t>
  </si>
  <si>
    <t>carmelorojas.com</t>
  </si>
  <si>
    <t>679 01 42 12</t>
  </si>
  <si>
    <t>carmelofyc@gmail.com</t>
  </si>
  <si>
    <t>Fontaneria Fontcal</t>
  </si>
  <si>
    <t>P.º de la Estación, número 26, bajo, 39710 Solares, Cantabria</t>
  </si>
  <si>
    <t>Solares</t>
  </si>
  <si>
    <t>fontaneriafontcal.com</t>
  </si>
  <si>
    <t>942 52 30 28</t>
  </si>
  <si>
    <t>tecnico@fontaneriafontcal.com</t>
  </si>
  <si>
    <t>Aguas Expert</t>
  </si>
  <si>
    <t>Calle Gral. Dávila, 304, 39007 Santander, Cantabria</t>
  </si>
  <si>
    <t>aguasexpert.es</t>
  </si>
  <si>
    <t>942 10 87 42</t>
  </si>
  <si>
    <t>aguasexpert@hotmail.com</t>
  </si>
  <si>
    <t>Briccal, S.L.</t>
  </si>
  <si>
    <t>Poligono Industrial La Cerrada s/n, 39600 Camargo</t>
  </si>
  <si>
    <t>Camargo</t>
  </si>
  <si>
    <t>briccal.com</t>
  </si>
  <si>
    <t>942 26 20 21</t>
  </si>
  <si>
    <t>briccal@briccal.com</t>
  </si>
  <si>
    <t>TUCALDERAYA</t>
  </si>
  <si>
    <t>Alfoz de Lloredo</t>
  </si>
  <si>
    <t>tucalderaya.com</t>
  </si>
  <si>
    <t>600 27 17 31</t>
  </si>
  <si>
    <t>alexruizgomez1975@gmail.com</t>
  </si>
  <si>
    <t>Fontanería Azcona</t>
  </si>
  <si>
    <t>El Carmen, 23A, 39600 Revilla de Camargo, Cantabria</t>
  </si>
  <si>
    <t>azconafontaneria.es</t>
  </si>
  <si>
    <t>626 51 51 13</t>
  </si>
  <si>
    <t>AZCONAFONTANERIA@GMAIL.COM</t>
  </si>
  <si>
    <t>Calefacción y Fontanería Gómez Bravo S.L.</t>
  </si>
  <si>
    <t>Av. Ronda, 34, 34800 Aguilar de Campoo, Palencia</t>
  </si>
  <si>
    <t>Aguilar de Campoo</t>
  </si>
  <si>
    <t>Palencia</t>
  </si>
  <si>
    <t>gomezbravoaguilar.es</t>
  </si>
  <si>
    <t>979 12 32 18</t>
  </si>
  <si>
    <t>cyfgomezbravo@gmail.com</t>
  </si>
  <si>
    <t>DENA FONTANERIA Y DESATASCOS, S.L.</t>
  </si>
  <si>
    <t>Luchana Mining Kalea, 4, 2b, 48903 Barakaldo, Bizkaia</t>
  </si>
  <si>
    <t>Baracaldo</t>
  </si>
  <si>
    <t>Bizkaia</t>
  </si>
  <si>
    <t>denafontaneriaydesatascos.es</t>
  </si>
  <si>
    <t>626 71 95 41</t>
  </si>
  <si>
    <t>gpodena@gmail.com</t>
  </si>
  <si>
    <t>Fontaneria Ollaretxe</t>
  </si>
  <si>
    <t>Eleizalde Kalea, 6, 48600 Sopela, Bizkaia</t>
  </si>
  <si>
    <t>Sopelana</t>
  </si>
  <si>
    <t>fontaneriaollaretxe.com</t>
  </si>
  <si>
    <t>946 76 53 55</t>
  </si>
  <si>
    <t>ollaretxesopelana@hotmail.com</t>
  </si>
  <si>
    <t>Fontanería Anadón</t>
  </si>
  <si>
    <t>Labayru Kalea, 37, 48012 Bilbo, Bizkaia</t>
  </si>
  <si>
    <t>Bilbao</t>
  </si>
  <si>
    <t>fontaneriaanadonbilbao.es</t>
  </si>
  <si>
    <t>944 22 38 98</t>
  </si>
  <si>
    <t>fontaneriaanadon@gmail.com</t>
  </si>
  <si>
    <t>Fontanería y Calefacción Cemar</t>
  </si>
  <si>
    <t>Calle Ignacio Monturiol, 12, 02005 Albacete</t>
  </si>
  <si>
    <t>Albacete</t>
  </si>
  <si>
    <t>fontaneriacemar.es</t>
  </si>
  <si>
    <t>967 52 29 66</t>
  </si>
  <si>
    <t>cemar@fontaneriacemar.es</t>
  </si>
  <si>
    <t>Fontaneria Escudero</t>
  </si>
  <si>
    <t>Calle Joaquín Quijada, 27, LOCAL, 02004 Albacete</t>
  </si>
  <si>
    <t>fontaneriaescudero.es</t>
  </si>
  <si>
    <t>687 72 82 22</t>
  </si>
  <si>
    <t>alonso_jea@hotmail.com</t>
  </si>
  <si>
    <t>Comercial del Instalador</t>
  </si>
  <si>
    <t>Calle Autovia, 23, 02007 Albacete</t>
  </si>
  <si>
    <t>comercialdelinstalador.com</t>
  </si>
  <si>
    <t>967 52 43 16</t>
  </si>
  <si>
    <t>cv@comercialdelinstalador.com</t>
  </si>
  <si>
    <t>Desatascos Alarcon</t>
  </si>
  <si>
    <t>Paseo Circunvalación, 71, 3º D, 02004 Albacete</t>
  </si>
  <si>
    <t>alarconlimpiezas.es</t>
  </si>
  <si>
    <t>676 13 18 54</t>
  </si>
  <si>
    <t>limp.alarcon@gmail.com</t>
  </si>
  <si>
    <t>Hidroman</t>
  </si>
  <si>
    <t>Calle Lérida, 48, 02006 Albacete</t>
  </si>
  <si>
    <t>hidromanalba.es</t>
  </si>
  <si>
    <t>627 55 20 18</t>
  </si>
  <si>
    <t>hidroman@hidromanalba.es</t>
  </si>
  <si>
    <t>Germán Baños</t>
  </si>
  <si>
    <t>Av. 4ª, 25, 02007 Albacete</t>
  </si>
  <si>
    <t>germanbanos.es</t>
  </si>
  <si>
    <t>967 21 05 15</t>
  </si>
  <si>
    <t>germanbanos@hotmail.com</t>
  </si>
  <si>
    <t>Fontaneria Albacete - Antonio Ruescas</t>
  </si>
  <si>
    <t>C/ Honda, 4, 02049 Aguas Nuevas, Albacete</t>
  </si>
  <si>
    <t>Abengibre</t>
  </si>
  <si>
    <t>fontaneriaalbacete.es</t>
  </si>
  <si>
    <t>670 26 96 60</t>
  </si>
  <si>
    <t>tecnico@fontaneriaalbacete.es</t>
  </si>
  <si>
    <t>Fontaneria Roma</t>
  </si>
  <si>
    <t>Calle Madrid, 1, 13004 Ciudad Real, Cdad. Real</t>
  </si>
  <si>
    <t>Ciudad Real</t>
  </si>
  <si>
    <t>Cdad. Real</t>
  </si>
  <si>
    <t>fontaneriaromaciudadreal.com</t>
  </si>
  <si>
    <t>630 97 69 92</t>
  </si>
  <si>
    <t>anromago@hotmail.com</t>
  </si>
  <si>
    <t>Saneamientos Jiménez</t>
  </si>
  <si>
    <t>Calle Matadero, 11, 13200 Manzanares, Cdad. Real</t>
  </si>
  <si>
    <t>Manzanares</t>
  </si>
  <si>
    <t>saneamientosjimenez.es</t>
  </si>
  <si>
    <t>926 61 18 41</t>
  </si>
  <si>
    <t>ignaciojimenezleon@gmail.com</t>
  </si>
  <si>
    <t>Instalaciones Y Mantenimientos Foncair S.L.</t>
  </si>
  <si>
    <t>Parc 145, Calle Caleros, 13250, Cdad. Real</t>
  </si>
  <si>
    <t>Daimiel</t>
  </si>
  <si>
    <t>foncair.com</t>
  </si>
  <si>
    <t>926 85 29 42</t>
  </si>
  <si>
    <t>foncair@foncair.com</t>
  </si>
  <si>
    <t>Hidrofil</t>
  </si>
  <si>
    <t>Calle Buensuceso, 56, 13300 Valdepeñas, Cdad. Real</t>
  </si>
  <si>
    <t>Valdepeñas</t>
  </si>
  <si>
    <t>hidrofil.com</t>
  </si>
  <si>
    <t>926 32 14 56</t>
  </si>
  <si>
    <t>hidrofil@hidrofil.com</t>
  </si>
  <si>
    <t>Baños Atrios</t>
  </si>
  <si>
    <t>Calle Prado, 1, 13260 Bolaños de Calatrava, Cdad. Real</t>
  </si>
  <si>
    <t>Bolaños de Calatrava</t>
  </si>
  <si>
    <t>euro-bb.com</t>
  </si>
  <si>
    <t>635 49 04 11</t>
  </si>
  <si>
    <t>atrios@euro-bb.com</t>
  </si>
  <si>
    <t>Instalaciones Donado</t>
  </si>
  <si>
    <t>Calle Pellejo, 36, 13300 Valdepeñas, Cdad. Real</t>
  </si>
  <si>
    <t>instalacionesdonado.com</t>
  </si>
  <si>
    <t>926 32 49 94</t>
  </si>
  <si>
    <t>inst.donado@gmail.com</t>
  </si>
  <si>
    <t>Desatasco crumo</t>
  </si>
  <si>
    <t>17 2d, Calle Mercedes Escribano, 16003 Cuenca</t>
  </si>
  <si>
    <t>Cuenca</t>
  </si>
  <si>
    <t>desatascoscrumo.es</t>
  </si>
  <si>
    <t>622 63 83 09</t>
  </si>
  <si>
    <t>desatascoscrumo@hotmail.com</t>
  </si>
  <si>
    <t>FONTANERÍA Y SERVICIOS MARIO</t>
  </si>
  <si>
    <t>Abia de la Obispalía</t>
  </si>
  <si>
    <t>fontaneromadridguadalajara.es</t>
  </si>
  <si>
    <t>642 91 16 91</t>
  </si>
  <si>
    <t>mariusadryan.01@gmail.com</t>
  </si>
  <si>
    <t>Francisco Garrido, Fontanería Calefacción y Aire acondicionado</t>
  </si>
  <si>
    <t>Calle Administración, 19, 16260 Minglanilla, Cuenca</t>
  </si>
  <si>
    <t>Minglanilla</t>
  </si>
  <si>
    <t>franciscogarrido.es</t>
  </si>
  <si>
    <t>605 12 31 85</t>
  </si>
  <si>
    <t>correo@franciscogarrido.es</t>
  </si>
  <si>
    <t>Plomex Assistance, S.L.</t>
  </si>
  <si>
    <t>plomexassistance.es</t>
  </si>
  <si>
    <t>687 35 56 94</t>
  </si>
  <si>
    <t>leogonzalez.instalaciones@gmail.com</t>
  </si>
  <si>
    <t>Fontanería Gasanz Sl</t>
  </si>
  <si>
    <t>gasanz.es</t>
  </si>
  <si>
    <t>914 71 21 28</t>
  </si>
  <si>
    <t>jorge@gasanz.es</t>
  </si>
  <si>
    <t>Reparación de tuberías sin obra - Bajant Rapid</t>
  </si>
  <si>
    <t>Abánades</t>
  </si>
  <si>
    <t>bajantrapid.es</t>
  </si>
  <si>
    <t>669 84 82 24</t>
  </si>
  <si>
    <t>david@bajantrapid.es</t>
  </si>
  <si>
    <t>DESATASCOS GUADALAJARA DESPOCAM</t>
  </si>
  <si>
    <t>Calle Cañada, 19162 Pioz, Guadalajara</t>
  </si>
  <si>
    <t>Pioz</t>
  </si>
  <si>
    <t>Guadalajara</t>
  </si>
  <si>
    <t>despocam.com</t>
  </si>
  <si>
    <t>652 84 31 85</t>
  </si>
  <si>
    <t>despocam@despocam.com</t>
  </si>
  <si>
    <t>Serproman</t>
  </si>
  <si>
    <t>Ronda Buenavista, 39, 45005 Toledo</t>
  </si>
  <si>
    <t>Toledo</t>
  </si>
  <si>
    <t>serproman.es</t>
  </si>
  <si>
    <t>925 22 99 96</t>
  </si>
  <si>
    <t>serproman@serproman.es</t>
  </si>
  <si>
    <t>Instalaciones Loarce</t>
  </si>
  <si>
    <t>Calle Sancho Panza, 1 NAVE, 45007 Toledo</t>
  </si>
  <si>
    <t>instalacionesloarce.com</t>
  </si>
  <si>
    <t>925 24 06 15</t>
  </si>
  <si>
    <t>instaloarce.sl@gmail.com</t>
  </si>
  <si>
    <t>Prasanz - Reparaciones y reformas del hogar</t>
  </si>
  <si>
    <t>Calle Garcilaso de la Vega, 1, 45200 Illescas, Toledo</t>
  </si>
  <si>
    <t>Illescas</t>
  </si>
  <si>
    <t>prasanzcb.es</t>
  </si>
  <si>
    <t>650 26 97 87</t>
  </si>
  <si>
    <t>prasanzcb@prasanzcb.es</t>
  </si>
  <si>
    <t>Fontaneros Fomilla</t>
  </si>
  <si>
    <t>Plaza Gallo, 14, 45215 El Viso de San Juan, Toledo</t>
  </si>
  <si>
    <t>El Viso de San Juan</t>
  </si>
  <si>
    <t>fontanerosfomilla.com</t>
  </si>
  <si>
    <t>925 52 67 58</t>
  </si>
  <si>
    <t>fomilla@fontanerosfomilla.com</t>
  </si>
  <si>
    <t>Juan Angel de la Cruz Garcia-calvo</t>
  </si>
  <si>
    <t>Calle Real, 53, 45450 Orgaz, Toledo</t>
  </si>
  <si>
    <t>Orgaz</t>
  </si>
  <si>
    <t>juanangeldelacruz.com</t>
  </si>
  <si>
    <t>925 34 70 01</t>
  </si>
  <si>
    <t>instalaciones@juanangeldelacruz.com</t>
  </si>
  <si>
    <t>Saneamientos Ávila</t>
  </si>
  <si>
    <t>Paseo Ntra. Sra. de Sonsoles, 1, 05002 Ávila</t>
  </si>
  <si>
    <t>Ávila</t>
  </si>
  <si>
    <t>saneamientosavila.es</t>
  </si>
  <si>
    <t>920 22 01 82</t>
  </si>
  <si>
    <t>saneamientos@saneamientosavila.es</t>
  </si>
  <si>
    <t>Arzam Avila- Desatrancos, Inspección de Tuberías, Limpieza Fosas Septicas</t>
  </si>
  <si>
    <t>Calle las Damas, 10, 4º C, 05002 Ávila</t>
  </si>
  <si>
    <t>arzam.com</t>
  </si>
  <si>
    <t>902 11 13 00</t>
  </si>
  <si>
    <t>arzam@arzam.com</t>
  </si>
  <si>
    <t>Desatascos en Segovia y Ávila【URGENTES 24 HORAS】Pocerías Castilla</t>
  </si>
  <si>
    <t>Pol. Ind. Llanos de San Pedro 9, 40400 El Espinar, Segovia</t>
  </si>
  <si>
    <t>El Espinar</t>
  </si>
  <si>
    <t>Segovia</t>
  </si>
  <si>
    <t>poceriascastilla.com</t>
  </si>
  <si>
    <t>608 87 71 10</t>
  </si>
  <si>
    <t>poceriascastilla@hotmail.es</t>
  </si>
  <si>
    <t>Cyssa. José Antonio Benito Roncero</t>
  </si>
  <si>
    <t>Calle Jardineros, 2, 2º DCHA, 37006 Salamanca</t>
  </si>
  <si>
    <t>Salamanca</t>
  </si>
  <si>
    <t>fontaneriareformascyssa.com</t>
  </si>
  <si>
    <t>923 99 14 27</t>
  </si>
  <si>
    <t>cyssajb@gmail.com</t>
  </si>
  <si>
    <t>Atecal</t>
  </si>
  <si>
    <t>Calle San Miguel, 8, bajo, 09003 Burgos</t>
  </si>
  <si>
    <t>Burgos</t>
  </si>
  <si>
    <t>atecal.es</t>
  </si>
  <si>
    <t>947 25 74 14</t>
  </si>
  <si>
    <t>atecal@atecalsa.es</t>
  </si>
  <si>
    <t>Fontanería Jordi</t>
  </si>
  <si>
    <t>Plaza Castilla, 4, 09194 Cardeñadijo, Burgos</t>
  </si>
  <si>
    <t>Cardeñadijo</t>
  </si>
  <si>
    <t>fontaneriajordi.com</t>
  </si>
  <si>
    <t>679 46 18 43</t>
  </si>
  <si>
    <t>jorpapiol@hotmail.com</t>
  </si>
  <si>
    <t>Cromados Modernos</t>
  </si>
  <si>
    <t>Calle Vigasierra, 1, 09194 Cardeñadijo, Burgos</t>
  </si>
  <si>
    <t>cromados.com</t>
  </si>
  <si>
    <t>947 29 00 08</t>
  </si>
  <si>
    <t>cromados@cromados.com</t>
  </si>
  <si>
    <t>Prointorsa S.L</t>
  </si>
  <si>
    <t>Calle Santiago, 27, 09400 Aranda de Duero, Burgos</t>
  </si>
  <si>
    <t>Aranda de Duero</t>
  </si>
  <si>
    <t>prointorsa.com</t>
  </si>
  <si>
    <t>947 50 09 65</t>
  </si>
  <si>
    <t>prointorsa@prointorsa.com</t>
  </si>
  <si>
    <t>Rucai 24h Sl</t>
  </si>
  <si>
    <t>Calle Sta. Lucía, 32, 09200 Miranda de Ebro, Burgos</t>
  </si>
  <si>
    <t>Miranda de Ebro</t>
  </si>
  <si>
    <t>rucai24h.es</t>
  </si>
  <si>
    <t>947 34 15 15</t>
  </si>
  <si>
    <t>rucai24h@rucai24h.es</t>
  </si>
  <si>
    <t>Saneamientos Felper S L</t>
  </si>
  <si>
    <t>Calle Ramón y Cajal, 53, 09200 Miranda de Ebro, Burgos</t>
  </si>
  <si>
    <t>saneamientosyfontaneriafelper.com</t>
  </si>
  <si>
    <t>947 33 56 00</t>
  </si>
  <si>
    <t>sanefelper@hotmail.com</t>
  </si>
  <si>
    <t>Foncaba S.L. - Remica</t>
  </si>
  <si>
    <t>Calle Reyes Católicos, 20, 24007 León</t>
  </si>
  <si>
    <t>León</t>
  </si>
  <si>
    <t>foncaba.es</t>
  </si>
  <si>
    <t>987 87 63 63</t>
  </si>
  <si>
    <t>foncaba@foncaba.es</t>
  </si>
  <si>
    <t>Cerrajeros Fontaneros Electricistas Leon</t>
  </si>
  <si>
    <t>Paseo Salamanca, 37, 24010 León</t>
  </si>
  <si>
    <t>rapidtecnic.com</t>
  </si>
  <si>
    <t>631 05 03 67</t>
  </si>
  <si>
    <t>rapidtecnic@gmail.com</t>
  </si>
  <si>
    <t>Gordo Tamayo</t>
  </si>
  <si>
    <t>Calle Sinesio Delgado, 3, 34004 Palencia</t>
  </si>
  <si>
    <t>gordotamayo.es</t>
  </si>
  <si>
    <t>979 72 67 90</t>
  </si>
  <si>
    <t>gordotamayo@gordotamayo.es</t>
  </si>
  <si>
    <t>PROFONCAL,S.L.</t>
  </si>
  <si>
    <t>Calle Bélgica, Nave11, 34190 Villamuriel de Cerrato, Palencia</t>
  </si>
  <si>
    <t>Villamuriel de Cerrato</t>
  </si>
  <si>
    <t>profoncal.es</t>
  </si>
  <si>
    <t>979 77 65 26</t>
  </si>
  <si>
    <t>profoncal@profoncal.es</t>
  </si>
  <si>
    <t>Saneamientos Delicias, S.L.</t>
  </si>
  <si>
    <t>Calle Palencia, 12, 50015 Zaragoza</t>
  </si>
  <si>
    <t>saneamientosdelicias.com</t>
  </si>
  <si>
    <t>976 74 24 46</t>
  </si>
  <si>
    <t>saneamientosdelicias@saneamientosdelicias.com</t>
  </si>
  <si>
    <t>Intecal Desatascos</t>
  </si>
  <si>
    <t>Calle Méndez Núñez, 54, 37006 Salamanca</t>
  </si>
  <si>
    <t>desatascosintecal.com</t>
  </si>
  <si>
    <t>609 52 21 02</t>
  </si>
  <si>
    <t>intecal.elices@gmail.com</t>
  </si>
  <si>
    <t>Techisal</t>
  </si>
  <si>
    <t>Carretera de Valladolid 0 km177, 37184 Salamanca</t>
  </si>
  <si>
    <t>techisal.com</t>
  </si>
  <si>
    <t>923 25 90 12</t>
  </si>
  <si>
    <t>techisal@techisal.com</t>
  </si>
  <si>
    <t>Fontaneria Polofi SL</t>
  </si>
  <si>
    <t>Calle Alameda, 11, 40280 Navalmanzano, Segovia</t>
  </si>
  <si>
    <t>Navalmanzano</t>
  </si>
  <si>
    <t>fontaneriapolofi.es</t>
  </si>
  <si>
    <t>649 45 87 70</t>
  </si>
  <si>
    <t>fontaneriapolofi@hotmail.com</t>
  </si>
  <si>
    <t>Desatrancos, Obstrucciones y Óxidos</t>
  </si>
  <si>
    <t>Calle Dulcinea, 32, 28411 Moralzarzal, Madrid</t>
  </si>
  <si>
    <t>Moralzarzal</t>
  </si>
  <si>
    <t>Madrid</t>
  </si>
  <si>
    <t>desatrancos.net</t>
  </si>
  <si>
    <t>918 57 89 15</t>
  </si>
  <si>
    <t>desatrancos@desatrancos.net</t>
  </si>
  <si>
    <t>Instalaciones Isidro Heras</t>
  </si>
  <si>
    <t>P.I. Las Carretas, Nave 8, 42330 San Esteban de Gormaz, Soria</t>
  </si>
  <si>
    <t>San Esteban de Gormaz</t>
  </si>
  <si>
    <t>Soria</t>
  </si>
  <si>
    <t>isidro-heras.com</t>
  </si>
  <si>
    <t>975 35 03 74</t>
  </si>
  <si>
    <t>instalaciones@isidro-heras.com</t>
  </si>
  <si>
    <t>Clicafon</t>
  </si>
  <si>
    <t>Abejar</t>
  </si>
  <si>
    <t>clicafon.es</t>
  </si>
  <si>
    <t>669 38 46 68</t>
  </si>
  <si>
    <t>pedidos@clicafon.es</t>
  </si>
  <si>
    <t>Fontaneria Sin Obras - FSO Norte</t>
  </si>
  <si>
    <t>Calle Guirlanda, 7, 31521 Murchante, Navarra</t>
  </si>
  <si>
    <t>Murchante</t>
  </si>
  <si>
    <t>Navarra</t>
  </si>
  <si>
    <t>fsonorte.es</t>
  </si>
  <si>
    <t>685 84 78 44</t>
  </si>
  <si>
    <t>ruben@fontaneriasinobras.es</t>
  </si>
  <si>
    <t>Acovall</t>
  </si>
  <si>
    <t>Av. Madrid, 46, NAVE;5, 47008 Valladolid</t>
  </si>
  <si>
    <t>acovall.com</t>
  </si>
  <si>
    <t>983 66 04 37</t>
  </si>
  <si>
    <t>acovall@acovall.com</t>
  </si>
  <si>
    <t>J. Porro e Hijo S.L.</t>
  </si>
  <si>
    <t>Calle Plata, 63-65, nave 6, 47012 Valladolid</t>
  </si>
  <si>
    <t>jporroehijo.com</t>
  </si>
  <si>
    <t>983 47 71 69</t>
  </si>
  <si>
    <t>david@jporroehijo.com</t>
  </si>
  <si>
    <t>Saneamientos &amp;quot;La Merced&amp;quot; (Industrias R. Soto, C.B.)</t>
  </si>
  <si>
    <t>Calle Merced, 6, 47002 Valladolid</t>
  </si>
  <si>
    <t>sotosaneamientoslamerced.es</t>
  </si>
  <si>
    <t>983 29 48 90</t>
  </si>
  <si>
    <t>industriasr.soto@gmail.com</t>
  </si>
  <si>
    <t>Instalaciones Isla</t>
  </si>
  <si>
    <t>Calle Mercedes, 6, BAJO, 47006 Valladolid</t>
  </si>
  <si>
    <t>instalacionesisla.es</t>
  </si>
  <si>
    <t>983 33 33 90</t>
  </si>
  <si>
    <t>isla@instalacionesisla.es</t>
  </si>
  <si>
    <t>Sane-Riego S A</t>
  </si>
  <si>
    <t>Av. de Salamanca, 90, 92, 47197 Valladolid</t>
  </si>
  <si>
    <t>saneriego.com</t>
  </si>
  <si>
    <t>983 40 82 45</t>
  </si>
  <si>
    <t>saneriego@saneriego.com</t>
  </si>
  <si>
    <t>Tudecal Multiservicios C B</t>
  </si>
  <si>
    <t>Av. de Valladolid, 163, 47320 Tudela de Duero, Valladolid</t>
  </si>
  <si>
    <t>Tudela de Duero</t>
  </si>
  <si>
    <t>tudecal.com</t>
  </si>
  <si>
    <t>983 52 03 14</t>
  </si>
  <si>
    <t>lafontaneria@tudecal.com</t>
  </si>
  <si>
    <t>Fontygas</t>
  </si>
  <si>
    <t>47011 Valladolid</t>
  </si>
  <si>
    <t>fontygas.ueniweb.com</t>
  </si>
  <si>
    <t>698 91 98 58</t>
  </si>
  <si>
    <t>fontygas2000@gmail.com</t>
  </si>
  <si>
    <t>Fontanería- Calefacción Díez Serna S.L.</t>
  </si>
  <si>
    <t>Carretera Matilla, 2, 47100 Tordesillas, Valladolid</t>
  </si>
  <si>
    <t>Tordesillas</t>
  </si>
  <si>
    <t>diezserna.es</t>
  </si>
  <si>
    <t>983 77 13 59</t>
  </si>
  <si>
    <t>diezserna@gmail.com</t>
  </si>
  <si>
    <t>Medifoncal. S.COOP.LTDA</t>
  </si>
  <si>
    <t>Calle Ronda de Gracia, 27, 47400 Medina del Campo, Valladolid</t>
  </si>
  <si>
    <t>Medina del Campo</t>
  </si>
  <si>
    <t>medifoncal.es</t>
  </si>
  <si>
    <t>983 81 13 70</t>
  </si>
  <si>
    <t>medifoncal@gmail.com</t>
  </si>
  <si>
    <t>Fontanería Villarroel</t>
  </si>
  <si>
    <t>Calle de Sta. Catalina de Roncesvalles, 27, 49800 Toro, Zamora</t>
  </si>
  <si>
    <t>Toro</t>
  </si>
  <si>
    <t>Zamora</t>
  </si>
  <si>
    <t>fontaneria-villarroel.es</t>
  </si>
  <si>
    <t>980 69 02 63</t>
  </si>
  <si>
    <t>fontvillarroel@hotmail.com</t>
  </si>
  <si>
    <t>Asisfonca S.L.</t>
  </si>
  <si>
    <t>Calle Camino de Santiago, 36, 49600 Benavente, Zamora</t>
  </si>
  <si>
    <t>Benavente</t>
  </si>
  <si>
    <t>asisfonca.com</t>
  </si>
  <si>
    <t>980 63 34 88</t>
  </si>
  <si>
    <t>ismael@asisfonca.com</t>
  </si>
  <si>
    <t>Detectafugas Benavente</t>
  </si>
  <si>
    <t>Abezames</t>
  </si>
  <si>
    <t>detectafugasbenavente.com</t>
  </si>
  <si>
    <t>619 43 63 14</t>
  </si>
  <si>
    <t>jamataran@gmail.com</t>
  </si>
  <si>
    <t>FONTANERIA GETXO</t>
  </si>
  <si>
    <t>Polígono Industrial Errotatxu Ind., 48993 Getxo, Bizkaia</t>
  </si>
  <si>
    <t>Guecho</t>
  </si>
  <si>
    <t>fontaneriagetxoteknik.com</t>
  </si>
  <si>
    <t>648 63 35 21</t>
  </si>
  <si>
    <t>getxoteknik@Gmail.COM</t>
  </si>
  <si>
    <t>Desatascos Polmar - Barcelona</t>
  </si>
  <si>
    <t>Llull, 229 - 231 Esc B entresuelo 2ª, 08005 Barcelona</t>
  </si>
  <si>
    <t>Barcelona</t>
  </si>
  <si>
    <t>desatascospolmar.com</t>
  </si>
  <si>
    <t>635 85 52 98</t>
  </si>
  <si>
    <t>desatascospolmar@gmail.com</t>
  </si>
  <si>
    <t>Fontgas Vilamarí</t>
  </si>
  <si>
    <t>Carrer de Vilamarí, 32, 08015 Barcelona</t>
  </si>
  <si>
    <t>fontgas.com</t>
  </si>
  <si>
    <t>933 27 88 22</t>
  </si>
  <si>
    <t>fontgas@fontgas.com</t>
  </si>
  <si>
    <t>Desatascos Mesknet - Barcelona</t>
  </si>
  <si>
    <t>Carrer de Sant Eusebi, 40, 08006 Barcelona</t>
  </si>
  <si>
    <t>mesknet.es</t>
  </si>
  <si>
    <t>930 07 37 59</t>
  </si>
  <si>
    <t>jordi.martinez@mesknet.es</t>
  </si>
  <si>
    <t>IXOS Conmasa Barcelona</t>
  </si>
  <si>
    <t>Carrer de Viladomat, 112, 08015 Barcelona</t>
  </si>
  <si>
    <t>ixos.pro</t>
  </si>
  <si>
    <t>934 54 49 09</t>
  </si>
  <si>
    <t>ixos@ixos.pro</t>
  </si>
  <si>
    <t>Jaume Argerich Roca</t>
  </si>
  <si>
    <t>Carrer de la Princesa, 45, 08003 Barcelona</t>
  </si>
  <si>
    <t>jaume.dudaone.com</t>
  </si>
  <si>
    <t>933 19 88 01</t>
  </si>
  <si>
    <t>argerichjaume@gmail.com</t>
  </si>
  <si>
    <t>MARO</t>
  </si>
  <si>
    <t>Carrer de Casanova, 268, 08021 Barcelona</t>
  </si>
  <si>
    <t>maro.dudaone.com</t>
  </si>
  <si>
    <t>932 09 45 47</t>
  </si>
  <si>
    <t>maroscp@hotmail.com</t>
  </si>
  <si>
    <t>SCM Instalaciones de fontanería, gas y electricidad.</t>
  </si>
  <si>
    <t>C. de Pi i Margall, 9-11, 1º 2ª, 08912 Badalona, Barcelona</t>
  </si>
  <si>
    <t>Badalona</t>
  </si>
  <si>
    <t>scminstalaciones.webnode.es</t>
  </si>
  <si>
    <t>675 69 43 02</t>
  </si>
  <si>
    <t>sergiocone76@gmail.com</t>
  </si>
  <si>
    <t>Sugin</t>
  </si>
  <si>
    <t>Carrer de Milà i Fontanals, 31, 08191 Rubí, Barcelona</t>
  </si>
  <si>
    <t>Rubí</t>
  </si>
  <si>
    <t>sugin.es</t>
  </si>
  <si>
    <t>935 88 42 22</t>
  </si>
  <si>
    <t>suginrubi@hotmail.com</t>
  </si>
  <si>
    <t>MAFONSA</t>
  </si>
  <si>
    <t>Carrer de Santa Coloma, 82, 17005 Girona</t>
  </si>
  <si>
    <t>Gerona</t>
  </si>
  <si>
    <t>Girona</t>
  </si>
  <si>
    <t>mafonsa.cat</t>
  </si>
  <si>
    <t>972 24 64 11</t>
  </si>
  <si>
    <t>mafonsa@mafonsa.cat</t>
  </si>
  <si>
    <t>Rabassedas Surós</t>
  </si>
  <si>
    <t>Carrer del Molí, 64, 17244 Cassà de la Selva, Girona</t>
  </si>
  <si>
    <t>Cassà de la Selva</t>
  </si>
  <si>
    <t>rabassedassuros.com</t>
  </si>
  <si>
    <t>972 46 02 56</t>
  </si>
  <si>
    <t>rabassedassuros@gmail.com</t>
  </si>
  <si>
    <t>J R Ribas Electricitat S L</t>
  </si>
  <si>
    <t>Carretera de Juià, 57, 59, 17460 Celrà, Girona</t>
  </si>
  <si>
    <t>Celrà</t>
  </si>
  <si>
    <t>ribasgrup.com</t>
  </si>
  <si>
    <t>972 49 11 05</t>
  </si>
  <si>
    <t>ribasgrup@ribasgrup.com</t>
  </si>
  <si>
    <t>Instal•lacions Laporta</t>
  </si>
  <si>
    <t>Av. de Juli Garreta, 16, 17220 Sant Feliu de Guíxols, Girona</t>
  </si>
  <si>
    <t>Sant Feliu de Guíxols</t>
  </si>
  <si>
    <t>instalaporta.com</t>
  </si>
  <si>
    <t>611 63 29 29</t>
  </si>
  <si>
    <t>instalaporta@gmail.com</t>
  </si>
  <si>
    <t>Conmasa Porqueres</t>
  </si>
  <si>
    <t>Carrer Mare de Déu del Mont, 1, 17834 Mata, Girona</t>
  </si>
  <si>
    <t>Mata</t>
  </si>
  <si>
    <t>conmasa.cat</t>
  </si>
  <si>
    <t>972 57 17 29</t>
  </si>
  <si>
    <t>conmasa@conmasa.cat</t>
  </si>
  <si>
    <t>Fontanería Didac</t>
  </si>
  <si>
    <t>Carrer de Pere de Cavassèquia, 28, 25005 Lleida</t>
  </si>
  <si>
    <t>Lérida</t>
  </si>
  <si>
    <t>Lleida</t>
  </si>
  <si>
    <t>fontaneria-didac.es</t>
  </si>
  <si>
    <t>637 19 81 86</t>
  </si>
  <si>
    <t>fondidac@gmail.com</t>
  </si>
  <si>
    <t>ILERTUB boixeral</t>
  </si>
  <si>
    <t>Av. de Madrid, 19, 25002 Lleida</t>
  </si>
  <si>
    <t>ilertub.es</t>
  </si>
  <si>
    <t>973 28 97 90</t>
  </si>
  <si>
    <t>ilertub@ilertub.es</t>
  </si>
  <si>
    <t>fontelec</t>
  </si>
  <si>
    <t>C/ la Bassa, 25221 Els Alamús, Lleida</t>
  </si>
  <si>
    <t>Els Alamús</t>
  </si>
  <si>
    <t>fontelec.cat</t>
  </si>
  <si>
    <t>650 16 99 15</t>
  </si>
  <si>
    <t>fontelec@hotmail.es</t>
  </si>
  <si>
    <t>SIRHSA</t>
  </si>
  <si>
    <t>Carrer del Sofre, 11, 7A, 7B, 43006 Tarragona</t>
  </si>
  <si>
    <t>Tarragona</t>
  </si>
  <si>
    <t>sirhsa.com</t>
  </si>
  <si>
    <t>977 55 14 56</t>
  </si>
  <si>
    <t>sirhsa@sirhsa.com</t>
  </si>
  <si>
    <t>Roig tratamientos de agua s.l.</t>
  </si>
  <si>
    <t>Avinguda de Ramón y Cajal, 34, 43001 Tarragona</t>
  </si>
  <si>
    <t>aguasroig.com</t>
  </si>
  <si>
    <t>657 99 72 73</t>
  </si>
  <si>
    <t>aguasroig@gmail.com</t>
  </si>
  <si>
    <t>Fontaneria Fonzal</t>
  </si>
  <si>
    <t>Aiguamúrcia</t>
  </si>
  <si>
    <t>fontaneria-tarragona-fonzal.es</t>
  </si>
  <si>
    <t>622 67 06 21</t>
  </si>
  <si>
    <t>rubenfonzal@gmail.com</t>
  </si>
  <si>
    <t>Fontaneria Alicante</t>
  </si>
  <si>
    <t>Calle Cdad. de Bari, 5, 03010 Alicante</t>
  </si>
  <si>
    <t>Alicante (Alacant)</t>
  </si>
  <si>
    <t>Alicante</t>
  </si>
  <si>
    <t>fontalicante.com</t>
  </si>
  <si>
    <t>965 25 54 47</t>
  </si>
  <si>
    <t>alicantefontaneria@gmail.com</t>
  </si>
  <si>
    <t>Saniagua S.L. (Almacén Alicante)</t>
  </si>
  <si>
    <t>Calle Claudio Coello, 1, 03010 Alicante</t>
  </si>
  <si>
    <t>saniagua.com</t>
  </si>
  <si>
    <t>965 25 37 11</t>
  </si>
  <si>
    <t>alicante@saniagua.com</t>
  </si>
  <si>
    <t>Fontalider, S.L.</t>
  </si>
  <si>
    <t>Calle Mariano Benlliure, 5, 03009 Alicante</t>
  </si>
  <si>
    <t>fontalider.com</t>
  </si>
  <si>
    <t>965 17 66 12</t>
  </si>
  <si>
    <t>alicante@fontalider.com</t>
  </si>
  <si>
    <t>Alicante-Fontanería Hnos Gómez</t>
  </si>
  <si>
    <t>Agost</t>
  </si>
  <si>
    <t>hnosgomezcb.com</t>
  </si>
  <si>
    <t>657 61 46 88</t>
  </si>
  <si>
    <t>hnosgomezcb@gmail.com</t>
  </si>
  <si>
    <t>MANTENIMIENTOS Y OBRAS Y ALBAÑILES = 24 HORAS S.L.R,</t>
  </si>
  <si>
    <t>C/ València, 58, 03012 COMUNIDAD, Alicante</t>
  </si>
  <si>
    <t>fontanero-alicante.net</t>
  </si>
  <si>
    <t>678 19 41 95</t>
  </si>
  <si>
    <t>iberica24horas@gmail.com</t>
  </si>
  <si>
    <t>Desatascos FRANCO.Desatascos en Alicante</t>
  </si>
  <si>
    <t>desatascosfranco.com</t>
  </si>
  <si>
    <t>657 51 85 69</t>
  </si>
  <si>
    <t>desatascosfranco@gmail.com</t>
  </si>
  <si>
    <t>Fontaneria A.M.</t>
  </si>
  <si>
    <t>Carrer Bono Guarner, 46, 03005 Alacant, Alicante</t>
  </si>
  <si>
    <t>amfontaneria.com</t>
  </si>
  <si>
    <t>633 68 65 98</t>
  </si>
  <si>
    <t>mestevez1408@gmail.com</t>
  </si>
  <si>
    <t>A. Martínez</t>
  </si>
  <si>
    <t>antoniomartinezfontaneria.com</t>
  </si>
  <si>
    <t>676 99 47 25</t>
  </si>
  <si>
    <t>antoniomartinez00@hotmail.es</t>
  </si>
  <si>
    <t>Fontanería Marco Más</t>
  </si>
  <si>
    <t>Carrer Juan Gosálbez López, 5, bajo, 03195 L&amp;apos;Altet, Alicante</t>
  </si>
  <si>
    <t>El Altet</t>
  </si>
  <si>
    <t>fontaneriamarcomas.com</t>
  </si>
  <si>
    <t>965 68 71 24</t>
  </si>
  <si>
    <t>josejaime@ieslaasuncion.org</t>
  </si>
  <si>
    <t>Fontaneros económicos FontGil, Instaladores de Calefacción</t>
  </si>
  <si>
    <t>C. Jaime Pomares Javaloyes, 25, 03202 Elx, Alicante</t>
  </si>
  <si>
    <t>Elche</t>
  </si>
  <si>
    <t>fontgil.es</t>
  </si>
  <si>
    <t>651 93 93 20</t>
  </si>
  <si>
    <t>javier@fontgil.es</t>
  </si>
  <si>
    <t>Fontaneria Fernandez Luna SL</t>
  </si>
  <si>
    <t>Carrer de Miraflor, 8, 03700 Dénia, Alicante</t>
  </si>
  <si>
    <t>Denia</t>
  </si>
  <si>
    <t>fernandezluna.com</t>
  </si>
  <si>
    <t>965 78 55 44</t>
  </si>
  <si>
    <t>correo@fernandezluna.com</t>
  </si>
  <si>
    <t>Comerfonsa</t>
  </si>
  <si>
    <t>Calle Costa Valencia, 19 Nave, Pol. Industrial Salinetas, 03610 Petrer, Alicante</t>
  </si>
  <si>
    <t>Petrer</t>
  </si>
  <si>
    <t>comerfonsa.net</t>
  </si>
  <si>
    <t>965 37 17 72</t>
  </si>
  <si>
    <t>admon@comerfonsa.net</t>
  </si>
  <si>
    <t>Fontanería Torrevieja Torrefon CB</t>
  </si>
  <si>
    <t>Calle Perpendicular Maldonado, 03181 Torrevieja</t>
  </si>
  <si>
    <t>Torrevieja</t>
  </si>
  <si>
    <t>torrefon.com</t>
  </si>
  <si>
    <t>676 05 51 96</t>
  </si>
  <si>
    <t>torrefon@gmail.com</t>
  </si>
  <si>
    <t>Fontanería Johnny Esteban S.L.</t>
  </si>
  <si>
    <t>Poligono Cotes Baixes, Polígon Cotes Baixes H, 31, 03804 Alcoi, Alicante</t>
  </si>
  <si>
    <t>Alcoy</t>
  </si>
  <si>
    <t>fontaneriajohnnyesteban.com</t>
  </si>
  <si>
    <t>965 52 11 01</t>
  </si>
  <si>
    <t>johnnyesteban@hotmail.com</t>
  </si>
  <si>
    <t>Fontanería Juan José Planchadell</t>
  </si>
  <si>
    <t>Carrer Vàzquez Mella, 55, 12006 Castelló de la Plana, Castelló</t>
  </si>
  <si>
    <t>Castellón de la Plana</t>
  </si>
  <si>
    <t>Castelló</t>
  </si>
  <si>
    <t>fontaneriaplanchadell.es</t>
  </si>
  <si>
    <t>659 27 98 17</t>
  </si>
  <si>
    <t>fontaneriaplanchadell@hotmail.es</t>
  </si>
  <si>
    <t>Fontanería Santiago Queral</t>
  </si>
  <si>
    <t>Carrer Serves de Jesús, 11, 12530 Borriana, Castelló</t>
  </si>
  <si>
    <t>Burriana</t>
  </si>
  <si>
    <t>fontaneriaburrianaqueral.com</t>
  </si>
  <si>
    <t>667 46 39 51</t>
  </si>
  <si>
    <t>fonsanque@gmail.com</t>
  </si>
  <si>
    <t>Frisuntec</t>
  </si>
  <si>
    <t>C/ RIBELLES COMINS Nº 47 BAJO, 12006 Castellón de la Plana, Castellón</t>
  </si>
  <si>
    <t>frisuntec.com</t>
  </si>
  <si>
    <t>964 06 56 16</t>
  </si>
  <si>
    <t>frisuntec@frisuntec.com</t>
  </si>
  <si>
    <t>Sumitay</t>
  </si>
  <si>
    <t>Carrer Illa de Menorca, nº1 - 3, 12600 la Vall d&amp;apos;Uixó, Castellón</t>
  </si>
  <si>
    <t>Vall de Uxó</t>
  </si>
  <si>
    <t>sumitay.com</t>
  </si>
  <si>
    <t>964 25 70 38</t>
  </si>
  <si>
    <t>suministros@taymon.com</t>
  </si>
  <si>
    <t>Fabián Fontanería</t>
  </si>
  <si>
    <t>Carrer Gamboa, 62, 12540 Vila-real, Castelló</t>
  </si>
  <si>
    <t>Villarreal</t>
  </si>
  <si>
    <t>fabianfontaneria.com</t>
  </si>
  <si>
    <t>605 27 98 28</t>
  </si>
  <si>
    <t>fabiantomas_9@hotmail.com</t>
  </si>
  <si>
    <t>FONTANEROS VALENCIA BARATOS-DTO 15%</t>
  </si>
  <si>
    <t>C/ de Guillem de Castro, 52, 46001 València, Valencia</t>
  </si>
  <si>
    <t>Valencia</t>
  </si>
  <si>
    <t>repara24.jimdofree.com</t>
  </si>
  <si>
    <t>678 08 82 32</t>
  </si>
  <si>
    <t>reparaciones.julian24h@gmail.com</t>
  </si>
  <si>
    <t>Fontanería Moltó</t>
  </si>
  <si>
    <t>Carrer de la Mare de Déu de la Cabeza, 54, 46014 València, Valencia</t>
  </si>
  <si>
    <t>fontaneriamolto.es</t>
  </si>
  <si>
    <t>609 64 06 64</t>
  </si>
  <si>
    <t>uno@uno.es</t>
  </si>
  <si>
    <t>Suministros Tucalfont, SL</t>
  </si>
  <si>
    <t>Av. dels Tamarindes, 35, 46015 València, Valencia</t>
  </si>
  <si>
    <t>tucalfont.com</t>
  </si>
  <si>
    <t>963 45 50 17</t>
  </si>
  <si>
    <t>tucalfont@tucalfont.com</t>
  </si>
  <si>
    <t>Talleres Marín Roig, S.L.</t>
  </si>
  <si>
    <t>Carrer del Botànic, 20, 46008 València, Valencia</t>
  </si>
  <si>
    <t>talleresmarin-roig.es</t>
  </si>
  <si>
    <t>963 92 11 39</t>
  </si>
  <si>
    <t>marin-roig@talleresmarin-roig.es</t>
  </si>
  <si>
    <t>Multiservicios Valencia</t>
  </si>
  <si>
    <t>Carrer del Riu Bidasoa, 22, 46019 València, Valencia</t>
  </si>
  <si>
    <t>multiserviciosvalencia.com</t>
  </si>
  <si>
    <t>633 95 55 41</t>
  </si>
  <si>
    <t>fon2@multiserviciosvalencia.com</t>
  </si>
  <si>
    <t>Fontival</t>
  </si>
  <si>
    <t>Avenida César Giorgeta, 39 Plaza Cruz del Cañamelar nº5 bajo izq ( Cabañal, 46007 Valencia</t>
  </si>
  <si>
    <t>fontival.com</t>
  </si>
  <si>
    <t>606 02 95 09</t>
  </si>
  <si>
    <t>sergio@fontival.com</t>
  </si>
  <si>
    <t>GBF Fontanería</t>
  </si>
  <si>
    <t>Ademuz</t>
  </si>
  <si>
    <t>gbf-fontaneria.negocio.site</t>
  </si>
  <si>
    <t>666 32 08 15</t>
  </si>
  <si>
    <t>gbfont2017@gmail.com</t>
  </si>
  <si>
    <t>Saneamientos La Ermita S.L.</t>
  </si>
  <si>
    <t>Carrer del Músic Mariano Puig Yago, 12, BAJO, 46900 Torrent, Valencia</t>
  </si>
  <si>
    <t>Torrente</t>
  </si>
  <si>
    <t>saneamientoslaermita.com</t>
  </si>
  <si>
    <t>961 57 08 52</t>
  </si>
  <si>
    <t>saneamientoermita@gmail.com</t>
  </si>
  <si>
    <t>Fontanería Salvador Martínez S.L.</t>
  </si>
  <si>
    <t>Avinguda la Rambleta, 37, 46470 Catarroja, Valencia</t>
  </si>
  <si>
    <t>Catarroja</t>
  </si>
  <si>
    <t>fontaneriasalvador.es</t>
  </si>
  <si>
    <t>961 26 28 93</t>
  </si>
  <si>
    <t>fonsalmar@gmail.com</t>
  </si>
  <si>
    <t>Fontaneria Y Calefaccion Marco Slu</t>
  </si>
  <si>
    <t>Av. Padre Carlos Ferris, 67, 46470 Albal, Valencia</t>
  </si>
  <si>
    <t>Albal</t>
  </si>
  <si>
    <t>fontaneriamarco.es</t>
  </si>
  <si>
    <t>697 43 74 79</t>
  </si>
  <si>
    <t>isaacmarkos@hotmail.com</t>
  </si>
  <si>
    <t>Fontaneros en Badajoz</t>
  </si>
  <si>
    <t>Calle Gómez de Tordolla, local 7, 5b, 06009 Badajoz</t>
  </si>
  <si>
    <t>Badajoz</t>
  </si>
  <si>
    <t>fontanerobadajoz.es</t>
  </si>
  <si>
    <t>634 24 94 72</t>
  </si>
  <si>
    <t>fontanerobadajoz2016@gmail.com</t>
  </si>
  <si>
    <t>Suministros Badajoz</t>
  </si>
  <si>
    <t>Portalegre, 10, BAJO-A, 06007 Badajoz</t>
  </si>
  <si>
    <t>suministrosbadajoz.com</t>
  </si>
  <si>
    <t>924 27 28 69</t>
  </si>
  <si>
    <t>suministrosbadajoz@gmail.com</t>
  </si>
  <si>
    <t>Fontanería Badajoz</t>
  </si>
  <si>
    <t>Av. Jose María Alcaraz y Alenda, 73, 06011 Badajoz</t>
  </si>
  <si>
    <t>fontaneriabadajoz.es</t>
  </si>
  <si>
    <t>924 26 17 35</t>
  </si>
  <si>
    <t>fontaneriabadajoz@hotmail.com</t>
  </si>
  <si>
    <t>Canalones Javier</t>
  </si>
  <si>
    <t>Calle, Av. Antonio Nevado González, 33 NAVE, 06007 Badajoz</t>
  </si>
  <si>
    <t>canalonesjavier.es</t>
  </si>
  <si>
    <t>671 39 61 25</t>
  </si>
  <si>
    <t>canalonesjavier@hotmail.com</t>
  </si>
  <si>
    <t>Instalaciones Vifonca</t>
  </si>
  <si>
    <t>Calle Adelardo Covarsí, 25, 06220 Villafranca de los Barros, Badajoz</t>
  </si>
  <si>
    <t>Villafranca de los Barros</t>
  </si>
  <si>
    <t>instalacionesvifonca.es</t>
  </si>
  <si>
    <t>615 84 70 52</t>
  </si>
  <si>
    <t>vifoncavillafranca@gmail.com</t>
  </si>
  <si>
    <t>Desanex</t>
  </si>
  <si>
    <t>Calle San Judas, 3, 06200 Almendralejo, Badajoz</t>
  </si>
  <si>
    <t>Almendralejo</t>
  </si>
  <si>
    <t>desanex.es</t>
  </si>
  <si>
    <t>924 66 20 27</t>
  </si>
  <si>
    <t>desanex.info@gmail.com</t>
  </si>
  <si>
    <t>Canalob</t>
  </si>
  <si>
    <t>Calle Candeleda, 34, 10004 Cáceres</t>
  </si>
  <si>
    <t>Cáceres</t>
  </si>
  <si>
    <t>canalob.com</t>
  </si>
  <si>
    <t>653 84 89 61</t>
  </si>
  <si>
    <t>canaloneslobo@gmail.com</t>
  </si>
  <si>
    <t>Fontaneria Perianes</t>
  </si>
  <si>
    <t>Calle Don Juan Pérez Rodríguez, 42, 10840 Moraleja, Cáceres</t>
  </si>
  <si>
    <t>Moraleja</t>
  </si>
  <si>
    <t>fontaneriaperianes.com</t>
  </si>
  <si>
    <t>630 10 62 38</t>
  </si>
  <si>
    <t>fontaneriaangelperianesc@gmail.com</t>
  </si>
  <si>
    <t>Fenisa Multiasistencias</t>
  </si>
  <si>
    <t>Calle Calvario, 10, 10370 Deleitosa, Cáceres</t>
  </si>
  <si>
    <t>Deleitosa</t>
  </si>
  <si>
    <t>fenisa.es</t>
  </si>
  <si>
    <t>686 61 89 87</t>
  </si>
  <si>
    <t>fenisa@fenisa.es</t>
  </si>
  <si>
    <t>Instalaciones Gómez Moreno - Empresa de desatascos en Talayuela, Cáceres</t>
  </si>
  <si>
    <t>Calle Francisco Pizarro, 62, 10310 Talayuela, Cáceres</t>
  </si>
  <si>
    <t>Talayuela</t>
  </si>
  <si>
    <t>desatascosgomezmoreno.com</t>
  </si>
  <si>
    <t>669 96 21 83</t>
  </si>
  <si>
    <t>gomez.moreno@hotmail.com</t>
  </si>
  <si>
    <t>Arias Nadela (Tolda de Castilla)</t>
  </si>
  <si>
    <t>N-VI, Km 498, 27002 Lugo</t>
  </si>
  <si>
    <t>Lugo</t>
  </si>
  <si>
    <t>ariasnadela.com</t>
  </si>
  <si>
    <t>982 22 12 54</t>
  </si>
  <si>
    <t>arias@ariasnadela.com</t>
  </si>
  <si>
    <t>Ferrecal, SA</t>
  </si>
  <si>
    <t>Avenida Benigno Rivera, 27297 Lugo</t>
  </si>
  <si>
    <t>ferrecal.com</t>
  </si>
  <si>
    <t>982 20 93 31</t>
  </si>
  <si>
    <t>ferrecal@ferrecal.com</t>
  </si>
  <si>
    <t>✅ Fycal | Fontanería, Calefacción, Climatización Lugo</t>
  </si>
  <si>
    <t>Polígono As Gándaras, E2, A2, 27003 Lugo</t>
  </si>
  <si>
    <t>fycal.com</t>
  </si>
  <si>
    <t>982 87 38 12</t>
  </si>
  <si>
    <t>tienda@fycal.com</t>
  </si>
  <si>
    <t>Chove Instalaciones</t>
  </si>
  <si>
    <t>Calle, Plaza Molinos de Arriba, 9, 27740 Mondoñedo, Lugo</t>
  </si>
  <si>
    <t>Mondoñedo</t>
  </si>
  <si>
    <t>desatascoschove.com</t>
  </si>
  <si>
    <t>982 50 72 37</t>
  </si>
  <si>
    <t>choveinstalaciones@gmail.com</t>
  </si>
  <si>
    <t>FFF Fontaneria</t>
  </si>
  <si>
    <t>de calde, N51, 27210 Santa Eufemia, Lugo</t>
  </si>
  <si>
    <t>Santa Eufemia</t>
  </si>
  <si>
    <t>fontaneriafff.es</t>
  </si>
  <si>
    <t>676 44 44 04</t>
  </si>
  <si>
    <t>danieldieguez_7@hotmail.com</t>
  </si>
  <si>
    <t>Instalaciones Del Valle</t>
  </si>
  <si>
    <t>Rúa Ourense, 83, 27400 Monforte de Lemos, Lugo</t>
  </si>
  <si>
    <t>Monforte de Lemos</t>
  </si>
  <si>
    <t>instalacionesdelvalle.com</t>
  </si>
  <si>
    <t>661 26 46 29</t>
  </si>
  <si>
    <t>delvallesl@hotmail.com</t>
  </si>
  <si>
    <t>Foncalgas</t>
  </si>
  <si>
    <t>Castiñeiro, 31, 15380 Oza dos Ríos, A Coruña</t>
  </si>
  <si>
    <t>Oza de los Ríos</t>
  </si>
  <si>
    <t>A Coruña</t>
  </si>
  <si>
    <t>foncalgas.net</t>
  </si>
  <si>
    <t>981 79 24 52</t>
  </si>
  <si>
    <t>foncalgas@foncalgas.net</t>
  </si>
  <si>
    <t>Desatascos y Fontaneria Rubén Taboada</t>
  </si>
  <si>
    <t>Rúa Alejandro Pedrosa, 93, BAJO, 32001 Ourense</t>
  </si>
  <si>
    <t>Orense</t>
  </si>
  <si>
    <t>Ourense</t>
  </si>
  <si>
    <t>desatascosenourense.com</t>
  </si>
  <si>
    <t>645 53 70 24</t>
  </si>
  <si>
    <t>taboadaruben@hotmail.com</t>
  </si>
  <si>
    <t>Alberto Luis Gómez</t>
  </si>
  <si>
    <t>Antonio Sáenz Díez, 2, 32003 Antonio Sáenz Díez, 2 - OURENSE, Province of Ourense</t>
  </si>
  <si>
    <t>Province of Ourense</t>
  </si>
  <si>
    <t>gomezansia.com</t>
  </si>
  <si>
    <t>630 97 00 76</t>
  </si>
  <si>
    <t>albertogomezansiasl@hotmail.com</t>
  </si>
  <si>
    <t>Instalaciones Gago</t>
  </si>
  <si>
    <t>San Cristobal, núm.100, 32611 San Cristovo, Province of Ourense</t>
  </si>
  <si>
    <t>San Cristóbal</t>
  </si>
  <si>
    <t>instalacionsgago.com</t>
  </si>
  <si>
    <t>626 90 43 70</t>
  </si>
  <si>
    <t>fontagago@gmail.com</t>
  </si>
  <si>
    <t>Fontaneros-Pontevedra</t>
  </si>
  <si>
    <t>Agolada</t>
  </si>
  <si>
    <t>fontaneros-vigo.com</t>
  </si>
  <si>
    <t>680 87 08 17</t>
  </si>
  <si>
    <t>fontanerosvigo24h@gmail.com</t>
  </si>
  <si>
    <t>ORSE</t>
  </si>
  <si>
    <t>Rúa Joaquín Costa, 23, 36001 Pontevedra</t>
  </si>
  <si>
    <t>Pontevedra</t>
  </si>
  <si>
    <t>orse.es</t>
  </si>
  <si>
    <t>986 85 68 57</t>
  </si>
  <si>
    <t>orse@orse.es</t>
  </si>
  <si>
    <t>FONGAPA C.B.</t>
  </si>
  <si>
    <t>fongapa.es</t>
  </si>
  <si>
    <t>630 50 69 20</t>
  </si>
  <si>
    <t>victor@fongapa.es</t>
  </si>
  <si>
    <t>Plus Control</t>
  </si>
  <si>
    <t>Rúa do Conde de Torrecedeira, 125, 36208 Vigo, Pontevedra</t>
  </si>
  <si>
    <t>Vigo</t>
  </si>
  <si>
    <t>pluscontrol.es</t>
  </si>
  <si>
    <t>886 09 84 72</t>
  </si>
  <si>
    <t>pluscontrol@pluscontrol.es</t>
  </si>
  <si>
    <t>FONTANERIA FERSO</t>
  </si>
  <si>
    <t>Rúa de Venezuela, 66, bajo, 36204 Vigo, Pontevedra</t>
  </si>
  <si>
    <t>fontaneriaferso.es</t>
  </si>
  <si>
    <t>986 41 11 18</t>
  </si>
  <si>
    <t>fontaneriaferso@gmail.com</t>
  </si>
  <si>
    <t>Miguel Regueira</t>
  </si>
  <si>
    <t>Av. Juan Carlos I, 27, 36620 Vilanova de Arousa, Pontevedra</t>
  </si>
  <si>
    <t>Villanueva de Arosa</t>
  </si>
  <si>
    <t>miguelregueira.com</t>
  </si>
  <si>
    <t>659 92 65 76</t>
  </si>
  <si>
    <t>miguelregueirasl@hotmail.com</t>
  </si>
  <si>
    <t>Cabrera Reparaciones</t>
  </si>
  <si>
    <t>Av. da Florida, 34, BAJO, 36210 Vigo, Pontevedra</t>
  </si>
  <si>
    <t>cabrerareparaciones.com</t>
  </si>
  <si>
    <t>986 20 40 54</t>
  </si>
  <si>
    <t>cabrerarep@hotmail.com</t>
  </si>
  <si>
    <t>Fontanería Casal</t>
  </si>
  <si>
    <t>Avenida Aeropuerto, 718, 36318 Vigo, Pontevedra</t>
  </si>
  <si>
    <t>casalsl.com</t>
  </si>
  <si>
    <t>986 48 70 29</t>
  </si>
  <si>
    <t>fontaneria@casalsl.com</t>
  </si>
  <si>
    <t>Fonca S L</t>
  </si>
  <si>
    <t>Rúa do Areal, 58, 60, 36201 Vigo, Pontevedra</t>
  </si>
  <si>
    <t>fonca.com</t>
  </si>
  <si>
    <t>986 22 51 81</t>
  </si>
  <si>
    <t>jdieguez@fonca.com</t>
  </si>
  <si>
    <t>DESATASCOS LOGROÑO, Fregaderas, Lavabos, Duchas, Bañeras, Comunidades de Vecinos. Solucionamos cualquier tipo de atasco. (24 horas) 696670004</t>
  </si>
  <si>
    <t>Calle Chile, 16, Bajo, 26005 Logroño, La Rioja</t>
  </si>
  <si>
    <t>Logroño</t>
  </si>
  <si>
    <t>La Rioja</t>
  </si>
  <si>
    <t>desatascosgrupojetcam.es</t>
  </si>
  <si>
    <t>696 67 00 04</t>
  </si>
  <si>
    <t>desatascosgrupojetcam@gmail.com</t>
  </si>
  <si>
    <t>Saneamientos San Juan S.L | Fontanería y instalaciones de gas</t>
  </si>
  <si>
    <t>Calle Velázquez, 22, 26500 Calahorra, La Rioja</t>
  </si>
  <si>
    <t>Calahorra</t>
  </si>
  <si>
    <t>saneamientossanjuan.com</t>
  </si>
  <si>
    <t>660 08 32 64</t>
  </si>
  <si>
    <t>edu@saneamientossanjuan.com</t>
  </si>
  <si>
    <t>HERMANOS MONTAÑA S.C.</t>
  </si>
  <si>
    <t>n°1 bajo, Av. César Augusto, 26500 Calahorra, La Rioja</t>
  </si>
  <si>
    <t>montainstalaciones.com</t>
  </si>
  <si>
    <t>678 41 78 30</t>
  </si>
  <si>
    <t>montainstalaciones@hotmail.com</t>
  </si>
  <si>
    <t>Fontanería Zúñiga</t>
  </si>
  <si>
    <t>Calle Zúñiga, 3, 31015 Pamplona, Navarra</t>
  </si>
  <si>
    <t>Pamplona</t>
  </si>
  <si>
    <t>fontaneropamplona.es</t>
  </si>
  <si>
    <t>609 22 55 21</t>
  </si>
  <si>
    <t>josejavier.jm@hotmail.com</t>
  </si>
  <si>
    <t>Técnicas de Agua Ulecia S.A. (TAUSA)</t>
  </si>
  <si>
    <t>Calle Circunde, 10, 26006 Logroño, La Rioja</t>
  </si>
  <si>
    <t>tausa.es</t>
  </si>
  <si>
    <t>941 23 58 00</t>
  </si>
  <si>
    <t>tausa@fer.es</t>
  </si>
  <si>
    <t>Fontanería Rubio, S.L.</t>
  </si>
  <si>
    <t>Carretera el Cortijo, km 3, parcela 3, 26005 Logroño, La Rioja</t>
  </si>
  <si>
    <t>fontaneriarubio.es</t>
  </si>
  <si>
    <t>941 22 27 13</t>
  </si>
  <si>
    <t>fontrubio16@gmail.com</t>
  </si>
  <si>
    <t>Fontanería Adolfo Aragón</t>
  </si>
  <si>
    <t>Calle Pasadera, 4, 26006 Logroño, La Rioja</t>
  </si>
  <si>
    <t>adolfoaragonfontaneria.com</t>
  </si>
  <si>
    <t>667 45 53 58</t>
  </si>
  <si>
    <t>fontaneria@adolfoaragonfontaneria.com</t>
  </si>
  <si>
    <t>Fontaneria Beisti</t>
  </si>
  <si>
    <t>Calle Ramón y Cajal, 38, 31560 Azagra, Navarra</t>
  </si>
  <si>
    <t>Azagra</t>
  </si>
  <si>
    <t>beisti.com</t>
  </si>
  <si>
    <t>628 15 42 94</t>
  </si>
  <si>
    <t>beisti@beisti.com</t>
  </si>
  <si>
    <t>Fontanería y Calefacción ESAN S.L</t>
  </si>
  <si>
    <t>Calle Z, 40, 31110 Esquíroz, Navarra</t>
  </si>
  <si>
    <t>Esquíroz</t>
  </si>
  <si>
    <t>fontesan.es</t>
  </si>
  <si>
    <t>948 36 80 45</t>
  </si>
  <si>
    <t>esan@fontesan.es</t>
  </si>
  <si>
    <t>Gómez Iturgintza Fontaneria</t>
  </si>
  <si>
    <t>San Prudentzio Kalea, 21, 20210 Lazkao, Gipuzkoa</t>
  </si>
  <si>
    <t>Lazcano</t>
  </si>
  <si>
    <t>Gipuzkoa</t>
  </si>
  <si>
    <t>gomeziturgintza.com</t>
  </si>
  <si>
    <t>943 16 16 87</t>
  </si>
  <si>
    <t>fontaneria@gomeziturgintza.com</t>
  </si>
  <si>
    <t>Pedro Ezquerro Fontanería y Calefacción</t>
  </si>
  <si>
    <t>Av. Numancia, 12, 26580 Arnedo, La Rioja</t>
  </si>
  <si>
    <t>Arnedo</t>
  </si>
  <si>
    <t>fontaneriaezquerro.com</t>
  </si>
  <si>
    <t>620 87 22 21</t>
  </si>
  <si>
    <t>pedro@fontaneriaezquerro.com</t>
  </si>
  <si>
    <t>Inyoma instalaciones</t>
  </si>
  <si>
    <t>Camino Solana, 2, 26142 Villamediana de Iregua, La Rioja</t>
  </si>
  <si>
    <t>Villamediana de Iregua</t>
  </si>
  <si>
    <t>inyoma.com</t>
  </si>
  <si>
    <t>699 29 14 97</t>
  </si>
  <si>
    <t>inyomainstalaciones@gmail.com</t>
  </si>
  <si>
    <t>Instalaciones Boro</t>
  </si>
  <si>
    <t>Oreitiasolo Kalea, 12, 01006 Gasteiz, Araba</t>
  </si>
  <si>
    <t>Vitoria-Gasteiz</t>
  </si>
  <si>
    <t>Araba</t>
  </si>
  <si>
    <t>boro.es</t>
  </si>
  <si>
    <t>945 00 16 49</t>
  </si>
  <si>
    <t>boro@boro.es</t>
  </si>
  <si>
    <t>Fontanería y Calefacción Puente S.L.</t>
  </si>
  <si>
    <t>Calle Cortes de Navarra, 3, 31100 Puente la Reina, Navarra</t>
  </si>
  <si>
    <t>Puente la Reina</t>
  </si>
  <si>
    <t>puentelareina.com</t>
  </si>
  <si>
    <t>948 34 11 69</t>
  </si>
  <si>
    <t>fontaneria@puentelareina.com</t>
  </si>
  <si>
    <t>aisa fontanería</t>
  </si>
  <si>
    <t>C. Andía, 9, 31200 Estella, Navarra</t>
  </si>
  <si>
    <t>Estella</t>
  </si>
  <si>
    <t>aisafontaneria.com</t>
  </si>
  <si>
    <t>696 57 43 36</t>
  </si>
  <si>
    <t>aisafontaneria@hotmail.com</t>
  </si>
  <si>
    <t>Fontanería Oxanea- Fontaneros en Pamplona</t>
  </si>
  <si>
    <t>Ábalos</t>
  </si>
  <si>
    <t>fontaneriaoxanea.es</t>
  </si>
  <si>
    <t>687 72 68 42</t>
  </si>
  <si>
    <t>fontaneriaoxanea@hotmail.com</t>
  </si>
  <si>
    <t>Fontanería José Prieto</t>
  </si>
  <si>
    <t>Calle de la Torrecilla del Leal, 2, LOCAL, 28012 Madrid</t>
  </si>
  <si>
    <t>fontanerosmadridcentro.es</t>
  </si>
  <si>
    <t>915 06 19 51</t>
  </si>
  <si>
    <t>presupuestos@fontanerosmadridcentro.es</t>
  </si>
  <si>
    <t>Fontanero Madrid Economico</t>
  </si>
  <si>
    <t>Calle Zaldívar, 4, 28037 Madrid</t>
  </si>
  <si>
    <t>fontanero-madrid.net</t>
  </si>
  <si>
    <t>658 33 79 98</t>
  </si>
  <si>
    <t>jimfonta24@gmail.com</t>
  </si>
  <si>
    <t>Fontaneros Lavapiés Madrid Averias</t>
  </si>
  <si>
    <t>C. de Buenavista, 41, 28012 Madrid</t>
  </si>
  <si>
    <t>reparacionmadrid.com</t>
  </si>
  <si>
    <t>661 38 00 81</t>
  </si>
  <si>
    <t>adm.madridaverias@gmail.com</t>
  </si>
  <si>
    <t>IBÉRICA DEL CALOR</t>
  </si>
  <si>
    <t>Calle de la Virgen de África, 20, 28027 Madrid</t>
  </si>
  <si>
    <t>ibericadelcalor.es</t>
  </si>
  <si>
    <t>914 03 92 69</t>
  </si>
  <si>
    <t>madrid@ibericadelcalor.com</t>
  </si>
  <si>
    <t>InstalaMadrid: Reparaciones e instalaciones de Calentadores de Agua en Madrid</t>
  </si>
  <si>
    <t>Calle San Anastasio, 2B, 1D, 28005 Madrid</t>
  </si>
  <si>
    <t>instalamadrid.com</t>
  </si>
  <si>
    <t>645 62 67 18</t>
  </si>
  <si>
    <t>instalamadrid@hotmail.com</t>
  </si>
  <si>
    <t>SAFOCAR fontanería, gas y reformas</t>
  </si>
  <si>
    <t>Calle de Ponferrada, 27, 28029 Madrid</t>
  </si>
  <si>
    <t>safocar.es</t>
  </si>
  <si>
    <t>917 30 23 19</t>
  </si>
  <si>
    <t>fontaneroeloy@gmail.com</t>
  </si>
  <si>
    <t>Fontanería Francisco Miguel Montoro Valero</t>
  </si>
  <si>
    <t>Calle de Orfila, 4, 28010 Madrid</t>
  </si>
  <si>
    <t>fontaneriamontorovalero.com</t>
  </si>
  <si>
    <t>913 19 18 96</t>
  </si>
  <si>
    <t>paco-montoro@hotmail.com</t>
  </si>
  <si>
    <t>Saneamientos Vallehermoso</t>
  </si>
  <si>
    <t>Calle de Lucio del Valle, 16, 28003 Madrid</t>
  </si>
  <si>
    <t>saneamientosvallehermoso.com</t>
  </si>
  <si>
    <t>915 33 22 87</t>
  </si>
  <si>
    <t>saneamientosvallehermoso@hotmail.com</t>
  </si>
  <si>
    <t>Alberto &amp;quot;el fontanero&amp;quot;</t>
  </si>
  <si>
    <t>Calle de la Presa, 47, 28830 San Fernando, Madrid</t>
  </si>
  <si>
    <t>San Fernando de Henares</t>
  </si>
  <si>
    <t>fontaneromadridalberto.com</t>
  </si>
  <si>
    <t>916 73 39 64</t>
  </si>
  <si>
    <t>barato@fontaneromadridalberto.com</t>
  </si>
  <si>
    <t>GYCE.SL. FONTANEROS Y REP.DEL HOGAR</t>
  </si>
  <si>
    <t>Calle de Bravo Murillo, 122, 113 Int, 28020 Madrid</t>
  </si>
  <si>
    <t>fontanero24horasurgencias.com</t>
  </si>
  <si>
    <t>616 06 94 06</t>
  </si>
  <si>
    <t>gisellahinostroza25@gmail.com</t>
  </si>
  <si>
    <t>FONTANERO MELILLA 24 HORAS</t>
  </si>
  <si>
    <t>Calle Antonio Zea, 11, G3, 52003 Melilla</t>
  </si>
  <si>
    <t>Melilla</t>
  </si>
  <si>
    <t>instaladoresmelilla.net</t>
  </si>
  <si>
    <t>620 32 90 76</t>
  </si>
  <si>
    <t>infomontajeselectricosgilbert@gmail.com</t>
  </si>
  <si>
    <t>Desatascos Murcia - Raymur</t>
  </si>
  <si>
    <t>Calle Gral. Martín de la Carrera, 4, 30011 Murcia</t>
  </si>
  <si>
    <t>Murcia</t>
  </si>
  <si>
    <t>desatascos-en-murcia.com</t>
  </si>
  <si>
    <t>697 55 86 16</t>
  </si>
  <si>
    <t>raymur@gmail.com</t>
  </si>
  <si>
    <t>Suministros Visur</t>
  </si>
  <si>
    <t>C. Orilla de la Vía, 105, 30011 Murcia</t>
  </si>
  <si>
    <t>suministrosvisur.com</t>
  </si>
  <si>
    <t>968 35 21 96</t>
  </si>
  <si>
    <t>visur@hotmail.com</t>
  </si>
  <si>
    <t>Gas traza en murcia</t>
  </si>
  <si>
    <t>Calle Musico Francisco Cebrian, N 3, 30009 Murcia</t>
  </si>
  <si>
    <t>grupossr.es</t>
  </si>
  <si>
    <t>675 44 76 22</t>
  </si>
  <si>
    <t>ssr.hogar@gmail.com</t>
  </si>
  <si>
    <t>Desatascos Murcia Desmur 24h económico</t>
  </si>
  <si>
    <t>Calle Alquibla, 16, 1a, 30152 Murcia</t>
  </si>
  <si>
    <t>desatascosdesmur.com</t>
  </si>
  <si>
    <t>643 19 07 04</t>
  </si>
  <si>
    <t>desmur19@gmail.com</t>
  </si>
  <si>
    <t>Instalfon 40</t>
  </si>
  <si>
    <t>Calle Nº 13, bajo, 30011 Murcia</t>
  </si>
  <si>
    <t>instalfon40.ueniweb.com</t>
  </si>
  <si>
    <t>631 29 58 68</t>
  </si>
  <si>
    <t>antoniomoralesmendez64@gmail.com</t>
  </si>
  <si>
    <t>Fontaneria Molina</t>
  </si>
  <si>
    <t>Calle Reyes Católicos, número 68, bajo, 30500 Molina de Segura, Murcia</t>
  </si>
  <si>
    <t>Molina de Segura</t>
  </si>
  <si>
    <t>fontaneriamolina.com</t>
  </si>
  <si>
    <t>615 76 50 88</t>
  </si>
  <si>
    <t>antonio@fontaneriamolina.com</t>
  </si>
  <si>
    <t>fontaneria roma</t>
  </si>
  <si>
    <t>Calle Río Nalón , número 2c, 30700 Torre-Pacheco, Murcia</t>
  </si>
  <si>
    <t>Torre-Pacheco</t>
  </si>
  <si>
    <t>fontaneria-robles.ueniweb.com</t>
  </si>
  <si>
    <t>646 71 03 41</t>
  </si>
  <si>
    <t>fontaneriaroma15@gmail.com</t>
  </si>
  <si>
    <t>FONTANERIA Makai 2007, SL. Empresa Registrada en Industria</t>
  </si>
  <si>
    <t>Makai&amp;quot; Playa Grande, AVENIDA DEL CASTELLAR N.:º1 - &amp;quot;V, 30860 Puerto de Mazarrón, Murcia</t>
  </si>
  <si>
    <t>Puerto de Mazarrón</t>
  </si>
  <si>
    <t>makai-2007-sl.negocio.site</t>
  </si>
  <si>
    <t>687 93 88 17</t>
  </si>
  <si>
    <t>makaipromociones@gmail.com</t>
  </si>
  <si>
    <t>aquamur</t>
  </si>
  <si>
    <t>Calle Joaquín Blume, 30430 Cehegín, Murcia</t>
  </si>
  <si>
    <t>Cehegín</t>
  </si>
  <si>
    <t>aquamur.com</t>
  </si>
  <si>
    <t>968 74 21 41</t>
  </si>
  <si>
    <t>aquamur@hotmail.com</t>
  </si>
  <si>
    <t>Andueza Muro</t>
  </si>
  <si>
    <t>Pol. Ind. Mutilva Baja, C. H, 14, 31192 Mutilva Baja, Navarra</t>
  </si>
  <si>
    <t>Mutilva Baja</t>
  </si>
  <si>
    <t>anduezamuro.es</t>
  </si>
  <si>
    <t>948 73 26 43</t>
  </si>
  <si>
    <t>manduezamuro@hotmail.com</t>
  </si>
  <si>
    <t>Fontanería Ezkerro</t>
  </si>
  <si>
    <t>Aizkorri Kalea, 77, 20018 Donostia, Gipuzkoa</t>
  </si>
  <si>
    <t>San Sebastián</t>
  </si>
  <si>
    <t>fontaneriaezkerro.com</t>
  </si>
  <si>
    <t>685 79 77 93</t>
  </si>
  <si>
    <t>fontaneriaezkerro@gmail.com</t>
  </si>
  <si>
    <t>Fontanero 24h Fontaneria Arias</t>
  </si>
  <si>
    <t>Abáigar</t>
  </si>
  <si>
    <t>fontaneriaarias.com</t>
  </si>
  <si>
    <t>657 67 87 20</t>
  </si>
  <si>
    <t>111txema@gmail.com</t>
  </si>
  <si>
    <t>Comercial Ipar</t>
  </si>
  <si>
    <t>Kalea, Txomin Egileor Kalea, 54, 48960 Kurtzea, Bizkaia</t>
  </si>
  <si>
    <t>Galdácano</t>
  </si>
  <si>
    <t>comercialipar.com</t>
  </si>
  <si>
    <t>944 57 60 47</t>
  </si>
  <si>
    <t>ipar@comercialipar.com</t>
  </si>
  <si>
    <t>Hidroclima Instalaciones</t>
  </si>
  <si>
    <t>Basoa Kalea, 9, 01012 Gasteiz, Araba</t>
  </si>
  <si>
    <t>hidroclima-instalaciones.com</t>
  </si>
  <si>
    <t>945 06 99 04</t>
  </si>
  <si>
    <t>hidroclima@hidroclima-instalaciones.com</t>
  </si>
  <si>
    <t>Fontanería Castro</t>
  </si>
  <si>
    <t>Elexondo Kalea, 24, 01470 Amurrio, Araba</t>
  </si>
  <si>
    <t>Amurrio</t>
  </si>
  <si>
    <t>fontaneriacastro.com</t>
  </si>
  <si>
    <t>676 02 33 93</t>
  </si>
  <si>
    <t>kaxyus@hotmail.com</t>
  </si>
  <si>
    <t>Raga Ibarrondo instalaciones, S.L.</t>
  </si>
  <si>
    <t>Jose Madinabeitia Kalea, 1, bajo, 01470 Amurrio, Araba</t>
  </si>
  <si>
    <t>ragaibarrondo.com</t>
  </si>
  <si>
    <t>945 30 37 35</t>
  </si>
  <si>
    <t>ragaibarrondo@gmail.com</t>
  </si>
  <si>
    <t>Fontanería Ledesma</t>
  </si>
  <si>
    <t>De Lasarte Plaza, 3, Bajo B, 20018 Donostia-San Sebastian, Gipuzkoa</t>
  </si>
  <si>
    <t>fontanerialedesma.com</t>
  </si>
  <si>
    <t>600 96 81 95</t>
  </si>
  <si>
    <t>fontanerialedesma@gmail.com</t>
  </si>
  <si>
    <t>Fontanería Teófilo</t>
  </si>
  <si>
    <t>Aitza Kalea, 1, 20800 Zarautz, Gipuzkoa</t>
  </si>
  <si>
    <t>Zarauz</t>
  </si>
  <si>
    <t>fonteo.info</t>
  </si>
  <si>
    <t>943 83 42 19</t>
  </si>
  <si>
    <t>FONTEO10@GMAIL.COM</t>
  </si>
  <si>
    <t>Instalaciones Palacios S.L</t>
  </si>
  <si>
    <t>Portutxo Kalea, 10, 20115 Astigarraga, Gipuzkoa</t>
  </si>
  <si>
    <t>Astigarraga</t>
  </si>
  <si>
    <t>instalacionespalacios.com</t>
  </si>
  <si>
    <t>943 55 24 38</t>
  </si>
  <si>
    <t>insta.palaciossl@gmail.com</t>
  </si>
  <si>
    <t>Fontabal</t>
  </si>
  <si>
    <t>Txapinene, Txapinene Kalea, N-3, 20017 Donostia-San Sebastian, Gipuzkoa</t>
  </si>
  <si>
    <t>fontabal.com</t>
  </si>
  <si>
    <t>605 71 62 86</t>
  </si>
  <si>
    <t>jmjfontabal@hotmail.com</t>
  </si>
  <si>
    <t>Fontanería Asier Iturgintza</t>
  </si>
  <si>
    <t>Foruen Kalea, 9, 20800 Zarautz, Gipuzkoa</t>
  </si>
  <si>
    <t>fontaneriaasier.com</t>
  </si>
  <si>
    <t>690 11 29 46</t>
  </si>
  <si>
    <t>belenasier1@gmail.com</t>
  </si>
  <si>
    <t>Fontanería Oria</t>
  </si>
  <si>
    <t>Euskal-Herria Kalea, 4, 20400 Ibarra, Gipuzkoa</t>
  </si>
  <si>
    <t>Ibarra</t>
  </si>
  <si>
    <t>fontaneriaoria.com</t>
  </si>
  <si>
    <t>943 67 32 89</t>
  </si>
  <si>
    <t>oria.ibarra@gmail.com</t>
  </si>
  <si>
    <t>Fontanería Aitor Errasti</t>
  </si>
  <si>
    <t>Azeri Kalea, 3, 20500 Arrasate, Gipuzkoa</t>
  </si>
  <si>
    <t>Arrasate</t>
  </si>
  <si>
    <t>fontaneriaaitorerrasti.es</t>
  </si>
  <si>
    <t>667 85 11 50</t>
  </si>
  <si>
    <t>fontaneriaaitor@gmail.com</t>
  </si>
  <si>
    <t>Fontanería Saner</t>
  </si>
  <si>
    <t>Caserio, Zelaikua Plaza, 20, 20530 Eskoriatza, Gipuzkoa</t>
  </si>
  <si>
    <t>Escoriaza</t>
  </si>
  <si>
    <t>fontaneriasaner.com</t>
  </si>
  <si>
    <t>605 71 66 92</t>
  </si>
  <si>
    <t>saner@instalacionessaner.com</t>
  </si>
  <si>
    <t>Fontanería Goiras</t>
  </si>
  <si>
    <t>Hipica Bidea, 8, 20014 Donostia, Gipuzkoa</t>
  </si>
  <si>
    <t>fontaneriagoiras.com</t>
  </si>
  <si>
    <t>943 46 81 09</t>
  </si>
  <si>
    <t>fontgoiras@hotmail.com</t>
  </si>
  <si>
    <t>Suministros Jon S L</t>
  </si>
  <si>
    <t>Polígono Industrial Talaia, 2, 20180 Arragua, Gipuzkoa</t>
  </si>
  <si>
    <t>Arragua</t>
  </si>
  <si>
    <t>grupojon.com</t>
  </si>
  <si>
    <t>943 49 40 13</t>
  </si>
  <si>
    <t>oiartzun@grupojon.com</t>
  </si>
  <si>
    <t>Fontanería Oyanguren</t>
  </si>
  <si>
    <t>Aranburuzabala Kalea, 15, 20540 Eskoriatza, Gipuzkoa</t>
  </si>
  <si>
    <t>oyanguren.com</t>
  </si>
  <si>
    <t>606 00 73 69</t>
  </si>
  <si>
    <t>fontaneria@oyanguren.com</t>
  </si>
  <si>
    <t>Fontanería Matiena S.L.</t>
  </si>
  <si>
    <t>Perulanda Kalea, 1, 48220 Traña-Matiena, Bizkaia</t>
  </si>
  <si>
    <t>Traña-Matiena</t>
  </si>
  <si>
    <t>fontaneriamatiena.es</t>
  </si>
  <si>
    <t>fmatiena@euskalnet.net</t>
  </si>
  <si>
    <t>Telegas fontaneria y gas</t>
  </si>
  <si>
    <t>Av. del Mediterráneo, 95, 04007 Almería</t>
  </si>
  <si>
    <t>950 15 12 25</t>
  </si>
  <si>
    <t>-</t>
  </si>
  <si>
    <t>Aquagas Almería S.L.</t>
  </si>
  <si>
    <t>Calle Juan Lirola, 34, 04004 Almería</t>
  </si>
  <si>
    <t>aquagasalmeria.es</t>
  </si>
  <si>
    <t>950 14 15 94</t>
  </si>
  <si>
    <t>info@aquagasalmeria.es</t>
  </si>
  <si>
    <t>Fontanero en Almería, Fontanería Ignacio González.</t>
  </si>
  <si>
    <t>Calle Pablo Ruiz Picasso, 20, 04005 Almería</t>
  </si>
  <si>
    <t>fontaneriaignaciogonzalez.es</t>
  </si>
  <si>
    <t>950 26 42 35</t>
  </si>
  <si>
    <t>info@fontaneriaignaciogonzalez.es</t>
  </si>
  <si>
    <t>Saneamientos José Gómez S.L.</t>
  </si>
  <si>
    <t>Av. Mare Nostrum, 41, 04009 Almería</t>
  </si>
  <si>
    <t>saneamientosjgomez.com</t>
  </si>
  <si>
    <t>950 22 23 99</t>
  </si>
  <si>
    <t>FONTANERÍA Y REFORMAS MIGUEL GARCÍA SERVIRAPID</t>
  </si>
  <si>
    <t>670 50 94 30</t>
  </si>
  <si>
    <t>Fontanería Eva Fontaneros</t>
  </si>
  <si>
    <t>Calle Acacia, 8, 04240 Almería</t>
  </si>
  <si>
    <t>fontaneriaevaaguaygas.com</t>
  </si>
  <si>
    <t>630 87 41 78</t>
  </si>
  <si>
    <t>a36b86319e6542838a534122c8870e3f@sentry.qdqmedia.com</t>
  </si>
  <si>
    <t>Fontanería Portocarrero</t>
  </si>
  <si>
    <t>Calle Rosa Felices, Nº 134, 1º A, 04006 Almería</t>
  </si>
  <si>
    <t>653 33 35 15</t>
  </si>
  <si>
    <t>Saneamientos Jose Gomez SL</t>
  </si>
  <si>
    <t>Calle Instinción, 2, 04006 Almería</t>
  </si>
  <si>
    <t>950 22 69 86</t>
  </si>
  <si>
    <t>Saneamientos Alba</t>
  </si>
  <si>
    <t>Calle Bidasoa, 6, 04006 Almería</t>
  </si>
  <si>
    <t>saneamientosalba.com</t>
  </si>
  <si>
    <t>950 23 46 08</t>
  </si>
  <si>
    <t>Fontanería Angel Nieto</t>
  </si>
  <si>
    <t>Calle Calvario, 71, 04008 Almería</t>
  </si>
  <si>
    <t>607 79 44 37</t>
  </si>
  <si>
    <t>I.T. Fontelec</t>
  </si>
  <si>
    <t>Calle Largo Caballero, 61, 04008 Almería</t>
  </si>
  <si>
    <t>659 05 68 27</t>
  </si>
  <si>
    <t>fontaneria salvador baena</t>
  </si>
  <si>
    <t>Calle el Almendro, nº35, 04009 Almería</t>
  </si>
  <si>
    <t>630 39 32 16</t>
  </si>
  <si>
    <t>Fontanería Y Gas Luis Berenguel</t>
  </si>
  <si>
    <t>Calle Jaúl, 1, 04007 Almería</t>
  </si>
  <si>
    <t>617 44 71 22</t>
  </si>
  <si>
    <t>Fontanería Uroz</t>
  </si>
  <si>
    <t>Calle Poeta Luis Cernuda, 0, 04006 Almería</t>
  </si>
  <si>
    <t>618 27 88 08</t>
  </si>
  <si>
    <t>Fontaneria F.Delgado</t>
  </si>
  <si>
    <t>Calle Real del Barrio Alto, 45, 04008 Almería</t>
  </si>
  <si>
    <t>fontaneriafdelgado.es</t>
  </si>
  <si>
    <t>619 82 40 84</t>
  </si>
  <si>
    <t>Fontaneros en Almería | Servicio Urgente y Económico en Zapillo</t>
  </si>
  <si>
    <t>fontaneroszapillo.com</t>
  </si>
  <si>
    <t>658 68 89 62</t>
  </si>
  <si>
    <t>tinfo@fontaneroszapillo.com</t>
  </si>
  <si>
    <t>Multiservicios Fernández</t>
  </si>
  <si>
    <t>Calle Gral. Luque, 36, 04002 Almería</t>
  </si>
  <si>
    <t>serviciosfernandez.es</t>
  </si>
  <si>
    <t>604 18 15 94</t>
  </si>
  <si>
    <t>info@serviciosfernandez.es</t>
  </si>
  <si>
    <t>Comercial Maestria S.L.</t>
  </si>
  <si>
    <t>Calle Maestría, 38, 04008 Almería</t>
  </si>
  <si>
    <t>fb.me</t>
  </si>
  <si>
    <t>950 23 48 94</t>
  </si>
  <si>
    <t>Fontaneria Puertas</t>
  </si>
  <si>
    <t>Calle Cristóbal López Lupiañez, 04006 Almería</t>
  </si>
  <si>
    <t>620 73 38 99</t>
  </si>
  <si>
    <t>Fontanería Guillermo Cabeo</t>
  </si>
  <si>
    <t>facebook.com</t>
  </si>
  <si>
    <t>607 60 71 36</t>
  </si>
  <si>
    <t>INSTALACIONES &amp;amp; REPARACIONES JOSÉ RODRIGUEZ</t>
  </si>
  <si>
    <t>Calle Marchales, 90, bajo, 04008 Almería</t>
  </si>
  <si>
    <t>607 18 76 62</t>
  </si>
  <si>
    <t>Localización fugas de agua Almería</t>
  </si>
  <si>
    <t>Calle la Plata, 33, 04008 Almería</t>
  </si>
  <si>
    <t>Milán Fontaneros</t>
  </si>
  <si>
    <t>C. Campogris, 33A, 04008 Almería</t>
  </si>
  <si>
    <t>fontaneria saez</t>
  </si>
  <si>
    <t>Calle Cámaras, 22, 04003 Almería</t>
  </si>
  <si>
    <t>fontaneriasaezalmeria.com</t>
  </si>
  <si>
    <t>950 26 71 58</t>
  </si>
  <si>
    <t>VALSAN Delegación ALMERÍA</t>
  </si>
  <si>
    <t>Calle Carbon, 121, 04009 Almería</t>
  </si>
  <si>
    <t>valsan.es</t>
  </si>
  <si>
    <t>950 17 35 91</t>
  </si>
  <si>
    <t>ventas@valsan.es</t>
  </si>
  <si>
    <t>Intec Climatizacion-Electricidad-Fontaneria</t>
  </si>
  <si>
    <t>Calle Estaño, 04009 Almería</t>
  </si>
  <si>
    <t>Fontanería M&amp;amp;R</t>
  </si>
  <si>
    <t>Av. de Cabo de Gata, 88, 04007 Almería</t>
  </si>
  <si>
    <t>fontaneria-mr.negocio.site</t>
  </si>
  <si>
    <t>Albanileria Y Fontanería</t>
  </si>
  <si>
    <t>Calle Plus Ultra, 9, 04005 Almería</t>
  </si>
  <si>
    <t>Localización y Detección de Fugas Almeria</t>
  </si>
  <si>
    <t>Calle Maldonado Entrena bloque 2-4, 5ª puerta, 04003 Almería</t>
  </si>
  <si>
    <t>grupovico.com</t>
  </si>
  <si>
    <t>627 42 10 32</t>
  </si>
  <si>
    <t>info@grupovico.com</t>
  </si>
  <si>
    <t>Fontaneria Fortuna</t>
  </si>
  <si>
    <t>Calle Pedro Jover, 8, 04002 Almería</t>
  </si>
  <si>
    <t>Gas Fellas Plumber Almeria</t>
  </si>
  <si>
    <t>Calle Navarro Rodrigo, 8, 4D, 04001 Almería</t>
  </si>
  <si>
    <t>gasfellas.com</t>
  </si>
  <si>
    <t>911 23 25 18</t>
  </si>
  <si>
    <t>Reparaciones Urgencias Almería</t>
  </si>
  <si>
    <t>Plaza Carabineros, 14, 04007 Almería</t>
  </si>
  <si>
    <t>reparacionesurgencias.online</t>
  </si>
  <si>
    <t>950 95 56 64</t>
  </si>
  <si>
    <t>Contacto@servicioshogaralmeria.es</t>
  </si>
  <si>
    <t>YAVAMOS</t>
  </si>
  <si>
    <t>Calle Búfalo, 42, 04720 Aguadulce, Almería</t>
  </si>
  <si>
    <t>yavamos.es</t>
  </si>
  <si>
    <t>950 65 34 06</t>
  </si>
  <si>
    <t>core-js-bundle@3.2.1</t>
  </si>
  <si>
    <t>Materiales y Sistemas de Calefacción S.L.</t>
  </si>
  <si>
    <t>Polígono Industrial Mezquita, 398, 04007 Almería</t>
  </si>
  <si>
    <t>950 22 74 50</t>
  </si>
  <si>
    <t>Oil Barol</t>
  </si>
  <si>
    <t>Calle Vélez Rubio, 04001 Almería</t>
  </si>
  <si>
    <t>Almería AguaConfort S.L. (Tienda en Almería Capital)</t>
  </si>
  <si>
    <t>Carretera Níjar - la Cañada, nº398, 04007 Almería</t>
  </si>
  <si>
    <t>grupoaguaconfort.com</t>
  </si>
  <si>
    <t>950 22 79 00</t>
  </si>
  <si>
    <t>Fontanería Cabrera</t>
  </si>
  <si>
    <t>Calle Gardenia, 6, 04720 Aguadulce, Almería</t>
  </si>
  <si>
    <t>fontaneroalmeria.business.site</t>
  </si>
  <si>
    <t>950 34 26 61</t>
  </si>
  <si>
    <t>Fontaneria Enrial</t>
  </si>
  <si>
    <t>Calle Sierra de Ronda, 33, 04240 Viator, Almería</t>
  </si>
  <si>
    <t>Quensis Oil</t>
  </si>
  <si>
    <t>(Servicios Elias) Fontaneria, electricidad , aire acondicionado</t>
  </si>
  <si>
    <t>s/n,, Calle Olula de Castro, 04008 Almería</t>
  </si>
  <si>
    <t>609 02 19 15</t>
  </si>
  <si>
    <t>Alisur</t>
  </si>
  <si>
    <t>679 66 18 21</t>
  </si>
  <si>
    <t>Fontanería JAF</t>
  </si>
  <si>
    <t>Calle Virgen de las Angustias, 12, 04240 Viator, Almería</t>
  </si>
  <si>
    <t>fontaneriajaf.com</t>
  </si>
  <si>
    <t>643 87 12 05</t>
  </si>
  <si>
    <t>Blancosur</t>
  </si>
  <si>
    <t>Camino Haza Tableada-Juaida, 43, 04120 Almería</t>
  </si>
  <si>
    <t>670 99 81 86</t>
  </si>
  <si>
    <t>Hermanos Valdivia</t>
  </si>
  <si>
    <t>Calle Alicún, 04007 Almería</t>
  </si>
  <si>
    <t>Multiservicios MullOrtiz</t>
  </si>
  <si>
    <t>Paraje Guillén, 17, 04120 Almería</t>
  </si>
  <si>
    <t>722 20 86 43</t>
  </si>
  <si>
    <t>Anpi Fontaneros</t>
  </si>
  <si>
    <t>Calle Sierra de Orce, 17 BAJO, POLIG.INDUSTRIAL, 04240 Viator, Almería</t>
  </si>
  <si>
    <t>anpiconstrucciones.com</t>
  </si>
  <si>
    <t>616 62 15 86</t>
  </si>
  <si>
    <t>FUGAS DE AGUA</t>
  </si>
  <si>
    <t>Av. Juan Carlos I, n°65, 4e, 04740 Roquetas de Mar, Almería</t>
  </si>
  <si>
    <t>Roquetas de Mar</t>
  </si>
  <si>
    <t>604 34 97 50</t>
  </si>
  <si>
    <t>Fontaneros en Almería</t>
  </si>
  <si>
    <t>Calle Ulises, 26, 04740 Roquetas de Mar, Almería</t>
  </si>
  <si>
    <t>670 63 80 85</t>
  </si>
  <si>
    <t>Fontanería Hermanos Fernández S.L.</t>
  </si>
  <si>
    <t>Bulevar Cdad. de Vicar, 625, 04738 Vícar, Almería</t>
  </si>
  <si>
    <t>Vícar</t>
  </si>
  <si>
    <t>950 34 35 20</t>
  </si>
  <si>
    <t>FONTANERIA INDALICA SL</t>
  </si>
  <si>
    <t>Calle Encofradores, 10, 04740 Roquetas de Mar, Almería</t>
  </si>
  <si>
    <t>659 21 41 62</t>
  </si>
  <si>
    <t>Fontaneria Moya</t>
  </si>
  <si>
    <t>Calle Segovia, 19, 04700 El Ejido, Almería</t>
  </si>
  <si>
    <t>El Ejido</t>
  </si>
  <si>
    <t>670 67 22 70</t>
  </si>
  <si>
    <t>Fontanería García &amp;amp; González S.L</t>
  </si>
  <si>
    <t>Calle Jesus de Perceval, 4, 04700 El Ejido, Almería</t>
  </si>
  <si>
    <t>950 48 58 94</t>
  </si>
  <si>
    <t>Fontanero Almería</t>
  </si>
  <si>
    <t>fontanero-almeria.com</t>
  </si>
  <si>
    <t>655 76 32 18</t>
  </si>
  <si>
    <t>Fontaneria Cobos</t>
  </si>
  <si>
    <t>Calle Julio Cortázar, 6, 04720 El Parador de las Hortichuelas, Almería</t>
  </si>
  <si>
    <t>El Parador de las Hortichuelas</t>
  </si>
  <si>
    <t>Servicio de reparaciones y reformas</t>
  </si>
  <si>
    <t>Paseo de las Acacias, 2, 04720 Aguadulce, Almería</t>
  </si>
  <si>
    <t>636 84 13 54</t>
  </si>
  <si>
    <t>Fontanería Rocío Almería</t>
  </si>
  <si>
    <t>654 08 26 70</t>
  </si>
  <si>
    <t>Multiservicios, fontaneros y cerrajeros</t>
  </si>
  <si>
    <t>appartamento 14, Calle Campillo del Moro, 1, 04720 Roquetas de Mar, Almería</t>
  </si>
  <si>
    <t>605 23 44 07</t>
  </si>
  <si>
    <t>Fontaneria Cabrera,S.L.</t>
  </si>
  <si>
    <t>Calle Cangas de Onís, 30, 04740 Roquetas de Mar, Almería</t>
  </si>
  <si>
    <t>Antonio Ferrer Molina</t>
  </si>
  <si>
    <t>Calle Bº los Navarros, 8, 04745 La Mojonera, Almería</t>
  </si>
  <si>
    <t>La Mojonera</t>
  </si>
  <si>
    <t>950 33 14 98</t>
  </si>
  <si>
    <t>PEYPE FONTANERIA</t>
  </si>
  <si>
    <t>Calle la Rambla, 6, 04630 Garrucha, Almería</t>
  </si>
  <si>
    <t>Garrucha</t>
  </si>
  <si>
    <t>950 46 01 38</t>
  </si>
  <si>
    <t>Ramón José Rodriguez Cazorla</t>
  </si>
  <si>
    <t>Calle Rambla del Rey, 1, 04260 Rioja, Almería</t>
  </si>
  <si>
    <t>Rioja</t>
  </si>
  <si>
    <t>950 00 78 01</t>
  </si>
  <si>
    <t>AguaConfort Hydroec S.L. (Tienda en El Ejido)</t>
  </si>
  <si>
    <t>Paraje Tance Nuevo nº117, 04710 Santa María del Águila (El Ejido), Almería</t>
  </si>
  <si>
    <t>Santa María del Águila</t>
  </si>
  <si>
    <t>950 58 32 40</t>
  </si>
  <si>
    <t>Porras Granada</t>
  </si>
  <si>
    <t>Calle Sierra de Almijara, 1, 04240 Viator, Almería</t>
  </si>
  <si>
    <t>Francisco García González</t>
  </si>
  <si>
    <t>Calle Andarax, 16, 04745 La Mojonera, Almería</t>
  </si>
  <si>
    <t>Fontanería Quesada</t>
  </si>
  <si>
    <t>Calle Moratín, 1, 04630 Garrucha, Almería</t>
  </si>
  <si>
    <t>fontaneriaquesada.com</t>
  </si>
  <si>
    <t>670 66 75 65</t>
  </si>
  <si>
    <t>José Salvador Romero</t>
  </si>
  <si>
    <t>Av. América, 47, 04700 Ejido (El), Almería</t>
  </si>
  <si>
    <t>950 48 60 04</t>
  </si>
  <si>
    <t>Fontarboleas</t>
  </si>
  <si>
    <t>Pol.Ind. Los Llanos de Arboleas, s/n. C/ Los Muebles, 04660 Arboleas, Almería</t>
  </si>
  <si>
    <t>Arboleas</t>
  </si>
  <si>
    <t>fontarboleas.es</t>
  </si>
  <si>
    <t>950 43 14 15</t>
  </si>
  <si>
    <t>web@fontarboleas.es</t>
  </si>
  <si>
    <t>FONTANERO ROCIO ALMERIA</t>
  </si>
  <si>
    <t>negocio.site</t>
  </si>
  <si>
    <t>Calle Paseo de los Tristes, 38, 04770 Adra, Almería</t>
  </si>
  <si>
    <t>Adra</t>
  </si>
  <si>
    <t>615 02 26 94</t>
  </si>
  <si>
    <t>Suministros Fontbraut SL</t>
  </si>
  <si>
    <t>Polígono industrial la Boquera, 04270 Sorbas, Almería</t>
  </si>
  <si>
    <t>Sorbas</t>
  </si>
  <si>
    <t>950 06 62 10</t>
  </si>
  <si>
    <t>Instalaciones Juframar</t>
  </si>
  <si>
    <t>Calle Mar de Filipinas, 23, 04770 Adra, Almería</t>
  </si>
  <si>
    <t>950 56 07 03</t>
  </si>
  <si>
    <t>Fontaneria</t>
  </si>
  <si>
    <t>Calle Fabrica de Conservas, 04770 Adra, Almería</t>
  </si>
  <si>
    <t>Almería AguaConfort S.L. (Tienda en Antas)</t>
  </si>
  <si>
    <t>C/Vente Vacio, nº14 - P.I, Antas, 04628 El Real, Almería</t>
  </si>
  <si>
    <t>El Real</t>
  </si>
  <si>
    <t>950 39 32 30</t>
  </si>
  <si>
    <t>FONTANERÍA GICER</t>
  </si>
  <si>
    <t>Las Marianas, 04621 Vera, Almería</t>
  </si>
  <si>
    <t>Vera</t>
  </si>
  <si>
    <t>677 77 48 95</t>
  </si>
  <si>
    <t>Fontanería Viurba</t>
  </si>
  <si>
    <t>Calle Tarrasa, 0, 04770 Adra, Almería</t>
  </si>
  <si>
    <t>950 40 11 11</t>
  </si>
  <si>
    <t>Sanitarios Emilio Hernandez</t>
  </si>
  <si>
    <t>Carr. de la Mojonera, 3, 35, 04740 Roquetas de Mar, Almería</t>
  </si>
  <si>
    <t>Fontanería Gicer</t>
  </si>
  <si>
    <t>04638 Mojácar, Almería</t>
  </si>
  <si>
    <t>Mojácar</t>
  </si>
  <si>
    <t>Maurice Robert Doucet Burke</t>
  </si>
  <si>
    <t>Calle Rosal, 6, 04760 Berja, Almería</t>
  </si>
  <si>
    <t>Berja</t>
  </si>
  <si>
    <t>EDUARDO M. Jiménez Bonilla</t>
  </si>
  <si>
    <t>Calle Isaac Peral, 24, 04700 El Ejido, Almería</t>
  </si>
  <si>
    <t>625 46 97 41</t>
  </si>
  <si>
    <t>Fontanería e Instalaciones Luis</t>
  </si>
  <si>
    <t>04750 Dalías, Almería</t>
  </si>
  <si>
    <t>Dalías</t>
  </si>
  <si>
    <t>607 85 62 31</t>
  </si>
  <si>
    <t>Fontanería Y Calefacción Francisco Ávila</t>
  </si>
  <si>
    <t>Calle Constitución, 9, 04628 Antas, Almería</t>
  </si>
  <si>
    <t>Antas</t>
  </si>
  <si>
    <t>653 85 63 37</t>
  </si>
  <si>
    <t>Soemi S.L</t>
  </si>
  <si>
    <t>Calle Alfonso XIII, 60, 04630 Garrucha, Almería</t>
  </si>
  <si>
    <t>670 63 59 07</t>
  </si>
  <si>
    <t>Fuel Sur S.a.</t>
  </si>
  <si>
    <t>Carr. de la Mojonera, 107, 04716 El Ejido, Almería</t>
  </si>
  <si>
    <t>Fontanería y Calefacción Francisco Ávila S.L.</t>
  </si>
  <si>
    <t>Calle Blas Infante, 27, 04628 Antas, Almería</t>
  </si>
  <si>
    <t>950 45 35 53</t>
  </si>
  <si>
    <t>Fontaneria y desatascos zurano</t>
  </si>
  <si>
    <t>fontaneriaydesatascoszurano.es</t>
  </si>
  <si>
    <t>647 64 71 31</t>
  </si>
  <si>
    <t>Hecam Instaladores</t>
  </si>
  <si>
    <t>Calle Puertas de Lorca, 14, 04820 Vélez-Rubio, Almería</t>
  </si>
  <si>
    <t>Vélez-Rubio</t>
  </si>
  <si>
    <t>950 41 23 28</t>
  </si>
  <si>
    <t>Fontaneros Cádiz 24 horas</t>
  </si>
  <si>
    <t>Av. del Perú, 14, 11010 Cádiz</t>
  </si>
  <si>
    <t>fontanerocadiz.info</t>
  </si>
  <si>
    <t>620 17 51 31</t>
  </si>
  <si>
    <t>Fontaclima</t>
  </si>
  <si>
    <t>Brunete, 4, 11008 Cádiz</t>
  </si>
  <si>
    <t>956 01 86 00</t>
  </si>
  <si>
    <t>Fontanería Fuentes</t>
  </si>
  <si>
    <t>Calle Valverde, 16, 11004 Cádiz</t>
  </si>
  <si>
    <t>956 21 40 55</t>
  </si>
  <si>
    <t>Fontaneria y Gas Cabello s,l.</t>
  </si>
  <si>
    <t>Calle Goya, 13, 11010 Cádiz</t>
  </si>
  <si>
    <t>fontaneriacabello.es</t>
  </si>
  <si>
    <t>856 04 50 21</t>
  </si>
  <si>
    <t>tienda@fontanericabello.es</t>
  </si>
  <si>
    <t>Fontanería Andalucía</t>
  </si>
  <si>
    <t>Calle Torre, 43, 11001 Cádiz</t>
  </si>
  <si>
    <t>615 07 07 10</t>
  </si>
  <si>
    <t>Saneamientos Y Fontanería Flores S L</t>
  </si>
  <si>
    <t>Calle Manzanares, 4, 11005 Cádiz</t>
  </si>
  <si>
    <t>956 25 78 54</t>
  </si>
  <si>
    <t>Fontanería Talavera</t>
  </si>
  <si>
    <t>Calle de la Rosa, 15, 11002 Cádiz</t>
  </si>
  <si>
    <t>956 22 95 46</t>
  </si>
  <si>
    <t>P.I. Zona Franca, Calle San Martín del Tesorillo, 1, 11011 Cádiz</t>
  </si>
  <si>
    <t>601 07 30 82</t>
  </si>
  <si>
    <t>FONTACLIMA 2012.S.L.</t>
  </si>
  <si>
    <t>Av. Segunda Aguada, Nº21, 11012 Cádiz</t>
  </si>
  <si>
    <t>Fontaneros Electricistas Calentadores Cádiz</t>
  </si>
  <si>
    <t>Calle Trille 15, Tercero Derecha, 11009 Cádiz</t>
  </si>
  <si>
    <t>rapidtecnicadiz.esy.es</t>
  </si>
  <si>
    <t>603 44 11 61</t>
  </si>
  <si>
    <t>s.a.r. reparaciones e instalaciones MULTISERVICIOS</t>
  </si>
  <si>
    <t>Calle Trille, 15, 11009 Cádiz</t>
  </si>
  <si>
    <t>676 04 08 19</t>
  </si>
  <si>
    <t>Brunete, Nº6, LOCAL, 11007 Cádiz</t>
  </si>
  <si>
    <t>956 13 44 93</t>
  </si>
  <si>
    <t>Fontabahia S L</t>
  </si>
  <si>
    <t>Calle Servando Camúñez, 20, 11100 San Fernando, Cádiz</t>
  </si>
  <si>
    <t>San Fernando</t>
  </si>
  <si>
    <t>956 88 42 43</t>
  </si>
  <si>
    <t>Fontaneria Ramirez</t>
  </si>
  <si>
    <t>Av. Catorce de Abril, 4, 11510 Puerto Real, Cádiz</t>
  </si>
  <si>
    <t>Puerto Real</t>
  </si>
  <si>
    <t>fontaneriaramirez.com</t>
  </si>
  <si>
    <t>695 81 11 29</t>
  </si>
  <si>
    <t>info@fontaneriaramirez.com</t>
  </si>
  <si>
    <t>Desatascos Macal</t>
  </si>
  <si>
    <t>Calle San Quintín, n° 12, Local 1, 11100 San Fernando, Cádiz</t>
  </si>
  <si>
    <t>650 05 12 89</t>
  </si>
  <si>
    <t>Fabricación Y Servicios Fase S L</t>
  </si>
  <si>
    <t>Av. de la Ilustración, 6, 11011 Cádiz</t>
  </si>
  <si>
    <t>956 25 33 33</t>
  </si>
  <si>
    <t>Fontanería Y Saneamiento Pley</t>
  </si>
  <si>
    <t>Ctra. de Circunvalación, 0, 11510 Puerto Real, Cádiz</t>
  </si>
  <si>
    <t>956 47 49 60</t>
  </si>
  <si>
    <t>Desatascos Koysa</t>
  </si>
  <si>
    <t>Calle Toneleros, 22, 11130 Chiclana de la Frontera, Cádiz</t>
  </si>
  <si>
    <t>desatascoskoysa.es</t>
  </si>
  <si>
    <t>630 96 11 06</t>
  </si>
  <si>
    <t>info@desatascoskoysa.es</t>
  </si>
  <si>
    <t>Desatascos Butrón</t>
  </si>
  <si>
    <t>Calle de las Olas, 110, 11510 Puerto Real, Cádiz</t>
  </si>
  <si>
    <t>desatascosbutron.negocio.site</t>
  </si>
  <si>
    <t>649 07 10 77</t>
  </si>
  <si>
    <t>Suministros y Mantenimientos Industriales Sur S.L.</t>
  </si>
  <si>
    <t>Parcela I-42, Calle Chile, 11510 Puerto Real, Cádiz</t>
  </si>
  <si>
    <t>symisur.com</t>
  </si>
  <si>
    <t>956 83 18 34</t>
  </si>
  <si>
    <t>symisur@symisur.com</t>
  </si>
  <si>
    <t>Fontanero Chiclana</t>
  </si>
  <si>
    <t>Calle Valencia, 2, 1A, 11130 Chiclana de la Frontera, Cádiz</t>
  </si>
  <si>
    <t>fontanerochiclana.com</t>
  </si>
  <si>
    <t>690 18 61 18</t>
  </si>
  <si>
    <t>Multiservicios Tobaram</t>
  </si>
  <si>
    <t>Av. de Fuente Amarga, 19, 11130 Chiclana de la Frontera, Cádiz</t>
  </si>
  <si>
    <t>956 53 47 80</t>
  </si>
  <si>
    <t>Fontaneros Baselain</t>
  </si>
  <si>
    <t>Calle Matrona Ana Mariscal, 2, 11100 San Fernando, Cádiz</t>
  </si>
  <si>
    <t>606 81 43 92</t>
  </si>
  <si>
    <t>ATAS reparaciones San Fernando</t>
  </si>
  <si>
    <t>Av. Almirante León Herrero, 15, 11100 San Fernando, Cádiz</t>
  </si>
  <si>
    <t>atasreparaciones.es</t>
  </si>
  <si>
    <t>645 18 18 65</t>
  </si>
  <si>
    <t>info@atasreparaciones.es</t>
  </si>
  <si>
    <t>LA FONTANERÍA PUERTO REAL (CÁDIZ)TODA LA BAHÍA</t>
  </si>
  <si>
    <t>Calle Pablo Neruda, 34, casa 23, 11510 Puerto Real, Cádiz</t>
  </si>
  <si>
    <t>desatascosencadiz.net</t>
  </si>
  <si>
    <t>670 02 32 12</t>
  </si>
  <si>
    <t>Sanyfont Suministros de Fontanería</t>
  </si>
  <si>
    <t>Polígono Industrial Santa Cruz, 0 Nave 5 - 10, 11407 Jerez de la Frontera, Cádiz</t>
  </si>
  <si>
    <t>Jerez de la Frontera</t>
  </si>
  <si>
    <t>956 14 41 81</t>
  </si>
  <si>
    <t>Multiservicios Nevado</t>
  </si>
  <si>
    <t>Camino Enamorados, 34, 11500 El Puerto de Sta María, Cádiz</t>
  </si>
  <si>
    <t>677 50 56 87</t>
  </si>
  <si>
    <t>Ctra. del Marquesado, 59, 11130 Chiclana de la Frontera, Cádiz</t>
  </si>
  <si>
    <t>fontanerochiclana.negocio.site</t>
  </si>
  <si>
    <t>610 51 09 94</t>
  </si>
  <si>
    <t>Tubesan</t>
  </si>
  <si>
    <t>Pol. Ind. el Portal, Av. Alcalde Cantos Ropero, 42, 11408 Jerez de la Frontera, Cádiz</t>
  </si>
  <si>
    <t>tubesan.es</t>
  </si>
  <si>
    <t>956 14 38 44</t>
  </si>
  <si>
    <t>info@tubesan.com</t>
  </si>
  <si>
    <t>Desatascos Chiclana</t>
  </si>
  <si>
    <t>Calle Aurora, 3 - A, parcela 1, 11130 Chiclana de la Frontera, Cádiz</t>
  </si>
  <si>
    <t>desatascos-chiclana.es</t>
  </si>
  <si>
    <t>634 71 48 92</t>
  </si>
  <si>
    <t>Soltube Industrial</t>
  </si>
  <si>
    <t>Calle Francia, 7, 11519 El Trocadero, Cádiz</t>
  </si>
  <si>
    <t>El Trocadero</t>
  </si>
  <si>
    <t>956 47 33 78</t>
  </si>
  <si>
    <t>Millan Comercial de Fontanería</t>
  </si>
  <si>
    <t>C, Agustín Blázquez, 3, 11130 Chiclana de la Frontera, Cádiz</t>
  </si>
  <si>
    <t>millanchiclana.com</t>
  </si>
  <si>
    <t>956 40 11 16</t>
  </si>
  <si>
    <t>Izgas Fontanería Jerez</t>
  </si>
  <si>
    <t>Alcalá de los Gazules</t>
  </si>
  <si>
    <t>611 35 28 93</t>
  </si>
  <si>
    <t>Fontanería En General H 2 0 Sl</t>
  </si>
  <si>
    <t>Av. del Mueble, 13, 11130 Chiclana de la Frontera, Cádiz</t>
  </si>
  <si>
    <t>956 53 88 25</t>
  </si>
  <si>
    <t>El Torno</t>
  </si>
  <si>
    <t>Av. de la Industria, 90, 11130 Chiclana de la Frontera, Cádiz</t>
  </si>
  <si>
    <t>956 40 27 81</t>
  </si>
  <si>
    <t>Fontaneros Chipiona - Fontanería Gloria</t>
  </si>
  <si>
    <t>Calle Fragata, 6, 11550 Chipiona, Cádiz</t>
  </si>
  <si>
    <t>Chipiona</t>
  </si>
  <si>
    <t>fontanerosencadiz.es</t>
  </si>
  <si>
    <t>641 76 61 74</t>
  </si>
  <si>
    <t>info@fontanerosencadiz.es</t>
  </si>
  <si>
    <t>Instalaciones Naranjo Ruiz</t>
  </si>
  <si>
    <t>Calle Pintores, 19, 11520 Rota, Cádiz</t>
  </si>
  <si>
    <t>Rota</t>
  </si>
  <si>
    <t>956 81 25 60</t>
  </si>
  <si>
    <t>Fontanería Aquasur S.L.</t>
  </si>
  <si>
    <t>Ronda Poniente, 9 (Pol Ind Pelagatos), 11130 Chiclana de la Frontera, Cádiz</t>
  </si>
  <si>
    <t>956 49 09 89</t>
  </si>
  <si>
    <t>Instalaciones El Butanito</t>
  </si>
  <si>
    <t>Cl. Banda Playa, 65, 11540 Sanlúcar de Barrameda, Cádiz</t>
  </si>
  <si>
    <t>Sanlúcar de Barrameda</t>
  </si>
  <si>
    <t>956 36 18 92</t>
  </si>
  <si>
    <t>Fonteco</t>
  </si>
  <si>
    <t>Calle Caricaturista Carlos García Gil, 1, 11500 El, Cádiz</t>
  </si>
  <si>
    <t>617 71 52 96</t>
  </si>
  <si>
    <t>Fontanería Relinque SL</t>
  </si>
  <si>
    <t>Calle Ancha, 6, 11160 Barbate, Cádiz</t>
  </si>
  <si>
    <t>Barbate</t>
  </si>
  <si>
    <t>956 43 35 67</t>
  </si>
  <si>
    <t>Calle Periodista Juan Andres García, 1, 11406 Jerez de la Frontera, Cádiz</t>
  </si>
  <si>
    <t>Fontasol - Fontanería y energía solar</t>
  </si>
  <si>
    <t>Av. de la Industria, nº4, 11130 Chiclana de la Frontera, Cádiz</t>
  </si>
  <si>
    <t>633 94 26 86</t>
  </si>
  <si>
    <t>Fontanería Imperial, S.L.</t>
  </si>
  <si>
    <t>Calle de la Investigación, 5, 11407 Jerez de la Frontera, Cádiz</t>
  </si>
  <si>
    <t>Fontanero Jerez</t>
  </si>
  <si>
    <t>Calle Rigel, 11405 Jerez de la Frontera, Cádiz</t>
  </si>
  <si>
    <t>fontanerojerez.es</t>
  </si>
  <si>
    <t>629 34 31 56</t>
  </si>
  <si>
    <t>sejilo1@yahoo.es</t>
  </si>
  <si>
    <t>Manuel Aragón Sousa</t>
  </si>
  <si>
    <t>Camino del Butano, 1, 11130 Chiclana de la Frontera, Cádiz</t>
  </si>
  <si>
    <t>Fontanería Real S L</t>
  </si>
  <si>
    <t>Calle de la Investigación, 7, 11407 Jerez de la Frontera, Cádiz</t>
  </si>
  <si>
    <t>956 31 77 75</t>
  </si>
  <si>
    <t>Desatascos la isla</t>
  </si>
  <si>
    <t>Calle Miño, 13, 11100 San Fernando, Cádiz</t>
  </si>
  <si>
    <t>654 72 54 44</t>
  </si>
  <si>
    <t>Construsol Energia Solar y Fontaneria</t>
  </si>
  <si>
    <t>Calle Ganado, 100, 11500 El Puerto de Sta María, Cádiz</t>
  </si>
  <si>
    <t>construsolenergia.blogspot.com</t>
  </si>
  <si>
    <t>628 71 92 43</t>
  </si>
  <si>
    <t>José Ruiz Martín Bejarano</t>
  </si>
  <si>
    <t>Calle Málaga, 9, 11520 Rota, Cádiz</t>
  </si>
  <si>
    <t>956 81 60 58</t>
  </si>
  <si>
    <t>Fontquality</t>
  </si>
  <si>
    <t>607 42 93 32</t>
  </si>
  <si>
    <t>José Cosme Ruiz</t>
  </si>
  <si>
    <t>Calle de la Fuente, 10, 11130 Chiclana de la Frontera, Cádiz</t>
  </si>
  <si>
    <t>956 40 16 57</t>
  </si>
  <si>
    <t>Fontanería Marchante S.L.</t>
  </si>
  <si>
    <t>Calle Salamanca, 5, 11170 Medina-Sidonia, Cádiz</t>
  </si>
  <si>
    <t>Medina-Sidonia</t>
  </si>
  <si>
    <t>business.google.com</t>
  </si>
  <si>
    <t>956 41 20 32</t>
  </si>
  <si>
    <t>Fongas</t>
  </si>
  <si>
    <t>PARQUE EMPRESARIAL OESTE C/ ALGAIDA º11, 11408 Jerez de la Frontera, Cádiz</t>
  </si>
  <si>
    <t>956 33 07 31</t>
  </si>
  <si>
    <t>Servicio Integral de Fontanería</t>
  </si>
  <si>
    <t>Lugar Residencial Parque Chapín, 5 - 1 - A, 11405 Jerez de la Frontera, Cádiz</t>
  </si>
  <si>
    <t>639 98 13 52</t>
  </si>
  <si>
    <t>Desatascos PAYÁ</t>
  </si>
  <si>
    <t>Av. Reyes Católicos, 11130 Chiclana de la Frontera, Cádiz</t>
  </si>
  <si>
    <t>REPARO 24</t>
  </si>
  <si>
    <t>Calle Micaela Parada, 2, 3º 3, 11408 Jerez de la Frontera, Cádiz</t>
  </si>
  <si>
    <t>956 30 90 79</t>
  </si>
  <si>
    <t>Antonio Álvarez Suministros</t>
  </si>
  <si>
    <t>Av. Sanlúcar, 8, 11500 El Puerto de Sta María, Cádiz</t>
  </si>
  <si>
    <t>antonioalvarezsuministros.com</t>
  </si>
  <si>
    <t>956 97 28 32</t>
  </si>
  <si>
    <t>john@doe.com</t>
  </si>
  <si>
    <t>Petropesca S L</t>
  </si>
  <si>
    <t>Lugar Muelle Comercial, 0 ( P I, Calle Guadalete, 11500 El Puerto de Sta María, Cádiz</t>
  </si>
  <si>
    <t>956 56 99 03</t>
  </si>
  <si>
    <t>Desatascos Omega 21</t>
  </si>
  <si>
    <t>Camino de los Vinateros, 14, 11130 Playa, Cádiz</t>
  </si>
  <si>
    <t>desatascosomega.es</t>
  </si>
  <si>
    <t>Fontanería y Servicios Barrameda S.L.</t>
  </si>
  <si>
    <t>0,8 &amp;quot;mi abuela Carmela&amp;quot;, Ctra. de Chipiona, 11540 Sanlúcar de Barrameda, Cádiz</t>
  </si>
  <si>
    <t>956 36 64 34</t>
  </si>
  <si>
    <t>CANALUM CADIZ</t>
  </si>
  <si>
    <t>Calle Minería, Nave, 2, 11407 Jerez de la Frontera, Cádiz</t>
  </si>
  <si>
    <t>canalumcadiz.es</t>
  </si>
  <si>
    <t>615 96 31 80</t>
  </si>
  <si>
    <t>license@prestashop.com</t>
  </si>
  <si>
    <t>Innova Fontaneros</t>
  </si>
  <si>
    <t>Calle Guadalcacín, 4, 11630 Arcos de la Frontera, Cádiz</t>
  </si>
  <si>
    <t>Arcos de la Frontera</t>
  </si>
  <si>
    <t>653 04 82 82</t>
  </si>
  <si>
    <t>Fontanería Arcense</t>
  </si>
  <si>
    <t>Calle Cuba, 4, 11630 Arcos de la Frontera, Cádiz</t>
  </si>
  <si>
    <t>956 70 09 53</t>
  </si>
  <si>
    <t>Improeng P M</t>
  </si>
  <si>
    <t>Calle del Levante, 12, 11130 Chiclana de la Frontera, Cádiz</t>
  </si>
  <si>
    <t>646 84 99 45</t>
  </si>
  <si>
    <t>Fontanería Pérez Pedrote</t>
  </si>
  <si>
    <t>Calle Río Odiel, 2, 11550 Chipiona, Cádiz</t>
  </si>
  <si>
    <t>Fontanería Christian Ortiz</t>
  </si>
  <si>
    <t>Calle Trepadora, 26, 11204 Algeciras, Cádiz</t>
  </si>
  <si>
    <t>Algeciras</t>
  </si>
  <si>
    <t>629 93 96 52</t>
  </si>
  <si>
    <t>Fontalia Ibérica</t>
  </si>
  <si>
    <t>fontaliaiberica.es</t>
  </si>
  <si>
    <t>655 05 78 06</t>
  </si>
  <si>
    <t>info@fontaliaiberica.es</t>
  </si>
  <si>
    <t>Verde y Blanca de Pinturas</t>
  </si>
  <si>
    <t>Calle Laguna, 17, 11140 Conil de la Frontera, Cádiz</t>
  </si>
  <si>
    <t>Conil de la Frontera</t>
  </si>
  <si>
    <t>Fontanería Los Barrios</t>
  </si>
  <si>
    <t>Calle Manuel de Falla, 4, 11379 Los Barrios, Cádiz</t>
  </si>
  <si>
    <t>Los Barrios</t>
  </si>
  <si>
    <t>fontanerialosbarrios.com</t>
  </si>
  <si>
    <t>653 80 78 46</t>
  </si>
  <si>
    <t>Aguainova</t>
  </si>
  <si>
    <t>Calle el Garciago, 4, 11600 Ubrique, Cádiz</t>
  </si>
  <si>
    <t>Ubrique</t>
  </si>
  <si>
    <t>661 41 65 00</t>
  </si>
  <si>
    <t>FONTANERÍA LA VIÑUELA</t>
  </si>
  <si>
    <t>Calle Platero Repiso, 12, 14010 Córdoba</t>
  </si>
  <si>
    <t>607 54 08 96</t>
  </si>
  <si>
    <t>Moyano Instalaciones y Reparaciones</t>
  </si>
  <si>
    <t>14001 Córdoba</t>
  </si>
  <si>
    <t>680 36 07 71</t>
  </si>
  <si>
    <t>Fontanería El Arcángel</t>
  </si>
  <si>
    <t>Pje. Platero Alcántara, 2, 14010 Córdoba</t>
  </si>
  <si>
    <t>fontaneriaelarcangel.com</t>
  </si>
  <si>
    <t>957 75 04 40</t>
  </si>
  <si>
    <t>Canalejo Sánchez S.L.</t>
  </si>
  <si>
    <t>Calle Espejo Blancas, 13, 14006 Córdoba</t>
  </si>
  <si>
    <t>fontaneriacanalejosanchez.com</t>
  </si>
  <si>
    <t>957 27 01 82</t>
  </si>
  <si>
    <t>info@fontaneriacanalejosanchez.com</t>
  </si>
  <si>
    <t>Fontaneria Y Ferreteria Gayro SL</t>
  </si>
  <si>
    <t>Calle Motril, 1, 14013 Córdoba</t>
  </si>
  <si>
    <t>957 29 27 37</t>
  </si>
  <si>
    <t>Fontanero Córdoba | Procoim</t>
  </si>
  <si>
    <t>Calle Juan Bautista Escudero 262 Parc A. - Nave A - 6, Pol. Ind. Las Quemadas, 14014 Córdoba</t>
  </si>
  <si>
    <t>procoim.es</t>
  </si>
  <si>
    <t>607 78 58 80</t>
  </si>
  <si>
    <t>info@procoim.es</t>
  </si>
  <si>
    <t>Fontanería Y Multiservicios Romero</t>
  </si>
  <si>
    <t>Av. Virgen de las Angustias, N°41, 14006 Córdoba</t>
  </si>
  <si>
    <t>957 27 41 50</t>
  </si>
  <si>
    <t>Fontanería Y Saneamientos Integrales S L</t>
  </si>
  <si>
    <t>Calle Alcalde de la Cruz Ceballos, 9, 14004 Córdoba</t>
  </si>
  <si>
    <t>957 23 12 42</t>
  </si>
  <si>
    <t>Lekue</t>
  </si>
  <si>
    <t>Plaza Industrial la Torrecilla, 0, 14013 Córdoba</t>
  </si>
  <si>
    <t>industriaslekue.com</t>
  </si>
  <si>
    <t>957 20 19 01</t>
  </si>
  <si>
    <t>DESATASCOS CÓRDOBA (€COSUR)</t>
  </si>
  <si>
    <t>desatascoscordoba.net</t>
  </si>
  <si>
    <t>605 30 16 17</t>
  </si>
  <si>
    <t>info@desatascosecosur.es</t>
  </si>
  <si>
    <t>Desatascos El Califa</t>
  </si>
  <si>
    <t>Calle Evaristo Espino, 49, 14009 Córdoba</t>
  </si>
  <si>
    <t>desatascosencordoba.com</t>
  </si>
  <si>
    <t>606 53 56 68</t>
  </si>
  <si>
    <t>Asociación de Empresarios Instaladores de Fontanería</t>
  </si>
  <si>
    <t>Calle Tomás de Aquino, 4, 14004 Córdoba</t>
  </si>
  <si>
    <t>aefico.com</t>
  </si>
  <si>
    <t>957 45 67 48</t>
  </si>
  <si>
    <t>info@aefico.com</t>
  </si>
  <si>
    <t>Saneamientos Arroyo Barroso S L</t>
  </si>
  <si>
    <t>Calle Pablo Ruiz Picasso, 12, 14014 Córdoba</t>
  </si>
  <si>
    <t>saneamientosarroyobarroso.es</t>
  </si>
  <si>
    <t>957 25 42 33</t>
  </si>
  <si>
    <t>info@saneamientosarroyobarroso.es</t>
  </si>
  <si>
    <t>Marcos Gamero</t>
  </si>
  <si>
    <t>Plaza de Andalucía, 8, 8, 14013 Córdoba</t>
  </si>
  <si>
    <t>marcosgamero.com</t>
  </si>
  <si>
    <t>957 29 00 17</t>
  </si>
  <si>
    <t>comercial@marcosgamero.com</t>
  </si>
  <si>
    <t>PROINCO CÓRDOBA</t>
  </si>
  <si>
    <t>Calle los Alfareros, 115, 14014 Córdoba</t>
  </si>
  <si>
    <t>proinco.es</t>
  </si>
  <si>
    <t>957 11 78 57</t>
  </si>
  <si>
    <t>Fontaneria Córdoba Dionisio Cabello</t>
  </si>
  <si>
    <t>Calle Dr. Nevado del Rey, 3, 14014 Córdoba</t>
  </si>
  <si>
    <t>626 09 62 12</t>
  </si>
  <si>
    <t>Cadelsur</t>
  </si>
  <si>
    <t>Calle Dolores Ibárruri, 11, 14011 Córdoba</t>
  </si>
  <si>
    <t>cadelsur.com</t>
  </si>
  <si>
    <t>957 40 06 55</t>
  </si>
  <si>
    <t>DESATASCOS MS. NAVARRO</t>
  </si>
  <si>
    <t>Calle Imprenta de la Alborada, Parc. 124, Mód. 4A, 14014, Córdoba</t>
  </si>
  <si>
    <t>El Levigar</t>
  </si>
  <si>
    <t>671 08 48 02</t>
  </si>
  <si>
    <t>Saneamientos Amador Moreno</t>
  </si>
  <si>
    <t>Calle Escultor Juan de Mesa, 2, 14002 Córdoba</t>
  </si>
  <si>
    <t>saneamientosamadormoreno.com</t>
  </si>
  <si>
    <t>957 47 81 65</t>
  </si>
  <si>
    <t>Fontanería Gonzalo Haro</t>
  </si>
  <si>
    <t>Calle Cáñamo, 6, 14010 Córdoba</t>
  </si>
  <si>
    <t>664 29 82 42</t>
  </si>
  <si>
    <t>Mantenimientos y Reformas Jara</t>
  </si>
  <si>
    <t>247 Calle Imprenta de la Alborada Pol Ind las Quemadas, 14014 Córdoba</t>
  </si>
  <si>
    <t>mantenimientosjara.com</t>
  </si>
  <si>
    <t>957 08 33 17</t>
  </si>
  <si>
    <t>info@mantenimientosjara.com</t>
  </si>
  <si>
    <t>Mantenimientos Generales Cordobeses SL</t>
  </si>
  <si>
    <t>Av. Agrupación Córdoba, 19, nave 20B, 14014 Córdoba</t>
  </si>
  <si>
    <t>mangecor.com</t>
  </si>
  <si>
    <t>957 10 74 07</t>
  </si>
  <si>
    <t>info@mangecor.com</t>
  </si>
  <si>
    <t>San-6</t>
  </si>
  <si>
    <t>CH3, 38, 14005 Córdoba</t>
  </si>
  <si>
    <t>san6cordoba.es</t>
  </si>
  <si>
    <t>administracion@san6cordoba.es</t>
  </si>
  <si>
    <t>Saneamientos Arroyo Barroso</t>
  </si>
  <si>
    <t>Multiservicios del Hogar Córdoba S.L.</t>
  </si>
  <si>
    <t>Calle Úbeda, 8, 14013 Córdoba</t>
  </si>
  <si>
    <t>957 20 11 29</t>
  </si>
  <si>
    <t>Fontanería Resimar</t>
  </si>
  <si>
    <t>Calle Letonia, 122, 14014 Córdoba</t>
  </si>
  <si>
    <t>fontaneriaresimar.es</t>
  </si>
  <si>
    <t>957 32 28 03</t>
  </si>
  <si>
    <t>resimar@telefonica.net</t>
  </si>
  <si>
    <t>Fontaneros Reparasur</t>
  </si>
  <si>
    <t>fontanerocordoba.com</t>
  </si>
  <si>
    <t>615 33 71 41</t>
  </si>
  <si>
    <t>info@fontanerocordoba.com</t>
  </si>
  <si>
    <t>Fontamania</t>
  </si>
  <si>
    <t>Calle Escultor Juan de Mesa, S/N, 14002 Córdoba</t>
  </si>
  <si>
    <t>fontamania.com</t>
  </si>
  <si>
    <t>644 98 08 90</t>
  </si>
  <si>
    <t>info@fontamania.com</t>
  </si>
  <si>
    <t>Desatascos Puma</t>
  </si>
  <si>
    <t>Av. Apreama, 6, nave 2, 14013 Córdoba</t>
  </si>
  <si>
    <t>desatascospuma.com</t>
  </si>
  <si>
    <t>630 74 93 98</t>
  </si>
  <si>
    <t>info@desatascospuma.com</t>
  </si>
  <si>
    <t>Alfonso Castillejo Sl</t>
  </si>
  <si>
    <t>Av. Gran Vía Parque, 2, 14005 Córdoba</t>
  </si>
  <si>
    <t>957 41 00 61</t>
  </si>
  <si>
    <t>Fontanería Cabello Casado Viñuela</t>
  </si>
  <si>
    <t>Calle Dr. Gómez Aguado, 4, 14014 Córdoba</t>
  </si>
  <si>
    <t>Don Grifo - La boutique del grifo</t>
  </si>
  <si>
    <t>Calle Francisco Azorín Izquierdo, 1, 14011 Córdoba</t>
  </si>
  <si>
    <t>dongrifo.com</t>
  </si>
  <si>
    <t>957 83 08 29</t>
  </si>
  <si>
    <t>johndoe@domain.com</t>
  </si>
  <si>
    <t>ROSA GALAN DECORACION, S.L. - GALAN Y ALBA, S.L.</t>
  </si>
  <si>
    <t>Calle Sagunto, 23, 14007 Córdoba</t>
  </si>
  <si>
    <t>957 43 96 73</t>
  </si>
  <si>
    <t>Rafael Puntas Servicios</t>
  </si>
  <si>
    <t>gruporafaelpuntas.com</t>
  </si>
  <si>
    <t>info@gruporafaelpuntas.com</t>
  </si>
  <si>
    <t>FONDIGA</t>
  </si>
  <si>
    <t>Calle Pintor Alvarez Ortega, 1, 14193 Córdoba</t>
  </si>
  <si>
    <t>693 32 82 72</t>
  </si>
  <si>
    <t>Fonrala S L</t>
  </si>
  <si>
    <t>Calle Sta. María de Gracia, 18, 14002 Córdoba</t>
  </si>
  <si>
    <t>608 41 11 28</t>
  </si>
  <si>
    <t>Maprisan</t>
  </si>
  <si>
    <t>Calle Betis, 4, 14011 Córdoba</t>
  </si>
  <si>
    <t>Agrelu Servicios De Fontanería</t>
  </si>
  <si>
    <t>Calle Luis Díaz, 1, 14002 Córdoba</t>
  </si>
  <si>
    <t>957 43 44 70</t>
  </si>
  <si>
    <t>Fontaneria Angel Jimenez</t>
  </si>
  <si>
    <t>Calle Pintor Espinosa, 14004 Córdoba</t>
  </si>
  <si>
    <t>Multiservicios Del Hogar Córdoba S L</t>
  </si>
  <si>
    <t>Calle Priego de Córdoba, 1, 14013 Córdoba</t>
  </si>
  <si>
    <t>957 20 11 12</t>
  </si>
  <si>
    <t>F.Laguna E Hijos</t>
  </si>
  <si>
    <t>Avenida Apreama (Pol. Ind. la Torrecilla), NAVE 1, 14013 Córdoba</t>
  </si>
  <si>
    <t>957 20 04 20</t>
  </si>
  <si>
    <t>Fontanería José Pérez Pérez</t>
  </si>
  <si>
    <t>Ctra. Cabra, N°13, 14900 Lucena, Córdoba</t>
  </si>
  <si>
    <t>Lucena</t>
  </si>
  <si>
    <t>957 51 56 04</t>
  </si>
  <si>
    <t>Saneamador - web online Expertos en fontaneria</t>
  </si>
  <si>
    <t>saneamador.es</t>
  </si>
  <si>
    <t>644 71 49 70</t>
  </si>
  <si>
    <t>info@saneamador.es</t>
  </si>
  <si>
    <t>Los Molinos</t>
  </si>
  <si>
    <t>Plaza de la Flor del Olivo, 2, 14001 Córdoba</t>
  </si>
  <si>
    <t>957 24 92 61</t>
  </si>
  <si>
    <t>Fontoapa S.L.</t>
  </si>
  <si>
    <t>Calle Infanta Doña María, 50, 14005 Córdoba</t>
  </si>
  <si>
    <t>957 45 34 80</t>
  </si>
  <si>
    <t>Juan Fernández Cañedo</t>
  </si>
  <si>
    <t>Calle Raimundo Lulio, 14, 14006 Córdoba</t>
  </si>
  <si>
    <t>676 54 71 98</t>
  </si>
  <si>
    <t>Gonzalo Castaño Fernández</t>
  </si>
  <si>
    <t>Calle Platero Lucas Valdés, 2, 14007 Córdoba</t>
  </si>
  <si>
    <t>957 07 11 32</t>
  </si>
  <si>
    <t>Gayro Redes S L</t>
  </si>
  <si>
    <t>Poligono Industrial las Quemadas, 109, 14014 Córdoba</t>
  </si>
  <si>
    <t>957 32 22 93</t>
  </si>
  <si>
    <t>Fontaneria El Palo</t>
  </si>
  <si>
    <t>Ctra. de Castro, 109, 14009 Córdoba</t>
  </si>
  <si>
    <t>636 37 81 45</t>
  </si>
  <si>
    <t>Fontanería Pérez Bermúdez</t>
  </si>
  <si>
    <t>Calle Arquitecto Mateo Gaya, 44, 14850 Baena, Córdoba</t>
  </si>
  <si>
    <t>Baena</t>
  </si>
  <si>
    <t>Rafael Cruces Fernández</t>
  </si>
  <si>
    <t>Calle Dulcinea, 11, 14014 Córdoba</t>
  </si>
  <si>
    <t>957 26 83 77</t>
  </si>
  <si>
    <t>Desatascos y limpiezas en Córdoba Salimcor</t>
  </si>
  <si>
    <t>Poligono Industrial Quintos, Fase 2, Nave 8, 14005 La Golondrina, Córdoba</t>
  </si>
  <si>
    <t>La Golondrina</t>
  </si>
  <si>
    <t>689 71 50 14</t>
  </si>
  <si>
    <t>Desatascos en Cordoba | Desatascos Romero</t>
  </si>
  <si>
    <t>Av. de Cádiz, s/n, 14009 Córdoba</t>
  </si>
  <si>
    <t>desatascosromero.es</t>
  </si>
  <si>
    <t>957 78 69 18</t>
  </si>
  <si>
    <t>info@desatascosromero.es</t>
  </si>
  <si>
    <t>Fontanería y Calefacción Hermanos Otero</t>
  </si>
  <si>
    <t>Redonda de la Marquesa, 14, BAJO, 14100 La Carlota, Córdoba</t>
  </si>
  <si>
    <t>La Carlota</t>
  </si>
  <si>
    <t>629 04 22 04</t>
  </si>
  <si>
    <t>Multiservicio Azaharas Sc</t>
  </si>
  <si>
    <t>957 46 33 06</t>
  </si>
  <si>
    <t>Multiservicios Los Califas S.l.</t>
  </si>
  <si>
    <t>Calle Gabriel Ramos Bejarano, 236 -A (Pol Ind las Quemadas), 14014 Córdoba</t>
  </si>
  <si>
    <t>957 32 50 80</t>
  </si>
  <si>
    <t>Fontanería y Calefacción Gómez</t>
  </si>
  <si>
    <t>Calle Fuente Álamo, 65, 14550 Montilla, Córdoba</t>
  </si>
  <si>
    <t>Montilla</t>
  </si>
  <si>
    <t>957 65 08 08</t>
  </si>
  <si>
    <t>Fontanería Hermanos Arévalo S.L.</t>
  </si>
  <si>
    <t>Calle Villanueva de Córdoba, 91, 14400 Pozoblanco, Córdoba</t>
  </si>
  <si>
    <t>Pozoblanco</t>
  </si>
  <si>
    <t>957 77 11 64</t>
  </si>
  <si>
    <t>Instalaciones Masul S.L.</t>
  </si>
  <si>
    <t>Calle Impresor Acisclo Cortés Ribera, 253, 14014 Las Quemadas, Córdoba</t>
  </si>
  <si>
    <t>617 23 35 20</t>
  </si>
  <si>
    <t>Suministro De Riego Jhp</t>
  </si>
  <si>
    <t>Golondrina ( La, Ctra. Palma del Río, 8B, 14005 Córdoba</t>
  </si>
  <si>
    <t>957 33 04 05</t>
  </si>
  <si>
    <t>Mingorance S L</t>
  </si>
  <si>
    <t>Calle Ing. Juan de la Cierva, 0, 14013 Córdoba</t>
  </si>
  <si>
    <t>957 42 11 89</t>
  </si>
  <si>
    <t>Iscarfran</t>
  </si>
  <si>
    <t>Poligono Industrial las Quemadas, S/N, 14014 Córdoba</t>
  </si>
  <si>
    <t>677 46 77 48</t>
  </si>
  <si>
    <t>Riego y Fontanería Paco Recortes S L</t>
  </si>
  <si>
    <t>Polígono Industrial Gallardo, Calle Ing. Juan de la Cierva, 2, 14100 La Carlota, Córdoba</t>
  </si>
  <si>
    <t>pacorecortes.es</t>
  </si>
  <si>
    <t>957 30 09 01</t>
  </si>
  <si>
    <t>Fontanería dongrifo.com La Boutique del grifo</t>
  </si>
  <si>
    <t>Av. de los Aguijones, 9, 14011 Córdoba</t>
  </si>
  <si>
    <t>DISTRIBUCIONES DE FONTANERIA CARLOS</t>
  </si>
  <si>
    <t>C/ Alcalá Zamora, 14, 14006 Córdoba</t>
  </si>
  <si>
    <t>634 39 52 54</t>
  </si>
  <si>
    <t>Lugar Arroyo De San Lorenzo, 2, 14002 Córdoba</t>
  </si>
  <si>
    <t>957 49 11 89</t>
  </si>
  <si>
    <t>San 6 Fontanería</t>
  </si>
  <si>
    <t>Av. de Chinales, 20, 14007 Córdoba</t>
  </si>
  <si>
    <t>Fontanería Antonio Burgos</t>
  </si>
  <si>
    <t>Calle Maestro Gordillo, 1, 14900 Lucena, Córdoba</t>
  </si>
  <si>
    <t>antonioburgos.amawebs.com</t>
  </si>
  <si>
    <t>957 50 36 50</t>
  </si>
  <si>
    <t>Riegos y Fontanería Recortes</t>
  </si>
  <si>
    <t>Av. Soldevilla Vazquez, 16, 14730 Posadas, Córdoba</t>
  </si>
  <si>
    <t>Posadas</t>
  </si>
  <si>
    <t>957 63 06 63</t>
  </si>
  <si>
    <t>Vicente Sánchez Varó</t>
  </si>
  <si>
    <t>Calle Pintor Espinosa, 19, 14004 Córdoba</t>
  </si>
  <si>
    <t>Fontanería Mariano Fernández Luque</t>
  </si>
  <si>
    <t>Av. Boucau, 31, 14550 Montilla, Córdoba</t>
  </si>
  <si>
    <t>José Rodríguez Jiménez</t>
  </si>
  <si>
    <t>Calle Don Lope de los Ríos, 9, 14006 Córdoba</t>
  </si>
  <si>
    <t>957 27 99 09</t>
  </si>
  <si>
    <t>Hubel Irrigation Systems España S L</t>
  </si>
  <si>
    <t>Calle Manuel de Sandoval, 0, 14001 Córdoba</t>
  </si>
  <si>
    <t>957 49 88 00</t>
  </si>
  <si>
    <t>Bemjasa Córdoba</t>
  </si>
  <si>
    <t>Pje. Puerto de Sta. María, 1, 14014 Córdoba</t>
  </si>
  <si>
    <t>957 32 59 63</t>
  </si>
  <si>
    <t>Saneamientos y Fontanería Campaña Guijarro, S.L.</t>
  </si>
  <si>
    <t>Av. de España, 31, 14800 Priego de Córdoba, Córdoba</t>
  </si>
  <si>
    <t>957 54 13 52</t>
  </si>
  <si>
    <t>Gumesa</t>
  </si>
  <si>
    <t>Calle Suecia, 0 Parcela 109 C (Pol Ind las Quemadas), 14014 Córdoba</t>
  </si>
  <si>
    <t>957 26 50 51</t>
  </si>
  <si>
    <t>Saneamientos</t>
  </si>
  <si>
    <t>14011 Córdoba</t>
  </si>
  <si>
    <t>Saneamientos Molina</t>
  </si>
  <si>
    <t>Calle Gibraltar, S/N, 14014 Córdoba</t>
  </si>
  <si>
    <t>957 25 66 49</t>
  </si>
  <si>
    <t>Fontanería González Eslava S L</t>
  </si>
  <si>
    <t>Calle Dr. Miguel Servet, 28, 14520 Fernán-Núñez, Córdoba</t>
  </si>
  <si>
    <t>Fernán-Núñez</t>
  </si>
  <si>
    <t>957 38 08 49</t>
  </si>
  <si>
    <t>Aserclima Suministros S L</t>
  </si>
  <si>
    <t>Av. Apreama, 2, 14013 Córdoba</t>
  </si>
  <si>
    <t>957 42 99 09</t>
  </si>
  <si>
    <t>GAS DE LA SUBBETICA TOJEÑA SL</t>
  </si>
  <si>
    <t>Calle Dr. Balbino Povedano Ruiz, 7, 14800 Priego de Córdoba, Córdoba</t>
  </si>
  <si>
    <t>957 11 94 48</t>
  </si>
  <si>
    <t>Fontanería Hinojosa Aguilera</t>
  </si>
  <si>
    <t>Calle la Ribera, 14800 Priego de Córdoba, Córdoba</t>
  </si>
  <si>
    <t>957 54 10 84</t>
  </si>
  <si>
    <t>Fontanería y Calefacción Lucena</t>
  </si>
  <si>
    <t>Calle Torneros, 1, Local 1, 14900 Lucena, Córdoba</t>
  </si>
  <si>
    <t>fontanerialucena.com</t>
  </si>
  <si>
    <t>680 68 39 74</t>
  </si>
  <si>
    <t>info@fontanerialucena.com</t>
  </si>
  <si>
    <t>3i Multihogar Asistencia Rapida</t>
  </si>
  <si>
    <t>Calle Acera de Granada, 24, 14009 Córdoba</t>
  </si>
  <si>
    <t>902 29 11 19</t>
  </si>
  <si>
    <t>Fontanerocordova.Es</t>
  </si>
  <si>
    <t>Plaza el Moreal, 6, 14010 Córdoba</t>
  </si>
  <si>
    <t>Fontanería Serrano Sl</t>
  </si>
  <si>
    <t>Calle Ronda Jardinito, 1, 14940 Cabra, Córdoba</t>
  </si>
  <si>
    <t>Cabra</t>
  </si>
  <si>
    <t>Fontanería Márquez Marqués</t>
  </si>
  <si>
    <t>Av. Antonio y Miguel Navarro, 21, 14550 Montilla, Córdoba</t>
  </si>
  <si>
    <t>Tuberías Y Valvulas Del Sur</t>
  </si>
  <si>
    <t>Calle Imprenta De La Alborada, 0 S N ( Pol Ind Las Quemadas ), 14014 Córdoba</t>
  </si>
  <si>
    <t>tuvalsur.com</t>
  </si>
  <si>
    <t>957 35 71 73</t>
  </si>
  <si>
    <t>info@tuvalsur.com</t>
  </si>
  <si>
    <t>Antonio Baños</t>
  </si>
  <si>
    <t>Calle Romero de Torres, 4, 14270 Hinojosa del Duque, Córdoba</t>
  </si>
  <si>
    <t>Hinojosa del Duque</t>
  </si>
  <si>
    <t>957 14 11 25</t>
  </si>
  <si>
    <t>Vicente Serrano Espejo</t>
  </si>
  <si>
    <t>Calle San Isidro, 14, 14940 Cabra, Córdoba</t>
  </si>
  <si>
    <t>957 52 22 48</t>
  </si>
  <si>
    <t>Fontarosa S.L.</t>
  </si>
  <si>
    <t>Av. de Alemania, 29, 14850 Baena, Córdoba</t>
  </si>
  <si>
    <t>fontarosa.es</t>
  </si>
  <si>
    <t>957 69 00 46</t>
  </si>
  <si>
    <t>fontarosas.l@hotmail.com</t>
  </si>
  <si>
    <t>Orejuela Instalaciones</t>
  </si>
  <si>
    <t>Calle la Carlota, num 3, 14120 Córdoba</t>
  </si>
  <si>
    <t>orejuelainstalaciones.com</t>
  </si>
  <si>
    <t>675 84 84 49</t>
  </si>
  <si>
    <t>carlos@orejuelainstalaciones.com</t>
  </si>
  <si>
    <t>Francisco Javier Díaz Jiménez</t>
  </si>
  <si>
    <t>Calle Trastorres, 27, 14840 Castro del Río, Córdoba</t>
  </si>
  <si>
    <t>Castro del Río</t>
  </si>
  <si>
    <t>Fontanería Francisco Aguilera</t>
  </si>
  <si>
    <t>Av. de España, 41, 14800 Priego de Córdoba, Córdoba</t>
  </si>
  <si>
    <t>Fontanería Hermanos Rodríguez Ortega S.L.</t>
  </si>
  <si>
    <t>Calle Ejido Plaza de Toros, 22, 14900 Lucena, Córdoba</t>
  </si>
  <si>
    <t>957 50 13 94</t>
  </si>
  <si>
    <t>Saneamientos Y Fontanería T Blanco Moreno S L</t>
  </si>
  <si>
    <t>Calle Jaén, 13, 14440 Villanueva de Córdoba, Córdoba</t>
  </si>
  <si>
    <t>Villanueva de Córdoba</t>
  </si>
  <si>
    <t>957 12 11 62</t>
  </si>
  <si>
    <t>Fontaneros Lucena</t>
  </si>
  <si>
    <t>Calle Domingo Fernández Maíllo, Nº 20, 1º C, 14900 Lucena, Córdoba</t>
  </si>
  <si>
    <t>fontaneroslucena.com</t>
  </si>
  <si>
    <t>616 90 24 41</t>
  </si>
  <si>
    <t>info@fontaneroslucena.com</t>
  </si>
  <si>
    <t>José Antonio Alberca Romero</t>
  </si>
  <si>
    <t>Calle el Almidón, 77, 14920 Aguilar de la Frontera, Córdoba</t>
  </si>
  <si>
    <t>Aguilar de la Frontera</t>
  </si>
  <si>
    <t>957 68 92 89</t>
  </si>
  <si>
    <t>Fontanería García E Hijos</t>
  </si>
  <si>
    <t>Av. Blas Infante, 10, 14700 Palma del Río, Córdoba</t>
  </si>
  <si>
    <t>957 71 00 68</t>
  </si>
  <si>
    <t>Instalaciones de Fontanería Serrano Arias S.L.</t>
  </si>
  <si>
    <t>Calle Rey Fernando, 6, 14850 Baena, Córdoba</t>
  </si>
  <si>
    <t>Fontanería Ruiber</t>
  </si>
  <si>
    <t>Calle Párroco Joaquín Jiménez Muriel, 28, 14900 Lucena, Córdoba</t>
  </si>
  <si>
    <t>957 59 02 19</t>
  </si>
  <si>
    <t>Rafael Roldán Quero</t>
  </si>
  <si>
    <t>Calle Juan Carandell, 14, 14940 Cabra, Córdoba</t>
  </si>
  <si>
    <t>957 52 15 53</t>
  </si>
  <si>
    <t>Rafaela Reina Portero</t>
  </si>
  <si>
    <t>Av. Boucau, 13, 14550 Montilla, Córdoba</t>
  </si>
  <si>
    <t>957 66 44 08</t>
  </si>
  <si>
    <t>Fontaneria Guzman</t>
  </si>
  <si>
    <t>Calle Vivero, 1, 14800 Priego de Córdoba, Córdoba</t>
  </si>
  <si>
    <t>Santiago Castro</t>
  </si>
  <si>
    <t>Calle Cava, 33, 14600 Montoro, Córdoba</t>
  </si>
  <si>
    <t>Montoro</t>
  </si>
  <si>
    <t>957 16 00 67</t>
  </si>
  <si>
    <t>Electricidad y Fontanería Luque S.L.</t>
  </si>
  <si>
    <t>Calle Alta, 71, 14510 Moriles, Córdoba</t>
  </si>
  <si>
    <t>Moriles</t>
  </si>
  <si>
    <t>Rafaela Salgado Prats</t>
  </si>
  <si>
    <t>Calle Ben Mocaden, 14, 14940 Cabra, Córdoba</t>
  </si>
  <si>
    <t>Saneamientos Y Fontanería Rueda S L</t>
  </si>
  <si>
    <t>Calle Málaga, 13, 14800 Priego de Córdoba, Córdoba</t>
  </si>
  <si>
    <t>Fontanería Hermanos Molina</t>
  </si>
  <si>
    <t>Calle Nueva, 19, 14816 El Esparragal, Córdoba</t>
  </si>
  <si>
    <t>El Esparragal</t>
  </si>
  <si>
    <t>669 31 74 37</t>
  </si>
  <si>
    <t>Miguel Rodríguez Castro</t>
  </si>
  <si>
    <t>Av. del Marqués de la Vega de Armijo, 5, 14550 Montilla, Córdoba</t>
  </si>
  <si>
    <t>Servicios de Fontanería</t>
  </si>
  <si>
    <t>Calle Cervantes, 36, 14960 Rute, Córdoba</t>
  </si>
  <si>
    <t>Rute</t>
  </si>
  <si>
    <t>Suministros Fontaneria</t>
  </si>
  <si>
    <t>Calle Peñuelas, 7, 14900 Lucena, Córdoba</t>
  </si>
  <si>
    <t>Fontanería Arusa S L</t>
  </si>
  <si>
    <t>Av. Vía del Calatraveño, 2, 14470 El Viso, Córdoba</t>
  </si>
  <si>
    <t>El Viso</t>
  </si>
  <si>
    <t>957 12 77 41</t>
  </si>
  <si>
    <t>Linocor</t>
  </si>
  <si>
    <t>Ronda Plaza de Toros, 33, 14400 Pozoblanco, Córdoba</t>
  </si>
  <si>
    <t>desatascoslinocor.es</t>
  </si>
  <si>
    <t>630 72 66 20</t>
  </si>
  <si>
    <t>Sanecar</t>
  </si>
  <si>
    <t>Calle Edison, 0 S N ( Pol Ind Llanos Del Jarata ), 14550 Jarata, Córdoba</t>
  </si>
  <si>
    <t>957 65 33 31</t>
  </si>
  <si>
    <t>Zimmerit S.L</t>
  </si>
  <si>
    <t>Calle San Gregorio, 5, 14440 Villanueva de Córdoba, Córdoba</t>
  </si>
  <si>
    <t>Fontaneros Baratos</t>
  </si>
  <si>
    <t>Avda. Tecnología, 26 Edificio Vilamar I Planta 1 Mod. 12, Sevilla</t>
  </si>
  <si>
    <t>fontanero-barato.es</t>
  </si>
  <si>
    <t>Fontanero Granada económico Martínez</t>
  </si>
  <si>
    <t>Calle Gabriela Mistral Local,n2, Local 7, 18011 Granada</t>
  </si>
  <si>
    <t>fontanerogranada.jimdofree.com</t>
  </si>
  <si>
    <t>958 09 63 59</t>
  </si>
  <si>
    <t>FONTANERO GRANADA MUY ENONOMICO ALTA PROFESIONALIDAD. 20 años de experiencia a su servicio</t>
  </si>
  <si>
    <t>fontanero-granada.negocio.site</t>
  </si>
  <si>
    <t>653 06 22 86</t>
  </si>
  <si>
    <t>FONTANEROS GRANADA (BARATO)</t>
  </si>
  <si>
    <t>Calle Rosa Chacel, 18011 Granada</t>
  </si>
  <si>
    <t>fontanerogranada.webnode.es</t>
  </si>
  <si>
    <t>smlyutus@gmail.com</t>
  </si>
  <si>
    <t>Instalaciones y reformas Zapata.</t>
  </si>
  <si>
    <t>Calle Santisteban Márquez, 1, 18003 Granada</t>
  </si>
  <si>
    <t>business.site</t>
  </si>
  <si>
    <t>609 57 63 36</t>
  </si>
  <si>
    <t>DESABECO DESATASCOS GRANADA 24 Hrs</t>
  </si>
  <si>
    <t>Camino Real de los Neveros, 20, 1º A, 18008 Granada</t>
  </si>
  <si>
    <t>desabeco24hrs.com</t>
  </si>
  <si>
    <t>655 86 20 10</t>
  </si>
  <si>
    <t>info@desabeco24hrs.com</t>
  </si>
  <si>
    <t>Instalaciones J. González</t>
  </si>
  <si>
    <t>Calle San Pedro Mártir, 23, 18009 Granada</t>
  </si>
  <si>
    <t>958 22 41 33</t>
  </si>
  <si>
    <t>Aquagas Granada Fontaneros</t>
  </si>
  <si>
    <t>Av. Don Bosco, 14, 18006 Granada</t>
  </si>
  <si>
    <t>aquagasgranada.es</t>
  </si>
  <si>
    <t>659 77 48 94</t>
  </si>
  <si>
    <t>info@aquagasgranada.es</t>
  </si>
  <si>
    <t>Fontanería Granada</t>
  </si>
  <si>
    <t>643 71 44 54</t>
  </si>
  <si>
    <t>ferreteria San Agustin</t>
  </si>
  <si>
    <t>Calle Álvaro de Bazán, 12, 18001 Granada</t>
  </si>
  <si>
    <t>958 29 41 29</t>
  </si>
  <si>
    <t>FONTANERIA GC</t>
  </si>
  <si>
    <t>Calle Dr. Rojas Ballesteros, 18012 Granada</t>
  </si>
  <si>
    <t>626 73 75 88</t>
  </si>
  <si>
    <t>Fontanería RAMOS</t>
  </si>
  <si>
    <t>654 81 28 77</t>
  </si>
  <si>
    <t>SUMINISTROS CALSE</t>
  </si>
  <si>
    <t>Calle Torre de Comares, 18007 Granada</t>
  </si>
  <si>
    <t>958 81 81 44</t>
  </si>
  <si>
    <t>FONTANERIA MARTÍNEZ</t>
  </si>
  <si>
    <t>Iglesia de san Brtolomé n°12, 18010 Granada</t>
  </si>
  <si>
    <t>Instalaciones y Reparaciones García Martín</t>
  </si>
  <si>
    <t>18200 Granada</t>
  </si>
  <si>
    <t>645 51 44 64</t>
  </si>
  <si>
    <t>Desatranques urgentes en Granada (Desatranques Sierra Nevada)</t>
  </si>
  <si>
    <t>18194 Churriana de la Vega, Granada</t>
  </si>
  <si>
    <t>desatranquessierranevada.com</t>
  </si>
  <si>
    <t>687 97 59 09</t>
  </si>
  <si>
    <t>info@desatranquessierranevada.com</t>
  </si>
  <si>
    <t>Instalaciones Caballero</t>
  </si>
  <si>
    <t>696 62 87 92</t>
  </si>
  <si>
    <t>Suministros Valtusa S.L.</t>
  </si>
  <si>
    <t>Camino Bajo, 17, 19, 18100 Armilla, Granada</t>
  </si>
  <si>
    <t>Armilla</t>
  </si>
  <si>
    <t>valtusa.es</t>
  </si>
  <si>
    <t>958 04 74 72</t>
  </si>
  <si>
    <t>info@valtusa.es</t>
  </si>
  <si>
    <t>fontaneria lucimart</t>
  </si>
  <si>
    <t>Calle Rosalía de Castro, 31, 2f, 18011 Granada</t>
  </si>
  <si>
    <t>635 69 88 25</t>
  </si>
  <si>
    <t>VALSAN Delegación JUNCARIL y Centro Logístico</t>
  </si>
  <si>
    <t>Polígono Juncaril, C/ Loja nº 125A, 18210 Peligros, Granada</t>
  </si>
  <si>
    <t>Peligros</t>
  </si>
  <si>
    <t>958 07 17 56</t>
  </si>
  <si>
    <t>Desatascos Ruiz Granada</t>
  </si>
  <si>
    <t>Camino de Beas, 18010 Granada</t>
  </si>
  <si>
    <t>958 21 04 26</t>
  </si>
  <si>
    <t>Comercial la Caldera Granada</t>
  </si>
  <si>
    <t>Calle Alhamar, 6, 18005 Granada</t>
  </si>
  <si>
    <t>958 25 00 37</t>
  </si>
  <si>
    <t>Desatranques Fernando</t>
  </si>
  <si>
    <t>desatranquesfernando.es</t>
  </si>
  <si>
    <t>662 96 17 75</t>
  </si>
  <si>
    <t>gestion@desatranquesfernando.es</t>
  </si>
  <si>
    <t>VALSAN Delegación Políg. Tecnológico</t>
  </si>
  <si>
    <t>Polígono Tecnológico de, Av. Madrid, 172, 18151 Ogíjares, Granada</t>
  </si>
  <si>
    <t>Ogíjares</t>
  </si>
  <si>
    <t>958 50 90 96</t>
  </si>
  <si>
    <t>DESATASCOS Y LIMPIEZA FOSAS SÉPTICAS GRANADA</t>
  </si>
  <si>
    <t>Calle Quijote, 20, 18194 Churriana de la Vega, Granada</t>
  </si>
  <si>
    <t>Reser Reparaciones y Servicios</t>
  </si>
  <si>
    <t>Calle Chueca, 10, 18004 Granada</t>
  </si>
  <si>
    <t>958 25 42 29</t>
  </si>
  <si>
    <t>Juan Manuel Gómez Castillo</t>
  </si>
  <si>
    <t>Calle Gaviota, 14, 18014 Granada</t>
  </si>
  <si>
    <t>958 27 37 14</t>
  </si>
  <si>
    <t>Low Cost</t>
  </si>
  <si>
    <t>Placeta Rosales, 2, 18010 SEGUNDO, Granada</t>
  </si>
  <si>
    <t>655 40 45 62</t>
  </si>
  <si>
    <t>PROINCO GRANADA (ALBOLOTE)</t>
  </si>
  <si>
    <t>Calle Guadix, parcela 368, P.I, 18220 Juncaril, Granada</t>
  </si>
  <si>
    <t>Juncaril</t>
  </si>
  <si>
    <t>958 46 69 46</t>
  </si>
  <si>
    <t>Fontanería G C</t>
  </si>
  <si>
    <t>Calle Sol, 2, 18194 Churriana de la Vega, Granada</t>
  </si>
  <si>
    <t>𝗙𝗢𝗡𝗧𝗔𝗡𝗘𝗥𝗢 𝗘𝗡 𝗚𝗥𝗔𝗡𝗔𝗗𝗔 - REPARACIONES DE FONTANERÍA EN GENERAL</t>
  </si>
  <si>
    <t>Calle Javier Espronceda, 3, 18140 La Zubia, Granada</t>
  </si>
  <si>
    <t>La Zubia</t>
  </si>
  <si>
    <t>691 34 75 29</t>
  </si>
  <si>
    <t>FONTANERIA FRANCISCO MANUEL ANTEQUERA POLO</t>
  </si>
  <si>
    <t>Calle Pájaro Carpintero, Nº5, 18140 La Zubia, Granada</t>
  </si>
  <si>
    <t>661 65 24 20</t>
  </si>
  <si>
    <t>Tuberías Jiménez</t>
  </si>
  <si>
    <t>España</t>
  </si>
  <si>
    <t>Albolote</t>
  </si>
  <si>
    <t>958 43 04 40</t>
  </si>
  <si>
    <t>Clima Gas</t>
  </si>
  <si>
    <t>Calle Matilde de Torre, 22, 18011 Granada</t>
  </si>
  <si>
    <t>680 46 13 62</t>
  </si>
  <si>
    <t>Fonta Mota</t>
  </si>
  <si>
    <t>Camino de Ronda, 145, 18003 Granada</t>
  </si>
  <si>
    <t>fontaneriafontamota.com</t>
  </si>
  <si>
    <t>683 18 77 00</t>
  </si>
  <si>
    <t>multireparaciones caniles slu</t>
  </si>
  <si>
    <t>695 50 98 25</t>
  </si>
  <si>
    <t>Mantenimiento innova</t>
  </si>
  <si>
    <t>Av. de Barcelona, 8, 18006 Granada</t>
  </si>
  <si>
    <t>647 69 45 69</t>
  </si>
  <si>
    <t>Tecnihogar Granada S L</t>
  </si>
  <si>
    <t>Calle los Montes, 1, 18198 Huétor Vega, Granada</t>
  </si>
  <si>
    <t>Huétor Vega</t>
  </si>
  <si>
    <t>958 30 00 00</t>
  </si>
  <si>
    <t>Fontanería Sergio Torres</t>
  </si>
  <si>
    <t>Calle Dilar, 1, 18630 Otura, Granada</t>
  </si>
  <si>
    <t>Otura</t>
  </si>
  <si>
    <t>679 89 95 16</t>
  </si>
  <si>
    <t>Instalaciones Ragoco SC</t>
  </si>
  <si>
    <t>Pje. de Lirios, S/N, 18006 Granada</t>
  </si>
  <si>
    <t>958 81 64 01</t>
  </si>
  <si>
    <t>Reformas y mantenimientosP.G.</t>
  </si>
  <si>
    <t>622 90 07 50</t>
  </si>
  <si>
    <t>Instalaciones Roca</t>
  </si>
  <si>
    <t>Calle Artesano Molero, 10B, 18004 Granada</t>
  </si>
  <si>
    <t>Multiservicios Paco García (Desatranques de tuberías, inspección de tuberías, limpieza industrial)</t>
  </si>
  <si>
    <t>Calle Los Praos, 1 NAVE, 18230 Atarfe, Granada</t>
  </si>
  <si>
    <t>desatranquespg.com</t>
  </si>
  <si>
    <t>958 49 10 85</t>
  </si>
  <si>
    <t>Desatascos tubored (Granada)</t>
  </si>
  <si>
    <t>Calle Quijote, 20, ático, d, 18194 Churriana de la Vega, Granada</t>
  </si>
  <si>
    <t>Grupo Vico | Desatascos Granada</t>
  </si>
  <si>
    <t>Calle Huetor Vega, Nave 17 Bis, Polígono, 18220 Juncaril, Granada</t>
  </si>
  <si>
    <t>desatascos.atencionweb.es</t>
  </si>
  <si>
    <t>958 49 14 56</t>
  </si>
  <si>
    <t>Desatranques Nevada</t>
  </si>
  <si>
    <t>DESATRANQUES GESTIGRA S.L.</t>
  </si>
  <si>
    <t>C/ La Peza Parcela R184 Plg. Ind. Juncaril, 18220 Granada</t>
  </si>
  <si>
    <t>gestigra.com</t>
  </si>
  <si>
    <t>689 81 06 49</t>
  </si>
  <si>
    <t>info@gestigra.com</t>
  </si>
  <si>
    <t>Instalaciones Nazaries</t>
  </si>
  <si>
    <t>Calle Perú, 3, 18220 Albolote, Granada</t>
  </si>
  <si>
    <t>618 61 02 82</t>
  </si>
  <si>
    <t>Francisco Rodríguez Ruiz</t>
  </si>
  <si>
    <t>Calle Ribera, 28, 18110 Gabia Grande, Granada</t>
  </si>
  <si>
    <t>Gabia Grande</t>
  </si>
  <si>
    <t>Localización y Detección de Fugas Granada</t>
  </si>
  <si>
    <t>Ctra. Gabia-Híjar, 18110 Las Gabias, Granada</t>
  </si>
  <si>
    <t>Las Gabias</t>
  </si>
  <si>
    <t>Montés Torres S.L.</t>
  </si>
  <si>
    <t>Calle Espinela, 62, 18197 Pulianas, Granada</t>
  </si>
  <si>
    <t>Pulianas</t>
  </si>
  <si>
    <t>Climadiesel</t>
  </si>
  <si>
    <t>Calle Badajoz, 0, 18230 Atarfe, Granada</t>
  </si>
  <si>
    <t>958 43 55 49</t>
  </si>
  <si>
    <t>Valvuleria Y Saneamientos S L</t>
  </si>
  <si>
    <t>Parque Tecnológico Armilla Ogijares, 172, 18151 Ogíjares, Granada</t>
  </si>
  <si>
    <t>958 50 99 09</t>
  </si>
  <si>
    <t>Fontanería Ruiz</t>
  </si>
  <si>
    <t>Calle Real, 9, 18101 Vegas Del Genil, Granada</t>
  </si>
  <si>
    <t>Belicena</t>
  </si>
  <si>
    <t>sites.google.com</t>
  </si>
  <si>
    <t>637 02 21 03</t>
  </si>
  <si>
    <t>Instalaciones y Mantenimientos Nazaries</t>
  </si>
  <si>
    <t>iminstalaciones.com</t>
  </si>
  <si>
    <t>info@iminstalaciones.com</t>
  </si>
  <si>
    <t>Vicó Instalaciones Reformas y Servicios</t>
  </si>
  <si>
    <t>Construcción de piscinas | Grupo Vico Calle Huetor Vega, Nave 17 Bis, 18220 Albolote, Granada</t>
  </si>
  <si>
    <t>Azulejos y Saneamientos Bailón Ortiz</t>
  </si>
  <si>
    <t>Av. de Granada, 36, 18197 Pulianas, Granada</t>
  </si>
  <si>
    <t>bailonortiz.com</t>
  </si>
  <si>
    <t>958 42 65 62</t>
  </si>
  <si>
    <t>Instalaciones Pérez Bailón</t>
  </si>
  <si>
    <t>Plaza Ánimas, 2, 18220 Albolote, Granada</t>
  </si>
  <si>
    <t>Desatascos Granada J. López Segura</t>
  </si>
  <si>
    <t>658 84 53 60</t>
  </si>
  <si>
    <t>José Antonio Martín Oliva</t>
  </si>
  <si>
    <t>Calle Sorolla, 15, 18110 Gabia Grande, Granada</t>
  </si>
  <si>
    <t>958 58 66 18</t>
  </si>
  <si>
    <t>Fontaneros en Granada, Vico</t>
  </si>
  <si>
    <t>18620 Alhendín, Granada</t>
  </si>
  <si>
    <t>Alhendín</t>
  </si>
  <si>
    <t>Manuel Fernández Fernández</t>
  </si>
  <si>
    <t>Calle Jardines, 13, 18620 Alhendín, Granada</t>
  </si>
  <si>
    <t>958 55 88 07</t>
  </si>
  <si>
    <t>Antonio Linares Guijarro</t>
  </si>
  <si>
    <t>Calle Vista Alegre, 63, 18110 Gabia Grande, Granada</t>
  </si>
  <si>
    <t>695 48 44 04</t>
  </si>
  <si>
    <t>Fontanería y Desatascos Desma S.L</t>
  </si>
  <si>
    <t>Av. Carmen Morcillo, 10, 18150 Gójar, Granada</t>
  </si>
  <si>
    <t>Gójar</t>
  </si>
  <si>
    <t>644 27 78 81</t>
  </si>
  <si>
    <t>Oteclima</t>
  </si>
  <si>
    <t>CARRETERA SANTA FE, S/N, 18230 Atarfe, Granada</t>
  </si>
  <si>
    <t>958 43 77 36</t>
  </si>
  <si>
    <t>Antonio Miguel Esquitino García</t>
  </si>
  <si>
    <t>Calle Badajoz, 4, 18210 Peligros, Granada</t>
  </si>
  <si>
    <t>958 12 99 23</t>
  </si>
  <si>
    <t>Reparaciones De Fontanería Grana Sc</t>
  </si>
  <si>
    <t>Calle Jiménez de Quesada, 8, 18320 Santa Fe, Granada</t>
  </si>
  <si>
    <t>Santa Fe</t>
  </si>
  <si>
    <t>958 51 00 57</t>
  </si>
  <si>
    <t>Salvador M Delgado Rodríguez</t>
  </si>
  <si>
    <t>Calle Motril, 0, 18110 Gabia Grande, Granada</t>
  </si>
  <si>
    <t>958 58 11 81</t>
  </si>
  <si>
    <t>Fontanería Mullor</t>
  </si>
  <si>
    <t>fontaneria-mullor.negocio.site</t>
  </si>
  <si>
    <t>680 65 96 25</t>
  </si>
  <si>
    <t>Fontadur</t>
  </si>
  <si>
    <t>Calle Cordoba, 6, 18650 Dúrcal, Granada</t>
  </si>
  <si>
    <t>Dúrcal</t>
  </si>
  <si>
    <t>677 41 11 14</t>
  </si>
  <si>
    <t>Desatranques Costa Tropical | Desatascos en Almuñécar, Motril, Nerja</t>
  </si>
  <si>
    <t>Camino de la vega, 2, 18690 Almuñécar, Granada</t>
  </si>
  <si>
    <t>Almuñécar</t>
  </si>
  <si>
    <t>desatranquescostatropical.es</t>
  </si>
  <si>
    <t>600 84 56 92</t>
  </si>
  <si>
    <t>Senda Lda</t>
  </si>
  <si>
    <t>Calle Méjico, 46, 18194 Churriana de la Vega, Granada</t>
  </si>
  <si>
    <t>Fontanero Salobreña Niko Villaescusa</t>
  </si>
  <si>
    <t>627 36 37 40</t>
  </si>
  <si>
    <t>VALSAN Delegación MOTRIL</t>
  </si>
  <si>
    <t>Calle Tegucigalpa, 19, 18600 Motril, Granada</t>
  </si>
  <si>
    <t>Motril</t>
  </si>
  <si>
    <t>858 12 82 96</t>
  </si>
  <si>
    <t>Fontanerias Rubio</t>
  </si>
  <si>
    <t>Calle Salvador, 9, 18690 Almuñécar, Granada</t>
  </si>
  <si>
    <t>667 64 44 95</t>
  </si>
  <si>
    <t>Desatascos Salobreña</t>
  </si>
  <si>
    <t>Calle Dr. Castro Viejo, 6, 18680 Salobreña, Granada</t>
  </si>
  <si>
    <t>Salobreña</t>
  </si>
  <si>
    <t>paginasamarillas.es</t>
  </si>
  <si>
    <t>667 81 28 88</t>
  </si>
  <si>
    <t>Fontaneros en Jaén</t>
  </si>
  <si>
    <t>665 80 20 70</t>
  </si>
  <si>
    <t>Fontanería Morón S.L.</t>
  </si>
  <si>
    <t>Paseo Independencia, 35, 21002 Huelva</t>
  </si>
  <si>
    <t>959 82 33 33</t>
  </si>
  <si>
    <t>Fontanería Tartessos</t>
  </si>
  <si>
    <t>Calle Antonio Rengel, 13, 21002 Huelva</t>
  </si>
  <si>
    <t>fontaneriatartessos.es</t>
  </si>
  <si>
    <t>633 05 39 46</t>
  </si>
  <si>
    <t>Grupo Fongas</t>
  </si>
  <si>
    <t>Av. de la Orden, 45, 21005 Huelva</t>
  </si>
  <si>
    <t>stopdesatascos.com</t>
  </si>
  <si>
    <t>959 07 08 00</t>
  </si>
  <si>
    <t>Fontanero Alejandro garcia huelva</t>
  </si>
  <si>
    <t>Calle Camarada Cerrejón Limón Avd de los plateros 5, Av. Andalucía, 16, 21007 Huelva</t>
  </si>
  <si>
    <t>722 29 49 23</t>
  </si>
  <si>
    <t>fontaonuba, s.l - Bombas de agua - servicio técnico ESPA y calentadores junkers</t>
  </si>
  <si>
    <t>Poligono industrial Miraval nave Nº 38, 21007 Huelva</t>
  </si>
  <si>
    <t>fontaonuba.com</t>
  </si>
  <si>
    <t>659 98 38 93</t>
  </si>
  <si>
    <t>fontaonuba@fontaonuba.es</t>
  </si>
  <si>
    <t>Fontaneros Termos Desatascos Huelva</t>
  </si>
  <si>
    <t>Calle Antonio Delgado, 5, puerta 2C, 21002 Huelva</t>
  </si>
  <si>
    <t>fontaneros-huelva.negocio.site</t>
  </si>
  <si>
    <t>Fontanería Acevedo</t>
  </si>
  <si>
    <t>959 23 57 69</t>
  </si>
  <si>
    <t>MOLINA S C.</t>
  </si>
  <si>
    <t>Calle Encinasola, 20, 21007 Huelva</t>
  </si>
  <si>
    <t>959 22 50 96</t>
  </si>
  <si>
    <t>Fontasur materiales fontanería</t>
  </si>
  <si>
    <t>Calle Pastillo, 20, 21006 Huelva</t>
  </si>
  <si>
    <t>959 23 40 40</t>
  </si>
  <si>
    <t>Bricohogar Huelva S L</t>
  </si>
  <si>
    <t>Calle A, 11, 21007 Huelva</t>
  </si>
  <si>
    <t>bricohogarhuelva.com</t>
  </si>
  <si>
    <t>959 26 03 89</t>
  </si>
  <si>
    <t>Fontanería La Cinta</t>
  </si>
  <si>
    <t>Calle Legión Española, 7, 21005 Huelva</t>
  </si>
  <si>
    <t>959 15 70 29</t>
  </si>
  <si>
    <t>Fontanería Huelva</t>
  </si>
  <si>
    <t>Calle el Almendro, 9, 21007 Huelva</t>
  </si>
  <si>
    <t>667 74 35 65</t>
  </si>
  <si>
    <t>Fontaterm</t>
  </si>
  <si>
    <t>Calle Trigueros, 11, 21002 Huelva</t>
  </si>
  <si>
    <t>666 99 66 55</t>
  </si>
  <si>
    <t>Fontanero Huelva🧑‍🔧</t>
  </si>
  <si>
    <t>fontanerohuelva.es</t>
  </si>
  <si>
    <t>660 84 34 34</t>
  </si>
  <si>
    <t>desarrollo@webhoy.es</t>
  </si>
  <si>
    <t>Fontanería Polo S.L.</t>
  </si>
  <si>
    <t>Calle Moncayo, 16, 21006 Huelva</t>
  </si>
  <si>
    <t>959 22 31 80</t>
  </si>
  <si>
    <t>J F FONTANEROS</t>
  </si>
  <si>
    <t>Calle Alájar, 1, 1º B, 21007 Huelva</t>
  </si>
  <si>
    <t>651 33 65 41</t>
  </si>
  <si>
    <t>Manuel Godoy Fontanero Huelva</t>
  </si>
  <si>
    <t>Calle Beas, 3, 21006 Huelva</t>
  </si>
  <si>
    <t>679 58 41 10</t>
  </si>
  <si>
    <t>Fontaneria 24 Horas Jm</t>
  </si>
  <si>
    <t>Calle Tres Carabelas, 8, 21002 Huelva</t>
  </si>
  <si>
    <t>640 10 40 74</t>
  </si>
  <si>
    <t>Almacen de Fontanería El Molino</t>
  </si>
  <si>
    <t>Calle Fuenteheridos, 23, 21002 Huelva</t>
  </si>
  <si>
    <t>630 29 16 10</t>
  </si>
  <si>
    <t>Fontanero Aljaraque - Punta Umbría</t>
  </si>
  <si>
    <t>615 20 83 18</t>
  </si>
  <si>
    <t>Juan Manuel Lorenzo Gómez</t>
  </si>
  <si>
    <t>Av. Costa de la Luz, 3, 21002 Huelva</t>
  </si>
  <si>
    <t>959 25 01 10</t>
  </si>
  <si>
    <t>Desatascosdelamorena</t>
  </si>
  <si>
    <t>Alameda Sundheim, 21003 Huelva</t>
  </si>
  <si>
    <t>617 86 37 66</t>
  </si>
  <si>
    <t>Gas Fellas Plumber Huelva</t>
  </si>
  <si>
    <t>Calle San Juan, 16, 1A, 21006 Huelva</t>
  </si>
  <si>
    <t>Desatascos de la morena</t>
  </si>
  <si>
    <t>Ricardo Paramo</t>
  </si>
  <si>
    <t>Calle Padre Laraña, 2, 21003 Huelva</t>
  </si>
  <si>
    <t>655 97 10 43</t>
  </si>
  <si>
    <t>D4 Desatascos</t>
  </si>
  <si>
    <t>Calle Miguel de Unamuno, 8, 21004 Huelva</t>
  </si>
  <si>
    <t>Fontaneria Los Milagros</t>
  </si>
  <si>
    <t>Poligono SAN JORGE, 131, BAJO (NAVE, 21810 Palos de la Frontera, Huelva</t>
  </si>
  <si>
    <t>Palos de la Frontera</t>
  </si>
  <si>
    <t>fontanerialosmilagros.com</t>
  </si>
  <si>
    <t>959 53 11 86</t>
  </si>
  <si>
    <t>INSTALACIONES de FONTANERÍA Marcos Martínez</t>
  </si>
  <si>
    <t>661 04 62 78</t>
  </si>
  <si>
    <t>Fontanería Fontbulla</t>
  </si>
  <si>
    <t>Calle Amapola, 1, 21800 Moguer, Huelva</t>
  </si>
  <si>
    <t>Moguer</t>
  </si>
  <si>
    <t>elmundoentumovil.com</t>
  </si>
  <si>
    <t>691 52 23 75</t>
  </si>
  <si>
    <t>Instalaciones Arenas</t>
  </si>
  <si>
    <t>Calle San José, nº1, Local, 21120 Corrales, Huelva</t>
  </si>
  <si>
    <t>Corrales</t>
  </si>
  <si>
    <t>instalacionesarenas.net</t>
  </si>
  <si>
    <t>959 10 06 51</t>
  </si>
  <si>
    <t>Fontanería Punta Umbría</t>
  </si>
  <si>
    <t>Calle Vulcano, 10, 21100 Punta Umbría, Huelva</t>
  </si>
  <si>
    <t>Punta Umbría</t>
  </si>
  <si>
    <t>fontaneropuntaumbria.com</t>
  </si>
  <si>
    <t>Desatascos Javier Tinoco</t>
  </si>
  <si>
    <t>Calle Daoiz, 35, 21440 Lepe, Huelva</t>
  </si>
  <si>
    <t>Lepe</t>
  </si>
  <si>
    <t>618 30 71 45</t>
  </si>
  <si>
    <t>Fontaneria Alejandro Mora</t>
  </si>
  <si>
    <t>Yucatán 5, Plg. Los Arroyos C/ La Barca 8, 21800 Moguer, Huelva</t>
  </si>
  <si>
    <t>634 92 71 41</t>
  </si>
  <si>
    <t>SOLUCIONES INTEGRALES &amp;quot;FIX-MAN&amp;quot;</t>
  </si>
  <si>
    <t>Avd. De La Profesionalidad, Edf. Escuela De Empresas, Local, 4, 21450 Cartaya, Huelva</t>
  </si>
  <si>
    <t>Cartaya</t>
  </si>
  <si>
    <t>675 82 83 16</t>
  </si>
  <si>
    <t>CANALONES HUELVA - EARIM</t>
  </si>
  <si>
    <t>Calle Ofunato, 18, 21810 Huelva</t>
  </si>
  <si>
    <t>earim.es</t>
  </si>
  <si>
    <t>629 27 01 10</t>
  </si>
  <si>
    <t>Fontanería Aljasur</t>
  </si>
  <si>
    <t>Calle Mirlo, 29, 21110 Aljaraque, Huelva</t>
  </si>
  <si>
    <t>Aljaraque</t>
  </si>
  <si>
    <t>FMO FONTANEROS</t>
  </si>
  <si>
    <t>21800 Moguer, Huelva</t>
  </si>
  <si>
    <t>fmo-fontaneros.negocio.site</t>
  </si>
  <si>
    <t>687 18 23 70</t>
  </si>
  <si>
    <t>Juan Manuel Fernandez Brito</t>
  </si>
  <si>
    <t>Av. de la Diputacion Provincial, 33, 21450 Cartaya, Huelva</t>
  </si>
  <si>
    <t>676 65 49 97</t>
  </si>
  <si>
    <t>Servicios Integrales Onubenses S. L.</t>
  </si>
  <si>
    <t>Fontanería</t>
  </si>
  <si>
    <t>Calle Joaquín Turina, 22, 21001 Huelva</t>
  </si>
  <si>
    <t>eurogruas.com</t>
  </si>
  <si>
    <t>959 25 23 02</t>
  </si>
  <si>
    <t>info@eurogruas.com</t>
  </si>
  <si>
    <t>Material Fontaneria</t>
  </si>
  <si>
    <t>Calle Laguna Seca, 68, 21100 El Portil, Huelva</t>
  </si>
  <si>
    <t>El Portil</t>
  </si>
  <si>
    <t>Fontanería Mariano</t>
  </si>
  <si>
    <t>Av. de Blas Infante, 71, 21440 Lepe, Huelva</t>
  </si>
  <si>
    <t>959 38 24 17</t>
  </si>
  <si>
    <t>inaciones j.adm s,l</t>
  </si>
  <si>
    <t>697 20 81 55</t>
  </si>
  <si>
    <t>Comomin de Tuberías S.L.</t>
  </si>
  <si>
    <t>Travesía San Jorge, 269, 21810 Palos de la Frontera, Huelva</t>
  </si>
  <si>
    <t>SUMHTEC</t>
  </si>
  <si>
    <t>Av. de las Flores, 2, 21440 Lepe, Huelva</t>
  </si>
  <si>
    <t>sumhtec.com</t>
  </si>
  <si>
    <t>959 38 45 53</t>
  </si>
  <si>
    <t>administracion@sumhtec.com</t>
  </si>
  <si>
    <t>Av. de la Libertad, 2, 21100 Punta Umbría, Huelva</t>
  </si>
  <si>
    <t>Fontaneros Cartaya Termos Calentadores</t>
  </si>
  <si>
    <t>Calle Lepe, 23, A, 21450 Cartaya, Huelva</t>
  </si>
  <si>
    <t>Compañía Española De Petróleos S A</t>
  </si>
  <si>
    <t>Polígono Industrial Nuevo, 0, 21819 Rábida ( La ), Huelva</t>
  </si>
  <si>
    <t>Fontanería Plácido</t>
  </si>
  <si>
    <t>Calle Cuesta de San Diego, 23, 21400 Ayamonte, Huelva</t>
  </si>
  <si>
    <t>Ayamonte</t>
  </si>
  <si>
    <t>608 66 22 87</t>
  </si>
  <si>
    <t>Fontanero Garcia Jaramillo</t>
  </si>
  <si>
    <t>edificio playa del rocio nº 26, 21760 Matalascañas, Huelva</t>
  </si>
  <si>
    <t>Matalascañas</t>
  </si>
  <si>
    <t>652 29 74 24</t>
  </si>
  <si>
    <t>Manuel Silva Cruzado</t>
  </si>
  <si>
    <t>Calle Canoa, 6, 21130 Mazagón, Huelva</t>
  </si>
  <si>
    <t>Mazagón</t>
  </si>
  <si>
    <t>TESASUR S.L.</t>
  </si>
  <si>
    <t>Av. de Huelva, 63, 21700 La Palma del Condado, Huelva</t>
  </si>
  <si>
    <t>La Palma del Condado</t>
  </si>
  <si>
    <t>Electrifont Cb</t>
  </si>
  <si>
    <t>Calle Zaragoza, 69, 21600 Valverde del Camino, Huelva</t>
  </si>
  <si>
    <t>Valverde del Camino</t>
  </si>
  <si>
    <t>959 55 20 14</t>
  </si>
  <si>
    <t>El Fontanero de La Playa</t>
  </si>
  <si>
    <t>Calle Macarena, 24, 21760 Matalascañas, Huelva</t>
  </si>
  <si>
    <t>959 44 01 40</t>
  </si>
  <si>
    <t>Fontanería Pérez</t>
  </si>
  <si>
    <t>Calle Castillo, 11, 21820 Lucena del Puerto, Huelva</t>
  </si>
  <si>
    <t>Lucena del Puerto</t>
  </si>
  <si>
    <t>635 54 32 29</t>
  </si>
  <si>
    <t>Fontanería Guerrero</t>
  </si>
  <si>
    <t>Av. San Francisco Javier, 8 Bajo, 21440 Lepe, Huelva</t>
  </si>
  <si>
    <t>959 48 08 75</t>
  </si>
  <si>
    <t>Fontanería Bonares S. L.</t>
  </si>
  <si>
    <t>Pol. Ind. el Corchito, polígono industrial el, Corchito, 21830, 21830, Huelva</t>
  </si>
  <si>
    <t>Bonares</t>
  </si>
  <si>
    <t>959 36 63 85</t>
  </si>
  <si>
    <t>Desatascos Fondesur</t>
  </si>
  <si>
    <t>Calle Joaquin Rodrigo, 6, 21440 Lepe, Huelva</t>
  </si>
  <si>
    <t>625 41 05 45</t>
  </si>
  <si>
    <t>fontaneria puerto javier moro reyes</t>
  </si>
  <si>
    <t>Calle Rio Tinto, 3, 21820 Lucena del Puerto, Huelva</t>
  </si>
  <si>
    <t>656 52 27 12</t>
  </si>
  <si>
    <t>INSTALACIONES CORUMBEL S.L.</t>
  </si>
  <si>
    <t>Club Futbol, Ctra. Palma Berrocal, 21700 La Palma del Condado, Huelva</t>
  </si>
  <si>
    <t>i2corumbel.com</t>
  </si>
  <si>
    <t>959 40 16 00</t>
  </si>
  <si>
    <t>Instalaciones de FONTANERÍA Marcos Martínez</t>
  </si>
  <si>
    <t>Calle Concepción, 21730 Almonte, Huelva</t>
  </si>
  <si>
    <t>Fontanería Doñana</t>
  </si>
  <si>
    <t>Calle Antonio Garrochena, 9, 21730 Almonte, Huelva</t>
  </si>
  <si>
    <t>959 40 65 80</t>
  </si>
  <si>
    <t>Mog</t>
  </si>
  <si>
    <t>Calle Lepe, 3, 21700 La Palma del Condado, Huelva</t>
  </si>
  <si>
    <t>Calor De Hogar</t>
  </si>
  <si>
    <t>Calle Cruz de los Milagros, 21450 Cartaya, Huelva</t>
  </si>
  <si>
    <t>Fontanería Faraco</t>
  </si>
  <si>
    <t>Av. Constitución, 11, 21710 Bollullos Par del Condado, Huelva</t>
  </si>
  <si>
    <t>Bollullos Par del Condado</t>
  </si>
  <si>
    <t>959 40 85 00</t>
  </si>
  <si>
    <t>Fontanería Aramar</t>
  </si>
  <si>
    <t>Calle Sevilla, 39, 21730 Almonte, Huelva</t>
  </si>
  <si>
    <t>Manuel Romero Vargas</t>
  </si>
  <si>
    <t>Lugar Barriada Ituci, 2, 21870 Escacena del Campo, Huelva</t>
  </si>
  <si>
    <t>Escacena del Campo</t>
  </si>
  <si>
    <t>Gasocentro Almonte S L</t>
  </si>
  <si>
    <t>Carr. de El Rocío, 14, 21730 Almonte, Huelva</t>
  </si>
  <si>
    <t>959 45 07 68</t>
  </si>
  <si>
    <t>La Proveedora de Fontanería</t>
  </si>
  <si>
    <t>Pol. Ind. Store, Calle Nivel, 11, 41008 Sevilla</t>
  </si>
  <si>
    <t>proveedoradefontaneria.es</t>
  </si>
  <si>
    <t>954 35 85 89</t>
  </si>
  <si>
    <t>Fonta Riegos Almonte S.L.</t>
  </si>
  <si>
    <t>21730 Almonte, Huelva</t>
  </si>
  <si>
    <t>959 40 68 12</t>
  </si>
  <si>
    <t>Aramburu Guzmán S. L. ROCA</t>
  </si>
  <si>
    <t>Calle Lonja, 9, 41927 Mairena del Aljarafe, Sevilla</t>
  </si>
  <si>
    <t>Mairena del Aljarafe</t>
  </si>
  <si>
    <t>aramburuguzman.com</t>
  </si>
  <si>
    <t>954 18 69 00</t>
  </si>
  <si>
    <t>rrhh@aramburuguzman.com</t>
  </si>
  <si>
    <t>Jada Fontaneria SL</t>
  </si>
  <si>
    <t>Calle Martínez Montañés, 4, 41701 Dos Hermanas, Sevilla</t>
  </si>
  <si>
    <t>Dos Hermanas</t>
  </si>
  <si>
    <t>955 33 30 00</t>
  </si>
  <si>
    <t>Fontaneria Manuel Fuentes Godino</t>
  </si>
  <si>
    <t>Calle Juan Pedro Gutiérrez Higueras, 7, 23005 Jaén</t>
  </si>
  <si>
    <t>953 26 56 42</t>
  </si>
  <si>
    <t>Antonio Y Francisco Mesa Carmona C B</t>
  </si>
  <si>
    <t>Calle Rey Alhamar, 10, 23007 Jaén</t>
  </si>
  <si>
    <t>953 25 01 24</t>
  </si>
  <si>
    <t>Mid Instalaciones</t>
  </si>
  <si>
    <t>Ronda Astrónomo Al-Jayyani, 9, 23002 Jaén</t>
  </si>
  <si>
    <t>655 78 77 40</t>
  </si>
  <si>
    <t>Ferretería Ubetense, S.L.</t>
  </si>
  <si>
    <t>Calle Jabalquinto, 8, 23009 Jaén</t>
  </si>
  <si>
    <t>ferreteriaubetense.com</t>
  </si>
  <si>
    <t>953 57 71 16</t>
  </si>
  <si>
    <t>consultas@ferreteriaubetense.com</t>
  </si>
  <si>
    <t>JESUS GARCÍA FONTANERÍA Y CALEFACCIÓN</t>
  </si>
  <si>
    <t>Calle Senda de los Huertos, 2, BAJO 2, 23002 Jaén</t>
  </si>
  <si>
    <t>646 89 75 75</t>
  </si>
  <si>
    <t>Almacén De Fontanería Muñoz Pérez</t>
  </si>
  <si>
    <t>Calle, Ronda Astrónomo Al-Jayyani, 3, 23002 Jaén</t>
  </si>
  <si>
    <t>953 23 13 86</t>
  </si>
  <si>
    <t>Localización y Detección de Fugas Jaén</t>
  </si>
  <si>
    <t>Calle Paseo de la Estación, 55, 10º A, 23007 Jaén</t>
  </si>
  <si>
    <t>Fontanería Cañapailla</t>
  </si>
  <si>
    <t>Plaza Virgen de la Villa, 2, 4ºIzd, 23009 Jaén</t>
  </si>
  <si>
    <t>fontaneriacañapailla.es</t>
  </si>
  <si>
    <t>661 72 24 40</t>
  </si>
  <si>
    <t>Fontaneria J. Hueso</t>
  </si>
  <si>
    <t>Calle Bilbao, 13, 23006 Jaén</t>
  </si>
  <si>
    <t>Materiales de Fontanería Muñoz Pérez</t>
  </si>
  <si>
    <t>Ronda Astrónomo Al-Jayyani, 3, 23002 Jaén</t>
  </si>
  <si>
    <t>649 89 59 39</t>
  </si>
  <si>
    <t>FONTANEROS JAEN</t>
  </si>
  <si>
    <t>IES Jabalcuz, Jaen, Calle Sta. María del Valle, s/n, 23002 JABALCUZ-Jaén, Jaén</t>
  </si>
  <si>
    <t>625 30 49 73</t>
  </si>
  <si>
    <t>Fontanero P Lombardo</t>
  </si>
  <si>
    <t>Calle del Picadero II, 8, 23007 Jaén</t>
  </si>
  <si>
    <t>619 14 59 62</t>
  </si>
  <si>
    <t>Joaquín Fuentes S.L.</t>
  </si>
  <si>
    <t>Ronda de la Misericordia, 67, 23009 Jaén</t>
  </si>
  <si>
    <t>953 27 65 24</t>
  </si>
  <si>
    <t>Reparación de Tuberias sin Obra | Jaen</t>
  </si>
  <si>
    <t>Paseo de España, 26, 23009 Jaén</t>
  </si>
  <si>
    <t>limcor-cordoba.es</t>
  </si>
  <si>
    <t>620 64 98 96</t>
  </si>
  <si>
    <t>info@limcor-cordoba.es</t>
  </si>
  <si>
    <t>Fontanería M. Cortes</t>
  </si>
  <si>
    <t>Calle San José, 12, 23003 Jaén</t>
  </si>
  <si>
    <t>616 95 64 66</t>
  </si>
  <si>
    <t>Fontanería Mota - ☑ Localizacion de Fugas de Agua Jaén</t>
  </si>
  <si>
    <t>Pol. Ind. Llanos del Valle, Calle Los Torneros, 8, 23009 Jaén</t>
  </si>
  <si>
    <t>666 14 57 57</t>
  </si>
  <si>
    <t>FONTANERÍA ORDÓÑEZ</t>
  </si>
  <si>
    <t>Calle Dr. Eduardo Arroyo, 12, 23004 Jaén</t>
  </si>
  <si>
    <t>953 23 14 76</t>
  </si>
  <si>
    <t>Fontanería Y Cerrajería Mota 24 Horas</t>
  </si>
  <si>
    <t>Tuberias sin obra Jaen</t>
  </si>
  <si>
    <t>Calle Andrés Segovia, 7c, 23007 Jaén</t>
  </si>
  <si>
    <t>611 82 73 13</t>
  </si>
  <si>
    <t>Ortans Exclusivas</t>
  </si>
  <si>
    <t>Calle Huelma, 57, 23009 Jaén</t>
  </si>
  <si>
    <t>953 28 00 81</t>
  </si>
  <si>
    <t>Ana Romero Campos</t>
  </si>
  <si>
    <t>Calle Núñez de Balboa, 4, 23007 Jaén</t>
  </si>
  <si>
    <t>953 26 66 23</t>
  </si>
  <si>
    <t>COVALSAN</t>
  </si>
  <si>
    <t>Pol. Ind. Llanos del Valle, Calle Campaneros, 6, 23009, Jaén</t>
  </si>
  <si>
    <t>623 40 75 09</t>
  </si>
  <si>
    <t>Comercial Cobo Pulido, S.L.</t>
  </si>
  <si>
    <t>Calle Sancho, 2, 23100 Mancha Real, Jaén</t>
  </si>
  <si>
    <t>Mancha Real</t>
  </si>
  <si>
    <t>cobo-pulido.com</t>
  </si>
  <si>
    <t>953 35 00 17</t>
  </si>
  <si>
    <t>Galán Blanca Y Moreno S L</t>
  </si>
  <si>
    <t>Calle el Berrueco, 0, 23640 Torre del Campo, Jaén</t>
  </si>
  <si>
    <t>Torre del Campo</t>
  </si>
  <si>
    <t>953 56 88 31</t>
  </si>
  <si>
    <t>Fontaneria Antonio Luque, AHORA FONTANERIA ALVARO LUQUE VARGAS</t>
  </si>
  <si>
    <t>Av. de Oro Verde, 35, 23600 Martos, Jaén</t>
  </si>
  <si>
    <t>Martos</t>
  </si>
  <si>
    <t>627 64 87 03</t>
  </si>
  <si>
    <t>FRGBIO Ubeda - Calefacción, Fotovoltaica y fontanería</t>
  </si>
  <si>
    <t>Calle Madre de Dios, 67, 1ºB, 23400 Úbeda, Jaén</t>
  </si>
  <si>
    <t>Úbeda</t>
  </si>
  <si>
    <t>frgbio.com</t>
  </si>
  <si>
    <t>633 90 00 94</t>
  </si>
  <si>
    <t>Fontanería Juanito</t>
  </si>
  <si>
    <t>Calle Cobatillas Altas, 30, 23600 Martos, Jaén</t>
  </si>
  <si>
    <t>675 65 62 97</t>
  </si>
  <si>
    <t>José María Fernández Valero</t>
  </si>
  <si>
    <t>Calle Sta. Lucia, 12, 23110 Pegalajar, Jaén</t>
  </si>
  <si>
    <t>Pegalajar</t>
  </si>
  <si>
    <t>953 36 04 81</t>
  </si>
  <si>
    <t>Fontaneria/Plumber</t>
  </si>
  <si>
    <t>23600 Martos, Jaén</t>
  </si>
  <si>
    <t>953 12 49 44</t>
  </si>
  <si>
    <t>Fontanería Nicolás</t>
  </si>
  <si>
    <t>Las Veletas, 0 S N, 23610 Fuensanta de Martos, Jaén</t>
  </si>
  <si>
    <t>Fuensanta de Martos</t>
  </si>
  <si>
    <t>ACCA S.L. Auxiliares de Complementos de Calefacción S. L.</t>
  </si>
  <si>
    <t>Calle Maestro Jerónimo Morales, 24, 23440 Baeza, Jaén</t>
  </si>
  <si>
    <t>Baeza</t>
  </si>
  <si>
    <t>cadena88.com</t>
  </si>
  <si>
    <t>666 55 92 77</t>
  </si>
  <si>
    <t>Fontanería Fernández Morillas</t>
  </si>
  <si>
    <t>Av. Primero de Mayo, 23700 Linares, Jaén</t>
  </si>
  <si>
    <t>Linares</t>
  </si>
  <si>
    <t>626 04 34 07</t>
  </si>
  <si>
    <t>Manuel Mora Milla</t>
  </si>
  <si>
    <t>Calle Sisehace, 30, 23150 Valdepeñas de Jaén, Jaén</t>
  </si>
  <si>
    <t>Valdepeñas de Jaén</t>
  </si>
  <si>
    <t>DESATASCOS GRANADA URGENTES (ECONOMICOS)</t>
  </si>
  <si>
    <t>Albanchez de Mágina</t>
  </si>
  <si>
    <t>655 86 20 09</t>
  </si>
  <si>
    <t>HIDRASUR</t>
  </si>
  <si>
    <t>Polg Ind Retamar Parcela 7, 23680 Alcalá la Real, Jaén</t>
  </si>
  <si>
    <t>Alcalá la Real</t>
  </si>
  <si>
    <t>953 58 41 20</t>
  </si>
  <si>
    <t>José Jodar Poza</t>
  </si>
  <si>
    <t>Calle Comunidad Valenciana, 16, 23440 Baeza, Jaén</t>
  </si>
  <si>
    <t>666 51 99 57</t>
  </si>
  <si>
    <t>Instalaciones y Mantenimientos Zafra Mercado</t>
  </si>
  <si>
    <t>Carr. Jaén, S/N, 23746 Lahiguera, Jaén</t>
  </si>
  <si>
    <t>Lahiguera</t>
  </si>
  <si>
    <t>953 53 01 17</t>
  </si>
  <si>
    <t>SAN CRISTÓBAL ENERGÍA SOLAR</t>
  </si>
  <si>
    <t>C/ Don, Calle Antonio Pradas Mateos, Parcela 37, 23710 Bailén, Jaén</t>
  </si>
  <si>
    <t>sancristobalenergiasolar.com</t>
  </si>
  <si>
    <t>953 67 22 01</t>
  </si>
  <si>
    <t>contacto@sancristobalenergiasolar.com</t>
  </si>
  <si>
    <t>Fontcalgas</t>
  </si>
  <si>
    <t>23700 Linares, Jaén</t>
  </si>
  <si>
    <t>instalacionesfontcalgas.es</t>
  </si>
  <si>
    <t>697 72 60 45</t>
  </si>
  <si>
    <t>info@instalacionesfontcalgas.es</t>
  </si>
  <si>
    <t>Instalaciones Tatu</t>
  </si>
  <si>
    <t>Calle Tetuán, 24, 23420 Canena, Jaén</t>
  </si>
  <si>
    <t>Canena</t>
  </si>
  <si>
    <t>fontaneriatatu.es</t>
  </si>
  <si>
    <t>649 47 97 25</t>
  </si>
  <si>
    <t>Federico González San León</t>
  </si>
  <si>
    <t>Calle Dr. Lario Carrasco, 21, 23710 Bailén, Jaén</t>
  </si>
  <si>
    <t>953 67 15 63</t>
  </si>
  <si>
    <t>Fontanería Diego</t>
  </si>
  <si>
    <t>Calle Julio Burell, 119, 23700 Linares, Jaén</t>
  </si>
  <si>
    <t>Linagra instalaciones</t>
  </si>
  <si>
    <t>Calle Espronceda, 2, 23700 Linares, Jaén</t>
  </si>
  <si>
    <t>linagrainstalaciones.es</t>
  </si>
  <si>
    <t>686 28 45 61</t>
  </si>
  <si>
    <t>Antonio Pérez Zafra</t>
  </si>
  <si>
    <t>Calle Escritor José Toral, 1, 23740 Andújar, Jaén</t>
  </si>
  <si>
    <t>Andújar</t>
  </si>
  <si>
    <t>instalacionesperezzafra.com</t>
  </si>
  <si>
    <t>953 50 15 26</t>
  </si>
  <si>
    <t>antonio@instalacionesperezzafra.com</t>
  </si>
  <si>
    <t>Alex Garcia</t>
  </si>
  <si>
    <t>Paseo de la Alameda, 23700 Linares, Jaén</t>
  </si>
  <si>
    <t>722 59 60 33</t>
  </si>
  <si>
    <t>Antonio Justicia Vicó</t>
  </si>
  <si>
    <t>Av. Rafael Alberti, 13, 23560 Huelma, Jaén</t>
  </si>
  <si>
    <t>Huelma</t>
  </si>
  <si>
    <t>Desatranques Linares</t>
  </si>
  <si>
    <t>Calle Bailén, 5, 23700 Linares, Jaén</t>
  </si>
  <si>
    <t>659 76 54 43</t>
  </si>
  <si>
    <t>Andrés Santos Lozano</t>
  </si>
  <si>
    <t>Av. Barco, 111, 23770 Marmolejo, Jaén</t>
  </si>
  <si>
    <t>Marmolejo</t>
  </si>
  <si>
    <t>Francisco Padilla Villén</t>
  </si>
  <si>
    <t>Calle Alcalde Juan Vallejo, 60, 23660 Alcaudete, Jaén</t>
  </si>
  <si>
    <t>Alcaudete</t>
  </si>
  <si>
    <t>669 73 78 55</t>
  </si>
  <si>
    <t>Juan Robles Casas</t>
  </si>
  <si>
    <t>Calle Don Francisco Calero Herrero, 25, 23770 Marmolejo, Jaén</t>
  </si>
  <si>
    <t>953 54 03 55</t>
  </si>
  <si>
    <t>Localización y Detección de Fugas en Jaén</t>
  </si>
  <si>
    <t>Calle del Calvario, 18330 Chauchina, Granada</t>
  </si>
  <si>
    <t>Chauchina</t>
  </si>
  <si>
    <t>Gasoleo San Miguel S.L.</t>
  </si>
  <si>
    <t>Calle Carr. de Vilches, 0, 23400 Úbeda, Jaén</t>
  </si>
  <si>
    <t>953 79 50 85</t>
  </si>
  <si>
    <t>Jero Lozano Bosistow</t>
  </si>
  <si>
    <t>Plaza Ayuntamiento, 5, 23200 La Carolina, Jaén</t>
  </si>
  <si>
    <t>La Carolina</t>
  </si>
  <si>
    <t>649 68 01 24</t>
  </si>
  <si>
    <t>Agrohidraulicas del Sur</t>
  </si>
  <si>
    <t>Calle Colomera, 15, 23680 Alcalá la Real, Jaén</t>
  </si>
  <si>
    <t>953 58 50 49</t>
  </si>
  <si>
    <t>Fontanería y Calefacción</t>
  </si>
  <si>
    <t>Calle Amargura, 23, 14800 Priego de Córdoba, Córdoba</t>
  </si>
  <si>
    <t>957 54 25 08</t>
  </si>
  <si>
    <t>Fontanero en Málaga ✅ Plumbing Malaga. Termos, Calentadores y Desatoros de Tuberías.</t>
  </si>
  <si>
    <t>Calle de Juan de Ortega, 5, 29190 Málaga</t>
  </si>
  <si>
    <t>692 27 00 81</t>
  </si>
  <si>
    <t>Fontaneros Malaga 666612230</t>
  </si>
  <si>
    <t>Av. de Andalucía, 29006 Málaga</t>
  </si>
  <si>
    <t>webnode.es</t>
  </si>
  <si>
    <t>666 61 22 30</t>
  </si>
  <si>
    <t>support@webnode.es</t>
  </si>
  <si>
    <t>Fontanero en Malaga</t>
  </si>
  <si>
    <t>Calle Esteban Salazar Chapela, 18, nave 4, 29004 Málaga</t>
  </si>
  <si>
    <t>fontanero-malaga.com</t>
  </si>
  <si>
    <t>648 63 28 98</t>
  </si>
  <si>
    <t>info@fontanero-malaga.com</t>
  </si>
  <si>
    <t>Marín Instalaciones (Fontanería en general)</t>
  </si>
  <si>
    <t>Av. Jorge Luis Borges, 10, 29010 Málaga</t>
  </si>
  <si>
    <t>marininstalaciones.com</t>
  </si>
  <si>
    <t>627 40 87 18</t>
  </si>
  <si>
    <t>PROINCO MÁLAGA</t>
  </si>
  <si>
    <t>Calle Calañas, 11, 29004 Málaga</t>
  </si>
  <si>
    <t>952 23 14 95</t>
  </si>
  <si>
    <t>DESATOROS MALAGA REY TUBERIAS</t>
  </si>
  <si>
    <t>Calle Tambre, 12, B, 29010 Málaga</t>
  </si>
  <si>
    <t>reytuberias.es</t>
  </si>
  <si>
    <t>639 07 30 61</t>
  </si>
  <si>
    <t>FONTANERO EN MALAGA - FONTANERIA MORENO</t>
  </si>
  <si>
    <t>Calle Asteroide, 41, 29190 Málaga</t>
  </si>
  <si>
    <t>671 54 77 44</t>
  </si>
  <si>
    <t>Fontanero Lozano Instalaciones 642476066</t>
  </si>
  <si>
    <t>Calle Sara, 18, 29010 Málaga</t>
  </si>
  <si>
    <t>lozanoinstalaciones.es</t>
  </si>
  <si>
    <t>642 47 60 66</t>
  </si>
  <si>
    <t>PROINCO (CENTRAL)</t>
  </si>
  <si>
    <t>Calle Leopoldo Lugones, 1, 29004 Málaga</t>
  </si>
  <si>
    <t>952 10 51 15</t>
  </si>
  <si>
    <t>M.M. Reparaciones S.L. - Fontanero Málaga</t>
  </si>
  <si>
    <t>Alameda</t>
  </si>
  <si>
    <t>profesionales-malaga.com</t>
  </si>
  <si>
    <t>616 73 15 24</t>
  </si>
  <si>
    <t>info@morenomarin.com</t>
  </si>
  <si>
    <t>Fontanero Málaga</t>
  </si>
  <si>
    <t>Calle Calz. de la Trinidad, 13, 1-A, 29009 Málaga</t>
  </si>
  <si>
    <t>fontanero-malaga.negocio.site</t>
  </si>
  <si>
    <t>654 38 66 90</t>
  </si>
  <si>
    <t>Fontanería y Aislamientos Torremolinos</t>
  </si>
  <si>
    <t>Av. Pablo Iglesias, 17, 29620 Torremolinos, Málaga</t>
  </si>
  <si>
    <t>Fontanería Sepme</t>
  </si>
  <si>
    <t>malaga capital, 29007 Málaga</t>
  </si>
  <si>
    <t>fontaneriasepme.com</t>
  </si>
  <si>
    <t>680 95 18 48</t>
  </si>
  <si>
    <t>info@fontaneriasepme.com</t>
  </si>
  <si>
    <t>Tuagua Instaladora Fontanería</t>
  </si>
  <si>
    <t>Calle Sigfrido, 43, 29006 Málaga</t>
  </si>
  <si>
    <t>tuagua.es</t>
  </si>
  <si>
    <t>952 25 76 16</t>
  </si>
  <si>
    <t>info@tuagua.es</t>
  </si>
  <si>
    <t>PROINCO</t>
  </si>
  <si>
    <t>Av. de los Vegas, 39, 29006 Málaga</t>
  </si>
  <si>
    <t>952 31 12 62</t>
  </si>
  <si>
    <t>Fontia Damaplast Málaga</t>
  </si>
  <si>
    <t>Calle Leda, 22, 29006 Málaga</t>
  </si>
  <si>
    <t>fontia.es</t>
  </si>
  <si>
    <t>952 03 80 80</t>
  </si>
  <si>
    <t>info@fontia.es</t>
  </si>
  <si>
    <t>JMS FONTANERÍA Y SERVICIOS</t>
  </si>
  <si>
    <t>Calle Martínez de la Rosa, 109, 2° A, 29010 Málaga</t>
  </si>
  <si>
    <t>malaga-fontaneros.es</t>
  </si>
  <si>
    <t>951 77 04 40</t>
  </si>
  <si>
    <t>Saneamientos Dimasa</t>
  </si>
  <si>
    <t>Calle de Alfredo Corrochano, 101, 29006 Málaga</t>
  </si>
  <si>
    <t>saneamientosdimasa.es</t>
  </si>
  <si>
    <t>952 33 68 08</t>
  </si>
  <si>
    <t>info@saneamientosdimasa.es</t>
  </si>
  <si>
    <t>fontaneroexpressmalaga</t>
  </si>
  <si>
    <t>fontaneroexpressmalaga.com</t>
  </si>
  <si>
    <t>691 20 45 47</t>
  </si>
  <si>
    <t>info@fontaneroexpressmalaga.com</t>
  </si>
  <si>
    <t>Hnos Siles Fontaneros</t>
  </si>
  <si>
    <t>Calle Aljofaina, 1, 29018 Málaga</t>
  </si>
  <si>
    <t>fontaneriasiles.com</t>
  </si>
  <si>
    <t>616 49 54 20</t>
  </si>
  <si>
    <t>Grillofont Instalaciones</t>
  </si>
  <si>
    <t>Calle Alpujarras, 29620 Torremolinos, Málaga</t>
  </si>
  <si>
    <t>grillofont.negocio.site</t>
  </si>
  <si>
    <t>630 43 29 68</t>
  </si>
  <si>
    <t>Suministros Gary</t>
  </si>
  <si>
    <t>Calle Leopoldo Lugones, 22, 29004 Málaga</t>
  </si>
  <si>
    <t>952 24 43 87</t>
  </si>
  <si>
    <t>Mantenimientos Gati SL</t>
  </si>
  <si>
    <t>Calle Obsidiana, 5, local 11, 29006 Málaga</t>
  </si>
  <si>
    <t>mantenimientosgati.com</t>
  </si>
  <si>
    <t>952 36 23 75</t>
  </si>
  <si>
    <t>SUSANFO S.L. Alhaurin de la Torre</t>
  </si>
  <si>
    <t>Paseo de la Hispanidad, 7 Torre 4, Buzon, 11, 29130 Alhaurín de la Torre, Málaga</t>
  </si>
  <si>
    <t>Alhaurín de la Torre</t>
  </si>
  <si>
    <t>susanfo.com</t>
  </si>
  <si>
    <t>952 41 51 30</t>
  </si>
  <si>
    <t>ig-badge-view-sprite-24@2x.png</t>
  </si>
  <si>
    <t>Fontanería Sánchez</t>
  </si>
  <si>
    <t>Calle Esquilo, 3, 29010 Málaga</t>
  </si>
  <si>
    <t>610 05 37 47</t>
  </si>
  <si>
    <t>HIDRORED FONTANEROS S.L.</t>
  </si>
  <si>
    <t>Calle Tomás Fernández, 4, 29014 Málaga</t>
  </si>
  <si>
    <t>Desatoros y Fontanería JJ Málaga S.L.</t>
  </si>
  <si>
    <t>Calle Ronda Leonardo, 5, 29010 Málaga</t>
  </si>
  <si>
    <t>690 83 10 35</t>
  </si>
  <si>
    <t>Fontanero Rincón de la Victoria</t>
  </si>
  <si>
    <t>Calle azucena anillo D, casa 23, 29730 Rincón de la Victoria, Málaga</t>
  </si>
  <si>
    <t>695 69 59 58</t>
  </si>
  <si>
    <t>Fontanería Atisor SL</t>
  </si>
  <si>
    <t>Calle Diderot, 17, Portón 5, Nave 43, 29004 Málaga</t>
  </si>
  <si>
    <t>atisor.es</t>
  </si>
  <si>
    <t>635 46 22 10</t>
  </si>
  <si>
    <t>info@atisor.es</t>
  </si>
  <si>
    <t>Laureano Ramos S.L.</t>
  </si>
  <si>
    <t>Calle Sigfrido, 46, 29006 Málaga</t>
  </si>
  <si>
    <t>laureanoramos.es</t>
  </si>
  <si>
    <t>952 26 11 04</t>
  </si>
  <si>
    <t>info@laureanoramos.es</t>
  </si>
  <si>
    <t>Fontanero Malaga - Wander</t>
  </si>
  <si>
    <t>fontanero-malaga.es</t>
  </si>
  <si>
    <t>654 77 69 85</t>
  </si>
  <si>
    <t>Imatec</t>
  </si>
  <si>
    <t>Calle Andalucía, 24, 29009 Málaga</t>
  </si>
  <si>
    <t>Fontanero Fuengirola</t>
  </si>
  <si>
    <t>Cmo. de Coín, 29640 Fuengirola, Málaga</t>
  </si>
  <si>
    <t>Fuengirola</t>
  </si>
  <si>
    <t>fontanero-fuengirola.es</t>
  </si>
  <si>
    <t>Servicios Contreras Fontanería Electricidad</t>
  </si>
  <si>
    <t>Cañada de Canto, 28, 29620 Torremolinos, Málaga</t>
  </si>
  <si>
    <t>652 41 25 09</t>
  </si>
  <si>
    <t>FONTANERÍA Y REFORMAS</t>
  </si>
  <si>
    <t>Calle Pascual Gayangos, 16, 29014 Málaga</t>
  </si>
  <si>
    <t>605 38 90 26</t>
  </si>
  <si>
    <t>Fugaqua</t>
  </si>
  <si>
    <t>Calle Steve Jobs, 2, 29590 Málaga</t>
  </si>
  <si>
    <t>fugaqua.es</t>
  </si>
  <si>
    <t>900 859 977</t>
  </si>
  <si>
    <t>info@fugaqua.es</t>
  </si>
  <si>
    <t>Fontaneria Malaga</t>
  </si>
  <si>
    <t>Calle Miraorquideas, 2, 29011 Málaga</t>
  </si>
  <si>
    <t>fontaneriamalaga.es</t>
  </si>
  <si>
    <t>661 98 22 04</t>
  </si>
  <si>
    <t>info@fontaneriamalaga.es</t>
  </si>
  <si>
    <t>Fugas de Agua Málaga (INSPECCIONES MONTERO)</t>
  </si>
  <si>
    <t>Calle Gaspar Núñez de Arce, 13, 29010 Málaga</t>
  </si>
  <si>
    <t>fugasdeaguamalaga.es</t>
  </si>
  <si>
    <t>900 502 149</t>
  </si>
  <si>
    <t>info@grupomontero.es</t>
  </si>
  <si>
    <t>Andaluza Malagueña de Fontanería</t>
  </si>
  <si>
    <t>Calle Salvador Espada Leal, 5, 29002 Málaga</t>
  </si>
  <si>
    <t>651 88 49 27</t>
  </si>
  <si>
    <t>Grupo JMS Fontanería</t>
  </si>
  <si>
    <t>29010, Calle Tajuña, 2, 29010 Málaga</t>
  </si>
  <si>
    <t>jmsfontaneria.com</t>
  </si>
  <si>
    <t>info@jmsfontaneria.com</t>
  </si>
  <si>
    <t>Fontanero En Benalmadena</t>
  </si>
  <si>
    <t>Calle Albatros, 6, 29631 Benalmádena, Málaga</t>
  </si>
  <si>
    <t>fontanero-benalmadena.es</t>
  </si>
  <si>
    <t>Fontanero en torre del mar</t>
  </si>
  <si>
    <t>658 19 72 19</t>
  </si>
  <si>
    <t>Infon Instalaciones SL</t>
  </si>
  <si>
    <t>Calle Canadá, 13, 29006 Málaga</t>
  </si>
  <si>
    <t>infoninstalaciones.com</t>
  </si>
  <si>
    <t>952 29 32 95</t>
  </si>
  <si>
    <t>info@infoninstalaciones.com</t>
  </si>
  <si>
    <t>Fontaneros Malaga Termos y Calentadores 666612230</t>
  </si>
  <si>
    <t>A-7052, 29130 El Peñón, Málaga</t>
  </si>
  <si>
    <t>El Peñón</t>
  </si>
  <si>
    <t>Fontaneros Alhaurin de la Torre</t>
  </si>
  <si>
    <t>Diseminado Poligono 5, 42, 29130, Málaga</t>
  </si>
  <si>
    <t>Santa Amalia</t>
  </si>
  <si>
    <t>fontanero-alhaurindelatorre.es</t>
  </si>
  <si>
    <t>Plomar Instaladora de Fontaneria</t>
  </si>
  <si>
    <t>Calle Jábega, 5, 29640 Fuengirola, Málaga</t>
  </si>
  <si>
    <t>plomar.es</t>
  </si>
  <si>
    <t>952 47 70 58</t>
  </si>
  <si>
    <t>info@plomar.es</t>
  </si>
  <si>
    <t>Empresa de fontanería Málaga</t>
  </si>
  <si>
    <t>Ramal de Cerro Largo, N 12, Bloque 2 1-e, 29620 Torremolinos, Málaga</t>
  </si>
  <si>
    <t>Fontaneros Martínez</t>
  </si>
  <si>
    <t>Calle José Bisso, 9, Bajo, 29003 Málaga</t>
  </si>
  <si>
    <t>687 92 02 01</t>
  </si>
  <si>
    <t>Fernando Domenech Martín</t>
  </si>
  <si>
    <t>Calle Fuensanta Moreno, 7, 29140 Málaga</t>
  </si>
  <si>
    <t>952 62 15 80</t>
  </si>
  <si>
    <t>Maddox Fontanería</t>
  </si>
  <si>
    <t>Calle Estrella, 8, 29620 Torremolinos, Málaga</t>
  </si>
  <si>
    <t>647 71 56 44</t>
  </si>
  <si>
    <t>Soluciones Integrales Jelco</t>
  </si>
  <si>
    <t>Calle Monterrey, 5, 29006 Málaga</t>
  </si>
  <si>
    <t>jelco.es</t>
  </si>
  <si>
    <t>951 13 13 40</t>
  </si>
  <si>
    <t>info@jelco.es</t>
  </si>
  <si>
    <t>Termos Málaga</t>
  </si>
  <si>
    <t>Calle Martínez de la Rosa, 109, 29010 Málaga</t>
  </si>
  <si>
    <t>648 57 66 39</t>
  </si>
  <si>
    <t>Miguel Infantes Párraga</t>
  </si>
  <si>
    <t>Calle Luis Salazar, 50, 29590 Málaga</t>
  </si>
  <si>
    <t>606 02 74 99</t>
  </si>
  <si>
    <t>Fontaneria Del Hogar</t>
  </si>
  <si>
    <t>Ramal de Cerro Largo, 12, 29620 Torremolinos, Málaga</t>
  </si>
  <si>
    <t>REPARATUCASA</t>
  </si>
  <si>
    <t>Calle Rosa García Ascot, 29190 Málaga</t>
  </si>
  <si>
    <t>677 83 03 20</t>
  </si>
  <si>
    <t>Fontia Damaplast Fuengirola</t>
  </si>
  <si>
    <t>Calle Sta. Laura, 5, 29651 Las Lagunas de Mijas, Málaga</t>
  </si>
  <si>
    <t>Las Lagunas de Mijas</t>
  </si>
  <si>
    <t>952 59 22 02</t>
  </si>
  <si>
    <t>SOLUCIONES DE FONTANERIA Y GAS MÁLAGA</t>
  </si>
  <si>
    <t>Calle Don Juan de Austria, 35, Local 2, 29009 Málaga</t>
  </si>
  <si>
    <t>691 63 44 71</t>
  </si>
  <si>
    <t>PROINCO FUENGIROLA</t>
  </si>
  <si>
    <t>Calle Isla Cabrera, 4, 29640 Fuengirola, Málaga</t>
  </si>
  <si>
    <t>952 47 85 83</t>
  </si>
  <si>
    <t>Gosaim</t>
  </si>
  <si>
    <t>Calle Pez Dorado, n33, Local.2, 29620 Torremolinos, Málaga</t>
  </si>
  <si>
    <t>gosaim.es</t>
  </si>
  <si>
    <t>619 02 40 49</t>
  </si>
  <si>
    <t>info@gosaim.es</t>
  </si>
  <si>
    <t>REHABILITACION DE TUBERIAS MALAGA (MONTERO)</t>
  </si>
  <si>
    <t>Calle Tambre, 12b, 29010 Málaga</t>
  </si>
  <si>
    <t>rehabilitaciondetuberiasmalaga.es</t>
  </si>
  <si>
    <t>952 00 30 51</t>
  </si>
  <si>
    <t>DESATOROS ALHAURIN</t>
  </si>
  <si>
    <t>Calle Pablo Ruiz Picasso, 623, b, 29130 Alhaurín de la Torre, Málaga</t>
  </si>
  <si>
    <t>952 07 07 27</t>
  </si>
  <si>
    <t>Fontaneria Pastora</t>
  </si>
  <si>
    <t>Av. Nuestro Padre Jesús Cautivo, numero 44, local 15, 29640 Fuengirola, Málaga</t>
  </si>
  <si>
    <t>fontaneriapastora.es</t>
  </si>
  <si>
    <t>952 47 25 43</t>
  </si>
  <si>
    <t>clientes@fontaneriapastora.es</t>
  </si>
  <si>
    <t>Fontaneria alvaro</t>
  </si>
  <si>
    <t>600 33 89 75</t>
  </si>
  <si>
    <t>Aleman Fontaneria En General</t>
  </si>
  <si>
    <t>Calle Miravioletas, 29011 Málaga</t>
  </si>
  <si>
    <t>Fontanería Carlos</t>
  </si>
  <si>
    <t>Plaza de la Atalaya, 2, 29730 Rincón de la Victoria, Málaga</t>
  </si>
  <si>
    <t>952 40 35 56</t>
  </si>
  <si>
    <t>Pérez Fontaneros</t>
  </si>
  <si>
    <t>Calle Obispo Pedro de Moya, 9, 29014 Málaga</t>
  </si>
  <si>
    <t>656 43 38 45</t>
  </si>
  <si>
    <t>Fontanero en Mijas</t>
  </si>
  <si>
    <t>ramal de cerro largo n 12 bl 2 1e, 29620 Torremolinos, Málaga</t>
  </si>
  <si>
    <t>Fontanería y Gas Ricardo Muñoz</t>
  </si>
  <si>
    <t>Plaza de Bailén, 5, 29009 Málaga</t>
  </si>
  <si>
    <t>Fontaneros Alhaurin, termos y calentadores</t>
  </si>
  <si>
    <t>Doña Ana 39, Crta Churriana- Cartama, 29570, Málaga</t>
  </si>
  <si>
    <t>Instalandora De Fontanería</t>
  </si>
  <si>
    <t>Calle Alonso Hernández, 2, 29011 Málaga</t>
  </si>
  <si>
    <t>ALMATERRA SERVICIOS INTEGRALES, S.L.</t>
  </si>
  <si>
    <t>Calle Azucena, 10, 29730 Rincón de la Victoria, Málaga</t>
  </si>
  <si>
    <t>almaterra.es</t>
  </si>
  <si>
    <t>654 34 81 62</t>
  </si>
  <si>
    <t>n@almaterra.es</t>
  </si>
  <si>
    <t>29010 Málaga</t>
  </si>
  <si>
    <t>Fontanería Jiménez</t>
  </si>
  <si>
    <t>instalaciones fontaneria y general</t>
  </si>
  <si>
    <t>Calle el Burgo, bloque 4, 29500, Málaga</t>
  </si>
  <si>
    <t>Álora</t>
  </si>
  <si>
    <t>611 04 77 15</t>
  </si>
  <si>
    <t>Fontanería Torres</t>
  </si>
  <si>
    <t>Av. de Cuba, 21, 29631 Benalmádena, Málaga</t>
  </si>
  <si>
    <t>Tecman</t>
  </si>
  <si>
    <t>Calle Esteban Salazar Chapela, 139, 29004 Málaga</t>
  </si>
  <si>
    <t>Fontaneros en Málaga</t>
  </si>
  <si>
    <t>Calle Vasija, 11, 29591 Maqueda, Málaga</t>
  </si>
  <si>
    <t>fontanerourgenciasmalaga.com</t>
  </si>
  <si>
    <t>urgencias@multiservicios-ceres.com</t>
  </si>
  <si>
    <t>Gas Fellas Plumber Malaga</t>
  </si>
  <si>
    <t>Calle Madre de Dios, 13, 1D, 29012 Málaga</t>
  </si>
  <si>
    <t>alba fontaneria calefacion</t>
  </si>
  <si>
    <t>628 61 15 33</t>
  </si>
  <si>
    <t>Detector Fugas de Agua Malaga | Fugas Solucion</t>
  </si>
  <si>
    <t>Calle Puerta del Mar, 17c, B, 29005 Málaga</t>
  </si>
  <si>
    <t>fugassolucion.com</t>
  </si>
  <si>
    <t>655 88 26 07</t>
  </si>
  <si>
    <t>Inspecciones Técnicas de Tuberías S.L.</t>
  </si>
  <si>
    <t>Paseo de la Hispanidad, 61, 29130 Alhaurín de la Torre, Málaga</t>
  </si>
  <si>
    <t>inspeccionestecnicasdetuberias.es</t>
  </si>
  <si>
    <t>info@inspeccionestecnicas.es</t>
  </si>
  <si>
    <t>Instaladora Hermanos Moreno</t>
  </si>
  <si>
    <t>Polígono Industrial San Pedro, 5, 29670 Marbella, Málaga</t>
  </si>
  <si>
    <t>Marbella</t>
  </si>
  <si>
    <t>instaladorahermanosmorenosl.es</t>
  </si>
  <si>
    <t>952 78 77 41</t>
  </si>
  <si>
    <t>info@instaladorahermanosmorenosl.es</t>
  </si>
  <si>
    <t>Mainsser</t>
  </si>
  <si>
    <t>Camino Suárez, 62, 29010 Málaga</t>
  </si>
  <si>
    <t>Semasur Reparaciones SL</t>
  </si>
  <si>
    <t>Calle Jumillano, 34, 29590 Málaga</t>
  </si>
  <si>
    <t>952 23 14 15</t>
  </si>
  <si>
    <t>Fontanería Sergio</t>
  </si>
  <si>
    <t>Calle Sánchez Albarrán, 20, 29014 Málaga</t>
  </si>
  <si>
    <t>Vicente Burgos Ligero</t>
  </si>
  <si>
    <t>Calle Barrero, 9, 29200 Antequera, Málaga</t>
  </si>
  <si>
    <t>Antequera</t>
  </si>
  <si>
    <t>952 84 18 94</t>
  </si>
  <si>
    <t>SANVER (INSTALACIONES Y REPARACIONES)</t>
  </si>
  <si>
    <t>Calle Pisuerga, 29010 Málaga</t>
  </si>
  <si>
    <t>609 55 81 22</t>
  </si>
  <si>
    <t>Instalación y Mantenimiento de Calentadores de agua en Málaga - TermoMálaga</t>
  </si>
  <si>
    <t>Calle Alcalde Joaquín Alonso, 26, 29003 Málaga</t>
  </si>
  <si>
    <t>951 70 41 29</t>
  </si>
  <si>
    <t>Instaladora De Fontaneria Tuagua Sl</t>
  </si>
  <si>
    <t>Av. Manuel Gorria, 44, 29013 Málaga</t>
  </si>
  <si>
    <t>Morente Bermúdez, R.</t>
  </si>
  <si>
    <t>C. Virgen de la Cabeza, 73, 29006 Málaga</t>
  </si>
  <si>
    <t>José Manuel Justo Pérez</t>
  </si>
  <si>
    <t>Calle Miravioletas, 2, 29011 Málaga</t>
  </si>
  <si>
    <t>666 46 85 83</t>
  </si>
  <si>
    <t>Bernardo Cobos Aguilar</t>
  </si>
  <si>
    <t>Calle Gaspar de los Reyes, 12, 29010 Málaga</t>
  </si>
  <si>
    <t>952 61 48 05</t>
  </si>
  <si>
    <t>GRILLOFONT INSTALACIONES</t>
  </si>
  <si>
    <t>29620 Torremolinos, Málaga</t>
  </si>
  <si>
    <t>grillofont.com</t>
  </si>
  <si>
    <t>info@grillofont.com</t>
  </si>
  <si>
    <t>Fontanería Alfonso S.L.</t>
  </si>
  <si>
    <t>Diseminado la Rosa, 91, 29649 La Cala de Mijas, Málaga</t>
  </si>
  <si>
    <t>La Cala de Mijas</t>
  </si>
  <si>
    <t>alfonsofontaneria.com</t>
  </si>
  <si>
    <t>654 34 45 29</t>
  </si>
  <si>
    <t>info@alfonsofontaneria.com</t>
  </si>
  <si>
    <t>Fontanerias Y Reparaciones Rm</t>
  </si>
  <si>
    <t>Av. de Sorolla, 1, 29620 Torremolinos, Málaga</t>
  </si>
  <si>
    <t>Gestion &amp;amp; Instalaciones del Sur,S.L.</t>
  </si>
  <si>
    <t>Diderot 9, Porton 1, Nave 48-B, 29004 Málaga</t>
  </si>
  <si>
    <t>952 17 05 54</t>
  </si>
  <si>
    <t>Malagueña Hidraulico Sanitaria</t>
  </si>
  <si>
    <t>Calle Virgen de la Esperanza, 32, 29007 Málaga</t>
  </si>
  <si>
    <t>952 39 85 43</t>
  </si>
  <si>
    <t>Juan Cabrera Navas</t>
  </si>
  <si>
    <t>Calle Canal, 13, 29620 Málaga</t>
  </si>
  <si>
    <t>Termo de gas Málaga</t>
  </si>
  <si>
    <t>Calle Puerto Oncala, 16, Local 213 B, 29003 Málaga</t>
  </si>
  <si>
    <t>termodegasmalaga.com</t>
  </si>
  <si>
    <t>952 31 76 02</t>
  </si>
  <si>
    <t>info@termodegasmalaga.com</t>
  </si>
  <si>
    <t>Corpas S L</t>
  </si>
  <si>
    <t>Calle Nísperos, 8, 29190 Málaga</t>
  </si>
  <si>
    <t>952 10 00 43</t>
  </si>
  <si>
    <t>Bandera Castillo Fontanería</t>
  </si>
  <si>
    <t>Calle Alcalde Joaquín Quiles, 15, 29014 Málaga</t>
  </si>
  <si>
    <t>670 72 77 73</t>
  </si>
  <si>
    <t>GREENBLUE MULTISERVICIOS</t>
  </si>
  <si>
    <t>greenblue.ueniweb.com</t>
  </si>
  <si>
    <t>623 38 98 85</t>
  </si>
  <si>
    <t>info@greenblue.es</t>
  </si>
  <si>
    <t>Info Instalaciones S L</t>
  </si>
  <si>
    <t>Calle Jarazmín Bajo, 6, 29018 Málaga</t>
  </si>
  <si>
    <t>952 29 88 39</t>
  </si>
  <si>
    <t>Termos y Calentadores</t>
  </si>
  <si>
    <t>Fontanería Botello S Cv</t>
  </si>
  <si>
    <t>Av. de Andalucía, s/n, 29580 Cártama, Málaga</t>
  </si>
  <si>
    <t>Cártama</t>
  </si>
  <si>
    <t>952 42 00 52</t>
  </si>
  <si>
    <t>Construcciones José Antonio Marín</t>
  </si>
  <si>
    <t>Calle Corregidor Francisco de Molina, 6, 29006 Málaga</t>
  </si>
  <si>
    <t>661 84 54 26</t>
  </si>
  <si>
    <t>Marcos Antonio Castillo Romero</t>
  </si>
  <si>
    <t>Calle Alcalde José Luis Estrada Segalerva, 7, 29010 Málaga</t>
  </si>
  <si>
    <t>679 95 20 20</t>
  </si>
  <si>
    <t>Fontaneria Conos S.I.</t>
  </si>
  <si>
    <t>Plaza Molino de Romero, 12, 29130 Alhaurín de la Torre, Málaga</t>
  </si>
  <si>
    <t>Construcciones Vílchez</t>
  </si>
  <si>
    <t>Pje. Pascual Duarte, 2, 29140 Málaga</t>
  </si>
  <si>
    <t>Carmen Herrero Alarcón</t>
  </si>
  <si>
    <t>Pje. Miramar del Palo, 17, 29017 Málaga</t>
  </si>
  <si>
    <t>Antonio Vázquez Fontana</t>
  </si>
  <si>
    <t>Calle Johann Strauss, 21, 29130 Alhaurín de la Torre, Málaga</t>
  </si>
  <si>
    <t>952 96 38 40</t>
  </si>
  <si>
    <t>Multiservi Baena</t>
  </si>
  <si>
    <t>Calle Pedro Romero, 13, 29014 Málaga</t>
  </si>
  <si>
    <t>baenaobrasyservicios.com</t>
  </si>
  <si>
    <t>647 74 55 45</t>
  </si>
  <si>
    <t>info@baenaobrasyservicios.com</t>
  </si>
  <si>
    <t>FONCOINSA</t>
  </si>
  <si>
    <t>Calle Marqués de Cádiz, nº24, 29013 Málaga</t>
  </si>
  <si>
    <t>foncoinsa.com</t>
  </si>
  <si>
    <t>952 26 11 94</t>
  </si>
  <si>
    <t>info@foncoinsa.com</t>
  </si>
  <si>
    <t>Sergio Mezcua Montero</t>
  </si>
  <si>
    <t>Calle Pablo Ruiz Picasso, 623, 29130 Pinos de Alhaurín, Málaga</t>
  </si>
  <si>
    <t>Pinos de Alhaurín</t>
  </si>
  <si>
    <t>952 07 00 72</t>
  </si>
  <si>
    <t>Suministros VERU</t>
  </si>
  <si>
    <t>Ctra. de Olias, 72, 29018 Málaga</t>
  </si>
  <si>
    <t>605 35 91 65</t>
  </si>
  <si>
    <t>Grupo Vico</t>
  </si>
  <si>
    <t>Pasillo del Matadero, 1, 29002 Málaga</t>
  </si>
  <si>
    <t>asistencia fonmasur localozación y reparacion</t>
  </si>
  <si>
    <t>29014 Málaga</t>
  </si>
  <si>
    <t>Instalaciones Y Fontanería Alberto</t>
  </si>
  <si>
    <t>Calle Bulerías, 2, 29400 Ronda, Málaga</t>
  </si>
  <si>
    <t>Ronda</t>
  </si>
  <si>
    <t>649 65 19 74</t>
  </si>
  <si>
    <t>Desatoros Marbella &amp;amp; Mijas 24 horas, s.l.</t>
  </si>
  <si>
    <t>C/ B. nº43, Calle Jose Rivero, 29649 Mijas, Málaga</t>
  </si>
  <si>
    <t>605 15 01 50</t>
  </si>
  <si>
    <t>Grifonsa</t>
  </si>
  <si>
    <t>Calle Dr. Lazarraga, 3, 29010 Málaga</t>
  </si>
  <si>
    <t>grifonsa.es</t>
  </si>
  <si>
    <t>952 28 62 45</t>
  </si>
  <si>
    <t>Acacias multiservicios</t>
  </si>
  <si>
    <t>Paseo Acacias, 22, 29017 Málaga</t>
  </si>
  <si>
    <t>647 16 31 30</t>
  </si>
  <si>
    <t>Tubos y Hierros Industriales</t>
  </si>
  <si>
    <t>Calle Almonte, 0, 29004 Málaga</t>
  </si>
  <si>
    <t>952 10 50 62</t>
  </si>
  <si>
    <t>Detector Fugas de Agua | Rincon De La Victoria</t>
  </si>
  <si>
    <t>Calle Sierra Almijara, 14c, 29730 Rincón de la Victoria, Málaga</t>
  </si>
  <si>
    <t>608 04 28 36</t>
  </si>
  <si>
    <t>Fontanería Rosa Y Sánchez S L</t>
  </si>
  <si>
    <t>Av. General López Domínguez, 34, 29603 Marbella, Málaga</t>
  </si>
  <si>
    <t>952 77 66 75</t>
  </si>
  <si>
    <t>Fontanería Román</t>
  </si>
  <si>
    <t>Av. de Torrox, 35, 29754 Cómpeta, Málaga</t>
  </si>
  <si>
    <t>Cómpeta</t>
  </si>
  <si>
    <t>fontaneriaroman.es</t>
  </si>
  <si>
    <t>952 55 33 69</t>
  </si>
  <si>
    <t>Intosa S.C.</t>
  </si>
  <si>
    <t>Calle Maestra Concepción Guidet, 6, 29640 Fuengirola, Málaga</t>
  </si>
  <si>
    <t>677 09 09 74</t>
  </si>
  <si>
    <t>APLIMA GENERAL S.L.</t>
  </si>
  <si>
    <t>Calle Molino del Pato, 8, 29620 Torremolinos, Málaga</t>
  </si>
  <si>
    <t>aplima-general-sl.negocio.site</t>
  </si>
  <si>
    <t>633 22 01 74</t>
  </si>
  <si>
    <t>Info Instalaciones S.L.</t>
  </si>
  <si>
    <t>Calle San Fernando, 4, 29738 Torre de Benagalbón, Málaga</t>
  </si>
  <si>
    <t>Torre de Benagalbón</t>
  </si>
  <si>
    <t>Gestiser Fontaneria</t>
  </si>
  <si>
    <t>Calle de Arroyo Hondo, 32, 29700 Vélez-Málaga, Málaga</t>
  </si>
  <si>
    <t>Vélez-Málaga</t>
  </si>
  <si>
    <t>Pontaneria El Faro</t>
  </si>
  <si>
    <t>Calle Eduardo Aguilera Romero, 29620 Torremolinos, Málaga</t>
  </si>
  <si>
    <t>semasan</t>
  </si>
  <si>
    <t>C / San Francisco N * 1 Apt 72 1 Benalmadena Costa, 29630, Málaga</t>
  </si>
  <si>
    <t>semasan.es</t>
  </si>
  <si>
    <t>656 63 75 91</t>
  </si>
  <si>
    <t>semasan@gmx.com</t>
  </si>
  <si>
    <t>Achedosol coin</t>
  </si>
  <si>
    <t>Av. Félix Rodríguez de la Fuente, 22, 29100 Coín, Málaga</t>
  </si>
  <si>
    <t>achedosol.es</t>
  </si>
  <si>
    <t>Electricidad Y Fontanería Coín S.l.</t>
  </si>
  <si>
    <t>C/ San Boi, 67, 29100 Coín, Málaga</t>
  </si>
  <si>
    <t>Pavimac</t>
  </si>
  <si>
    <t>Cmo de Casabermeja, 32, 29014 Málaga</t>
  </si>
  <si>
    <t>952 26 43 10</t>
  </si>
  <si>
    <t>Instalaciones Arroyo Multiservicios</t>
  </si>
  <si>
    <t>instalacionesarroyo.com</t>
  </si>
  <si>
    <t>657 83 55 25</t>
  </si>
  <si>
    <t>info@instalacionesarroyo.com</t>
  </si>
  <si>
    <t>Sanitubo SAU</t>
  </si>
  <si>
    <t>Calle San Bernardo, 8, 29650 Las Lagunas de Mijas, Málaga</t>
  </si>
  <si>
    <t>sanitubo.com</t>
  </si>
  <si>
    <t>952 47 58 89</t>
  </si>
  <si>
    <t>info@sanitubo.com</t>
  </si>
  <si>
    <t>FONTANERO URGENTE 24H &amp;quot;HAQUIESTOY&amp;quot;</t>
  </si>
  <si>
    <t>Av. la Montería, 879, 41006 Sevilla</t>
  </si>
  <si>
    <t>haquiestoy.com</t>
  </si>
  <si>
    <t>601 13 17 83</t>
  </si>
  <si>
    <t>info@haquiestoy.com</t>
  </si>
  <si>
    <t>Andaluza De Fontanería</t>
  </si>
  <si>
    <t>Calle Artesanos Peluqueros, 4, 41008 Sevilla</t>
  </si>
  <si>
    <t>andaluzadefontaneria.es</t>
  </si>
  <si>
    <t>954 43 43 15</t>
  </si>
  <si>
    <t>Fontanero Francisco González. Fontasevilla.</t>
  </si>
  <si>
    <t>Calle Virgen de la Piedad, 20, 41016 Sevilla</t>
  </si>
  <si>
    <t>fontanerosdesevilla.com</t>
  </si>
  <si>
    <t>616 82 69 65</t>
  </si>
  <si>
    <t>FONTAFRAN S.L</t>
  </si>
  <si>
    <t>Calle Almadén de la Plata, nº9, 41008 Sevilla</t>
  </si>
  <si>
    <t>954 36 75 48</t>
  </si>
  <si>
    <t>Suministros J Lamett</t>
  </si>
  <si>
    <t>Calle Bartolomé de Medina, 3, 41004 Sevilla</t>
  </si>
  <si>
    <t>954 53 90 52</t>
  </si>
  <si>
    <t>Suministros de Fontanería Otesa S.L</t>
  </si>
  <si>
    <t>Calle Porvenir, 42, 41013 Sevilla</t>
  </si>
  <si>
    <t>954 23 17 56</t>
  </si>
  <si>
    <t>FONTANEROS SEVILLA REPARACIONES</t>
  </si>
  <si>
    <t>Calle Antoñita Colomé, 2, 4º A, 41007 Sevilla</t>
  </si>
  <si>
    <t>fontaneros-sevilla.com</t>
  </si>
  <si>
    <t>954 78 41 08</t>
  </si>
  <si>
    <t>FONTICOSUR SL</t>
  </si>
  <si>
    <t>Calle Esperanza de Triana, 22, Local, 41010 Sevilla</t>
  </si>
  <si>
    <t>fonticosur.com</t>
  </si>
  <si>
    <t>954 04 57 35</t>
  </si>
  <si>
    <t>info@fonticosur.com</t>
  </si>
  <si>
    <t>Calle Adriano, 45, 41001 Sevilla</t>
  </si>
  <si>
    <t>954 21 55 06</t>
  </si>
  <si>
    <t>Fontanero Sevilla AguasAcostA fontanería, desatascos, cerca, barato, autorizado.</t>
  </si>
  <si>
    <t>Calle Corral de la Encarnación, 6, 41015 Sevilla</t>
  </si>
  <si>
    <t>637 07 82 25</t>
  </si>
  <si>
    <t>Cobreplas</t>
  </si>
  <si>
    <t>Calle Paco Gandía, 29, D, 41019 Sevilla</t>
  </si>
  <si>
    <t>954 57 07 09</t>
  </si>
  <si>
    <t>Fontanería Rey</t>
  </si>
  <si>
    <t>Calle Juan de Ledesma, 98, BAJO, 41006 Sevilla</t>
  </si>
  <si>
    <t>instalacionesfontaneriarey.es</t>
  </si>
  <si>
    <t>667 74 07 78</t>
  </si>
  <si>
    <t>VALFONT NAVISA</t>
  </si>
  <si>
    <t>Calle Piel de Toro, 9, 41006 Sevilla</t>
  </si>
  <si>
    <t>955 32 62 78</t>
  </si>
  <si>
    <t>DESATASCOS SEVILLA ECONÓMICO</t>
  </si>
  <si>
    <t>PROINCO SEVILLA</t>
  </si>
  <si>
    <t>P.I. Carretera Amarilla, Calle Rafael Beca Mateos, 20, 41007 Sevilla</t>
  </si>
  <si>
    <t>954 25 17 27</t>
  </si>
  <si>
    <t>Fontaneria ago</t>
  </si>
  <si>
    <t>Calle Mariano Benlliure, numero 93, 41005 Sevilla</t>
  </si>
  <si>
    <t>ago-jesus-rosales.negocio.site</t>
  </si>
  <si>
    <t>615 15 18 04</t>
  </si>
  <si>
    <t>Fontanero Sevilla Fontasoto</t>
  </si>
  <si>
    <t>Grupo San Diego, 1ª Fase Local 1B, 41015 Sevilla</t>
  </si>
  <si>
    <t>fontanerosevillasoto.es</t>
  </si>
  <si>
    <t>661 56 01 18</t>
  </si>
  <si>
    <t>FontPlus - Suministros e Instalaciones de Fontanería y Electricidad</t>
  </si>
  <si>
    <t>Calle San Esteban, 24, 41003 Sevilla</t>
  </si>
  <si>
    <t>fontplus.es</t>
  </si>
  <si>
    <t>693 90 64 71</t>
  </si>
  <si>
    <t>info@fontplus.es</t>
  </si>
  <si>
    <t>Migal Fonquivir</t>
  </si>
  <si>
    <t>Calle Nivel, Parcela 23, Nave 1, 41008 Sevilla</t>
  </si>
  <si>
    <t>migalfonquivir.com</t>
  </si>
  <si>
    <t>954 35 99 32</t>
  </si>
  <si>
    <t>pedidos@migalfonquivir.com</t>
  </si>
  <si>
    <t>Ricardo Caro Fontanero</t>
  </si>
  <si>
    <t>670 86 44 03</t>
  </si>
  <si>
    <t>Drd Fontanería-Riego-Climatización</t>
  </si>
  <si>
    <t>Calle la Red Uno, 41500 Alcalá de Guadaíra, Sevilla</t>
  </si>
  <si>
    <t>Alcalá de Guadaíra</t>
  </si>
  <si>
    <t>fontanero en sevilla Presupuesto Gratuito</t>
  </si>
  <si>
    <t>C/ Antonio Susillo, 36, 41003 Sevilla</t>
  </si>
  <si>
    <t>617 02 61 67</t>
  </si>
  <si>
    <t>Fontaneria Barragan</t>
  </si>
  <si>
    <t>Calle los Rosales, 47, 41006 Sevilla</t>
  </si>
  <si>
    <t>954 65 07 65</t>
  </si>
  <si>
    <t>Fontanería Pazos</t>
  </si>
  <si>
    <t>Calle Quevedo, 5, 41003 Sevilla</t>
  </si>
  <si>
    <t>954 38 65 19</t>
  </si>
  <si>
    <t>Fongasquinto</t>
  </si>
  <si>
    <t>Vía Apia, 13 ( Pol Ind Fuentequintillo 41089 Dos Hermanas Sevilla ES, 41089 Dos Hermanas, Sevilla</t>
  </si>
  <si>
    <t>fongasquinto.es</t>
  </si>
  <si>
    <t>672 01 56 97</t>
  </si>
  <si>
    <t>info@fongasquinto.es</t>
  </si>
  <si>
    <t>Suministros de Fontanería</t>
  </si>
  <si>
    <t>Calle Dr. Nieto Barrera, 41020 Sevilla</t>
  </si>
  <si>
    <t>Fontanería Manuel García Lora</t>
  </si>
  <si>
    <t>Calle Maestro Arrieta, 4, 41010 Sevilla</t>
  </si>
  <si>
    <t>954 34 26 79</t>
  </si>
  <si>
    <t>Almacén de Fontanería J. Márquez</t>
  </si>
  <si>
    <t>Glorieta de Viriato, 3, 41089 Dos Hermanas, Sevilla</t>
  </si>
  <si>
    <t>954 12 94 33</t>
  </si>
  <si>
    <t>EL MANITAS servicios técnicos</t>
  </si>
  <si>
    <t>Calle Alfarería &amp;amp; Calle Procurador, 41010 Sevilla</t>
  </si>
  <si>
    <t>elmanitas.com.es</t>
  </si>
  <si>
    <t>635 46 84 38</t>
  </si>
  <si>
    <t>Fontanero Sevilla | MP (SERVICIO 24 HORAS)</t>
  </si>
  <si>
    <t>680 91 08 16</t>
  </si>
  <si>
    <t>Suministros Alameda SL</t>
  </si>
  <si>
    <t>Calle Antonio Susillo, 14, 41002 Sevilla</t>
  </si>
  <si>
    <t>954 90 86 45</t>
  </si>
  <si>
    <t>Ago JJ</t>
  </si>
  <si>
    <t>Calle Alejandro Collantes, 77, 41005 Sevilla</t>
  </si>
  <si>
    <t>954 57 15 26</t>
  </si>
  <si>
    <t>Alcantarillados Limcoman</t>
  </si>
  <si>
    <t>Calle el Alquián, s/n, Local 5, 41020 Sevilla</t>
  </si>
  <si>
    <t>alcantarilladoslimcoman.es</t>
  </si>
  <si>
    <t>954 44 41 21</t>
  </si>
  <si>
    <t>Fontanería Junkers Raimundo Rodríguez Jiménez</t>
  </si>
  <si>
    <t>Calle Antonio Filpo Rojas, 15, 41008 Sevilla</t>
  </si>
  <si>
    <t>954 42 37 55</t>
  </si>
  <si>
    <t>ARTICULOS DE FONTANERIA SEVILLA</t>
  </si>
  <si>
    <t>Calle Donantes de Sangre, 3, 41020 Sevilla</t>
  </si>
  <si>
    <t>fontaneriahermanosraya.com</t>
  </si>
  <si>
    <t>658 44 66 52</t>
  </si>
  <si>
    <t>hidroservi</t>
  </si>
  <si>
    <t>Calle Ocho de Marzo, 5, 41006 Sevilla</t>
  </si>
  <si>
    <t>hidroservi.es</t>
  </si>
  <si>
    <t>954 63 51 12</t>
  </si>
  <si>
    <t>info@hidroservi.es</t>
  </si>
  <si>
    <t>VALFONT TRIANA</t>
  </si>
  <si>
    <t>Calle Maestro Arrieta, 8, 41010 Sevilla</t>
  </si>
  <si>
    <t>955 32 62 64</t>
  </si>
  <si>
    <t>Electro Stocks Sevilla | Fluid Stocks Sevilla</t>
  </si>
  <si>
    <t>P.I. Ctra. Amarilla, Av. de Montes Sierra, 52, 41007 Sevilla</t>
  </si>
  <si>
    <t>grupoelectrostocks.com</t>
  </si>
  <si>
    <t>954 99 92 60</t>
  </si>
  <si>
    <t>comercial@grupoelectrostocks.com</t>
  </si>
  <si>
    <t>Calle Niebla, 56A, 41011 Sevilla</t>
  </si>
  <si>
    <t>mercayala.com</t>
  </si>
  <si>
    <t>Fontanería y gas Pazos</t>
  </si>
  <si>
    <t>Calle Don Pedro Niño, 11, 41003 Sevilla</t>
  </si>
  <si>
    <t>Instalador del Gas Autorizado &amp;amp; Fontanero Sevilla, Javier Lerate.</t>
  </si>
  <si>
    <t>Calle Reina Victoria, 3, 41020 Sevilla</t>
  </si>
  <si>
    <t>954 40 22 59</t>
  </si>
  <si>
    <t>E Gómez Barrios</t>
  </si>
  <si>
    <t>Calle Escarpia, 6, Loc 2, 41020 Sevilla</t>
  </si>
  <si>
    <t>954 12 00 29</t>
  </si>
  <si>
    <t>Fontanero Sevilla</t>
  </si>
  <si>
    <t>41008 Sevilla</t>
  </si>
  <si>
    <t>instalacionesaraujo.com</t>
  </si>
  <si>
    <t>630 85 16 30</t>
  </si>
  <si>
    <t>info@instalacionesaraujo.com</t>
  </si>
  <si>
    <t>Fontanería González</t>
  </si>
  <si>
    <t>Calle Torremegía, 65, 41016 Sevilla</t>
  </si>
  <si>
    <t>634 42 59 47</t>
  </si>
  <si>
    <t>Fontaneros Sevilla Norte Montero</t>
  </si>
  <si>
    <t>Calle Fray Isidoro de Sevilla, 25, bajo, 41009 Sevilla</t>
  </si>
  <si>
    <t>711 70 73 30</t>
  </si>
  <si>
    <t>Fontanero urgente</t>
  </si>
  <si>
    <t>Calle Claudio Guerín, 5, 7d, 41005 Sevilla</t>
  </si>
  <si>
    <t>675 58 71 00</t>
  </si>
  <si>
    <t>Fontanería y Gas Jesús Cautivo</t>
  </si>
  <si>
    <t>Calle Fox Morcillo, 6, 41013 Sevilla</t>
  </si>
  <si>
    <t>Instalaciones y reparaciones de fontanería y gas</t>
  </si>
  <si>
    <t>Av. Emilio Lemos, 39, 41020 Sevilla</t>
  </si>
  <si>
    <t>629 56 04 52</t>
  </si>
  <si>
    <t>VALFONT CTRA CARMONA</t>
  </si>
  <si>
    <t>Calle Almadén de la Plata, 12, LOCAL, 41008 Sevilla</t>
  </si>
  <si>
    <t>José Lora Fuertes</t>
  </si>
  <si>
    <t>Calle Lope de Vega, 22, 41003 Sevilla</t>
  </si>
  <si>
    <t>954 41 15 07</t>
  </si>
  <si>
    <t>Fontanería Hnos. Reyes.</t>
  </si>
  <si>
    <t>41013 Sevilla</t>
  </si>
  <si>
    <t>Los Gregorios</t>
  </si>
  <si>
    <t>Plaza las Tendillas, 11, 41019 Sevilla</t>
  </si>
  <si>
    <t>679 14 83 68</t>
  </si>
  <si>
    <t>Suministros De Fontanería De Sur S L</t>
  </si>
  <si>
    <t>Calle Secoya, 10 ( Pol Ind Virgen De Los Reyes ), 41020 Sevilla</t>
  </si>
  <si>
    <t>954 99 77 17</t>
  </si>
  <si>
    <t>fontaneria Hnos Raya sevilla</t>
  </si>
  <si>
    <t>Calle Donantes de Sangre, 18, 41020 Sevilla</t>
  </si>
  <si>
    <t>Geconsaa Hispalense, S.L.</t>
  </si>
  <si>
    <t>Calle Álamo Negro, 11, 41703 Dos Hermanas, Sevilla</t>
  </si>
  <si>
    <t>854 53 74 12</t>
  </si>
  <si>
    <t>Fontaneria y técnico de gas 24h</t>
  </si>
  <si>
    <t>Calle Puerto de Piedrafita, 15, 41006 Sevilla</t>
  </si>
  <si>
    <t>612 46 60 06</t>
  </si>
  <si>
    <t>ORTEGA PINTO SL</t>
  </si>
  <si>
    <t>Calle Numancia, 1, 41010 Sevilla</t>
  </si>
  <si>
    <t>954 33 85 20</t>
  </si>
  <si>
    <t>Electricista - Fontanero Sevilla</t>
  </si>
  <si>
    <t>698 77 15 96</t>
  </si>
  <si>
    <t>FONTANERIA REVESTISUR S,L</t>
  </si>
  <si>
    <t>Calle Antonio Chacón &amp;quot;El Pela&amp;quot;, 24, 41900 Camas, Sevilla</t>
  </si>
  <si>
    <t>Camas</t>
  </si>
  <si>
    <t>954 39 27 53</t>
  </si>
  <si>
    <t>Fontaneros Nervión JL</t>
  </si>
  <si>
    <t>Calle Luis Montoto, 154, B, 41005 Sevilla</t>
  </si>
  <si>
    <t>664 56 02 39</t>
  </si>
  <si>
    <t>Santiago Caro Rodríguez</t>
  </si>
  <si>
    <t>Calle Virgen de Begoña, 8, 41011 Sevilla</t>
  </si>
  <si>
    <t>954 27 06 27</t>
  </si>
  <si>
    <t>Fontanería Mauri S.L.</t>
  </si>
  <si>
    <t>Calle Isaac Peral, 43, 41701 Dos Hermanas, Sevilla</t>
  </si>
  <si>
    <t>655 89 92 91</t>
  </si>
  <si>
    <t>Plataforma Fontanería-Gas</t>
  </si>
  <si>
    <t>López de Gómara, 35, 41010 Sevilla</t>
  </si>
  <si>
    <t>954 45 59 18</t>
  </si>
  <si>
    <t>Fontaneria D&amp;amp;C</t>
  </si>
  <si>
    <t>Calle Tibidabo, 41005 Sevilla</t>
  </si>
  <si>
    <t>Antonio Lago Rueda</t>
  </si>
  <si>
    <t>Calle Manuel Barrios Masero, 13, 41017 Sevilla</t>
  </si>
  <si>
    <t>954 40 33 53</t>
  </si>
  <si>
    <t>Font-Meco, S.L.</t>
  </si>
  <si>
    <t>Ctra. San Juan Palomares, 16, 41927 Mairena del Aljarafe, Sevilla</t>
  </si>
  <si>
    <t>fontmeco.com</t>
  </si>
  <si>
    <t>954 76 89 07</t>
  </si>
  <si>
    <t>Almacenes del Aguila</t>
  </si>
  <si>
    <t>Av. Antonio Mairena, 19, 41500 Alcalá de Guadaíra, Sevilla</t>
  </si>
  <si>
    <t>955 61 23 41</t>
  </si>
  <si>
    <t>Butafont Agua-Gas</t>
  </si>
  <si>
    <t>Av. de Mairena, 5, 41927 Mairena del Aljarafe, Sevilla</t>
  </si>
  <si>
    <t>954 76 57 25</t>
  </si>
  <si>
    <t>Fontanería Manuel</t>
  </si>
  <si>
    <t>Calle Conde de Barcelona, 41920 San Juan de Aznalfarache, Sevilla</t>
  </si>
  <si>
    <t>San Juan de Aznalfarache</t>
  </si>
  <si>
    <t>646 77 69 29</t>
  </si>
  <si>
    <t>Fontanero Enrique Polvillo</t>
  </si>
  <si>
    <t>Calle del Ángel, 29, 41900 Camas, Sevilla</t>
  </si>
  <si>
    <t>677 57 12 22</t>
  </si>
  <si>
    <t>Emilio Puerto González</t>
  </si>
  <si>
    <t>Calle Virgen del Buen Aire, 5, 41010 Sevilla</t>
  </si>
  <si>
    <t>954 27 70 62</t>
  </si>
  <si>
    <t>Eugarsa</t>
  </si>
  <si>
    <t>Av. de las Ciencias, 34, 41020 Sevilla</t>
  </si>
  <si>
    <t>629 28 51 90</t>
  </si>
  <si>
    <t>Fontanería Navidad</t>
  </si>
  <si>
    <t>Calle Barrio Nuevo, 41500 Alcalá de Guadaíra, Sevilla</t>
  </si>
  <si>
    <t>657 75 27 67</t>
  </si>
  <si>
    <t>Almacenes Valverde e Hijos S.L.</t>
  </si>
  <si>
    <t>955 99 79 56</t>
  </si>
  <si>
    <t>Sufondos</t>
  </si>
  <si>
    <t>Calle Rellenadora, 11, 41701 Dos Hermanas, Sevilla</t>
  </si>
  <si>
    <t>grupodcc3000.com</t>
  </si>
  <si>
    <t>954 72 98 74</t>
  </si>
  <si>
    <t>info@grupodcc3000.com</t>
  </si>
  <si>
    <t>Calle Aeropuerto de San Pablo, 0 S N, 41001 Sevilla</t>
  </si>
  <si>
    <t>VALFONT MACARENA</t>
  </si>
  <si>
    <t>Calle Antonio Buero Vallejo, 13, local, 41009 Sevilla</t>
  </si>
  <si>
    <t>954 91 29 25</t>
  </si>
  <si>
    <t>Fontaneria Raul Ruiz</t>
  </si>
  <si>
    <t>Calle José María Pemán, 10, 41500 Alcalá de Guadaíra, Sevilla</t>
  </si>
  <si>
    <t>615 65 82 17</t>
  </si>
  <si>
    <t>Junkers Calor Para La Vida</t>
  </si>
  <si>
    <t>Calle Ocho de Marzo, 31, 41006 Sevilla</t>
  </si>
  <si>
    <t>Ferretería Santa Marta</t>
  </si>
  <si>
    <t>Calle Luis Ortiz Muñoz, 2, 41013 Sevilla</t>
  </si>
  <si>
    <t>Fontanero y Gas Manuel Ramirez</t>
  </si>
  <si>
    <t>Calle Arona, 21, 41089 Sevilla</t>
  </si>
  <si>
    <t>675 68 73 78</t>
  </si>
  <si>
    <t>Fontaneria AgoJJ</t>
  </si>
  <si>
    <t>Calle Juan de Mariana, 93, 41005 Sevilla</t>
  </si>
  <si>
    <t>Fontaneria e instalaciones Martel</t>
  </si>
  <si>
    <t>674 86 29 57</t>
  </si>
  <si>
    <t>industrias Lekue - Aljarafe</t>
  </si>
  <si>
    <t>Calle San Roque, 19, 41940 Tomares, Sevilla</t>
  </si>
  <si>
    <t>Tomares</t>
  </si>
  <si>
    <t>954 15 60 96</t>
  </si>
  <si>
    <t>Rafael Rosales Núñez</t>
  </si>
  <si>
    <t>Calle Guadarrama, 6, 41005 Sevilla</t>
  </si>
  <si>
    <t>954 63 44 91</t>
  </si>
  <si>
    <t>Instalaciones Carlos Campos</t>
  </si>
  <si>
    <t>Calle Astronomía, 1 (Parq Emp Torneo II), 41015 Sevilla</t>
  </si>
  <si>
    <t>955 43 24 64</t>
  </si>
  <si>
    <t>Calefactores Y Fontaneros Del Sur S L</t>
  </si>
  <si>
    <t>Calle Almenas, 76, 41014 Sevilla</t>
  </si>
  <si>
    <t>Emefisa y Servicios S.L.</t>
  </si>
  <si>
    <t>Calle Aviación, 31, 41007 Sevilla</t>
  </si>
  <si>
    <t>Fontanero San Juan de Aznalfarache</t>
  </si>
  <si>
    <t>674 74 20 22</t>
  </si>
  <si>
    <t>Francisco Pablo Nieto del Pino</t>
  </si>
  <si>
    <t>Calle Almadén de la Plata, 9, 41008 Sevilla</t>
  </si>
  <si>
    <t>Armi- Desatascos, Limpiezas de Alcantarillados</t>
  </si>
  <si>
    <t>Calle Olivo, 10, A, 41500 Alcalá de Guadaíra, Sevilla</t>
  </si>
  <si>
    <t>desatascosarmi.com</t>
  </si>
  <si>
    <t>692 84 27 45</t>
  </si>
  <si>
    <t>PRADO Fontanería</t>
  </si>
  <si>
    <t>Calle José Luis Caro, 25, A, 41960 Gines, Sevilla</t>
  </si>
  <si>
    <t>954 71 30 62</t>
  </si>
  <si>
    <t>Gas Y Fontaneria Valle</t>
  </si>
  <si>
    <t>Calle Gerona, 4, 41927 Mairena del Aljarafe, Sevilla</t>
  </si>
  <si>
    <t>954 17 88 76</t>
  </si>
  <si>
    <t>Empresa Instaladora Autorizada En Fontaneria Y Gas</t>
  </si>
  <si>
    <t>Calle José Payán, 39, 41900 Camas, Sevilla</t>
  </si>
  <si>
    <t>Fontaneria En General</t>
  </si>
  <si>
    <t>41006 Sevilla</t>
  </si>
  <si>
    <t>Jorge Ternero Brito</t>
  </si>
  <si>
    <t>Calle Salobreña, 27, 41006 Sevilla</t>
  </si>
  <si>
    <t>954 51 22 53</t>
  </si>
  <si>
    <t>ACR Fontaneria Calefaccion Gas</t>
  </si>
  <si>
    <t>41011 Sevilla</t>
  </si>
  <si>
    <t>Fontanería Carrera</t>
  </si>
  <si>
    <t>hernan cortes s/n edificio comercial local , 41930, 41930 Bormujos, Sevilla</t>
  </si>
  <si>
    <t>Bormujos</t>
  </si>
  <si>
    <t>fontaneriacarrera.es</t>
  </si>
  <si>
    <t>955 28 83 11</t>
  </si>
  <si>
    <t>Hemanos Romero</t>
  </si>
  <si>
    <t>Av. Montequinto, 11, 41089 Dos Hermanas, Sevilla</t>
  </si>
  <si>
    <t>ACP Instalaciones</t>
  </si>
  <si>
    <t>Calle Dr. Fleming, 10A, 41907 Valencina de la Concepción, Sevilla</t>
  </si>
  <si>
    <t>Valencina de la Concepción</t>
  </si>
  <si>
    <t>955 65 91 81</t>
  </si>
  <si>
    <t>Vidal Uceda Caricol</t>
  </si>
  <si>
    <t>Calle Reinoso, 13, 41004 Sevilla</t>
  </si>
  <si>
    <t>629 52 00 55</t>
  </si>
  <si>
    <t>Calle Tarifa, 2, 41940 Tomares, Sevilla</t>
  </si>
  <si>
    <t>954 15 20 10</t>
  </si>
  <si>
    <t>Fontanero Mairena del Aljarafe</t>
  </si>
  <si>
    <t>fontaneromairenadelaljarafe.com</t>
  </si>
  <si>
    <t>674 74 20 21</t>
  </si>
  <si>
    <t>Robeterre Fontaneria y Desatascos 24 horas</t>
  </si>
  <si>
    <t>Calle Ávila, 31, 41702 Dos Hermanas, Sevilla</t>
  </si>
  <si>
    <t>robeterre.es</t>
  </si>
  <si>
    <t>625 16 01 34</t>
  </si>
  <si>
    <t>VALFONT NAVISUR</t>
  </si>
  <si>
    <t>POL. IND. NAVISUR, Calle Narciso, 1ºD, 41907 Valencina de la Concepción, Sevilla</t>
  </si>
  <si>
    <t>955 28 31 66</t>
  </si>
  <si>
    <t>Desatascos y Fontanería 24 Robeterre</t>
  </si>
  <si>
    <t>C/ Las Torres ,14, 41702 Dos Hermanas, Sevilla</t>
  </si>
  <si>
    <t>info@robeterre.es</t>
  </si>
  <si>
    <t>Makromat Suministros, SL.</t>
  </si>
  <si>
    <t>Av. de Andalucia, 206, 41702 Dos Hermanas, Sevilla</t>
  </si>
  <si>
    <t>954 72 89 50</t>
  </si>
  <si>
    <t>Julio García Pires</t>
  </si>
  <si>
    <t>Calle Atenas, 5, 41089 Dos Hermanas, Sevilla</t>
  </si>
  <si>
    <t>Víctor Miguel Capita Limón</t>
  </si>
  <si>
    <t>Calle Juan Ramón Jiménez, 13, 41920 San Juan de Aznalfarache, Sevilla</t>
  </si>
  <si>
    <t>954 76 99 96</t>
  </si>
  <si>
    <t>Fontaneros Express</t>
  </si>
  <si>
    <t>Calle Convento, 8, Apt, 8, 41950 Castilleja de la Cuesta, Sevilla</t>
  </si>
  <si>
    <t>Castilleja de la Cuesta</t>
  </si>
  <si>
    <t>638 85 05 96</t>
  </si>
  <si>
    <t>Fontanería Lama</t>
  </si>
  <si>
    <t>Calle Instituto, 0, 41100 Coria del Río, Sevilla</t>
  </si>
  <si>
    <t>Coria del Río</t>
  </si>
  <si>
    <t>fontanerialama.com</t>
  </si>
  <si>
    <t>955 76 41 14</t>
  </si>
  <si>
    <t>fontanerialama@hotmail.com</t>
  </si>
  <si>
    <t>Desatascos enpa24</t>
  </si>
  <si>
    <t>Calle la Sta. María, 3, 41710 Utrera, Sevilla</t>
  </si>
  <si>
    <t>Utrera</t>
  </si>
  <si>
    <t>605 17 77 44</t>
  </si>
  <si>
    <t>Manuel José Hierro Herrera</t>
  </si>
  <si>
    <t>Calle Bolonia, 16, 41089 Dos Hermanas, Sevilla</t>
  </si>
  <si>
    <t>954 12 51 15</t>
  </si>
  <si>
    <t>Almacenes Camacho</t>
  </si>
  <si>
    <t>Av. de España, 111, 41702 Dos Hermanas, Sevilla</t>
  </si>
  <si>
    <t>al-camacho.com</t>
  </si>
  <si>
    <t>955 66 87 68</t>
  </si>
  <si>
    <t>Av. Antonio Mairena, 10, 41500 Alcalá de Guadaíra, Sevilla</t>
  </si>
  <si>
    <t>fontanerourgente.negocio.site</t>
  </si>
  <si>
    <t>674 58 71 00</t>
  </si>
  <si>
    <t>fontariscal</t>
  </si>
  <si>
    <t>Calle Comerciales, 23, 41808 Villanueva del Ariscal, Sevilla</t>
  </si>
  <si>
    <t>Villanueva del Ariscal</t>
  </si>
  <si>
    <t>fontariscal.com</t>
  </si>
  <si>
    <t>955 42 40 14</t>
  </si>
  <si>
    <t>AEGIR</t>
  </si>
  <si>
    <t>Calle Huelva, 126, 41970 Santiponce, Sevilla</t>
  </si>
  <si>
    <t>Santiponce</t>
  </si>
  <si>
    <t>aegirfontaneria.com</t>
  </si>
  <si>
    <t>605 35 85 82</t>
  </si>
  <si>
    <t>info@aegirfontaneria.com</t>
  </si>
  <si>
    <t>Delta Sur</t>
  </si>
  <si>
    <t>Calle Virgen de los Desamparados, 1, 41701 Dos Hermanas, Sevilla</t>
  </si>
  <si>
    <t>m.facebook.com</t>
  </si>
  <si>
    <t>955 66 57 92</t>
  </si>
  <si>
    <t>Kititi Fontaneros</t>
  </si>
  <si>
    <t>Barriada Cronista Manuel Morales, 2, 3A, 41710 Utrera, Sevilla</t>
  </si>
  <si>
    <t>617 93 55 91</t>
  </si>
  <si>
    <t>Fontaneros y Placas Solares Sevilla</t>
  </si>
  <si>
    <t>Calle Blanca de los Ríos, 13, 41500 Alcalá de Guadaíra, Sevilla</t>
  </si>
  <si>
    <t>629 56 51 27</t>
  </si>
  <si>
    <t>Av. Coria, 53, 41928 Palomares del Río, Sevilla</t>
  </si>
  <si>
    <t>Palomares del Río</t>
  </si>
  <si>
    <t>Fontanería Lora S</t>
  </si>
  <si>
    <t>Camino Mejina, 2 Local, 41807 Espartinas, Sevilla</t>
  </si>
  <si>
    <t>Espartinas</t>
  </si>
  <si>
    <t>605 04 52 34</t>
  </si>
  <si>
    <t>Riegos e Hidráulica del Sur S.L.</t>
  </si>
  <si>
    <t>Av. de la Comunicación, 39, 41300 San José de la Rinconada, Sevilla</t>
  </si>
  <si>
    <t>San José de la Rinconada</t>
  </si>
  <si>
    <t>954 79 30 65</t>
  </si>
  <si>
    <t>Dimas | Instalaciones Fontaneria Mairena | Instalacion de gas Palomares | Fontaneria | Gas y fontaneria | Instalador oficial de Gas</t>
  </si>
  <si>
    <t>Calle Cortinales, 9, Casa 7, 41928 Palomares del Río, Sevilla</t>
  </si>
  <si>
    <t>645 40 20 24</t>
  </si>
  <si>
    <t>Fontanería Antonio Lunar</t>
  </si>
  <si>
    <t>41500 Alcalá de Guadaíra, Sevilla</t>
  </si>
  <si>
    <t>Fontanería Y Saneamientos Grillo S.l.</t>
  </si>
  <si>
    <t>Av. de Lepanto, 17, 41510 Mairena del Alcor, Sevilla</t>
  </si>
  <si>
    <t>Mairena del Alcor</t>
  </si>
  <si>
    <t>mi-fontaneria.es</t>
  </si>
  <si>
    <t>955 94 24 33</t>
  </si>
  <si>
    <t>Suministros Fontanería Gonzalezz</t>
  </si>
  <si>
    <t>Calle Malasmañanas, 45, 41500 Alcalá de Guadaíra, Sevilla</t>
  </si>
  <si>
    <t>Duarte Instalaciones Y Reformas Integrales</t>
  </si>
  <si>
    <t>Calle Galicia, 3, 41960 Gines, Sevilla</t>
  </si>
  <si>
    <t>647 77 55 17</t>
  </si>
  <si>
    <t>VALFONT GINES</t>
  </si>
  <si>
    <t>Av. Colón, 30, local, 41960 Gines, Sevilla</t>
  </si>
  <si>
    <t>954 71 41 52</t>
  </si>
  <si>
    <t>BUTAFONT AGUA &amp;amp; GAS S.L.</t>
  </si>
  <si>
    <t>Calle Gordales, 3, 41930 Bormujos, Sevilla</t>
  </si>
  <si>
    <t>955 72 65 35</t>
  </si>
  <si>
    <t>Fontanería Adorna SL</t>
  </si>
  <si>
    <t>Av. los Naranjos, 11, 41710 Utrera, Sevilla</t>
  </si>
  <si>
    <t>adorna.com.es</t>
  </si>
  <si>
    <t>954 86 37 55</t>
  </si>
  <si>
    <t>Proveedora El Elefante</t>
  </si>
  <si>
    <t>41020 Sevilla</t>
  </si>
  <si>
    <t>Carlos Rojo</t>
  </si>
  <si>
    <t>Av. del Barrerillo, 1, 41930 Bormujos, Sevilla</t>
  </si>
  <si>
    <t>669 88 66 15</t>
  </si>
  <si>
    <t>Tuberías Y Saneamientos</t>
  </si>
  <si>
    <t>Av. Primero de Mayo, 61, 41100 Coria del Río, Sevilla</t>
  </si>
  <si>
    <t>Constructiva</t>
  </si>
  <si>
    <t>Calle Mairena del Aljarafe, 9, 41928 Palomares del Río, Sevilla</t>
  </si>
  <si>
    <t>610 00 11 43</t>
  </si>
  <si>
    <t>Fontanero Enrique Polvillo (Salteras)</t>
  </si>
  <si>
    <t>Calle la Carrasquilla, 6, 41909 Salteras, Sevilla</t>
  </si>
  <si>
    <t>Salteras</t>
  </si>
  <si>
    <t>Instalaciones Industriales Mitchell</t>
  </si>
  <si>
    <t>Calle Thomas Edison, 9, 41300 San José de la Rinconada, Sevilla</t>
  </si>
  <si>
    <t>954 79 08 42</t>
  </si>
  <si>
    <t>Reparaciones del Hogar</t>
  </si>
  <si>
    <t>Calle Pastora de Cantillana, 5, 41500 Alcalá de Guadaíra, Sevilla</t>
  </si>
  <si>
    <t>954 10 14 06</t>
  </si>
  <si>
    <t>Calderas y Proyectos Babcock Wanson</t>
  </si>
  <si>
    <t>Calle Manufactura, 2, 41927 Mairena del Aljarafe, Sevilla</t>
  </si>
  <si>
    <t>954 18 08 52</t>
  </si>
  <si>
    <t>Suymat</t>
  </si>
  <si>
    <t>Av. Isla Mayor, 33, 41130 La Puebla del Río, Sevilla</t>
  </si>
  <si>
    <t>La Puebla del Río</t>
  </si>
  <si>
    <t>Instalaciones Ortiz</t>
  </si>
  <si>
    <t>Calle Roble, 5, 41909 Salteras, Sevilla</t>
  </si>
  <si>
    <t>Andaluza General De Instalaciones S L</t>
  </si>
  <si>
    <t>Av. de la Tolerancia, 0, 41111 Almensilla, Sevilla</t>
  </si>
  <si>
    <t>Almensilla</t>
  </si>
  <si>
    <t>955 77 99 18</t>
  </si>
  <si>
    <t>MONTAJES ELÉCTRICOS Y DE FONTANERÍA MADRIGAL</t>
  </si>
  <si>
    <t>Calle N, 8, 41806 Umbrete, Sevilla</t>
  </si>
  <si>
    <t>Umbrete</t>
  </si>
  <si>
    <t>657 21 09 31</t>
  </si>
  <si>
    <t>FONTANERIA Y DESTASCOS ANTOLIMA. Carmona Sevilla</t>
  </si>
  <si>
    <t>Calle Madroño, 16, 41410 Carmona, Sevilla</t>
  </si>
  <si>
    <t>Carmona</t>
  </si>
  <si>
    <t>954 14 27 07</t>
  </si>
  <si>
    <t>C G M</t>
  </si>
  <si>
    <t>Calle Fomento, 16, 41927 Mairena del Aljarafe, Sevilla</t>
  </si>
  <si>
    <t>645 40 99 43</t>
  </si>
  <si>
    <t>Fernando Lama S.L.</t>
  </si>
  <si>
    <t>Calle Industria, 14, 41130 La Puebla del Río, Sevilla</t>
  </si>
  <si>
    <t>Roca Sanitario</t>
  </si>
  <si>
    <t>Carretera A-92, 0, 41500 Alcalá de Guadaíra, Sevilla</t>
  </si>
  <si>
    <t>955 62 70 56</t>
  </si>
  <si>
    <t>Fontanería Rey Martín</t>
  </si>
  <si>
    <t>Travesía San Ignacio, 90, 41620 Marchena, Sevilla</t>
  </si>
  <si>
    <t>Marchena</t>
  </si>
  <si>
    <t>Fontaneria Luna, S.C</t>
  </si>
  <si>
    <t>41566 Pedrera, Sevilla</t>
  </si>
  <si>
    <t>Pedrera</t>
  </si>
  <si>
    <t>954 81 91 14</t>
  </si>
  <si>
    <t>Fontanería Sevilla</t>
  </si>
  <si>
    <t>Calle Tornavacas, 17, 10600 Plasencia, Cáceres</t>
  </si>
  <si>
    <t>Plasencia</t>
  </si>
  <si>
    <t>Blázquez Y Sevilla</t>
  </si>
  <si>
    <t>Calle Esperanza, 1, 30813 La Campana</t>
  </si>
  <si>
    <t>La Campana</t>
  </si>
  <si>
    <t>676 18 66 78</t>
  </si>
  <si>
    <t>Blázquez y Sevilla</t>
  </si>
  <si>
    <t>S N, Polígono Industrial Saprelorca, 0, 30814 Zarzadilla de Totana, Murcia</t>
  </si>
  <si>
    <t>Fontanería Francisco Bentue</t>
  </si>
  <si>
    <t>Calle Ricardo del Arco, 23, 22004 Huesca</t>
  </si>
  <si>
    <t>974 24 36 37</t>
  </si>
  <si>
    <t>Foncagas Osca S.L.</t>
  </si>
  <si>
    <t>Av. Martínez de Velasco, 35, 22004 Huesca</t>
  </si>
  <si>
    <t>foncagas-osca-sl.negocio.site</t>
  </si>
  <si>
    <t>974 21 11 80</t>
  </si>
  <si>
    <t>Fontaneria Jose Maria Palacin SC</t>
  </si>
  <si>
    <t>Plaza Pico de Guara, bajo, 22004 Huesca</t>
  </si>
  <si>
    <t>974 24 61 31</t>
  </si>
  <si>
    <t>Saltoki Huesca</t>
  </si>
  <si>
    <t>Poligono Sepes/Monzu, Ronda de la Industria, 100, 22006 Huesca</t>
  </si>
  <si>
    <t>saltoki.com</t>
  </si>
  <si>
    <t>974 23 07 37</t>
  </si>
  <si>
    <t>atencionalcliente@saltoki.com</t>
  </si>
  <si>
    <t>Fontaneria Raúl Morcate</t>
  </si>
  <si>
    <t>Calle Gibraltar, 51, 22006 Huesca</t>
  </si>
  <si>
    <t>622 61 31 34</t>
  </si>
  <si>
    <t>Laguna Instalaciones E Ingenieria S.L.</t>
  </si>
  <si>
    <t>Calle Tenerías, 2, 22001 Huesca</t>
  </si>
  <si>
    <t>lagunainstalaciones.com</t>
  </si>
  <si>
    <t>974 22 03 74</t>
  </si>
  <si>
    <t>Fontanería Ramón Ubieto</t>
  </si>
  <si>
    <t>Calle Casado del Alisal, 30, 22005 Huesca</t>
  </si>
  <si>
    <t>Instusa del Alto Aragón S.L</t>
  </si>
  <si>
    <t>Av. de los Monegros Nº 14 Ático A, 22005 Huesca</t>
  </si>
  <si>
    <t>974 22 23 28</t>
  </si>
  <si>
    <t>F. mantaño Fontaneria</t>
  </si>
  <si>
    <t>Calle de Pedro Arnal Cavero, 22, 22001 Huesca</t>
  </si>
  <si>
    <t>Multiservicios FCV</t>
  </si>
  <si>
    <t>Calle Tenerías, 7, 22001 Huesca</t>
  </si>
  <si>
    <t>633 89 36 76</t>
  </si>
  <si>
    <t>Fontanería Puertas</t>
  </si>
  <si>
    <t>Calle San Lorenzo, 33, 22002 Huesca</t>
  </si>
  <si>
    <t>974 24 28 20</t>
  </si>
  <si>
    <t>Carmelo Cabrero Jal</t>
  </si>
  <si>
    <t>Calle Alfonso II de Aragón, 11, 22005 Huesca</t>
  </si>
  <si>
    <t>974 24 35 13</t>
  </si>
  <si>
    <t>Fontanería Lasampa</t>
  </si>
  <si>
    <t>Camino Monzú, 0, 22001 Huesca</t>
  </si>
  <si>
    <t>974 22 21 26</t>
  </si>
  <si>
    <t>Aramar Pinturas Y Reformas S L</t>
  </si>
  <si>
    <t>Calle Balsas de Chirín, 5, 22006 Huesca</t>
  </si>
  <si>
    <t>Abiego</t>
  </si>
  <si>
    <t>661 64 00 24</t>
  </si>
  <si>
    <t>Instusa del alto aragón</t>
  </si>
  <si>
    <t>Ronda de la Industria, 22006 Huesca</t>
  </si>
  <si>
    <t>ni frio ni calor</t>
  </si>
  <si>
    <t>Calle del Reciclaje, 22006 Huesca</t>
  </si>
  <si>
    <t>Ausens Fontanería y Calefacción</t>
  </si>
  <si>
    <t>Calle Fenillosa, 55, 22600 Sabiñánigo, Huesca</t>
  </si>
  <si>
    <t>Sabiñánigo</t>
  </si>
  <si>
    <t>ausensfontaneria.es</t>
  </si>
  <si>
    <t>974 48 15 06</t>
  </si>
  <si>
    <t>info@ausensfontaneria.es</t>
  </si>
  <si>
    <t>Fontanería Bardají</t>
  </si>
  <si>
    <t>Plaza de la Tallada, 5, 22300 Barbastro, Huesca</t>
  </si>
  <si>
    <t>bardajiservicios.es</t>
  </si>
  <si>
    <t>974 30 65 12</t>
  </si>
  <si>
    <t>info@bardajiservicios.es</t>
  </si>
  <si>
    <t>Talleres Sampietro</t>
  </si>
  <si>
    <t>Calle Carretera, 22131 Berbegal, Huesca</t>
  </si>
  <si>
    <t>Berbegal</t>
  </si>
  <si>
    <t>974 30 11 58</t>
  </si>
  <si>
    <t>Fontanería Y Calefacción Olivan S.l.</t>
  </si>
  <si>
    <t>Camino la Valduesca, 25, 22270 Almudévar, Huesca</t>
  </si>
  <si>
    <t>Almudévar</t>
  </si>
  <si>
    <t>Materiales Construccion e instalaciones Altoaragon s.l</t>
  </si>
  <si>
    <t>Calle de Serrablo, 136, local, 22600 Sabiñánigo, Huesca</t>
  </si>
  <si>
    <t>974 48 23 95</t>
  </si>
  <si>
    <t>Adolfo Mompradé Fontanería</t>
  </si>
  <si>
    <t>C/ Rafael Alberti, 4, 22270 Almudévar, Huesca</t>
  </si>
  <si>
    <t>adolfomompradefontaneria.com</t>
  </si>
  <si>
    <t>608 16 00 67</t>
  </si>
  <si>
    <t>Fontaneria Binefar Ignacio Sorribas</t>
  </si>
  <si>
    <t>Calle Pamplona, 9, 22500 Binéfar, Huesca</t>
  </si>
  <si>
    <t>Binéfar</t>
  </si>
  <si>
    <t>974 43 13 83</t>
  </si>
  <si>
    <t>PREPIRINEO CRUZ</t>
  </si>
  <si>
    <t>Calle Luis Espada, 12, BAJO, 22800 Ayerbe, Huesca</t>
  </si>
  <si>
    <t>Ayerbe</t>
  </si>
  <si>
    <t>974 38 04 71</t>
  </si>
  <si>
    <t>Talleres Piedrafita</t>
  </si>
  <si>
    <t>Avda JACA Km 2,3, 22600 Sabiñánigo, Huesca</t>
  </si>
  <si>
    <t>tallerespiedrafita.net</t>
  </si>
  <si>
    <t>974 48 06 70</t>
  </si>
  <si>
    <t>Sanara Instalaciones y Montajes</t>
  </si>
  <si>
    <t>Calle de Sabiñánigo, KM. 3,400, 22700 Jaca, Huesca</t>
  </si>
  <si>
    <t>Jaca</t>
  </si>
  <si>
    <t>bricojaca.com</t>
  </si>
  <si>
    <t>974 35 56 52</t>
  </si>
  <si>
    <t>info@bricojaca.com</t>
  </si>
  <si>
    <t>Fontanería Juan</t>
  </si>
  <si>
    <t>fontaneriajuan.com</t>
  </si>
  <si>
    <t>619 96 96 72</t>
  </si>
  <si>
    <t>Etoclima - Fontanería, Calefacción y Aire Acondicionado en Monzón</t>
  </si>
  <si>
    <t>Calle de Sierra Mediana, 4, 22400 Monzón, Huesca</t>
  </si>
  <si>
    <t>Monzón</t>
  </si>
  <si>
    <t>etoclima.com</t>
  </si>
  <si>
    <t>974 41 57 86</t>
  </si>
  <si>
    <t>Grañón Instalaciones</t>
  </si>
  <si>
    <t>Av. Huesca, 52, 22200 Sariñena, Huesca</t>
  </si>
  <si>
    <t>627 26 82 25</t>
  </si>
  <si>
    <t>Fontanería Gardeta</t>
  </si>
  <si>
    <t>Calle San Blas, 27, 22252 Robres, Huesca</t>
  </si>
  <si>
    <t>Robres</t>
  </si>
  <si>
    <t>REPARACIONES Y FONTANERIA 24H IBAÑEZ SAHUN. Barbastro</t>
  </si>
  <si>
    <t>Calle del Castillo, 19, 22300 Barbastro, Huesca</t>
  </si>
  <si>
    <t>974 30 53 69</t>
  </si>
  <si>
    <t>Jaca Baño: Fontanería y Calefacción</t>
  </si>
  <si>
    <t>Calle Madrid, 42, 22700 Jaca, Huesca</t>
  </si>
  <si>
    <t>fontaneriaycalefaccion.es</t>
  </si>
  <si>
    <t>974 36 37 94</t>
  </si>
  <si>
    <t>Fontaneria y Electricidad Morláns Fer</t>
  </si>
  <si>
    <t>Calle San Vicente de Paúl, 2, 22300 Barbastro, Huesca</t>
  </si>
  <si>
    <t>morlansfer.es</t>
  </si>
  <si>
    <t>974 31 25 39</t>
  </si>
  <si>
    <t>info@morlansfer.es</t>
  </si>
  <si>
    <t>Abizanda Fontanería</t>
  </si>
  <si>
    <t>Plaza Ayuntamiento, 1, 22311 Peraltilla, Huesca</t>
  </si>
  <si>
    <t>Peraltilla</t>
  </si>
  <si>
    <t>974 31 90 87</t>
  </si>
  <si>
    <t>Desatascos Ibáñez</t>
  </si>
  <si>
    <t>Calle Barbastro, 17, BAJO, 22423 Estadilla, Huesca</t>
  </si>
  <si>
    <t>Estadilla</t>
  </si>
  <si>
    <t>Fontanería Cocersa. Zaragoza</t>
  </si>
  <si>
    <t>Paseo de la Gran Vía, 5, Entlo dcha, 50006 Zaragoza</t>
  </si>
  <si>
    <t>fontaneroszaragozacocersa.es</t>
  </si>
  <si>
    <t>976 90 48 96</t>
  </si>
  <si>
    <t>info@fontaneroszaragozacocersa.es</t>
  </si>
  <si>
    <t>Gasóleos Guara S L</t>
  </si>
  <si>
    <t>Ctra. Huesca, 4, 22113 Novales, Huesca</t>
  </si>
  <si>
    <t>Novales</t>
  </si>
  <si>
    <t>974 28 00 35</t>
  </si>
  <si>
    <t>Saltoki Monzón</t>
  </si>
  <si>
    <t>Calle Valle de Ordesa, 87 Bis, 22400 Monzón, Huesca</t>
  </si>
  <si>
    <t>974 41 51 32</t>
  </si>
  <si>
    <t>Fontanería Morales</t>
  </si>
  <si>
    <t>Calle Loreto, 12, 22300 Barbastro, Huesca</t>
  </si>
  <si>
    <t>974 31 44 99</t>
  </si>
  <si>
    <t>Fontaneros Zaragoza</t>
  </si>
  <si>
    <t>fontaneroszaragoza.pro</t>
  </si>
  <si>
    <t>876 50 02 33</t>
  </si>
  <si>
    <t>Fontanería Morales S.l.</t>
  </si>
  <si>
    <t>Calle Beato Ceferino el Pelé, 40, BAJO, 22300 Barbastro, Huesca</t>
  </si>
  <si>
    <t>fontaneriamorales.es</t>
  </si>
  <si>
    <t>974 31 28 34</t>
  </si>
  <si>
    <t>Antonio Arroyos Díaz</t>
  </si>
  <si>
    <t>Plaza de la Tallada, 14, 22300 Barbastro, Huesca</t>
  </si>
  <si>
    <t>974 31 13 34</t>
  </si>
  <si>
    <t>Manuel e. Rodríguez</t>
  </si>
  <si>
    <t>Calle San Ramón, 28, 22300 Barbastro, Huesca</t>
  </si>
  <si>
    <t>Fontanería Paco Aguilar</t>
  </si>
  <si>
    <t>Av. de los Pirineos, 18, 22300 Barbastro, Huesca</t>
  </si>
  <si>
    <t>Fontaneria Hueso S.L</t>
  </si>
  <si>
    <t>Calle Emilio Castelar, 13, 50013 Zaragoza</t>
  </si>
  <si>
    <t>fontaneriahueso.es</t>
  </si>
  <si>
    <t>976 41 20 72</t>
  </si>
  <si>
    <t>info@fontaneriahueso.es</t>
  </si>
  <si>
    <t>Boutique del Baño Sahún</t>
  </si>
  <si>
    <t>Avenida Corona de Aragon, 21, 22300 Barbastro, Huesca</t>
  </si>
  <si>
    <t>605 26 87 46</t>
  </si>
  <si>
    <t>Suministros Carrera SL</t>
  </si>
  <si>
    <t>Calle Almacellas, 105, 22500 Binéfar, Huesca</t>
  </si>
  <si>
    <t>suministroscarrera.com</t>
  </si>
  <si>
    <t>974 43 13 70</t>
  </si>
  <si>
    <t>ventas@suministroscarrera.com</t>
  </si>
  <si>
    <t>DESATASCOS SAI</t>
  </si>
  <si>
    <t>Calle Corona de Aragón, nº 21, bajos, 22300 Barbastro, Huesca</t>
  </si>
  <si>
    <t>Instalaciones Jaca | Instalaciones GPO</t>
  </si>
  <si>
    <t>Calle Zocotín, 7, 22700 Jaca, Huesca</t>
  </si>
  <si>
    <t>gposervi12.es</t>
  </si>
  <si>
    <t>974 04 96 99</t>
  </si>
  <si>
    <t>info@gposervi12.es</t>
  </si>
  <si>
    <t>Agustín Rufas Llop</t>
  </si>
  <si>
    <t>Calle Santiago, 4, 3;A, 22300 Barbastro, Huesca</t>
  </si>
  <si>
    <t>617 07 19 71</t>
  </si>
  <si>
    <t>Justo Ferrer Falcón</t>
  </si>
  <si>
    <t>Calle Dos de Mayo, 17, 50620 Zaragoza</t>
  </si>
  <si>
    <t>649 60 49 49</t>
  </si>
  <si>
    <t>Julián Rodríguez Campo</t>
  </si>
  <si>
    <t>Avenida De Huesca, 0 S/N (Pol Ind Castro Romano), 22600 Sabiñánigo, Huesca</t>
  </si>
  <si>
    <t>974 48 27 90</t>
  </si>
  <si>
    <t>Pascual Royo Lacasa</t>
  </si>
  <si>
    <t>Calle Fondaza, 2, 22640 Sallent de Gállego, Huesca</t>
  </si>
  <si>
    <t>Sallent de Gállego</t>
  </si>
  <si>
    <t>974 48 88 13</t>
  </si>
  <si>
    <t>Parcoba</t>
  </si>
  <si>
    <t>Diseminado 1 2, 2, 22300 Barbastro, Huesca</t>
  </si>
  <si>
    <t>974 30 85 95</t>
  </si>
  <si>
    <t>Fontanería Gas y Calefacción Ramón Lacambra S.L.</t>
  </si>
  <si>
    <t>Calle Corona de Aragón, 58, 22300 Barbastro, Huesca</t>
  </si>
  <si>
    <t>Jesp Fontanería</t>
  </si>
  <si>
    <t>Pol. Industrial Fabardo, Parcela 17, 22436 Graus, Huesca</t>
  </si>
  <si>
    <t>Graus</t>
  </si>
  <si>
    <t>jespfontaneria.es</t>
  </si>
  <si>
    <t>620 89 84 61</t>
  </si>
  <si>
    <t>José Manuel Cerzocimo Lacasta</t>
  </si>
  <si>
    <t>Calle Domingo Samitier, 5, 22600 Sabiñánigo, Huesca</t>
  </si>
  <si>
    <t>José Ramón Casas Gracia</t>
  </si>
  <si>
    <t>Calle Don Joaquín Costa, 9, 22430 Graus, Huesca</t>
  </si>
  <si>
    <t>José Luis Echevarría Lalaguna</t>
  </si>
  <si>
    <t>Calle Luis Buñuel, 16, 22600 Sabiñánigo, Huesca</t>
  </si>
  <si>
    <t>974 48 27 30</t>
  </si>
  <si>
    <t>Gasóleos Alto Aragón S L</t>
  </si>
  <si>
    <t>Calle del Molino, 1, 22600 Sabiñánigo, Huesca</t>
  </si>
  <si>
    <t>974 48 22 25</t>
  </si>
  <si>
    <t>Anau Fontanería</t>
  </si>
  <si>
    <t>Calle Santo Domingo, 8, 22430 Graus, Huesca</t>
  </si>
  <si>
    <t>Juan José Pedrós Masamunt</t>
  </si>
  <si>
    <t>Calle Barcelona, 8, Bajo, 22500 Binéfar, Huesca</t>
  </si>
  <si>
    <t>974 42 98 48</t>
  </si>
  <si>
    <t>Talleres Pibonsa S.l.</t>
  </si>
  <si>
    <t>Calle Madrid, 36, 22700 Jaca, Huesca</t>
  </si>
  <si>
    <t>974 36 42 70</t>
  </si>
  <si>
    <t>Talleres Sobrarbe S.L.</t>
  </si>
  <si>
    <t>Camino de Aurín, 0, 22600 Sabiñánigo, Huesca</t>
  </si>
  <si>
    <t>Joaquín Lacoma Guillén</t>
  </si>
  <si>
    <t>Calle Iglesia, 53, 22450 Campo, Huesca</t>
  </si>
  <si>
    <t>Campo</t>
  </si>
  <si>
    <t>Santamaría Fontanería</t>
  </si>
  <si>
    <t>Av. de Huesca, 53, 22230 Sena, Huesca</t>
  </si>
  <si>
    <t>Sena</t>
  </si>
  <si>
    <t>974 57 83 74</t>
  </si>
  <si>
    <t>Calle Martín Frago, s/n, 22300 Barbastro, Huesca</t>
  </si>
  <si>
    <t>669 35 78 69</t>
  </si>
  <si>
    <t>Fontanería y Desatascos JAVIER CARRIÓN. Zaragoza. DESATASCOS, AGUA, SANITARIOS, CALEFACCIÓN, DESAGÜES</t>
  </si>
  <si>
    <t>Calle Lasierra Purroy, 72, 3a, 50007 Zaragoza</t>
  </si>
  <si>
    <t>633 02 43 67</t>
  </si>
  <si>
    <t>Aragón Oil S A</t>
  </si>
  <si>
    <t>Pol. Ind. Valle del Cinca, 0, 22300 Barbastro, Huesca</t>
  </si>
  <si>
    <t>974 30 66 69</t>
  </si>
  <si>
    <t>Jorge Balaguer Millanes</t>
  </si>
  <si>
    <t>Calle Sariñena, 16, 22214 Lalueza, Huesca</t>
  </si>
  <si>
    <t>Lalueza</t>
  </si>
  <si>
    <t>Comercial Mur Benasque</t>
  </si>
  <si>
    <t>Poligono industrial, Camino Rodiella, 14, BAJO, 22440 Benasque, Huesca</t>
  </si>
  <si>
    <t>Benasque</t>
  </si>
  <si>
    <t>974 55 10 70</t>
  </si>
  <si>
    <t>Instalaciones Blasco e Hijos S.L.</t>
  </si>
  <si>
    <t>Polígono industrial Nave 35, 22330 Aínsa, Huesca</t>
  </si>
  <si>
    <t>instalacionesblasco.com</t>
  </si>
  <si>
    <t>974 50 07 14</t>
  </si>
  <si>
    <t>info@instalacionesblasco.com</t>
  </si>
  <si>
    <t>Calle Joaquín Costa, 12, 22500 Binéfar, Huesca</t>
  </si>
  <si>
    <t>974 42 88 57</t>
  </si>
  <si>
    <t>Instalaciones Sobrabe Pirineos</t>
  </si>
  <si>
    <t>instalacionessobrarbepirineos.com</t>
  </si>
  <si>
    <t>608 63 36 30</t>
  </si>
  <si>
    <t>Fontanería Y Calefacción Esteban Sc</t>
  </si>
  <si>
    <t>Calle Tamarite, 32, 22500 Binéfar, Huesca</t>
  </si>
  <si>
    <t>Joaquín Alaiz Panadés</t>
  </si>
  <si>
    <t>Av. Autonomía de Aragón, 10, 22410 Alcolea de Cinca, Huesca</t>
  </si>
  <si>
    <t>Alcolea de Cinca</t>
  </si>
  <si>
    <t>Thisa Sabiñanigo - Tubos y Hierros Industriales S.A.</t>
  </si>
  <si>
    <t>Calle Don José Lastiesas, 19, 22600 Sabiñánigo, Huesca</t>
  </si>
  <si>
    <t>thisa.es</t>
  </si>
  <si>
    <t>974 48 06 86</t>
  </si>
  <si>
    <t>Saltoki Zaragoza</t>
  </si>
  <si>
    <t>Polígono Cogullada, Av. del Alcalde Francisco Caballero, 16, 50014 Zaragoza</t>
  </si>
  <si>
    <t>976 47 25 00</t>
  </si>
  <si>
    <t>Fonsa</t>
  </si>
  <si>
    <t>Calle de Huesca, 65, 22520 Fraga, Huesca</t>
  </si>
  <si>
    <t>Fraga</t>
  </si>
  <si>
    <t>fontaneriafonsa.com</t>
  </si>
  <si>
    <t>974 47 17 92</t>
  </si>
  <si>
    <t>Juan Carlos Coarasa Laplaza</t>
  </si>
  <si>
    <t>Calle Cruz Alta, 0, 22720 Hecho, Huesca</t>
  </si>
  <si>
    <t>Hecho</t>
  </si>
  <si>
    <t>Antonio Bergua Santolaria</t>
  </si>
  <si>
    <t>Calle de San José de Calasanz, 18, 22700 Jaca, Huesca</t>
  </si>
  <si>
    <t>974 36 49 20</t>
  </si>
  <si>
    <t>Instalaciones Güil , S.C.</t>
  </si>
  <si>
    <t>Calle Industria, 14, 22500 Binéfar, Huesca</t>
  </si>
  <si>
    <t>666 55 38 60</t>
  </si>
  <si>
    <t>Talleres Lorenzo Campo</t>
  </si>
  <si>
    <t>Calle de Aragón, 9, 22700 Jaca, Huesca</t>
  </si>
  <si>
    <t>974 36 20 23</t>
  </si>
  <si>
    <t>Mariano Badía Royes</t>
  </si>
  <si>
    <t>Calle del Príncipe de Viana, 3, 22520 Fraga, Huesca</t>
  </si>
  <si>
    <t>974 47 04 24</t>
  </si>
  <si>
    <t>Fontanerias Remacha</t>
  </si>
  <si>
    <t>Calle de Mariana Pineda, nº9, 4ºd, 50018 Zaragoza</t>
  </si>
  <si>
    <t>fontanerias-remacha.es</t>
  </si>
  <si>
    <t>608 03 20 91</t>
  </si>
  <si>
    <t>Oscar Hervera Llena</t>
  </si>
  <si>
    <t>Calle Hospital, 31, 22558 Albelda, Huesca</t>
  </si>
  <si>
    <t>Albelda</t>
  </si>
  <si>
    <t>974 42 00 69</t>
  </si>
  <si>
    <t>Saneamientos Ochoa</t>
  </si>
  <si>
    <t>Calle de Miguel Servet, 57, 22400 Monzón, Huesca</t>
  </si>
  <si>
    <t>974 40 00 37</t>
  </si>
  <si>
    <t>Javier Labrador Maimó</t>
  </si>
  <si>
    <t>Calle Hermanos Sanvisen Seres, 5, 22530 Zaidín, Huesca</t>
  </si>
  <si>
    <t>Zaidín</t>
  </si>
  <si>
    <t>Juan Antonio Catalán Gil</t>
  </si>
  <si>
    <t>Calle de Pablo Neruda, 17, 50018 Zaragoza</t>
  </si>
  <si>
    <t>976 74 01 49</t>
  </si>
  <si>
    <t>Cooperativa Aragonesa de Fontanería y Calefacción Coop Ltda</t>
  </si>
  <si>
    <t>Calle Toledo, 20, 50005 Zaragoza</t>
  </si>
  <si>
    <t>Casasnovas Instalaciones S. L.</t>
  </si>
  <si>
    <t>Calle San José Artesano, 1, 22500 Binéfar, Huesca</t>
  </si>
  <si>
    <t>659 03 30 41</t>
  </si>
  <si>
    <t>VALDEJALÓN SOLAR INSTALACIONES S.L.</t>
  </si>
  <si>
    <t>Calle David Fahrenheit, 23, 50015 Zaragoza</t>
  </si>
  <si>
    <t>valdejalon-instalaciones.com</t>
  </si>
  <si>
    <t>976 39 11 13</t>
  </si>
  <si>
    <t>administracion@valdejalon-instalaciones.com</t>
  </si>
  <si>
    <t>Esteban Ripoll S.L.U</t>
  </si>
  <si>
    <t>Ronda Dámaso Torán, 68, 44003 Teruel</t>
  </si>
  <si>
    <t>estebanripoll.com</t>
  </si>
  <si>
    <t>978 60 27 55</t>
  </si>
  <si>
    <t>info@estebanripoll.com</t>
  </si>
  <si>
    <t>INSTALACIONES JUCAR</t>
  </si>
  <si>
    <t>Calle Muñoz Degraín, 20, 44001 Teruel</t>
  </si>
  <si>
    <t>instalacionesjucar.es</t>
  </si>
  <si>
    <t>640 15 99 12</t>
  </si>
  <si>
    <t>info@instalacionesjucar.es</t>
  </si>
  <si>
    <t>Almacén Suministros Esteban Ripoll</t>
  </si>
  <si>
    <t>Calle Ollerías del Calvario, 53, 44003 Teruel</t>
  </si>
  <si>
    <t>978 60 95 24</t>
  </si>
  <si>
    <t>Gómez Arauz</t>
  </si>
  <si>
    <t>Ctra. San Julián, 65, 44003 Teruel</t>
  </si>
  <si>
    <t>gomezarauz.es</t>
  </si>
  <si>
    <t>978 61 12 42</t>
  </si>
  <si>
    <t>Gorriz y Liberos</t>
  </si>
  <si>
    <t>Rambla San Julián, 42, 44003 Teruel</t>
  </si>
  <si>
    <t>gorrizyliberos.com</t>
  </si>
  <si>
    <t>650 98 23 50</t>
  </si>
  <si>
    <t>info@gorrizyliberos.com</t>
  </si>
  <si>
    <t>Fontanería y Calefacción Molina</t>
  </si>
  <si>
    <t>Calle del Rio Tajo, 4, 44003 Teruel</t>
  </si>
  <si>
    <t>Angel Calpe Guillén</t>
  </si>
  <si>
    <t>Calle de Luis Buñuel, 29, 44002 Teruel</t>
  </si>
  <si>
    <t>Fontanería Barrenas</t>
  </si>
  <si>
    <t>Calle Juan Alegre, 15, 44131 Villel, Teruel</t>
  </si>
  <si>
    <t>Villel</t>
  </si>
  <si>
    <t>Muñoz Pascual, P.</t>
  </si>
  <si>
    <t>Calle Larga de San Cristóbal, 10, 44370 Cella, Teruel</t>
  </si>
  <si>
    <t>Cella</t>
  </si>
  <si>
    <t>Fontanería Margar C.B.</t>
  </si>
  <si>
    <t>Calle La Virgen, 44120 Terriente, Teruel</t>
  </si>
  <si>
    <t>Terriente</t>
  </si>
  <si>
    <t>978 70 51 77</t>
  </si>
  <si>
    <t>Manuel Abel Muñoz Valero</t>
  </si>
  <si>
    <t>Calle Horno, 15, 44360 Santa Eulalia, Teruel</t>
  </si>
  <si>
    <t>Santa Eulalia</t>
  </si>
  <si>
    <t>Fontanería Peiró-Frasnedo SL</t>
  </si>
  <si>
    <t>Camino la Soledad, 15, 44400 Mora de Rubielos, Teruel</t>
  </si>
  <si>
    <t>Mora de Rubielos</t>
  </si>
  <si>
    <t>978 80 60 71</t>
  </si>
  <si>
    <t>Fontanería Herrero</t>
  </si>
  <si>
    <t>Ronda de Caspe, 8, Bajo, 44600 Alcañiz, Teruel</t>
  </si>
  <si>
    <t>Alcañiz</t>
  </si>
  <si>
    <t>fontaneriaherrero.es</t>
  </si>
  <si>
    <t>978 87 11 03</t>
  </si>
  <si>
    <t>fontaneriaherreros@wanadoo.es</t>
  </si>
  <si>
    <t>SISTEMAS DE RIEGO HYDROMATIC</t>
  </si>
  <si>
    <t>Calle proyecto, 44460 Sarrión, Teruel</t>
  </si>
  <si>
    <t>Sarrión</t>
  </si>
  <si>
    <t>hydromatic.es</t>
  </si>
  <si>
    <t>978 78 03 80</t>
  </si>
  <si>
    <t>info@hydromatic.es</t>
  </si>
  <si>
    <t>Fontanería, Climatización y Gas Balea</t>
  </si>
  <si>
    <t>Calle Híjar, n°7, 2°i, 44600 Alcañiz, Teruel</t>
  </si>
  <si>
    <t>663 12 90 62</t>
  </si>
  <si>
    <t>Fontanería Ivan Ferrer ,S.L.U</t>
  </si>
  <si>
    <t>fontivansl.ueniweb.com</t>
  </si>
  <si>
    <t>964 74 94 76</t>
  </si>
  <si>
    <t>fontaneriaiferrer@gmail.com</t>
  </si>
  <si>
    <t>Joaquín Pascual Pomar</t>
  </si>
  <si>
    <t>44370 Cella, Teruel</t>
  </si>
  <si>
    <t>Fontanería Villuendas</t>
  </si>
  <si>
    <t>Calle Rocasolano, 65, 44300 Monreal del Campo, Teruel</t>
  </si>
  <si>
    <t>Monreal del Campo</t>
  </si>
  <si>
    <t>978 86 31 39</t>
  </si>
  <si>
    <t>Rufonca S L</t>
  </si>
  <si>
    <t>Av. Mijares, 0, 44415 Rubielos de Mora, Teruel</t>
  </si>
  <si>
    <t>Rubielos de Mora</t>
  </si>
  <si>
    <t>978 80 44 00</t>
  </si>
  <si>
    <t>Fontaneria Y Calefaccion Navarro</t>
  </si>
  <si>
    <t>Calle Madrid, 44350 Caminreal, Teruel</t>
  </si>
  <si>
    <t>Caminreal</t>
  </si>
  <si>
    <t>Fontanería Peiró-Frasnedo - inicio</t>
  </si>
  <si>
    <t>Av. Ibáñez Martín, 26, 44400 Mora de Rubielos, Teruel</t>
  </si>
  <si>
    <t>699 30 69 08</t>
  </si>
  <si>
    <t>Fontanería Ramos Viñado</t>
  </si>
  <si>
    <t>Calle la Fuente, 9, 44300 Monreal del Campo, Teruel</t>
  </si>
  <si>
    <t>Fontanería Monleón</t>
  </si>
  <si>
    <t>Calle los Amantes, 25, 44760 Utrillas, Teruel</t>
  </si>
  <si>
    <t>Utrillas</t>
  </si>
  <si>
    <t>978 75 77 20</t>
  </si>
  <si>
    <t>Instalaciones Lemi S.L.</t>
  </si>
  <si>
    <t>A-1402, 44509 Alloza, Teruel</t>
  </si>
  <si>
    <t>Alloza</t>
  </si>
  <si>
    <t>978 84 51 64</t>
  </si>
  <si>
    <t>Saltoki Alcañiz</t>
  </si>
  <si>
    <t>Pgno.Ind. La Laguna, Calle Lorenzo Pardo, 10, 44600 Alcañiz, Teruel</t>
  </si>
  <si>
    <t>978 87 01 07</t>
  </si>
  <si>
    <t>Blas Mirallaes Gazulla</t>
  </si>
  <si>
    <t>Calle Constitución, 2, 44509 Alloza, Teruel</t>
  </si>
  <si>
    <t>Hermanos Monzón</t>
  </si>
  <si>
    <t>Calle Sta. Bárbara, 0, 44367 Bronchales, Teruel</t>
  </si>
  <si>
    <t>Bronchales</t>
  </si>
  <si>
    <t>978 70 12 53</t>
  </si>
  <si>
    <t>Fontanería Daniel Milián</t>
  </si>
  <si>
    <t>Calle Lepanto, 14, BAJO, 44570 Calanda, Teruel</t>
  </si>
  <si>
    <t>Calanda</t>
  </si>
  <si>
    <t>978 84 61 52</t>
  </si>
  <si>
    <t>Mario Fontanería</t>
  </si>
  <si>
    <t>Av. El Poyo del Cid, 19, 44200 Calamocha, Teruel</t>
  </si>
  <si>
    <t>Calamocha</t>
  </si>
  <si>
    <t>978 73 11 53</t>
  </si>
  <si>
    <t>Fontanería y Calefacción Conrado Loren</t>
  </si>
  <si>
    <t>Calle Plano Alto, 29, 44530 Híjar, Teruel</t>
  </si>
  <si>
    <t>Híjar</t>
  </si>
  <si>
    <t>978 82 11 75</t>
  </si>
  <si>
    <t>Fontanería Turón</t>
  </si>
  <si>
    <t>Plaza de la Virgen, 13, 44530 Híjar, Teruel</t>
  </si>
  <si>
    <t>978 82 02 15</t>
  </si>
  <si>
    <t>Fipersa</t>
  </si>
  <si>
    <t>Calle Marqués de Lema, 62, 44550 Alcorisa, Teruel</t>
  </si>
  <si>
    <t>Alcorisa</t>
  </si>
  <si>
    <t>978 84 00 03</t>
  </si>
  <si>
    <t>Desatascos Raúl Ibáñez</t>
  </si>
  <si>
    <t>Av. Galán Bergua, 44600 Alcañiz, Teruel</t>
  </si>
  <si>
    <t>696 13 99 63</t>
  </si>
  <si>
    <t>Suministros Milian Bajo Aragón S L</t>
  </si>
  <si>
    <t>Ronda Belchite, 17, 44600 Alcañiz, Teruel</t>
  </si>
  <si>
    <t>978 87 11 60</t>
  </si>
  <si>
    <t>Fontanería Sorribes</t>
  </si>
  <si>
    <t>fontaneriasorribes.es</t>
  </si>
  <si>
    <t>625 63 26 11</t>
  </si>
  <si>
    <t>Reformas y Fontanería Espinosa</t>
  </si>
  <si>
    <t>Calle del, C. Dr. Ricardo Lozano Monzón, 3, BAJO, 50006 Zaragoza</t>
  </si>
  <si>
    <t>fontaneriaespinosa.com</t>
  </si>
  <si>
    <t>976 27 66 59</t>
  </si>
  <si>
    <t>Fontanero Burriana</t>
  </si>
  <si>
    <t>693 71 48 51</t>
  </si>
  <si>
    <t>Diego Lombarte Orona</t>
  </si>
  <si>
    <t>Av. Cortes de Aragón, 33A, 44580 Valderrobres, Teruel</t>
  </si>
  <si>
    <t>Valderrobres</t>
  </si>
  <si>
    <t>Primitivo Morer Calvo</t>
  </si>
  <si>
    <t>Calle Joaquín Costa, 19, 44510 La Puebla de Híjar, Teruel</t>
  </si>
  <si>
    <t>La Puebla de Híjar</t>
  </si>
  <si>
    <t>978 82 63 71</t>
  </si>
  <si>
    <t>José Manuel Arnas Lasmarias</t>
  </si>
  <si>
    <t>Plaza Aragón, 15, 44540 Albalate del Arzobispo, Teruel</t>
  </si>
  <si>
    <t>Albalate del Arzobispo</t>
  </si>
  <si>
    <t>Fontanería Alfonso S.C.</t>
  </si>
  <si>
    <t>Calle Diputación, 2, 50700 Caspe, Zaragoza</t>
  </si>
  <si>
    <t>Caspe</t>
  </si>
  <si>
    <t>multiespaciosweb.com</t>
  </si>
  <si>
    <t>976 63 09 26</t>
  </si>
  <si>
    <t>Instalaciones De Fontanería Mora S L</t>
  </si>
  <si>
    <t>Carrer Màrtirs Independència, 21, 12540 Vila-real, Castelló</t>
  </si>
  <si>
    <t>964 52 33 41</t>
  </si>
  <si>
    <t>Miguel Pablo Mestre Figuerola</t>
  </si>
  <si>
    <t>Calle Mayor, 4, 44566 Aguaviva, Teruel</t>
  </si>
  <si>
    <t>Aguaviva</t>
  </si>
  <si>
    <t>Montañés Instalaciones</t>
  </si>
  <si>
    <t>Calle Concepción Gimeno Gil, 6, 44600 Alcañiz, Teruel</t>
  </si>
  <si>
    <t>Jjbm 3000 servicios y reparaciones</t>
  </si>
  <si>
    <t>689 01 56 33</t>
  </si>
  <si>
    <t>Desatascos Gil</t>
  </si>
  <si>
    <t>Calle la Virgen, 16, 50246 Brea de Aragón, Zaragoza</t>
  </si>
  <si>
    <t>Brea de Aragón</t>
  </si>
  <si>
    <t>689 50 42 01</t>
  </si>
  <si>
    <t>Fontaneria Puyol</t>
  </si>
  <si>
    <t>Calle d&amp;apos;Enrufa, 44610 Calaceite, Teruel</t>
  </si>
  <si>
    <t>Calaceite</t>
  </si>
  <si>
    <t>630 84 11 97</t>
  </si>
  <si>
    <t>Camino de Fillas, 1, 50013 Zaragoza</t>
  </si>
  <si>
    <t>976 41 21 47</t>
  </si>
  <si>
    <t>Saltoki Castellón</t>
  </si>
  <si>
    <t>Avda. Casalduch, s/n, 12005 Castellón de la Plana, Castellón</t>
  </si>
  <si>
    <t>964 34 20 84</t>
  </si>
  <si>
    <t>Jorge Haro Teruel</t>
  </si>
  <si>
    <t>Lugar Llumasos, 6 (Urb Ribes Blaves), 08640 Olesa de Montserrat, Barcelona</t>
  </si>
  <si>
    <t>Olesa de Montserrat</t>
  </si>
  <si>
    <t>937 75 73 97</t>
  </si>
  <si>
    <t>Fontaneria Y Calefaccion Proca</t>
  </si>
  <si>
    <t>Calle Cerro Sta. Lucía, 5, 19300 Molina de Aragón, Guadalajara</t>
  </si>
  <si>
    <t>Molina de Aragón</t>
  </si>
  <si>
    <t>FONTANERIA ALCORA SL - FONTALC</t>
  </si>
  <si>
    <t>Partida la Torreta sin número, FONTALC, 12110 L&amp;apos;Alcora, Castellón</t>
  </si>
  <si>
    <t>Alcora</t>
  </si>
  <si>
    <t>964 36 05 89</t>
  </si>
  <si>
    <t>INSTALACIONS AGUSTI QUEROL</t>
  </si>
  <si>
    <t>606 04 15 29</t>
  </si>
  <si>
    <t>Saltoki Valencia</t>
  </si>
  <si>
    <t>Carrer d&amp;apos;Ovidi Montllor, 15, 46960 Aldaia, Valencia</t>
  </si>
  <si>
    <t>Aldaya</t>
  </si>
  <si>
    <t>962 78 68 00</t>
  </si>
  <si>
    <t>Jesús Hernández</t>
  </si>
  <si>
    <t>Calle Portal de la Villa, 2, 50130 Belchite, Zaragoza</t>
  </si>
  <si>
    <t>Belchite</t>
  </si>
  <si>
    <t>Fontaneria Castellonense</t>
  </si>
  <si>
    <t>Ronda del Millars, 110, 12002 El Grao de Castellón, Castellón</t>
  </si>
  <si>
    <t>El Grao de Castellón</t>
  </si>
  <si>
    <t>696 29 49 77</t>
  </si>
  <si>
    <t>Saltoki Benicarló</t>
  </si>
  <si>
    <t>Camí Sant Mateu, 11, 12580 Benicarló, Castelló</t>
  </si>
  <si>
    <t>Benicarló</t>
  </si>
  <si>
    <t>964 33 49 42</t>
  </si>
  <si>
    <t>Saneamientos Ortiz</t>
  </si>
  <si>
    <t>Calle Sánchez Morate, 25, 28903 Getafe, Madrid</t>
  </si>
  <si>
    <t>Getafe</t>
  </si>
  <si>
    <t>916 84 20 78</t>
  </si>
  <si>
    <t>Mizubox</t>
  </si>
  <si>
    <t>964 51 74 00</t>
  </si>
  <si>
    <t>Instalaciones Miguel L Garcia Matarrubia</t>
  </si>
  <si>
    <t>Calle Teruel, 12, 28977 Casarrubuelos, Madrid</t>
  </si>
  <si>
    <t>Casarrubuelos</t>
  </si>
  <si>
    <t>627 56 22 90</t>
  </si>
  <si>
    <t>Suministros Peiron S.L.</t>
  </si>
  <si>
    <t>Carrer de Sant Andreu, 10, 08291 Ripollet, Barcelona</t>
  </si>
  <si>
    <t>Ripollet</t>
  </si>
  <si>
    <t>936 92 87 16</t>
  </si>
  <si>
    <t>FONTAELEC ZARAGOZA S.L.</t>
  </si>
  <si>
    <t>Calle Dr. Julián Sanz Ibáñez, 51, 50017 Zaragoza</t>
  </si>
  <si>
    <t>fontaneroenzaragoza.es</t>
  </si>
  <si>
    <t>682 44 68 56</t>
  </si>
  <si>
    <t>Fontanería Sánchez Vallejo</t>
  </si>
  <si>
    <t>7 Calle Jardines de la Concordia Trasera, Calle Monte Perdido, 7, 50015 Zaragoza</t>
  </si>
  <si>
    <t>sanchezvallejofontaneria.es</t>
  </si>
  <si>
    <t>976 51 31 34</t>
  </si>
  <si>
    <t>Talleres Fama fontanero zaragoza</t>
  </si>
  <si>
    <t>Calle Cortes de Aragón, 59, 50005 Zaragoza</t>
  </si>
  <si>
    <t>talleres-fama.com</t>
  </si>
  <si>
    <t>976 55 32 07</t>
  </si>
  <si>
    <t>contacto@talleres-fama.com</t>
  </si>
  <si>
    <t>Aresclin Desatascos, Limpiezas y Fontanería</t>
  </si>
  <si>
    <t>Grupo San Jorge, 25, Entresuelo, derecha, 50009 Zaragoza</t>
  </si>
  <si>
    <t>aresclin.com</t>
  </si>
  <si>
    <t>625 31 58 13</t>
  </si>
  <si>
    <t>aresclin@hotmail.com</t>
  </si>
  <si>
    <t>Tello Técnicas del Agua</t>
  </si>
  <si>
    <t>Calle Reina Felicia, 4, local derecha, 50003 Zaragoza</t>
  </si>
  <si>
    <t>almozaracercana.es</t>
  </si>
  <si>
    <t>976 43 36 49</t>
  </si>
  <si>
    <t>info@almozaracercana.es</t>
  </si>
  <si>
    <t>FONTANERÍA Y REFORMAS CALANDA</t>
  </si>
  <si>
    <t>Paseo de Calanda, 43, 50010 Zaragoza</t>
  </si>
  <si>
    <t>fontaneriayreformascalanda.com</t>
  </si>
  <si>
    <t>976 34 24 37</t>
  </si>
  <si>
    <t>info@fontaneriayreformascalanda.com</t>
  </si>
  <si>
    <t>Instalaciones Zaragoza | Instalaciones GPO</t>
  </si>
  <si>
    <t>Calle del Marqués de la Cadena, 42, 50014 Zaragoza</t>
  </si>
  <si>
    <t>876 16 27 23</t>
  </si>
  <si>
    <t>Calle del Conde de Aranda, 122, 50003 Zaragoza</t>
  </si>
  <si>
    <t>desatascoszaragoza.org</t>
  </si>
  <si>
    <t>Sersan Fontanería Zaragoza</t>
  </si>
  <si>
    <t>Urb. Parque Roma F2, 2ºD, 50010 Zaragoza</t>
  </si>
  <si>
    <t>sersanfontaneria.es</t>
  </si>
  <si>
    <t>630 44 06 94</t>
  </si>
  <si>
    <t>Fontaneri Instalaciones Liso</t>
  </si>
  <si>
    <t>Camino de Fillas, 3, 50013 Zaragoza</t>
  </si>
  <si>
    <t>fontanerialiso.com</t>
  </si>
  <si>
    <t>976 59 64 75</t>
  </si>
  <si>
    <t>info@fontanerialiso.com</t>
  </si>
  <si>
    <t>Saltoki Zaragoza Sur</t>
  </si>
  <si>
    <t>Calle de Argualas, Nave 16, 50012 Zaragoza</t>
  </si>
  <si>
    <t>976 30 60 50</t>
  </si>
  <si>
    <t>Fontanería Briz</t>
  </si>
  <si>
    <t>Calle Sta. Lucía, 2, 50003 Zaragoza</t>
  </si>
  <si>
    <t>976 43 12 55</t>
  </si>
  <si>
    <t>Instalaciones J. Enfedaque</t>
  </si>
  <si>
    <t>Calle Bruno Solano, 1, 50006 Zaragoza</t>
  </si>
  <si>
    <t>976 55 22 97</t>
  </si>
  <si>
    <t>Instalaciones Servet SL</t>
  </si>
  <si>
    <t>Calle de Miguel Servet, 92, 50013 Zaragoza</t>
  </si>
  <si>
    <t>instalacionesservet.com</t>
  </si>
  <si>
    <t>976 59 34 48</t>
  </si>
  <si>
    <t>servetsl@telefonica.net</t>
  </si>
  <si>
    <t>RPS FONTANERIA Y REFORMAS</t>
  </si>
  <si>
    <t>Calle de Italia, N°58, Local, 50010 Zaragoza</t>
  </si>
  <si>
    <t>662 33 72 92</t>
  </si>
  <si>
    <t>Fontanería y albañilería Gregorio Claveras</t>
  </si>
  <si>
    <t>EDIFICIO REY FERNANDO-3, Calle de Antonio Saura, 4, 50018 Zaragoza</t>
  </si>
  <si>
    <t>fontaneriagregorioclaveras.com</t>
  </si>
  <si>
    <t>976 73 71 29</t>
  </si>
  <si>
    <t>info@fontaneriagregorioclaveras.com</t>
  </si>
  <si>
    <t>Fontaneria B. R. D.</t>
  </si>
  <si>
    <t>Av. de San José, n 13, 50013 Zaragoza</t>
  </si>
  <si>
    <t>fontaneria-b-r-d.negocio.site</t>
  </si>
  <si>
    <t>640 70 95 74</t>
  </si>
  <si>
    <t>Cocersa Fontanería</t>
  </si>
  <si>
    <t>Av. de la Ilustración, 18, 50012 Zaragoza</t>
  </si>
  <si>
    <t>Fontanería Enaco</t>
  </si>
  <si>
    <t>Calle La Cenia, 15, 50194 Zaragoza</t>
  </si>
  <si>
    <t>fontaneriahenaco.es</t>
  </si>
  <si>
    <t>657 30 98 44</t>
  </si>
  <si>
    <t>GARCIA Fontaneria Saneamiento</t>
  </si>
  <si>
    <t>Calle de Cantín y Gamboa, 3, 50002 Zaragoza</t>
  </si>
  <si>
    <t>Fontanería en Zaragoza I Fontanero en Zaragoza</t>
  </si>
  <si>
    <t>capital y alrededores, 50002 Zaragoza</t>
  </si>
  <si>
    <t>reparaciones-zaragoza.com</t>
  </si>
  <si>
    <t>607 23 52 47</t>
  </si>
  <si>
    <t>administracion@reparaciones-zaragoza.com</t>
  </si>
  <si>
    <t>SANEAMIENTOS UNIVERSITAS, S.L.</t>
  </si>
  <si>
    <t>Calle Tomás Pelayo, 43-45, Local, 50009 Zaragoza</t>
  </si>
  <si>
    <t>saneamientosuniversitas.com</t>
  </si>
  <si>
    <t>639 31 40 23</t>
  </si>
  <si>
    <t>Fontanería Martín S. C.</t>
  </si>
  <si>
    <t>Calle Cuarta Avenida, 46, 50007 Zaragoza</t>
  </si>
  <si>
    <t>976 27 53 60</t>
  </si>
  <si>
    <t>Fontanería Y Calefacción La Estrella S L</t>
  </si>
  <si>
    <t>Calle Isla Conejera, S/N, 50014 Zaragoza</t>
  </si>
  <si>
    <t>fontanerialaestrella.es</t>
  </si>
  <si>
    <t>976 47 11 82</t>
  </si>
  <si>
    <t>Enrique Moliner S L</t>
  </si>
  <si>
    <t>Calle Perpetuo Socorro, 2, 50006 Zaragoza</t>
  </si>
  <si>
    <t>976 27 50 70</t>
  </si>
  <si>
    <t>fontaneria julio navarro saz s.l.</t>
  </si>
  <si>
    <t>Calle José Palafox, 27, 50001 Zaragoza</t>
  </si>
  <si>
    <t>976 29 99 94</t>
  </si>
  <si>
    <t>SYBASISTENCIA</t>
  </si>
  <si>
    <t>Calle Reina Felicia, 16 Oficina, 50003 Zaragoza</t>
  </si>
  <si>
    <t>976 24 81 11</t>
  </si>
  <si>
    <t>Fontaneria Arcega</t>
  </si>
  <si>
    <t>Calle Federico García Lorca, 8, 50007 Zaragoza</t>
  </si>
  <si>
    <t>fontaneriaarcega.com</t>
  </si>
  <si>
    <t>976 25 20 05</t>
  </si>
  <si>
    <t>info@fontaneriaarcega.com</t>
  </si>
  <si>
    <t>Fontanería Sebastián Sánchez S L</t>
  </si>
  <si>
    <t>Calle Isla Gomera, 4, 50015 Zaragoza</t>
  </si>
  <si>
    <t>Fontanería Sandra</t>
  </si>
  <si>
    <t>Calle San Antonio de Padua, 24, 50007 Zaragoza</t>
  </si>
  <si>
    <t>653 75 06 50</t>
  </si>
  <si>
    <t>Climacel</t>
  </si>
  <si>
    <t>Av. de la Almozara, 71, 50003 Zaragoza</t>
  </si>
  <si>
    <t>605 99 87 01</t>
  </si>
  <si>
    <t>Calle Dr. Joaquín Aznar Molina, 19, 50002 Zaragoza</t>
  </si>
  <si>
    <t>fontaneroszaragoza.es</t>
  </si>
  <si>
    <t>675 91 29 91</t>
  </si>
  <si>
    <t>fontaneros Zaragoza</t>
  </si>
  <si>
    <t>Calle Julio Calvo Alfaro, 13, 50016 Zaragoza</t>
  </si>
  <si>
    <t>670 99 99 39</t>
  </si>
  <si>
    <t>Ibon Fontanería</t>
  </si>
  <si>
    <t>Calle Escultor Palao, 24, 50017 Zaragoza</t>
  </si>
  <si>
    <t>722 33 69 77</t>
  </si>
  <si>
    <t>FONTANERÍA y DESATASCOS JP</t>
  </si>
  <si>
    <t>Camino Jarandin, 112, 50059 Zaragoza</t>
  </si>
  <si>
    <t>fontaneriaydesatascosjp.com</t>
  </si>
  <si>
    <t>681 01 42 90</t>
  </si>
  <si>
    <t>hola@fontaneriaydesatascosjp.com</t>
  </si>
  <si>
    <t>Saneamientos Oliver</t>
  </si>
  <si>
    <t>Calle de José Pellicer, 14, 50007 Zaragoza</t>
  </si>
  <si>
    <t>Valentín Lafuente Llera</t>
  </si>
  <si>
    <t>Calle Pablo Ruiz Picasso, 2, 50015 Zaragoza</t>
  </si>
  <si>
    <t>Jurado Fontanería</t>
  </si>
  <si>
    <t>Calle Dr. Iranzo, 31, 50002 Zaragoza</t>
  </si>
  <si>
    <t>FONTANERIA, FRANCISCO PABLO SL</t>
  </si>
  <si>
    <t>Calle La Paz, 11, 50008 Zaragoza</t>
  </si>
  <si>
    <t>976 23 41 12</t>
  </si>
  <si>
    <t>Joaquín Fernández Sola</t>
  </si>
  <si>
    <t>Calle Mosén Vicente Bardaviu, 20, 50011 Zaragoza</t>
  </si>
  <si>
    <t>Fontanería José Luis</t>
  </si>
  <si>
    <t>Calle de Emilia Pardo Bazán, 6, 50018 Zaragoza</t>
  </si>
  <si>
    <t>976 73 12 46</t>
  </si>
  <si>
    <t>Instalaciones Arpla SLL</t>
  </si>
  <si>
    <t>Calle de Marcos Zapata, 6, 50010 Zaragoza</t>
  </si>
  <si>
    <t>Fontaneria Garces</t>
  </si>
  <si>
    <t>Calle Canovas, 13, 50004 Zaragoza</t>
  </si>
  <si>
    <t>Sarriés Calefacción</t>
  </si>
  <si>
    <t>Avenida del, Av. Compromiso de Caspe, 25, 50002 Zaragoza</t>
  </si>
  <si>
    <t>976 41 81 56</t>
  </si>
  <si>
    <t>INSTANAVAZ S L</t>
  </si>
  <si>
    <t>Calle Parque, 12, 50007 Zaragoza</t>
  </si>
  <si>
    <t>Fontaneria D Marcen</t>
  </si>
  <si>
    <t>Calle de los Predicadores, 55, 50003 Zaragoza</t>
  </si>
  <si>
    <t>Fontanerias Navarro</t>
  </si>
  <si>
    <t>Calle Emilio Alfaro Lapuerta, 6, 50017 Zaragoza</t>
  </si>
  <si>
    <t>David José Castán Mialdea</t>
  </si>
  <si>
    <t>Grupo San Jorge, 23, 50009 Zaragoza</t>
  </si>
  <si>
    <t>633 09 22 79</t>
  </si>
  <si>
    <t>José Enrique Larma Marimañana</t>
  </si>
  <si>
    <t>Calle Pablo Remacha, 17, 50008 Zaragoza</t>
  </si>
  <si>
    <t>Fontaneria Romill</t>
  </si>
  <si>
    <t>Calle de Antonio Sangenis, 59, 50010 Zaragoza</t>
  </si>
  <si>
    <t>Fontaneria Reparaciones En General J. Zaurin</t>
  </si>
  <si>
    <t>Travesía Puente Virrey, 13, 50007 Zaragoza</t>
  </si>
  <si>
    <t>Antonio Pascual García Gracia</t>
  </si>
  <si>
    <t>Calle Fray Luis Urbano, 64, 50002 Zaragoza</t>
  </si>
  <si>
    <t>976 59 77 10</t>
  </si>
  <si>
    <t>Fontaneria C.Ramiro</t>
  </si>
  <si>
    <t>Instalaciones de Fontanería y Derivados Moreno Nieto</t>
  </si>
  <si>
    <t>Calle de Antonio Maura, 36, 50013 Zaragoza</t>
  </si>
  <si>
    <t>976 49 69 54</t>
  </si>
  <si>
    <t>Talleres Forcén Fontaneria Calefaccion</t>
  </si>
  <si>
    <t>Calle Leopoldo Romeo, 31, 50002 Zaragoza</t>
  </si>
  <si>
    <t>Fontaneria Hifer SL</t>
  </si>
  <si>
    <t>Calle Riglos, 8, 50012 Zaragoza</t>
  </si>
  <si>
    <t>606 19 82 16</t>
  </si>
  <si>
    <t>Fontanería Javier Ruiz</t>
  </si>
  <si>
    <t>Calle Dr Demetrio Galán Bergua, 2, 50017 Zaragoza</t>
  </si>
  <si>
    <t>670 99 38 89</t>
  </si>
  <si>
    <t>Mariano Javierre Castillo</t>
  </si>
  <si>
    <t>Calle San Adrián de Sasabe, 6, 50002 Zaragoza</t>
  </si>
  <si>
    <t>976 49 52 37</t>
  </si>
  <si>
    <t>Instalaciones,Reparaciones Fontaneria Calefaccion</t>
  </si>
  <si>
    <t>Calle del Arzobispo Apaolaza, 35, 50009 Zaragoza</t>
  </si>
  <si>
    <t>Fontaneria Gas Y Calefaccion Jesus Arribas</t>
  </si>
  <si>
    <t>Calle Almadieros del Roncal, 50015 Zaragoza</t>
  </si>
  <si>
    <t>José Luis Cruz García</t>
  </si>
  <si>
    <t>Calle de Mosén José Martínez, 7, 50011 Zaragoza</t>
  </si>
  <si>
    <t>Puertas Abiertas Mburu</t>
  </si>
  <si>
    <t>Calle Barón de Warsage, 6, Local, 50017 Zaragoza</t>
  </si>
  <si>
    <t>640 60 70 33</t>
  </si>
  <si>
    <t>Fontaneria Hifer</t>
  </si>
  <si>
    <t>Calle las Escuelas, 1, 50009 Zaragoza</t>
  </si>
  <si>
    <t>619 26 70 96</t>
  </si>
  <si>
    <t>Fontanería E Instalaciones</t>
  </si>
  <si>
    <t>Calle Gil Morlanes, 40, 50008 Zaragoza</t>
  </si>
  <si>
    <t>Fontanería Antonio Val Aranda</t>
  </si>
  <si>
    <t>Calle del Escultor Benlliure, 13, 50002 Zaragoza</t>
  </si>
  <si>
    <t>Luz &amp;amp; Agua Electricidad Fontaneria</t>
  </si>
  <si>
    <t>Fontaneria B. Garcia</t>
  </si>
  <si>
    <t>Av. San Juan de la Peña, 149, 50015 Zaragoza</t>
  </si>
  <si>
    <t>Fontaneria Cantín S.C.</t>
  </si>
  <si>
    <t>Calle la Reina de África, 1, 50019 Zaragoza</t>
  </si>
  <si>
    <t>976 93 55 37</t>
  </si>
  <si>
    <t>Saneamientos Solsona</t>
  </si>
  <si>
    <t>Calle Pintor Manuel Viola, 8, 50014 Zaragoza</t>
  </si>
  <si>
    <t>Alberto Aquillué Sebastián</t>
  </si>
  <si>
    <t>Calle de María Zambrano, 6, 50018 Zaragoza</t>
  </si>
  <si>
    <t>Instalaciones Cano Gas Calefaccion</t>
  </si>
  <si>
    <t>Calle de San Antonio Abad, 51, 50010 Zaragoza</t>
  </si>
  <si>
    <t>Isidoro Martínez García</t>
  </si>
  <si>
    <t>Calle del Rio Aragon, 6, 50003 Zaragoza</t>
  </si>
  <si>
    <t>Fontaneria G. Lopez</t>
  </si>
  <si>
    <t>Calle Ricardo del Arco, 6, 50015 Zaragoza</t>
  </si>
  <si>
    <t>Víctor de la Rosa Marcén</t>
  </si>
  <si>
    <t>Calle El Tambor de Hojalata, 15, 50019 Zaragoza</t>
  </si>
  <si>
    <t>Plumbing España</t>
  </si>
  <si>
    <t>Calle de Florián Rey, 15, 50002 Zaragoza</t>
  </si>
  <si>
    <t>RV Instalaciones</t>
  </si>
  <si>
    <t>Av. Alcalde Gómez Laguna, 46, 50009 Zaragoza</t>
  </si>
  <si>
    <t>rvinstalaciones.com</t>
  </si>
  <si>
    <t>692 14 98 95</t>
  </si>
  <si>
    <t>Fontanerias Zaragoza</t>
  </si>
  <si>
    <t>Calle Dr. Joaquín Aznar Molina, 19, local, 50002 Zaragoza</t>
  </si>
  <si>
    <t>fontaneriaszaragoza.es</t>
  </si>
  <si>
    <t>Fontanería Visán S.L.</t>
  </si>
  <si>
    <t>Vía San Fernando, 11, 50007 Zaragoza</t>
  </si>
  <si>
    <t>Fontanería Gabete Peña</t>
  </si>
  <si>
    <t>Calle Silvestre Pérez, 27, 50002 Zaragoza</t>
  </si>
  <si>
    <t>976 42 90 39</t>
  </si>
  <si>
    <t>Miguel Angel Graus Fernández</t>
  </si>
  <si>
    <t>Calle Pablo Ruiz Picasso, 26, 50018 Zaragoza</t>
  </si>
  <si>
    <t>976 74 14 07</t>
  </si>
  <si>
    <t>Valero Latorre Hinojo</t>
  </si>
  <si>
    <t>Calle Fray Luis Urbano, 57, 50002 Zaragoza</t>
  </si>
  <si>
    <t>976 59 01 57</t>
  </si>
  <si>
    <t>Saneamientos Saz Palacian</t>
  </si>
  <si>
    <t>Calle del Conde de Aranda, 73, 50004 Zaragoza</t>
  </si>
  <si>
    <t>Desatascos en Zaragoza Muñoz: Tuberías, Fregadero, WC - Económicos</t>
  </si>
  <si>
    <t>Calle del Coso, 87, P-6 L-A, 50001 Zaragoza</t>
  </si>
  <si>
    <t>desatasco-zaragoza.es</t>
  </si>
  <si>
    <t>644 97 97 89</t>
  </si>
  <si>
    <t>Saneamientos Italia</t>
  </si>
  <si>
    <t>C. de Marcelino Unceta, 61, 50010 Zaragoza</t>
  </si>
  <si>
    <t>976 32 95 99</t>
  </si>
  <si>
    <t>Fontanería Bronchal</t>
  </si>
  <si>
    <t>Calle Sta. Gema, 45, 50007 Zaragoza</t>
  </si>
  <si>
    <t>Proline</t>
  </si>
  <si>
    <t>Calle E, 50016 Zaragoza</t>
  </si>
  <si>
    <t>proline.es</t>
  </si>
  <si>
    <t>976 45 76 58</t>
  </si>
  <si>
    <t>info@proline.es</t>
  </si>
  <si>
    <t>Fontanería Latasa</t>
  </si>
  <si>
    <t>Calle Silvestre Pérez, 21, 50002 Zaragoza</t>
  </si>
  <si>
    <t>Saneamientos Pemar S L</t>
  </si>
  <si>
    <t>Calle de Luis Braille, 12, 50013 Zaragoza</t>
  </si>
  <si>
    <t>976 48 80 05</t>
  </si>
  <si>
    <t>Fclb Fontaneria Calefacción</t>
  </si>
  <si>
    <t>Calle Tiermas, 15, 50002 Zaragoza</t>
  </si>
  <si>
    <t>Serrano Fontaneros</t>
  </si>
  <si>
    <t>Pje. Chueca, 43, 50007 Zaragoza</t>
  </si>
  <si>
    <t>647 73 51 46</t>
  </si>
  <si>
    <t>Fontanería Tomás Paricio SL</t>
  </si>
  <si>
    <t>-8, Calle Pedro Alfonso, 6, 50017 Zaragoza</t>
  </si>
  <si>
    <t>696 73 35 38</t>
  </si>
  <si>
    <t>Fontanería Costey S.L.</t>
  </si>
  <si>
    <t>Lugar, Calle Jardines de Atenas, 1, 50003 Zaragoza</t>
  </si>
  <si>
    <t>Desatascos Y Limpiezas Martínez Pérez</t>
  </si>
  <si>
    <t>Calle Rotonda Villa de Pau, 7, 1º C, 50007 Ronda, Zaragoza</t>
  </si>
  <si>
    <t>desatascosmartinezperez.es</t>
  </si>
  <si>
    <t>976 25 13 66</t>
  </si>
  <si>
    <t>desatascosmartinezperez@gmail.com</t>
  </si>
  <si>
    <t>Claudio Gómez Villanueva</t>
  </si>
  <si>
    <t>Calle Zaragoza la Vieja, 44, 50007 Zaragoza</t>
  </si>
  <si>
    <t>976 38 63 47</t>
  </si>
  <si>
    <t>Germán Lorente García</t>
  </si>
  <si>
    <t>Calle Emilio Castelar, 81, 50013 Zaragoza</t>
  </si>
  <si>
    <t>Luis Miguel Moreno Izuel</t>
  </si>
  <si>
    <t>Calle Francisco de Vitoria, 33, 50008 Zaragoza</t>
  </si>
  <si>
    <t>976 22 83 04</t>
  </si>
  <si>
    <t>Adolfo Martinez</t>
  </si>
  <si>
    <t>Av. San Juan de la Peña, 24, 50015 Zaragoza</t>
  </si>
  <si>
    <t>976 20 00 17</t>
  </si>
  <si>
    <t>Font, José</t>
  </si>
  <si>
    <t>Calle Félix Latassa, 32, 50006 Zaragoza</t>
  </si>
  <si>
    <t>Fritermia S.C.</t>
  </si>
  <si>
    <t>Calle de José Pellicer, 46, 50007 Zaragoza</t>
  </si>
  <si>
    <t>Font Green</t>
  </si>
  <si>
    <t>Calle Lausana, 4, 50007 Zaragoza</t>
  </si>
  <si>
    <t>976 27 88 09</t>
  </si>
  <si>
    <t>José Antonio Reina Fernández</t>
  </si>
  <si>
    <t>Calle de María Zambrano, 21, 50018 Zaragoza</t>
  </si>
  <si>
    <t>696 25 12 94</t>
  </si>
  <si>
    <t>Instalaciones Fonza</t>
  </si>
  <si>
    <t>50021, Zaragoza</t>
  </si>
  <si>
    <t>653 61 96 82</t>
  </si>
  <si>
    <t>Ghesa</t>
  </si>
  <si>
    <t>Calle George Stephenson, 20, 50015 Zaragoza</t>
  </si>
  <si>
    <t>976 73 42 84</t>
  </si>
  <si>
    <t>Reformas y Gremios</t>
  </si>
  <si>
    <t>Paseo de las Damas, 42, 50008 Zaragoza</t>
  </si>
  <si>
    <t>690 18 75 41</t>
  </si>
  <si>
    <t>Jerco Aragón S L</t>
  </si>
  <si>
    <t>Calle Jaime Ferrán, 9, 50014 Zaragoza</t>
  </si>
  <si>
    <t>976 90 00 95</t>
  </si>
  <si>
    <t>manitas zaragoza</t>
  </si>
  <si>
    <t>Calle J. Sebastián Bach, 67, 50012 Zaragoza</t>
  </si>
  <si>
    <t>626 49 48 24</t>
  </si>
  <si>
    <t>Manuel Perea Rubio</t>
  </si>
  <si>
    <t>Calle Ángel Ganivet, 8, 50008 Zaragoza</t>
  </si>
  <si>
    <t>Fontanería Bujeda</t>
  </si>
  <si>
    <t>Av. de Sta. Isabel, 140, 50194 Zaragoza</t>
  </si>
  <si>
    <t>976 57 00 45</t>
  </si>
  <si>
    <t>Fontaneria S &amp;amp; D CUETARA</t>
  </si>
  <si>
    <t>Calle Almozara, 40, 50180 Utebo, Zaragoza</t>
  </si>
  <si>
    <t>fontanerosanitrit.es</t>
  </si>
  <si>
    <t>976 77 12 53</t>
  </si>
  <si>
    <t>Tienda Fontaneria Javi</t>
  </si>
  <si>
    <t>Calle Juan Blas de Ubide, 22, 50015 Zaragoza</t>
  </si>
  <si>
    <t>I.G.T.</t>
  </si>
  <si>
    <t>Don Jaime I, 35, 2º Izda, 50001 Zaragoza</t>
  </si>
  <si>
    <t>976 91 01 28</t>
  </si>
  <si>
    <t>BuscaFugas</t>
  </si>
  <si>
    <t>P.I, Calle Nogal, nave 49, 50171 La Puebla de Alfindén, Zaragoza</t>
  </si>
  <si>
    <t>La Puebla de Alfindén</t>
  </si>
  <si>
    <t>buscafugas.com</t>
  </si>
  <si>
    <t>607 89 46 07</t>
  </si>
  <si>
    <t>contacto@buscafugas.com</t>
  </si>
  <si>
    <t>Gil Luzón, S.L.</t>
  </si>
  <si>
    <t>50007 Zaragoza</t>
  </si>
  <si>
    <t>Dukto</t>
  </si>
  <si>
    <t>dukto.es</t>
  </si>
  <si>
    <t>Mi Tienda de Riego</t>
  </si>
  <si>
    <t>Calle de Ermesinda de Aragón, 110, 50012 Zaragoza</t>
  </si>
  <si>
    <t>693 78 71 71</t>
  </si>
  <si>
    <t>Fontanería Iñaqui Blazquez Torres</t>
  </si>
  <si>
    <t>Calle San Andrés, 9, 50180 Utebo, Zaragoza</t>
  </si>
  <si>
    <t>629 71 75 26</t>
  </si>
  <si>
    <t>Fontanería Francisco Pablo</t>
  </si>
  <si>
    <t>Calle la Paz, 11, 50820 San Juan de Mozarrifar, Zaragoza</t>
  </si>
  <si>
    <t>San Juan de Mozarrifar</t>
  </si>
  <si>
    <t>976 23 44 11</t>
  </si>
  <si>
    <t>FONTANERIA E INSTALACIONES ZARAGOZA S.L.</t>
  </si>
  <si>
    <t>POLIGONO SAN MIGUEL B C/P NAVE 47, 50830 Villanueva de Gállego</t>
  </si>
  <si>
    <t>Villanueva de Gállego</t>
  </si>
  <si>
    <t>976 18 54 57</t>
  </si>
  <si>
    <t>Industrias Reunidas Sanitarias SL</t>
  </si>
  <si>
    <t>Calle Alcalá de la Selva, 5, 50017 Zaragoza</t>
  </si>
  <si>
    <t>indusansl.com</t>
  </si>
  <si>
    <t>976 40 31 45</t>
  </si>
  <si>
    <t>gestion@indusansl.com</t>
  </si>
  <si>
    <t>FONTANERÍA GALVEZ</t>
  </si>
  <si>
    <t>50016 Zaragoza</t>
  </si>
  <si>
    <t>637 37 25 39</t>
  </si>
  <si>
    <t>Fontanería Sánchez Escribano S C</t>
  </si>
  <si>
    <t>Calle Sta. Ana, 16, 50120 Monzalbarba, Zaragoza</t>
  </si>
  <si>
    <t>Monzalbarba</t>
  </si>
  <si>
    <t>Comercial Vifer</t>
  </si>
  <si>
    <t>Polígono Industrial Ruiseñores II, KM 8&amp;apos;7, 50001 Zaragoza</t>
  </si>
  <si>
    <t>comercialvifer.es</t>
  </si>
  <si>
    <t>976 46 22 21</t>
  </si>
  <si>
    <t>admon@comercialvifer.es</t>
  </si>
  <si>
    <t>Saneamientos Utebo S L</t>
  </si>
  <si>
    <t>Calle Ntra. Sra. del Carmen, 9, 50180 Utebo, Zaragoza</t>
  </si>
  <si>
    <t>686 03 11 81</t>
  </si>
  <si>
    <t>Fontaneria Instalfont Zaragoza S.L.U.</t>
  </si>
  <si>
    <t>Pol. Ind. Empresarium. C/ Ajedrea, 20 E-39, 50720 Zaragoza</t>
  </si>
  <si>
    <t>607 16 17 55</t>
  </si>
  <si>
    <t>Talleres Mecánicos Tamex S L</t>
  </si>
  <si>
    <t>Av. de Sta. Isabel, 9, 50194 Movera, Zaragoza</t>
  </si>
  <si>
    <t>Movera</t>
  </si>
  <si>
    <t>976 57 44 00</t>
  </si>
  <si>
    <t>Aragón Oil S.A.</t>
  </si>
  <si>
    <t>Plaza de Aragón, 10, 50120 Monzalbarba, Zaragoza</t>
  </si>
  <si>
    <t>976 23 01 22</t>
  </si>
  <si>
    <t>Fontaneria Belarre</t>
  </si>
  <si>
    <t>Calle Sta. Orosia, 7, 50840 San Mateo de Gállego, Zaragoza</t>
  </si>
  <si>
    <t>San Mateo de Gállego</t>
  </si>
  <si>
    <t>Alate Fontaneros</t>
  </si>
  <si>
    <t>alatesl.com</t>
  </si>
  <si>
    <t>615 47 44 24</t>
  </si>
  <si>
    <t>SANEAMIENTOS LASARTE - Fontanero - BAÑOS</t>
  </si>
  <si>
    <t>Calle Zaragoza, 61, 50660 Tauste, Zaragoza</t>
  </si>
  <si>
    <t>Tauste</t>
  </si>
  <si>
    <t>saneamientoslasarte.com</t>
  </si>
  <si>
    <t>976 85 49 39</t>
  </si>
  <si>
    <t>info@saneamientoslasarte.com</t>
  </si>
  <si>
    <t>Fontanería Mantenimientos Jm Castillo</t>
  </si>
  <si>
    <t>Calle Valencia, 24, 50620 Zaragoza</t>
  </si>
  <si>
    <t>673 43 11 40</t>
  </si>
  <si>
    <t>FONTANERÍA CUCALÓN</t>
  </si>
  <si>
    <t>Calle Maestro Don Faustino Hernández, 8, 50400 Cariñena, Zaragoza</t>
  </si>
  <si>
    <t>Cariñena</t>
  </si>
  <si>
    <t>fontaneriacucalon.com</t>
  </si>
  <si>
    <t>976 62 04 36</t>
  </si>
  <si>
    <t>Fontanería Moreno Ichaso</t>
  </si>
  <si>
    <t>Carrera de Zaragoza, 6, 50500 Tarazona, Zaragoza</t>
  </si>
  <si>
    <t>Tarazona</t>
  </si>
  <si>
    <t>Anmigrif S.L.</t>
  </si>
  <si>
    <t>Calle Cipriano Aguilar, 1, 50300 Calatayud, Zaragoza</t>
  </si>
  <si>
    <t>Calatayud</t>
  </si>
  <si>
    <t>Fontaneria RMT montajes</t>
  </si>
  <si>
    <t>Allande</t>
  </si>
  <si>
    <t>rmt-montajes.es</t>
  </si>
  <si>
    <t>684 63 56 65</t>
  </si>
  <si>
    <t>info@rmt-montajes.es</t>
  </si>
  <si>
    <t>Desatascos Asturias</t>
  </si>
  <si>
    <t>Calle Paulino Vicente, 33420 Lugones, Asturias</t>
  </si>
  <si>
    <t>Lugones</t>
  </si>
  <si>
    <t>desatascosasturias.com</t>
  </si>
  <si>
    <t>613 01 04 90</t>
  </si>
  <si>
    <t>DESATASCOS ARIAS</t>
  </si>
  <si>
    <t>Calle Arzobispo Lauzurica, 3, 33008 Oviedo, Asturias</t>
  </si>
  <si>
    <t>Oviedo</t>
  </si>
  <si>
    <t>desatascosariasoviedo.com</t>
  </si>
  <si>
    <t>626 61 13 90</t>
  </si>
  <si>
    <t>Gasbalan- Fontanería, gas, calefacción, renovables.</t>
  </si>
  <si>
    <t>Calle Miguel Unamuno, 13, 33010 Oviedo, Asturias</t>
  </si>
  <si>
    <t>gasbalan.es</t>
  </si>
  <si>
    <t>985 20 55 83</t>
  </si>
  <si>
    <t>info@gasbalan.es</t>
  </si>
  <si>
    <t>Camin de la Mina, Calle A, 1B, 33350 Gijón, Asturias</t>
  </si>
  <si>
    <t>Instalaciones &amp;amp; Reparaciones Tuero</t>
  </si>
  <si>
    <t>Av. de Justo del Castillo y Quintana, 13, 33203 Gijón, Asturias</t>
  </si>
  <si>
    <t>instalacionestuero.com</t>
  </si>
  <si>
    <t>984 49 00 69</t>
  </si>
  <si>
    <t>Fontaneria y Calefaccion Alvarez&amp;amp;Alvarez</t>
  </si>
  <si>
    <t>Plaza de Asturias, 11, bajo, 33800 Cangas del Narcea, Asturias</t>
  </si>
  <si>
    <t>Cangas del Narcea</t>
  </si>
  <si>
    <t>alvarezalvarezcalefaccion.com</t>
  </si>
  <si>
    <t>639 44 33 18</t>
  </si>
  <si>
    <t>info@alvarezalvarezcalefaccion.com</t>
  </si>
  <si>
    <t>Gesal Desatascos y Fontanería</t>
  </si>
  <si>
    <t>Calle Fernando Morán Lavandera, 16, 33205 Gijón, Asturias</t>
  </si>
  <si>
    <t>gesaldesatascos.es</t>
  </si>
  <si>
    <t>617 41 85 68</t>
  </si>
  <si>
    <t>info@gesaldesatascos.es</t>
  </si>
  <si>
    <t>RADBA</t>
  </si>
  <si>
    <t>Calle Puerto de la Cubilla, 16, 33207 Gijón, Asturias</t>
  </si>
  <si>
    <t>radba.es</t>
  </si>
  <si>
    <t>652 12 07 21</t>
  </si>
  <si>
    <t>info@radba.es</t>
  </si>
  <si>
    <t>Hilario Alonso Fontanería Calefacion y Cristales S</t>
  </si>
  <si>
    <t>Calle Cervantes, 37, 33300 Villaviciosa, Asturias</t>
  </si>
  <si>
    <t>Villaviciosa</t>
  </si>
  <si>
    <t>985 89 32 57</t>
  </si>
  <si>
    <t>Saltoki Oviedo</t>
  </si>
  <si>
    <t>Polígono Espíritu Santo, Calle Dinamarca, 36, 33010 Oviedo, Asturias</t>
  </si>
  <si>
    <t>985 79 17 43</t>
  </si>
  <si>
    <t>Fontanería y Calefacción Somió</t>
  </si>
  <si>
    <t>Plaza Villamanín, 33203 Gijón, Asturias</t>
  </si>
  <si>
    <t>Fontanero Oviedo 24h</t>
  </si>
  <si>
    <t>Calle Bernardo Casielles, 2, 33013 Oviedo, Asturias</t>
  </si>
  <si>
    <t>fontanerooviedo.net</t>
  </si>
  <si>
    <t>984 24 38 93</t>
  </si>
  <si>
    <t>fontaneroastur@gmail.com</t>
  </si>
  <si>
    <t>Grupo Jocaba Reformas y desatascos</t>
  </si>
  <si>
    <t>jocaba.com</t>
  </si>
  <si>
    <t>985 27 70 73</t>
  </si>
  <si>
    <t>rrhh@jocaba.com</t>
  </si>
  <si>
    <t>Saltoki Gijón</t>
  </si>
  <si>
    <t>Av. de los Campones, 7, 33211 Gijón, Asturias</t>
  </si>
  <si>
    <t>985 86 72 95</t>
  </si>
  <si>
    <t>Fontaneria Y Calefaccion Villamil</t>
  </si>
  <si>
    <t>Calle Antonio Lucio Villegas, 38, 33900 Langreo, Asturias</t>
  </si>
  <si>
    <t>Langreo</t>
  </si>
  <si>
    <t>985 67 63 87</t>
  </si>
  <si>
    <t>José G Navarro S A</t>
  </si>
  <si>
    <t>PGNO. ASIPO PARCELA 33 NAVE 8, Calle B, 33420, Asturias</t>
  </si>
  <si>
    <t>Coruño</t>
  </si>
  <si>
    <t>navarro.center</t>
  </si>
  <si>
    <t>985 25 89 07</t>
  </si>
  <si>
    <t>direccion@e-zabaleta.com</t>
  </si>
  <si>
    <t>Reparaciones Robles Merayo</t>
  </si>
  <si>
    <t>Calle Santo Domingo, 18, 33209 Gijón, Asturias</t>
  </si>
  <si>
    <t>reparacionesrobles.com</t>
  </si>
  <si>
    <t>985 15 45 29</t>
  </si>
  <si>
    <t>robles@reparacionesrobles.com</t>
  </si>
  <si>
    <t>Calle Leopoldo Alas Clarín, 10, B derecha, 33600 Mieres, Asturias</t>
  </si>
  <si>
    <t>Mieres</t>
  </si>
  <si>
    <t>678 56 06 04</t>
  </si>
  <si>
    <t>Alonso Y Cuesta</t>
  </si>
  <si>
    <t>Calle Florentino Cueto Felgueroso, 33930 Langreo, Asturias</t>
  </si>
  <si>
    <t>alonsoycuesta.com</t>
  </si>
  <si>
    <t>985 69 03 25</t>
  </si>
  <si>
    <t>info@alonsoycuesta.com</t>
  </si>
  <si>
    <t>Fontanero Juan Carlos González</t>
  </si>
  <si>
    <t>Calle, 4, 33815 Irrondo de Besullo, Asturias</t>
  </si>
  <si>
    <t>Irrondo de Besullo</t>
  </si>
  <si>
    <t>619 69 46 33</t>
  </si>
  <si>
    <t>Fontaneria Juan Carlos Diaz</t>
  </si>
  <si>
    <t>Calle Rey Pelayo, 33550 Cangas de Onís, Asturias</t>
  </si>
  <si>
    <t>Cangas de Onís</t>
  </si>
  <si>
    <t>617 25 81 98</t>
  </si>
  <si>
    <t>Perovi S.L.</t>
  </si>
  <si>
    <t>Avenida Schultz nº28, 33208 Gijón, Asturias</t>
  </si>
  <si>
    <t>perovi.com</t>
  </si>
  <si>
    <t>985 15 44 44</t>
  </si>
  <si>
    <t>info@perovi.com</t>
  </si>
  <si>
    <t>VALLINA FONTANEROS</t>
  </si>
  <si>
    <t>Calle Párroco Fernández Pedrera, 23, 33510 Pola de Siero, Asturias</t>
  </si>
  <si>
    <t>Pola de Siero</t>
  </si>
  <si>
    <t>vallinafontaneros.com</t>
  </si>
  <si>
    <t>633 40 59 00</t>
  </si>
  <si>
    <t>contacto@vallinafontaneros.com</t>
  </si>
  <si>
    <t>Fontanería Pando</t>
  </si>
  <si>
    <t>Calle Infante, 1, 33560 Ribadesella, Asturias</t>
  </si>
  <si>
    <t>Ribadesella</t>
  </si>
  <si>
    <t>985 86 09 23</t>
  </si>
  <si>
    <t>Fontaneria Fanjul, S.L.</t>
  </si>
  <si>
    <t>Calle Celleruelo, 43, 33510 Pola de Siero, Asturias</t>
  </si>
  <si>
    <t>985 72 08 28</t>
  </si>
  <si>
    <t>Instalaciones y Reformas Menéndez</t>
  </si>
  <si>
    <t>Parque Argame, 28G, 33162, Asturias</t>
  </si>
  <si>
    <t>La Rectoría</t>
  </si>
  <si>
    <t>609 13 61 31</t>
  </si>
  <si>
    <t>Tito Fontanería Calefacción y Gas</t>
  </si>
  <si>
    <t>Calle Manuel Junquera, 15, 33204 Gijón, Asturias</t>
  </si>
  <si>
    <t>630 33 80 99</t>
  </si>
  <si>
    <t>fontaneria asgu</t>
  </si>
  <si>
    <t>Bendicion, Valdesoto, 33937, Asturias</t>
  </si>
  <si>
    <t>Bendición</t>
  </si>
  <si>
    <t>985 74 43 43</t>
  </si>
  <si>
    <t>Sumicaplus</t>
  </si>
  <si>
    <t>Ctra. Colloto-Viella, Nave 5, 33429, Asturias</t>
  </si>
  <si>
    <t>Colloto</t>
  </si>
  <si>
    <t>sumicaplus.es</t>
  </si>
  <si>
    <t>985 28 87 55</t>
  </si>
  <si>
    <t>Julián Pardo López</t>
  </si>
  <si>
    <t>Calle la Vega, 3, 33600 Mieres, Asturias</t>
  </si>
  <si>
    <t>985 45 26 30</t>
  </si>
  <si>
    <t>instalaciones y mantenimientos coalla s.l.</t>
  </si>
  <si>
    <t>33820 Grado, Asturias</t>
  </si>
  <si>
    <t>Grado</t>
  </si>
  <si>
    <t>instalacionescoalla.com</t>
  </si>
  <si>
    <t>686 88 47 30</t>
  </si>
  <si>
    <t>Chema Costales Fontaneros</t>
  </si>
  <si>
    <t>fontaneriachemacostales.com</t>
  </si>
  <si>
    <t>670 65 10 48</t>
  </si>
  <si>
    <t>info@fontaneriachemacostales.com</t>
  </si>
  <si>
    <t>Desatascos y Fontaneros Oviedo Gesal</t>
  </si>
  <si>
    <t>Polígono Natalio 2ª Travesía Nave 2, 33429 Viella, Asturias</t>
  </si>
  <si>
    <t>984 24 95 91</t>
  </si>
  <si>
    <t>Gumersindo Fdez. Fdez. Fontanería Sindo</t>
  </si>
  <si>
    <t>Calle Pedro Pidal Arroyo, 7, 33300 Villaviciosa, Asturias</t>
  </si>
  <si>
    <t>985 89 24 37</t>
  </si>
  <si>
    <t>Saneamientos Mieres</t>
  </si>
  <si>
    <t>Calle Avilés, 6, 33600 Mieres, Asturias</t>
  </si>
  <si>
    <t>Cimacanal, S. L.</t>
  </si>
  <si>
    <t>Calle Manuel Junquera, 17, Bajo, 33204 Gijón, Asturias</t>
  </si>
  <si>
    <t>985 33 34 61</t>
  </si>
  <si>
    <t>Instalaciones Rismar XXI</t>
  </si>
  <si>
    <t>Calle la Fuente, 32, 34, 33800 Cangas del Narcea, Asturias</t>
  </si>
  <si>
    <t>630 88 44 66</t>
  </si>
  <si>
    <t>Reformas y reparaciones Eduardo</t>
  </si>
  <si>
    <t>El puentín, 2, 33450 Piedras Blancas, Asturias</t>
  </si>
  <si>
    <t>Piedras Blancas</t>
  </si>
  <si>
    <t>609 02 28 62</t>
  </si>
  <si>
    <t>Paco Pertierra</t>
  </si>
  <si>
    <t>Calle la Estrecha, 26, 33011 Oviedo, Asturias</t>
  </si>
  <si>
    <t>pacopertierra.es</t>
  </si>
  <si>
    <t>658 36 33 14</t>
  </si>
  <si>
    <t>JAVIER GUERRA</t>
  </si>
  <si>
    <t>Calle Eustaquio Lecue, 1, bajo 2, 33930 Langreo, Asturias</t>
  </si>
  <si>
    <t>687 48 50 08</t>
  </si>
  <si>
    <t>Yáñez Fontanero</t>
  </si>
  <si>
    <t>Calle Fray Ceferino, 36, 33001 Oviedo, Asturias</t>
  </si>
  <si>
    <t>610 36 55 38</t>
  </si>
  <si>
    <t>Fontaneria y Calefaccion SEGUNDO PRENDES</t>
  </si>
  <si>
    <t>Sevares, 3, 33584 La Robellada, Asturias</t>
  </si>
  <si>
    <t>Sevares</t>
  </si>
  <si>
    <t>619 98 68 26</t>
  </si>
  <si>
    <t>FONTANERÍA MIRAVALLES</t>
  </si>
  <si>
    <t>Calle Magdalena, 25, 33300 Villaviciosa, Asturias</t>
  </si>
  <si>
    <t>985 89 05 79</t>
  </si>
  <si>
    <t>Alcasa s.l.</t>
  </si>
  <si>
    <t>Calle Dr. Bellmunt, 15, 33205 Gijón, Asturias</t>
  </si>
  <si>
    <t>985 37 39 89</t>
  </si>
  <si>
    <t>Saneamientos Moreda</t>
  </si>
  <si>
    <t>Calle de la Estación, 46-52, 33670 Moreda, Asturias</t>
  </si>
  <si>
    <t>Moreda</t>
  </si>
  <si>
    <t>984 08 08 01</t>
  </si>
  <si>
    <t>Saneamientos Hergo</t>
  </si>
  <si>
    <t>Calle Baleares, 47, 33208 Gijón, Asturias</t>
  </si>
  <si>
    <t>985 39 60 71</t>
  </si>
  <si>
    <t>Instalaciones Adelino Fernández S.L.U.</t>
  </si>
  <si>
    <t>Lugar Almuña, 0 S/N, 33700 Almuña</t>
  </si>
  <si>
    <t>Almuña</t>
  </si>
  <si>
    <t>985 47 02 22</t>
  </si>
  <si>
    <t>Gonzalez Vega</t>
  </si>
  <si>
    <t>Av. de la Constitución, 10, 33401 Avilés, Asturias</t>
  </si>
  <si>
    <t>Avilés</t>
  </si>
  <si>
    <t>Almer Fontaneria Calefaccion Gas</t>
  </si>
  <si>
    <t>Calle Pr Bonif Amado, 33740 Tapia de Casariego, Asturias</t>
  </si>
  <si>
    <t>Tapia de Casariego</t>
  </si>
  <si>
    <t>Yebra</t>
  </si>
  <si>
    <t>Plaza las Campas, 8, 33870 Tineo, Asturias</t>
  </si>
  <si>
    <t>Tineo</t>
  </si>
  <si>
    <t>689 92 19 11</t>
  </si>
  <si>
    <t>Fontanería y Calefacción Félix Cueva</t>
  </si>
  <si>
    <t>Calle de Carreño Miranda, 3, 33429 Lugones, Asturias</t>
  </si>
  <si>
    <t>fontanerialugonesysiero.es</t>
  </si>
  <si>
    <t>609 37 91 29</t>
  </si>
  <si>
    <t>Foncada</t>
  </si>
  <si>
    <t>Calle del Montico, 13, 33404 Avilés, Asturias</t>
  </si>
  <si>
    <t>626 04 80 66</t>
  </si>
  <si>
    <t>JG Navarro</t>
  </si>
  <si>
    <t>Calle Juan Muñiz Zapico, 6, 33210 Gijón, Asturias</t>
  </si>
  <si>
    <t>985 38 22 11</t>
  </si>
  <si>
    <t>Desatascos Caudal</t>
  </si>
  <si>
    <t>Poligono industrial Gonzalin, 33610 Mieres, Asturias</t>
  </si>
  <si>
    <t>644 52 95 96</t>
  </si>
  <si>
    <t>Instalaciones Fernandez</t>
  </si>
  <si>
    <t>Calle Juan Uría Riu, 1, 33420 Lugones, Asturias</t>
  </si>
  <si>
    <t>fontaneriaifemag.es</t>
  </si>
  <si>
    <t>678 71 71 91</t>
  </si>
  <si>
    <t>info@fontaneriaifemag.es</t>
  </si>
  <si>
    <t>Fontanería José Luis Solares</t>
  </si>
  <si>
    <t>Calle Anselmo Solar, 41, 33204 Gijón, Asturias</t>
  </si>
  <si>
    <t>677 79 56 61</t>
  </si>
  <si>
    <t>Fontanería Manuel Álvarez Rivas</t>
  </si>
  <si>
    <t>Rúa San Lázaro, 48, 27700 Ribadeo, Lugo</t>
  </si>
  <si>
    <t>Ribadeo</t>
  </si>
  <si>
    <t>instalacionesmalvarezrivas.com</t>
  </si>
  <si>
    <t>659 96 69 34</t>
  </si>
  <si>
    <t>Baxiroca</t>
  </si>
  <si>
    <t>Calle Perez Galdos, 1, 33012 Oviedo, Asturias</t>
  </si>
  <si>
    <t>baxi.es</t>
  </si>
  <si>
    <t>985 21 56 52</t>
  </si>
  <si>
    <t>react@16.12.0</t>
  </si>
  <si>
    <t>Manuel Alfonso Alvarez González</t>
  </si>
  <si>
    <t>Calle tras los Hórreos, 2, 33820 Grado, Asturias</t>
  </si>
  <si>
    <t>985 75 34 93</t>
  </si>
  <si>
    <t>Fontanería y Calefacción Moradiellos S.L.</t>
  </si>
  <si>
    <t>S N, Lugar Barrio El Castañeu, 0, 33554, Asturias</t>
  </si>
  <si>
    <t>Yonitek</t>
  </si>
  <si>
    <t>Lugar LONGA, 52, 33616 La Longa, Asturias</t>
  </si>
  <si>
    <t>La Longa</t>
  </si>
  <si>
    <t>641 42 17 41</t>
  </si>
  <si>
    <t>Fresno</t>
  </si>
  <si>
    <t>Av. del Llano, 11, BAJO, 33209 Gijón, Asturias</t>
  </si>
  <si>
    <t>fresnoinstalaciones.com</t>
  </si>
  <si>
    <t>985 39 83 85</t>
  </si>
  <si>
    <t>info@fresnoinstalaciones.com</t>
  </si>
  <si>
    <t>Fontanería Luis Eduardo</t>
  </si>
  <si>
    <t>Calle del Comercio, 12, 33560 Ribadesella, Asturias</t>
  </si>
  <si>
    <t>Fontanería Javi</t>
  </si>
  <si>
    <t>Calle Garonda, 1, 33120 Pravia, Asturias</t>
  </si>
  <si>
    <t>Pravia</t>
  </si>
  <si>
    <t>665 96 29 43</t>
  </si>
  <si>
    <t>Fontanería Calefacción Hermanos Otero</t>
  </si>
  <si>
    <t>Barrio Fondón, 2, 33550 Cangas de Onís, Asturias</t>
  </si>
  <si>
    <t>985 84 88 90</t>
  </si>
  <si>
    <t>FONTANERÍA TONI</t>
  </si>
  <si>
    <t>Calle Cuba, 27, 33213 Gijón, Asturias</t>
  </si>
  <si>
    <t>629 86 48 78</t>
  </si>
  <si>
    <t>Fontanería Asturfont S L L</t>
  </si>
  <si>
    <t>Avenida Gijón, 45, 33930 Langreo, Asturias</t>
  </si>
  <si>
    <t>666 99 96 66</t>
  </si>
  <si>
    <t>Fontanería López</t>
  </si>
  <si>
    <t>Av. del Mar, 43, 33011 Oviedo, Asturias</t>
  </si>
  <si>
    <t>660 91 88 27</t>
  </si>
  <si>
    <t>Calefacción y Saneamientos Fernández Oro</t>
  </si>
  <si>
    <t>Calle de la Libertad, 78, 33980 Pola de Laviana, Asturias</t>
  </si>
  <si>
    <t>Pola de Laviana</t>
  </si>
  <si>
    <t>comerciamas.com</t>
  </si>
  <si>
    <t>985 60 08 01</t>
  </si>
  <si>
    <t>Servicios Mauri</t>
  </si>
  <si>
    <t>Av. Somata, 16, 33186 El Berrón, Asturias</t>
  </si>
  <si>
    <t>El Berrón</t>
  </si>
  <si>
    <t>Fontanería Juan Fernandez SL</t>
  </si>
  <si>
    <t>Av. Carlos Peláez, 1, 33710 Navia, Asturias</t>
  </si>
  <si>
    <t>Navia</t>
  </si>
  <si>
    <t>985 47 36 49</t>
  </si>
  <si>
    <t>Fontanería Astur</t>
  </si>
  <si>
    <t>676 40 11 60</t>
  </si>
  <si>
    <t>Gafer</t>
  </si>
  <si>
    <t>Calle la Playa, 4, 33630 Pola de Lena, Asturias</t>
  </si>
  <si>
    <t>Pola de Lena</t>
  </si>
  <si>
    <t>607 96 91 46</t>
  </si>
  <si>
    <t>Arias Fontanería</t>
  </si>
  <si>
    <t>Calle Eduardo Carreño Valdés, 10, 33401 Avilés, Asturias</t>
  </si>
  <si>
    <t>Fontanería Santi</t>
  </si>
  <si>
    <t>Calle del Nozal, 4, 33548 Arriondas, Asturias</t>
  </si>
  <si>
    <t>Arriondas</t>
  </si>
  <si>
    <t>620 96 30 63</t>
  </si>
  <si>
    <t>Pendas Costales</t>
  </si>
  <si>
    <t>Lugar Barredo, 0 S N, 33345 Barredo, Asturias</t>
  </si>
  <si>
    <t>Barredo</t>
  </si>
  <si>
    <t>Rujas</t>
  </si>
  <si>
    <t>Calle Desfiladero de la Hermida, 7, 33212 Gijón, Asturias</t>
  </si>
  <si>
    <t>985 32 49 58</t>
  </si>
  <si>
    <t>Dcg fontanero</t>
  </si>
  <si>
    <t>626 28 13 57</t>
  </si>
  <si>
    <t>Langre Calor S.L.</t>
  </si>
  <si>
    <t>Calle Sabino Alonso Fueyo, 18, 33934 Langreo, Asturias</t>
  </si>
  <si>
    <t>Cabornio, 18, 33170 La Manjoya, Asturias</t>
  </si>
  <si>
    <t>La Manjoya</t>
  </si>
  <si>
    <t>Javier Iglesias Fernández</t>
  </si>
  <si>
    <t>Calle Langreo, 10, 33600 Mieres, Asturias</t>
  </si>
  <si>
    <t>985 45 07 03</t>
  </si>
  <si>
    <t>Roberto Peruyero Casalta</t>
  </si>
  <si>
    <t>Calle el Barco, 13, 33540 Arriondas, Asturias</t>
  </si>
  <si>
    <t>985 84 05 54</t>
  </si>
  <si>
    <t>DESATASCOS MUÑIZ</t>
  </si>
  <si>
    <t>Calle Jesús González Alonso, 29, 4º IZQ, 33205 Gijón, Asturias</t>
  </si>
  <si>
    <t>650 38 59 93</t>
  </si>
  <si>
    <t>Luis Manuel García García</t>
  </si>
  <si>
    <t>Lugar Puerto San Isidro, 18, 33980 Pola de Laviana</t>
  </si>
  <si>
    <t>696 11 83 82</t>
  </si>
  <si>
    <t>Fontaneria Alvaro- Diseño de Interiores Fergon</t>
  </si>
  <si>
    <t>Calle Padre Valdés, 10, 33980 Pola de Laviana, Asturias</t>
  </si>
  <si>
    <t>984 70 13 94</t>
  </si>
  <si>
    <t>Energía Solar</t>
  </si>
  <si>
    <t>Calle Príncipe de Asturias, 4, 33540 Arriondas, Asturias</t>
  </si>
  <si>
    <t>985 84 09 42</t>
  </si>
  <si>
    <t>Manuel Angel Alvarez Suárez</t>
  </si>
  <si>
    <t>Cl. Luis Suárez Ximielga, 1, 33010 Colloto, Asturias</t>
  </si>
  <si>
    <t>FONTANERIA Y CALEFACCION YOPE</t>
  </si>
  <si>
    <t>Calle de Orán, 39, 33211 Gijón, Asturias</t>
  </si>
  <si>
    <t>yope.es</t>
  </si>
  <si>
    <t>637 80 24 30</t>
  </si>
  <si>
    <t>Fontanería Gerardo Y Avelino</t>
  </si>
  <si>
    <t>Calle Llames Bajo, 0 S N, 33520 Nava</t>
  </si>
  <si>
    <t>985 71 88 04</t>
  </si>
  <si>
    <t>Laudelino Acera</t>
  </si>
  <si>
    <t>Calle Vital Aza Álvarez-Buylla, 7, 33600 Mieres, Asturias</t>
  </si>
  <si>
    <t>Fontanería Y Calefaccion Álvarez</t>
  </si>
  <si>
    <t>Av. de Rosalía de Castro, 13, 27700 Ribadeo, Lugo</t>
  </si>
  <si>
    <t>Miguel Angel Fresno Zacarías</t>
  </si>
  <si>
    <t>Calle Juan Antonio Bravo, 4, 33150 Cudillero, Asturias</t>
  </si>
  <si>
    <t>Cudillero</t>
  </si>
  <si>
    <t>985 59 09 85</t>
  </si>
  <si>
    <t>Instalaciones Marcos Pérez</t>
  </si>
  <si>
    <t>Calle Buenos Aires, 1, 33300 Villaviciosa, Asturias</t>
  </si>
  <si>
    <t>Gerardo Arboleya Díaz</t>
  </si>
  <si>
    <t>Calle la Colegiata, 29, 33520 Nava, Asturias</t>
  </si>
  <si>
    <t>985 71 64 81</t>
  </si>
  <si>
    <t>José Ramón Alonso Presno</t>
  </si>
  <si>
    <t>Calle Cal, 6, 33770 Vegadeo, Asturias</t>
  </si>
  <si>
    <t>Vegadeo</t>
  </si>
  <si>
    <t>Ramón González Rodríguez</t>
  </si>
  <si>
    <t>Calle los Náufragos, 2, 33430 Candás, Asturias</t>
  </si>
  <si>
    <t>Candás</t>
  </si>
  <si>
    <t>985 88 47 93</t>
  </si>
  <si>
    <t>Instalaciones Mavifer</t>
  </si>
  <si>
    <t>33580 Lieres, Asturias</t>
  </si>
  <si>
    <t>Sorrobín</t>
  </si>
  <si>
    <t>696 02 11 23</t>
  </si>
  <si>
    <t>Construcciones Matías</t>
  </si>
  <si>
    <t>Lugar Castañeda, 28, 33403 Castañeda, Asturias</t>
  </si>
  <si>
    <t>Castañeda</t>
  </si>
  <si>
    <t>José Luis Estrada Montés</t>
  </si>
  <si>
    <t>C. El Rebollal, 73, 33510 Pola de Siero, Asturias</t>
  </si>
  <si>
    <t>985 72 08 21</t>
  </si>
  <si>
    <t>Instalaciones Sanremo</t>
  </si>
  <si>
    <t>Calle Teifaros, 0 S/N, 33710 Navia</t>
  </si>
  <si>
    <t>985 62 48 66</t>
  </si>
  <si>
    <t>Industrial Alonso Y Cuesta, S.L.</t>
  </si>
  <si>
    <t>Pol. Ind. Riaño I, 33920 Langreo, Asturias</t>
  </si>
  <si>
    <t>Fernández Palacio J M</t>
  </si>
  <si>
    <t>Calle Cotayo, 3, 33510 El Cotayo, Asturias</t>
  </si>
  <si>
    <t>El Cotayo</t>
  </si>
  <si>
    <t>985 73 44 96</t>
  </si>
  <si>
    <t>Manuel González Arguelles</t>
  </si>
  <si>
    <t>Plaza Hermanos Cadierno, 9, 33880 Pola de Allande, Asturias</t>
  </si>
  <si>
    <t>Pola de Allande</t>
  </si>
  <si>
    <t>Makisa</t>
  </si>
  <si>
    <t>Corte Magarín, Tineo, 33875 Tineo, Asturias</t>
  </si>
  <si>
    <t>664 09 03 92</t>
  </si>
  <si>
    <t>Hidráulicas José Luis Pérez Pérez</t>
  </si>
  <si>
    <t>S N, Calle Valdepares, 0, 33746, Asturias</t>
  </si>
  <si>
    <t>San Pelayo</t>
  </si>
  <si>
    <t>985 63 77 32</t>
  </si>
  <si>
    <t>José Marqués Fernández</t>
  </si>
  <si>
    <t>Av. Asturias, 39, 33770 Vegadeo, Asturias</t>
  </si>
  <si>
    <t>985 63 47 79</t>
  </si>
  <si>
    <t>Sumena</t>
  </si>
  <si>
    <t>27700 Ribadeo, Lugo</t>
  </si>
  <si>
    <t>sumena.es</t>
  </si>
  <si>
    <t>982 12 82 68</t>
  </si>
  <si>
    <t>info@pceo.es</t>
  </si>
  <si>
    <t>Reformas Fontura</t>
  </si>
  <si>
    <t>Av. de la Libertad, 25, 33960 Blimea, Asturias</t>
  </si>
  <si>
    <t>Blimea</t>
  </si>
  <si>
    <t>Desatascos Paco</t>
  </si>
  <si>
    <t>Calle Jacintos, 3, 33010 Oviedo, Asturias</t>
  </si>
  <si>
    <t>664 12 37 77</t>
  </si>
  <si>
    <t>33555, Asturias</t>
  </si>
  <si>
    <t>José Hernández Rodríguez S L</t>
  </si>
  <si>
    <t>Central, 33940 Entrego ( El ), Asturias</t>
  </si>
  <si>
    <t>985 65 46 71</t>
  </si>
  <si>
    <t>Manuel González del Río</t>
  </si>
  <si>
    <t>Calle Sienra, 33800 Cangas del Narcea, Asturias</t>
  </si>
  <si>
    <t>985 81 27 57</t>
  </si>
  <si>
    <t>Reformas y Reparaciones ACM</t>
  </si>
  <si>
    <t>Lugar Ules, 15, B, 33194 Oviedo, Asturias</t>
  </si>
  <si>
    <t>reformasacm.com</t>
  </si>
  <si>
    <t>984 20 12 22</t>
  </si>
  <si>
    <t>INSTALACIONES IMA</t>
  </si>
  <si>
    <t>Calle Vital Aza Álvarez-Buylla, Nº 7, 33600 Mieres, Asturias</t>
  </si>
  <si>
    <t>instalaciones-ima.negocio.site</t>
  </si>
  <si>
    <t>686 66 62 11</t>
  </si>
  <si>
    <t>Instacal instalaciones y Proyectos S.L</t>
  </si>
  <si>
    <t>Calle San Francisco de Asís, 6, bajo, 33205 Gijón, Asturias</t>
  </si>
  <si>
    <t>instacal.negocio.site</t>
  </si>
  <si>
    <t>603 63 76 26</t>
  </si>
  <si>
    <t>Pemisa</t>
  </si>
  <si>
    <t>Lugar La Rodada, 0 S/N, 33196</t>
  </si>
  <si>
    <t>33196</t>
  </si>
  <si>
    <t>985 22 00 88</t>
  </si>
  <si>
    <t>Manuel</t>
  </si>
  <si>
    <t>Av. Lugo, 123, 33401 Avilés, Asturias</t>
  </si>
  <si>
    <t>Tecno Villaviciosa S L</t>
  </si>
  <si>
    <t>Calle Jesús de la Piedra, 11, 33300 Villaviciosa, Asturias</t>
  </si>
  <si>
    <t>985 89 33 80</t>
  </si>
  <si>
    <t>Ferretería y suministros de fontanería. GercoAstur.</t>
  </si>
  <si>
    <t>Camino Melón, 12, 33211 Gijón, Asturias</t>
  </si>
  <si>
    <t>gercoastur.es</t>
  </si>
  <si>
    <t>985 38 44 00</t>
  </si>
  <si>
    <t>general@gercoastur.es</t>
  </si>
  <si>
    <t>Alvarez González, O.</t>
  </si>
  <si>
    <t>Calle la Vega, 31, 33600 Mieres, Asturias</t>
  </si>
  <si>
    <t>985 46 79 80</t>
  </si>
  <si>
    <t>Cholo</t>
  </si>
  <si>
    <t>Calle Río San Martín, 5, 33402 Avilés, Asturias</t>
  </si>
  <si>
    <t>Daniel González García</t>
  </si>
  <si>
    <t>Av. de Nocedo, 50, 24007 León</t>
  </si>
  <si>
    <t>636 69 16 69</t>
  </si>
  <si>
    <t>Calefacción, fontaneria y accesorios Lara</t>
  </si>
  <si>
    <t>Av. la Constitución, 28, 24100 Villablino, León</t>
  </si>
  <si>
    <t>Villablino</t>
  </si>
  <si>
    <t>987 48 07 15</t>
  </si>
  <si>
    <t>FONTANERI CYASA</t>
  </si>
  <si>
    <t>Calle Mayor, 43, 34880 Guardo, Palencia</t>
  </si>
  <si>
    <t>Guardo</t>
  </si>
  <si>
    <t>651 85 55 01</t>
  </si>
  <si>
    <t>Fontanería Toño Sl</t>
  </si>
  <si>
    <t>Calle Industrial, 28, 34840 Cervera de Pisuerga, Palencia</t>
  </si>
  <si>
    <t>Cervera de Pisuerga</t>
  </si>
  <si>
    <t>979 87 05 74</t>
  </si>
  <si>
    <t>Fontanería Y Calefacción Ros</t>
  </si>
  <si>
    <t>Av. Villafranca, 34, 24300 Bembibre, León</t>
  </si>
  <si>
    <t>Bembibre</t>
  </si>
  <si>
    <t>Carretera Noceda, 0 S N, 24300 Bembibre, León</t>
  </si>
  <si>
    <t>987 51 11 31</t>
  </si>
  <si>
    <t>Fontanería Luis Martín Delgado</t>
  </si>
  <si>
    <t>Calle Cervantes, 1, 34880 Guardo, Palencia</t>
  </si>
  <si>
    <t>979 85 23 50</t>
  </si>
  <si>
    <t>Fontanería Remigio Carbajo</t>
  </si>
  <si>
    <t>Calle San Carlos, 4, 24006 León</t>
  </si>
  <si>
    <t>665 90 39 40</t>
  </si>
  <si>
    <t>Ulpiano Marquiegui González</t>
  </si>
  <si>
    <t>Av. la Constitución, 135, 24800 Cistierna, León</t>
  </si>
  <si>
    <t>Cistierna</t>
  </si>
  <si>
    <t>987 70 11 32</t>
  </si>
  <si>
    <t>Fontanería y Calefacción Julián Téllez</t>
  </si>
  <si>
    <t>Av. de la Libertad, 1, 24404 Ponferrada, León</t>
  </si>
  <si>
    <t>Ponferrada</t>
  </si>
  <si>
    <t>Saltoki León</t>
  </si>
  <si>
    <t>Calle Cirujano Rodríguez, s/n, 24005 León</t>
  </si>
  <si>
    <t>987 61 00 30</t>
  </si>
  <si>
    <t>Saltoki Ponferrada</t>
  </si>
  <si>
    <t>Parque Industrial del, Av. Oporto, 8, 24400 Ponferrada, León</t>
  </si>
  <si>
    <t>987 45 65 52</t>
  </si>
  <si>
    <t>Alvaro Fernández Martín</t>
  </si>
  <si>
    <t>Calle Río Chico, 9, 34880 Guardo, Palencia</t>
  </si>
  <si>
    <t>979 85 11 32</t>
  </si>
  <si>
    <t>Fernando Rodríguez Ruiz</t>
  </si>
  <si>
    <t>Calle Sotillo, 0, 34111 San Martín del Obispo, Palencia</t>
  </si>
  <si>
    <t>San Martín del Obispo</t>
  </si>
  <si>
    <t>Fluidos Bierzo</t>
  </si>
  <si>
    <t>Calle Infanta Doña Teresa, 10, 24401 Ponferrada, León</t>
  </si>
  <si>
    <t>687 57 08 12</t>
  </si>
  <si>
    <t>Instalaciones Sanfer</t>
  </si>
  <si>
    <t>Rúa Andalucía, 17, 36205 Vigo, Pontevedra</t>
  </si>
  <si>
    <t>insanfer.com</t>
  </si>
  <si>
    <t>986 26 27 22</t>
  </si>
  <si>
    <t>clientes@insanfer.com</t>
  </si>
  <si>
    <t>Instalaciones Carvajal</t>
  </si>
  <si>
    <t>Carrer del, Carrer Gladiol, 37, 07141 Es Pont d&amp;apos;Inca, Illes Balears</t>
  </si>
  <si>
    <t>Es Pont d&amp;apos;Inca</t>
  </si>
  <si>
    <t>971 79 51 08</t>
  </si>
  <si>
    <t>Desatascos Mayol e Hijos</t>
  </si>
  <si>
    <t>Alaior</t>
  </si>
  <si>
    <t>mayolehijos.com</t>
  </si>
  <si>
    <t>603 45 48 12</t>
  </si>
  <si>
    <t>👷SAT Aire Acondicionado | Carga De Gas | Limpieza Filtros | Termo Eléctrico | Calentador De Gas</t>
  </si>
  <si>
    <t>Carrer de Montserrat Mascaró, 54, 15, 07011 Palma, Illes Balears</t>
  </si>
  <si>
    <t>mallorcarepara.com</t>
  </si>
  <si>
    <t>971 10 46 06</t>
  </si>
  <si>
    <t>info@mallorcarepara.com</t>
  </si>
  <si>
    <t>SAT Palma Junkers Termos Calderas Gas Aire Acondicionado</t>
  </si>
  <si>
    <t>Reyes Catolicos, 81, 07007 Palma, Balearic Islands</t>
  </si>
  <si>
    <t>satpalma.es</t>
  </si>
  <si>
    <t>871 71 53 92</t>
  </si>
  <si>
    <t>sortinstalaciones@yahoo.es</t>
  </si>
  <si>
    <t>Megadesatascos</t>
  </si>
  <si>
    <t>Passatge de Can Feixina, 29, 07005 Palma, Illes Balears</t>
  </si>
  <si>
    <t>megadesatascos.es</t>
  </si>
  <si>
    <t>654 12 22 77</t>
  </si>
  <si>
    <t>pwacompat@2.0.9</t>
  </si>
  <si>
    <t>Fontanero lampista gasista averías.</t>
  </si>
  <si>
    <t>Carrer del Cardenal Pou, 07003 Palma, Illes Balears</t>
  </si>
  <si>
    <t>arreglador.negocio.site</t>
  </si>
  <si>
    <t>697 24 30 40</t>
  </si>
  <si>
    <t>Fontanería Saddi e Hijos</t>
  </si>
  <si>
    <t>Carrer d&amp;apos;Álvaro de Bazán, 35, 07014 Palma, Illes Balears</t>
  </si>
  <si>
    <t>saddi.es</t>
  </si>
  <si>
    <t>676 49 41 67</t>
  </si>
  <si>
    <t>3Csepehr@fontaneria-saddi.com</t>
  </si>
  <si>
    <t>Desatascos Mallorca</t>
  </si>
  <si>
    <t>Carrer de Vicenç Joan i Rosselló, 36, 07013 Palma, Illes Balears</t>
  </si>
  <si>
    <t>desatascos-mallorca.es</t>
  </si>
  <si>
    <t>871 51 53 84</t>
  </si>
  <si>
    <t>Llanterneria A. García</t>
  </si>
  <si>
    <t>Carrer Mare de Déu de Montserrat, 48, 07008 Palma, Illes Balears</t>
  </si>
  <si>
    <t>llanterneriagarcias.com</t>
  </si>
  <si>
    <t>971 47 24 71</t>
  </si>
  <si>
    <t>Instal Mallorca</t>
  </si>
  <si>
    <t>Avinguda Setze de Juliol, 39, Pasaje C - Nave 40, 07009 Palma, Illes Balears</t>
  </si>
  <si>
    <t>instal-mallorca.com</t>
  </si>
  <si>
    <t>971 43 16 50</t>
  </si>
  <si>
    <t>administracion@instal-mallorca.com</t>
  </si>
  <si>
    <t>Instalaciones Laura Monzo</t>
  </si>
  <si>
    <t>Passeig Illetes, 103, 5A, 07181 Palma, Balearic Islands</t>
  </si>
  <si>
    <t>instalacioneslauramonzo.com</t>
  </si>
  <si>
    <t>678 32 44 39</t>
  </si>
  <si>
    <t>info@instalacioneslauramonzo.com</t>
  </si>
  <si>
    <t>Puig Garau, SL Construcción Llucmajor</t>
  </si>
  <si>
    <t>Passeig de Jaume III, 1, Local B, 07620 Llucmajor, Illes Balears</t>
  </si>
  <si>
    <t>Lluchmayor</t>
  </si>
  <si>
    <t>puiggarau.com</t>
  </si>
  <si>
    <t>971 66 09 77</t>
  </si>
  <si>
    <t>👷 Descalcificación de Tuberías en Palma - Calentadores y Calderas de Gas - Fontanero</t>
  </si>
  <si>
    <t>Carrer de Sant Miquel, 43, 07002 Palma, Illes Balears</t>
  </si>
  <si>
    <t>654 04 55 41</t>
  </si>
  <si>
    <t>Fontanería Victoria</t>
  </si>
  <si>
    <t>Carrer de Teodor Canet, 53, 07400 Alcúdia, Illes Balears</t>
  </si>
  <si>
    <t>Alcudia</t>
  </si>
  <si>
    <t>Fontanería Vidal</t>
  </si>
  <si>
    <t>Calle Josep, Avinguda de Josep A. Clavé, 42, BAJO, 07702 Maó, Illes Balears</t>
  </si>
  <si>
    <t>Maó-Mahón</t>
  </si>
  <si>
    <t>fontaneriavidal-menorca.com</t>
  </si>
  <si>
    <t>971 36 02 33</t>
  </si>
  <si>
    <t>info@fontaneriavidal-menorca.com</t>
  </si>
  <si>
    <t>Aquavila Instaladores</t>
  </si>
  <si>
    <t>Carrer de Galícia, 21, 07800 Eivissa, Illes Balears</t>
  </si>
  <si>
    <t>Ibiza</t>
  </si>
  <si>
    <t>aquavilainstalacion.com</t>
  </si>
  <si>
    <t>651 14 42 28</t>
  </si>
  <si>
    <t>Bongrup Baleares</t>
  </si>
  <si>
    <t>Carrer Gremi de Sabaters, 45, 07009 Palma, Illes Balears</t>
  </si>
  <si>
    <t>bongrup.es</t>
  </si>
  <si>
    <t>971 43 00 45</t>
  </si>
  <si>
    <t>pedidos@bongrup.es</t>
  </si>
  <si>
    <t>Carretera PALMA-ARTA, KM 48. Vial de servei, 46-48, 07500 Manacor, Balearic Islands</t>
  </si>
  <si>
    <t>Manacor</t>
  </si>
  <si>
    <t>971 55 09 81</t>
  </si>
  <si>
    <t>Jaume Gayà Installacions</t>
  </si>
  <si>
    <t>Ronda de Felanitx, 25, 07500 Manacor, Illes Balears</t>
  </si>
  <si>
    <t>971 96 40 88</t>
  </si>
  <si>
    <t>Thesis Fontaners, S.L.</t>
  </si>
  <si>
    <t>Carrer Lluna, 129, 07420 Sa Pobla, Illes Balears</t>
  </si>
  <si>
    <t>La Puebla</t>
  </si>
  <si>
    <t>871 99 88 00</t>
  </si>
  <si>
    <t>H2o Menorca</t>
  </si>
  <si>
    <t>h2o-menorca.negocio.site</t>
  </si>
  <si>
    <t>699 97 52 66</t>
  </si>
  <si>
    <t>Bongrup Baleares S L</t>
  </si>
  <si>
    <t>Carrer Dragonera, 18, 07600 S&amp;apos;Arenal, Illes Balears</t>
  </si>
  <si>
    <t>El Arenal</t>
  </si>
  <si>
    <t>971 00 71 24</t>
  </si>
  <si>
    <t>Fusters, 3, 07580 Capdepera, Balearic Islands</t>
  </si>
  <si>
    <t>Capdepera</t>
  </si>
  <si>
    <t>971 00 71 29</t>
  </si>
  <si>
    <t>Carrer Jordi Andreu Alcover, 10, 07004 Palma, Illes Balears</t>
  </si>
  <si>
    <t>627 29 62 16</t>
  </si>
  <si>
    <t>Massanella - Almacén y Autoservicio</t>
  </si>
  <si>
    <t>Carrer Gremí de Corredors, 20, 07009 Palma, Balearic Islands</t>
  </si>
  <si>
    <t>massanellasa.com</t>
  </si>
  <si>
    <t>971 43 34 44</t>
  </si>
  <si>
    <t>info@massanellasa.com</t>
  </si>
  <si>
    <t>Fontanería Pedro</t>
  </si>
  <si>
    <t>Avinguda de Son Maties, 3, 07181 Palmanova, Illes Balears</t>
  </si>
  <si>
    <t>Palmanova</t>
  </si>
  <si>
    <t>971 68 22 35</t>
  </si>
  <si>
    <t>Nurclima</t>
  </si>
  <si>
    <t>Gremi des Fusters, 33, 07009 Palma, Illes Balears</t>
  </si>
  <si>
    <t>nurclima.com</t>
  </si>
  <si>
    <t>971 01 68 20</t>
  </si>
  <si>
    <t>info@nurclima.com</t>
  </si>
  <si>
    <t>Guillermo Rosselló Bestard</t>
  </si>
  <si>
    <t>Carrer de Llorenç Villalonga, 19, 07350 Binissalem, Illes Balears</t>
  </si>
  <si>
    <t>Binisalem</t>
  </si>
  <si>
    <t>971 51 21 26</t>
  </si>
  <si>
    <t>Fugas de agua en mallorca</t>
  </si>
  <si>
    <t>Carrer Dofí, 8, 07639 Llucmajor, Illes Balears</t>
  </si>
  <si>
    <t>fontfugas.es</t>
  </si>
  <si>
    <t>685 14 91 59</t>
  </si>
  <si>
    <t>Carrer de Jaume Ferran, 74, 07004 Palma, Illes Balears</t>
  </si>
  <si>
    <t>971 20 86 62</t>
  </si>
  <si>
    <t>Fontanería Toni Melis</t>
  </si>
  <si>
    <t>Carrer del Migjorn, 49, 07680 Manacor, Illes Balears</t>
  </si>
  <si>
    <t>971 82 06 41</t>
  </si>
  <si>
    <t>Fontanería Francisco Medina</t>
  </si>
  <si>
    <t>Carrer Salut, 20, 07600 S&amp;apos;Arenal, Illes Balears</t>
  </si>
  <si>
    <t>971 44 33 13</t>
  </si>
  <si>
    <t>Isleña de Fontanería</t>
  </si>
  <si>
    <t>Carrer de Magallanes, 13, 07609 Badia Gran, Illes Balears</t>
  </si>
  <si>
    <t>Badia Gran</t>
  </si>
  <si>
    <t>655 85 86 17</t>
  </si>
  <si>
    <t>Grampo</t>
  </si>
  <si>
    <t>Ronda de l&amp;apos;Oest, 45, 07680 Porto Cristo, Illes Balears</t>
  </si>
  <si>
    <t>Porto Cristo</t>
  </si>
  <si>
    <t>grampo.es</t>
  </si>
  <si>
    <t>971 82 03 90</t>
  </si>
  <si>
    <t>info@grampo.es</t>
  </si>
  <si>
    <t>Rafel Forteza Instal·lacions Fontaneria</t>
  </si>
  <si>
    <t>Carrer Sant Joan, 37, 07579 Colonia de Sant Pere, Illes Balears</t>
  </si>
  <si>
    <t>Colonia de San Pedro</t>
  </si>
  <si>
    <t>rafelforteza.com</t>
  </si>
  <si>
    <t>630 61 83 88</t>
  </si>
  <si>
    <t>rafel@rafelforteza.com</t>
  </si>
  <si>
    <t>BONAIGO PALMANYOLA S.L</t>
  </si>
  <si>
    <t>Avinguda de les Dàlies, 63, 07193 Palmanyola, Illes Balears</t>
  </si>
  <si>
    <t>Palmañola</t>
  </si>
  <si>
    <t>645 84 46 02</t>
  </si>
  <si>
    <t>Fontanería José peña</t>
  </si>
  <si>
    <t>Calle ses rolles, n68, 07590 Cala Ratjada, Balearic Islands</t>
  </si>
  <si>
    <t>Cala Rajada</t>
  </si>
  <si>
    <t>Carrer Antoni Rosselló i Nadal, 43, 07008 Palma, Illes Balears</t>
  </si>
  <si>
    <t>fontaneroenmallorca.es</t>
  </si>
  <si>
    <t>666 22 27 96</t>
  </si>
  <si>
    <t>Lluís Barceló</t>
  </si>
  <si>
    <t>Ronda de l&amp;apos;Estació, 11, 07630 Campos, Illes Balears</t>
  </si>
  <si>
    <t>Campos</t>
  </si>
  <si>
    <t>670 36 68 39</t>
  </si>
  <si>
    <t>FONTANERIA FORA VILA (SANTA MARIA DEL CAMI)</t>
  </si>
  <si>
    <t>Carrer de sa Matança, 8, 07320 Santa Maria del Camí, Illes Balears</t>
  </si>
  <si>
    <t>Santa María del Camino</t>
  </si>
  <si>
    <t>654 06 01 07</t>
  </si>
  <si>
    <t>Rafael Martín Calafat</t>
  </si>
  <si>
    <t>Carrer des Cos, 22, 07550 Son Servera, Illes Balears</t>
  </si>
  <si>
    <t>Son Servera</t>
  </si>
  <si>
    <t>971 56 75 59</t>
  </si>
  <si>
    <t>Fontaneria Pollet Eivissa S.L / Torres y Maza</t>
  </si>
  <si>
    <t>Carrer del Diputat Josep Ribas, 25, 07800 Eivissa, Illes Balears</t>
  </si>
  <si>
    <t>Casterad C.B.</t>
  </si>
  <si>
    <t>Carrer de Ramón y Cajal, 38, 07820 Sant Antoni de Portmany, Illes Balears</t>
  </si>
  <si>
    <t>San Antonio Abad</t>
  </si>
  <si>
    <t>971 34 24 70</t>
  </si>
  <si>
    <t>Fontanería &amp;amp; Electricidad - AMIN</t>
  </si>
  <si>
    <t>Avinguda de Gabriel Alomar, 4a, 07007 Palma, Illes Balears</t>
  </si>
  <si>
    <t>642 62 82 04</t>
  </si>
  <si>
    <t>Carrer Gremi de Ferrers, 39, 07009 Palma, Illes Balears</t>
  </si>
  <si>
    <t>971 43 04 11</t>
  </si>
  <si>
    <t>Mariano Castelló Fontanero</t>
  </si>
  <si>
    <t>Carrer Cuba, 16, 07150 Andratx, Illes Balears</t>
  </si>
  <si>
    <t>606 94 91 56</t>
  </si>
  <si>
    <t>Fontanería Joan Miquel</t>
  </si>
  <si>
    <t>C. de la Mare de Déu Trobada, 46, 07530 Sant Llorenç des Cardassar, Illes Balears</t>
  </si>
  <si>
    <t>San Lorenzo de Cardessar</t>
  </si>
  <si>
    <t>636 08 98 61</t>
  </si>
  <si>
    <t>Garcías Bernabé</t>
  </si>
  <si>
    <t>Ctra. de Manacor, 343, 07199 Son Ferriol, Illes Balears</t>
  </si>
  <si>
    <t>Son Ferriol</t>
  </si>
  <si>
    <t>971 42 80 10</t>
  </si>
  <si>
    <t>Fontanero Mallorca Blay</t>
  </si>
  <si>
    <t>Carrer de Triana, Nº26, B, 07014 Palma, Illes Balears</t>
  </si>
  <si>
    <t>671 39 10 40</t>
  </si>
  <si>
    <t>Jn Instal·lacions</t>
  </si>
  <si>
    <t>Passeig de la República Argentina, 20, 07200 Felanitx, Illes Balears</t>
  </si>
  <si>
    <t>Felanich</t>
  </si>
  <si>
    <t>971 58 04 28</t>
  </si>
  <si>
    <t>Instalaciones Bassa Florit, sl</t>
  </si>
  <si>
    <t>Carrer des Cap Negre, 34, 07714 Maó, Illes Balears</t>
  </si>
  <si>
    <t>bassaflorit.com</t>
  </si>
  <si>
    <t>971 35 69 80</t>
  </si>
  <si>
    <t>Comercial Caules</t>
  </si>
  <si>
    <t>Carrer de ses Quatre Boques, 6, 07714 Maó, Illes Balears</t>
  </si>
  <si>
    <t>caules.es</t>
  </si>
  <si>
    <t>971 36 57 80</t>
  </si>
  <si>
    <t>FONTANERIA FORMENTERA S.L.</t>
  </si>
  <si>
    <t>CL Apdo. De Correos Nº 181, 07860 San Francisco Javier</t>
  </si>
  <si>
    <t>San Francisco Javier</t>
  </si>
  <si>
    <t>971 32 15 71</t>
  </si>
  <si>
    <t>Urgencias Fontanería Fontrema</t>
  </si>
  <si>
    <t>Carrer del Bolero, 28, 07010 Palma, Illes Balears</t>
  </si>
  <si>
    <t>647 47 98 98</t>
  </si>
  <si>
    <t>Fontanería Ses Aigos</t>
  </si>
  <si>
    <t>Carrer d&amp;apos;es Convent, 2, 07200 Felanitx, Illes Balears</t>
  </si>
  <si>
    <t>653 82 08 68</t>
  </si>
  <si>
    <t>Instalaciones Bfont</t>
  </si>
  <si>
    <t>603 31 37 51</t>
  </si>
  <si>
    <t>Lampistería Carreras</t>
  </si>
  <si>
    <t>Camí de Sa Sínia, 25, 07702 Mahón, Balearic Islands</t>
  </si>
  <si>
    <t>Sanihogar Alcúdia</t>
  </si>
  <si>
    <t>Carrer dels Avets, 5, 07400 Mal Pas-Bon Aire, Illes Balears</t>
  </si>
  <si>
    <t>Mal Pas-Bon Aire</t>
  </si>
  <si>
    <t>609 16 95 72</t>
  </si>
  <si>
    <t>fontaneros 24 horas mallorca</t>
  </si>
  <si>
    <t>653 86 21 74</t>
  </si>
  <si>
    <t>Fontaneria Toni Bosch</t>
  </si>
  <si>
    <t>Carrer del Glosador Vivó, 59, 07760 Ciutadella de Menorca, Illes Balears</t>
  </si>
  <si>
    <t>Ciudadela de Menorca</t>
  </si>
  <si>
    <t>660 21 32 07</t>
  </si>
  <si>
    <t>Fontaneros Palma Mansilla CB</t>
  </si>
  <si>
    <t>Carrer Joan Mestre, Nº11, B, 07005 Palma, Illes Balears</t>
  </si>
  <si>
    <t>reparacionesdelhogar24horas.es</t>
  </si>
  <si>
    <t>667 48 03 79</t>
  </si>
  <si>
    <t>Fontanería Jesús Torres</t>
  </si>
  <si>
    <t>Carrer de Pere Quintana, 15, 07007 Palma, Illes Balears</t>
  </si>
  <si>
    <t>971 26 92 68</t>
  </si>
  <si>
    <t>Avisa al Fontanero S.L.</t>
  </si>
  <si>
    <t>VILLA ANTONIA, Calle Poligono Industrial 3 COLL DE SA VACAS/N, 07840 sa Font, Balearic Islands</t>
  </si>
  <si>
    <t>Santa Eulalia del Río</t>
  </si>
  <si>
    <t>avisaalfontanero.es</t>
  </si>
  <si>
    <t>971 59 08 46</t>
  </si>
  <si>
    <t>AMG Fontanería</t>
  </si>
  <si>
    <t>607 25 96 79</t>
  </si>
  <si>
    <t>Fontanería Viver</t>
  </si>
  <si>
    <t>Av. d&amp;apos;Inca, 17, 07400 Alcúdia, Illes Balears</t>
  </si>
  <si>
    <t>608 43 77 73</t>
  </si>
  <si>
    <t>Instalaciones Ibicencas Bec</t>
  </si>
  <si>
    <t>Calle Emili Pou, 8, 07800 Ibiza, Balearic Islands</t>
  </si>
  <si>
    <t>971 39 26 03</t>
  </si>
  <si>
    <t>Fontanería Repiso</t>
  </si>
  <si>
    <t>Carrer del Vapor Santueri, 11, 07670 Portocolom, Illes Balears</t>
  </si>
  <si>
    <t>971 82 55 53</t>
  </si>
  <si>
    <t>Can Trebol Ibiza · Fontanería | Electricidad | Gas</t>
  </si>
  <si>
    <t>Av. Pere Matutes Noguera, 63, 07800 Eivissa, Illes Balears</t>
  </si>
  <si>
    <t>cantrebol.es</t>
  </si>
  <si>
    <t>609 62 89 78</t>
  </si>
  <si>
    <t>info@cantrebol.es</t>
  </si>
  <si>
    <t>Apalliser - Fontanería y electricidad</t>
  </si>
  <si>
    <t>Carrer de Bajolí, 10, 07714 Maó, Illes Balears</t>
  </si>
  <si>
    <t>apalliser.com</t>
  </si>
  <si>
    <t>971 35 73 07</t>
  </si>
  <si>
    <t>Tcx Palma Fontaneria</t>
  </si>
  <si>
    <t>Carrer de Sant Bonaventura, 4 a, 07001 Palma, Illes Balears</t>
  </si>
  <si>
    <t>609 38 48 09</t>
  </si>
  <si>
    <t>Coinspo S L</t>
  </si>
  <si>
    <t>Carrer Marina, 3, 07181 Sol de Mallorca, Illes Balears</t>
  </si>
  <si>
    <t>Sol de Mallorca</t>
  </si>
  <si>
    <t>971 67 77 32</t>
  </si>
  <si>
    <t>Mallorca Renovables</t>
  </si>
  <si>
    <t>Carrer Joan Alcover, 3, 07300 Inca, Illes Balears</t>
  </si>
  <si>
    <t>Inca</t>
  </si>
  <si>
    <t>mallorcarenovables.es</t>
  </si>
  <si>
    <t>871 70 23 64</t>
  </si>
  <si>
    <t>Fontaneria Jose Espinola. Fontaneros en palma</t>
  </si>
  <si>
    <t>Carrer de Josep Estela, 21, 07011 Palma, Illes Balears</t>
  </si>
  <si>
    <t>695 34 30 84</t>
  </si>
  <si>
    <t>Nouserveis Fontanería, S.L.U.</t>
  </si>
  <si>
    <t>Carrer Convent, 5, 07669 S&amp;apos;Horta, Illes Balears</t>
  </si>
  <si>
    <t>S&amp;apos;Horta</t>
  </si>
  <si>
    <t>nouserveis.com</t>
  </si>
  <si>
    <t>971 83 75 63</t>
  </si>
  <si>
    <t>nouserveis@yahoo.es</t>
  </si>
  <si>
    <t>Fontaneria Romero</t>
  </si>
  <si>
    <t>Carrer de l&amp;apos;Ave Maria, 2, 07120 Son Sardina, Illes Balears</t>
  </si>
  <si>
    <t>Son Sardina</t>
  </si>
  <si>
    <t>971 43 82 52</t>
  </si>
  <si>
    <t>Fontanería El Servicial</t>
  </si>
  <si>
    <t>Carrer de la Mimosa, 2, 07008 Palma, Illes Balears</t>
  </si>
  <si>
    <t>971 47 53 10</t>
  </si>
  <si>
    <t>Fontanería El Terreno</t>
  </si>
  <si>
    <t>650 98 06 30</t>
  </si>
  <si>
    <t>Fontaneros Mallorca</t>
  </si>
  <si>
    <t>casa 3, Camí de N&amp;apos;Olesa, 124, interior derecha, 07141 Sa Cabaneta, Balearic Islands</t>
  </si>
  <si>
    <t>Sa Cabaneta</t>
  </si>
  <si>
    <t>Fontanero urgencias y desatasco</t>
  </si>
  <si>
    <t>FONTANERÍA SA BASSA S.L.</t>
  </si>
  <si>
    <t>Carrer des Garbelló, 07660 Santanyí, Illes Balears</t>
  </si>
  <si>
    <t>Santañy</t>
  </si>
  <si>
    <t>625 61 80 34</t>
  </si>
  <si>
    <t>Fontanería Victory</t>
  </si>
  <si>
    <t>Carrer Gran, 105, 07720 Es Castell, Illes Balears</t>
  </si>
  <si>
    <t>Villacarlos</t>
  </si>
  <si>
    <t>971 36 52 94</t>
  </si>
  <si>
    <t>Fontanería Bonaigo</t>
  </si>
  <si>
    <t>Carrer Nou, 1, 07630 Campos, Illes Balears</t>
  </si>
  <si>
    <t>bonaigo.es</t>
  </si>
  <si>
    <t>669 38 64 88</t>
  </si>
  <si>
    <t>Tià Galmés Instal·lacions i Serveis</t>
  </si>
  <si>
    <t>Carrer Asalto, 97, 07420 Sa Pobla, Illes Balears</t>
  </si>
  <si>
    <t>629 88 77 57</t>
  </si>
  <si>
    <t>Ca Eu Llauner</t>
  </si>
  <si>
    <t>Carrer Dones de Can Sales, 7, 07460 Pollença, Illes Balears</t>
  </si>
  <si>
    <t>Pollensa</t>
  </si>
  <si>
    <t>619 18 23 90</t>
  </si>
  <si>
    <t>Desatascos Palma NP</t>
  </si>
  <si>
    <t>Carrer de Triana, nº26, b, 07014 Palma, Illes Balears</t>
  </si>
  <si>
    <t>603 79 02 50</t>
  </si>
  <si>
    <t>Fontaneria Estadio</t>
  </si>
  <si>
    <t>Carrer de Goethe, 07011 Palma, Illes Balears</t>
  </si>
  <si>
    <t>971 73 49 53</t>
  </si>
  <si>
    <t>Instalaciones Cerdá</t>
  </si>
  <si>
    <t>Carrer del Llebeig, 0, 07470 Port de Pollença, Illes Balears</t>
  </si>
  <si>
    <t>Puerto de Pollensa</t>
  </si>
  <si>
    <t>971 86 66 76</t>
  </si>
  <si>
    <t>Fontanería (Reparaciones a domicilio - Mallorca)</t>
  </si>
  <si>
    <t>Carrer Gremi de Boneters, 34, 07009 Palma, Illes Balears</t>
  </si>
  <si>
    <t>661 22 83 08</t>
  </si>
  <si>
    <t>A. F. Fontaneria</t>
  </si>
  <si>
    <t>afontaneria.wixsite.com</t>
  </si>
  <si>
    <t>658 43 33 18</t>
  </si>
  <si>
    <t>BORDOY FONTANERIA</t>
  </si>
  <si>
    <t>Carrer de les Filadores, 44, 07190 Esporles, Illes Balears</t>
  </si>
  <si>
    <t>Esporlas</t>
  </si>
  <si>
    <t>Pou Fontanería</t>
  </si>
  <si>
    <t>Carrer de la Infanta Elisabet, 13, 07010 Son Serra Perera, Illes Balears</t>
  </si>
  <si>
    <t>Son Serra Perera</t>
  </si>
  <si>
    <t>Carretera Aeropuerto, km. 4,4, 07817 Sant Jordi de ses Salines, Balearic Islands</t>
  </si>
  <si>
    <t>San Jorge de ses Salines</t>
  </si>
  <si>
    <t>971 00 73 33</t>
  </si>
  <si>
    <t>Antonio Bosch Bosch</t>
  </si>
  <si>
    <t>Carrer del Glosador Vivó, 57, 07760 Ciutadella de Menorca, Illes Balears</t>
  </si>
  <si>
    <t>971 38 12 90</t>
  </si>
  <si>
    <t>Coinma</t>
  </si>
  <si>
    <t>Vial, Avinguda de Son Rigo, 16, 07009 Palma, Illes Balears</t>
  </si>
  <si>
    <t>coinma.es</t>
  </si>
  <si>
    <t>971 43 22 00</t>
  </si>
  <si>
    <t>Instalaciones Sanitarias Salas Servera</t>
  </si>
  <si>
    <t>Carrer del Pare Vives, 18, 07460 Pollença, Illes Balears</t>
  </si>
  <si>
    <t>650 42 66 16</t>
  </si>
  <si>
    <t>Antonio Cabot Fornés S.A.</t>
  </si>
  <si>
    <t>Carrer Formentera, 1, 07600 S&amp;apos;Arenal, Illes Balears</t>
  </si>
  <si>
    <t>antoniocabotfornes.com</t>
  </si>
  <si>
    <t>971 44 26 20</t>
  </si>
  <si>
    <t>info@acabot.com</t>
  </si>
  <si>
    <t>Alberto Coll Orvay</t>
  </si>
  <si>
    <t>Carrer de Carbó, 5, 07630 Campos, Illes Balears</t>
  </si>
  <si>
    <t>971 65 11 02</t>
  </si>
  <si>
    <t>Instal·lacions Fontanelles</t>
  </si>
  <si>
    <t>Plaça Escola Can Capó, 9, 07320 Santa Maria del Camí, Illes Balears</t>
  </si>
  <si>
    <t>971 10 31 36</t>
  </si>
  <si>
    <t>Fontanería Mora S L</t>
  </si>
  <si>
    <t>Carrer de Ses Parres, 86, 07740 Es Mercadal, Illes Balears</t>
  </si>
  <si>
    <t>Es Mercadal</t>
  </si>
  <si>
    <t>971 37 55 50</t>
  </si>
  <si>
    <t>Fontanería Sánchez Gijón</t>
  </si>
  <si>
    <t>Carrer Jaume III, 57, 07458 Can Picafort, Illes Balears</t>
  </si>
  <si>
    <t>Can Picafort</t>
  </si>
  <si>
    <t>971 85 02 96</t>
  </si>
  <si>
    <t>Fontanería Baix Des Cos</t>
  </si>
  <si>
    <t>Avinguda de Baix d&amp;apos;es Cos, 68, 07500 Manacor, Illes Balears</t>
  </si>
  <si>
    <t>971 55 22 51</t>
  </si>
  <si>
    <t>Cieza</t>
  </si>
  <si>
    <t>Av. Mossèn Alcover, 24, 07500 Manacor, Illes Balears</t>
  </si>
  <si>
    <t>971 55 13 32</t>
  </si>
  <si>
    <t>Rodrigo Cañamaque Batle</t>
  </si>
  <si>
    <t>Carrer de Xara, 25, 07400 Alcúdia, Illes Balears</t>
  </si>
  <si>
    <t>971 89 77 46</t>
  </si>
  <si>
    <t>Cristóbal Alomar Mas</t>
  </si>
  <si>
    <t>Passeig des Pouàs, 19, 07450 Santa Margalida, Illes Balears</t>
  </si>
  <si>
    <t>Santa Margarita</t>
  </si>
  <si>
    <t>Ubagar - Fontanería - Electricidad - Mantenimiento</t>
  </si>
  <si>
    <t>mantenimientoibiza.es</t>
  </si>
  <si>
    <t>653 11 83 57</t>
  </si>
  <si>
    <t>mail@mantenimientoibiza.es</t>
  </si>
  <si>
    <t>Desatascos y fontanería urgencia</t>
  </si>
  <si>
    <t>Carrer Picasso, 07820, Illes Balears</t>
  </si>
  <si>
    <t>603 12 26 77</t>
  </si>
  <si>
    <t>Antonio Alcalá Vázquez</t>
  </si>
  <si>
    <t>Carrer Llorer, 18, 07160 Peguera, Illes Balears</t>
  </si>
  <si>
    <t>Peguera</t>
  </si>
  <si>
    <t>610 09 09 23</t>
  </si>
  <si>
    <t>INSTALACIONES MATIAS,S.L.</t>
  </si>
  <si>
    <t>C/LEPANTO,5, 07750 Ferreries, Balearic Islands</t>
  </si>
  <si>
    <t>Ferrerías</t>
  </si>
  <si>
    <t>646 96 45 06</t>
  </si>
  <si>
    <t>Instalaciones Alberti</t>
  </si>
  <si>
    <t>Carrer de Pau Noguera, 14, 07100 Sóller, Illes Balears</t>
  </si>
  <si>
    <t>Sóller</t>
  </si>
  <si>
    <t>971 63 12 45</t>
  </si>
  <si>
    <t>Fontanería del Salto</t>
  </si>
  <si>
    <t>Carrer Sebastiana Clar, 40, 07650 Santanyí, Illes Balears</t>
  </si>
  <si>
    <t>971 65 39 92</t>
  </si>
  <si>
    <t>Barceló Salvà, A.</t>
  </si>
  <si>
    <t>Carrer d&amp;apos;En Rigo, 34, 07620 Llucmajor, Illes Balears</t>
  </si>
  <si>
    <t>Instalaciones Far</t>
  </si>
  <si>
    <t>Carrer de Santa Teresa, 42, 07100 Sóller, Illes Balears</t>
  </si>
  <si>
    <t>971 63 11 30</t>
  </si>
  <si>
    <t>Carrer de Pedro Lafayo, 0, 07800 Eivissa, Illes Balears</t>
  </si>
  <si>
    <t>971 31 65 94</t>
  </si>
  <si>
    <t>Sebastián Gomila E Hijo</t>
  </si>
  <si>
    <t>Carrer s&amp;apos;Aubà, 20, 07710 Sant Lluís, Illes Balears</t>
  </si>
  <si>
    <t>San Luis</t>
  </si>
  <si>
    <t>971 15 00 91</t>
  </si>
  <si>
    <t>Desatascos Manacor, S.L.</t>
  </si>
  <si>
    <t>Carrer Santa Catalina Thomàs, 10, 07500 Manacor, Illes Balears</t>
  </si>
  <si>
    <t>971 84 39 41</t>
  </si>
  <si>
    <t>Fontaneria Javier Vidal</t>
  </si>
  <si>
    <t>Carrer de Santa Bàrbara, 66, 07760 Ciutadella de Menorca, Illes Balears</t>
  </si>
  <si>
    <t>636 67 28 00</t>
  </si>
  <si>
    <t>Antonio Mulet Ferrer</t>
  </si>
  <si>
    <t>Carrer Formentera, 3, 07600 S&amp;apos;Arenal, Illes Balears</t>
  </si>
  <si>
    <t>971 44 34 58</t>
  </si>
  <si>
    <t>Pym Fontanería C.B.</t>
  </si>
  <si>
    <t>Carrer des Cap Martinet, 11, 07819 Nuestra Señora de Jesús, Illes Balears</t>
  </si>
  <si>
    <t>Ntra. Sra. de Jesús</t>
  </si>
  <si>
    <t>671 05 05 57</t>
  </si>
  <si>
    <t>Instalacions Mitjorn C.b.</t>
  </si>
  <si>
    <t>C/ Sa Llana, 2, 07200 Felanitx (Mallorca)</t>
  </si>
  <si>
    <t>Felanitx (Mallorca)</t>
  </si>
  <si>
    <t>971 58 07 15</t>
  </si>
  <si>
    <t>Mario Labandeira Belmonte</t>
  </si>
  <si>
    <t>Carrer Puig de sa Comuna, 38, 07340 Alaró, Illes Balears</t>
  </si>
  <si>
    <t>Alaró</t>
  </si>
  <si>
    <t>971 87 99 14</t>
  </si>
  <si>
    <t>Benito fontanero</t>
  </si>
  <si>
    <t>07590 Cala Ratjada, Balearic Islands</t>
  </si>
  <si>
    <t>Fontech Fontanería</t>
  </si>
  <si>
    <t>Ronda del Port, 1, 07500 Manacor, Illes Balears</t>
  </si>
  <si>
    <t>610 97 26 82</t>
  </si>
  <si>
    <t>fontanero benito bbc</t>
  </si>
  <si>
    <t>666 32 65 23</t>
  </si>
  <si>
    <t>Can Pep Fontanería</t>
  </si>
  <si>
    <t>679 96 97 54</t>
  </si>
  <si>
    <t>Pedrol Instalaciones S.l.</t>
  </si>
  <si>
    <t>Carrer de Mossèn Salord i Farnés, 47, BAJO, 07760 Ciutadella de Menorca, Illes Balears</t>
  </si>
  <si>
    <t>971 38 07 81</t>
  </si>
  <si>
    <t>Fernández y Balaguer S.L.</t>
  </si>
  <si>
    <t>Carrer Jaume Tortellà, 22, 07150 Andratx, Illes Balears</t>
  </si>
  <si>
    <t>Antonio Martí Oliver SL</t>
  </si>
  <si>
    <t>nº 8, Vial 51 sa Teulera, 07100 Sóller, Balearic Islands</t>
  </si>
  <si>
    <t>971 63 34 82</t>
  </si>
  <si>
    <t>Instalaciones Tito</t>
  </si>
  <si>
    <t>07590,, Carrer Tritón, 07590 Cala Ratjada, Balearic Islands</t>
  </si>
  <si>
    <t>instalacionestito.com</t>
  </si>
  <si>
    <t>971 56 43 71</t>
  </si>
  <si>
    <t>info@instalacionestito.com</t>
  </si>
  <si>
    <t>Instalaciones Martí</t>
  </si>
  <si>
    <t>Carrer Fra Juníper Serra, 127, 07459 Son Serra de Marina, Illes Balears</t>
  </si>
  <si>
    <t>Son Serra de Marina</t>
  </si>
  <si>
    <t>Juan Antonio Díaz García</t>
  </si>
  <si>
    <t>Carrer de Júlia Talladas, 23, 07013 Palma, Illes Balears</t>
  </si>
  <si>
    <t>971 28 89 31</t>
  </si>
  <si>
    <t>Daniel Vega Gallego</t>
  </si>
  <si>
    <t>Carrer Huguet des Far, 51, 07180 Santa Ponça, Illes Balears</t>
  </si>
  <si>
    <t>Santa Ponsa</t>
  </si>
  <si>
    <t>649 12 20 10</t>
  </si>
  <si>
    <t>Zabaleta Exclusivas Sanitarias S L</t>
  </si>
  <si>
    <t>Calle Manyans, 34 ( Pol Ind Montecristo ), 07816 San Rafael, Balearic Islands</t>
  </si>
  <si>
    <t>Sant Rafel de Sa Creu</t>
  </si>
  <si>
    <t>971 31 60 89</t>
  </si>
  <si>
    <t>Francisco Obrador Servera</t>
  </si>
  <si>
    <t>Avinguda de Costa i Llobera, 18, 07570 Artà, Balearic Islands</t>
  </si>
  <si>
    <t>José Galmés Pons</t>
  </si>
  <si>
    <t>Camí de Sant Joan de Missa, 71, 07760 Ciutadella de Menorca, Illes Balears</t>
  </si>
  <si>
    <t>971 38 10 29</t>
  </si>
  <si>
    <t>Instal·lacions Mascaró</t>
  </si>
  <si>
    <t>Avinguda de Costa i Llobera, 34, 07570 Artà, Balearic Islands</t>
  </si>
  <si>
    <t>CEOgas NATURAL</t>
  </si>
  <si>
    <t>Carrer de Sor Isabel Cifre, Nº 30, 07007 Palma, Illes Balears</t>
  </si>
  <si>
    <t>ceogas.es</t>
  </si>
  <si>
    <t>609 76 73 15</t>
  </si>
  <si>
    <t>info@ceogas.es</t>
  </si>
  <si>
    <t>Maygas Balear S.L.</t>
  </si>
  <si>
    <t>Carrer del Capità Vila, 7, 07007 Palma, Illes Balears</t>
  </si>
  <si>
    <t>Rafael Nicolau</t>
  </si>
  <si>
    <t>Carrer Quinta Vuelta, 149, 07208 Felanitx, Illes Balears</t>
  </si>
  <si>
    <t>971 84 23 01</t>
  </si>
  <si>
    <t>Sopanic</t>
  </si>
  <si>
    <t>Carretera Andratx, 112, 07181 Palma Nova, Balearic Islands</t>
  </si>
  <si>
    <t>971 68 11 50</t>
  </si>
  <si>
    <t>Lofoten</t>
  </si>
  <si>
    <t>Carrer Pere II, 10, 07007 Palma, Illes Balears</t>
  </si>
  <si>
    <t>971 25 77 83</t>
  </si>
  <si>
    <t>Instalaciones Ginard Sastre</t>
  </si>
  <si>
    <t>Carrer Major, 114, 07570 Artà, Illes Balears</t>
  </si>
  <si>
    <t>Bsb Bañera Sobre Bañera</t>
  </si>
  <si>
    <t>C. Antoni Ribas, 13, 07006 Palma, Illes Balears</t>
  </si>
  <si>
    <t>971 46 54 40</t>
  </si>
  <si>
    <t>Saneamientos Rama</t>
  </si>
  <si>
    <t>Carrer ses Puntetes, 37, 07660 Cala D&amp;apos;or, Illes Balears</t>
  </si>
  <si>
    <t>Cala d&amp;apos;Or</t>
  </si>
  <si>
    <t>971 64 84 12</t>
  </si>
  <si>
    <t>Eladio Gálvez Mazón</t>
  </si>
  <si>
    <t>Carrer Calan Blanes, 1, 07760 Ciutadella de Menorca, Illes Balears</t>
  </si>
  <si>
    <t>971 38 33 03</t>
  </si>
  <si>
    <t>Jopela</t>
  </si>
  <si>
    <t>Calle Pare Faust Bonafé, 9, 07009 Palma, Balearic Islands</t>
  </si>
  <si>
    <t>971 43 27 51</t>
  </si>
  <si>
    <t>José María Calle Hernández</t>
  </si>
  <si>
    <t>Carrer de Pere Joan Llobet, 24, 07006 Palma, Illes Balears</t>
  </si>
  <si>
    <t>971 46 00 66</t>
  </si>
  <si>
    <t>Fontaneria Electrodomestics Joan Font</t>
  </si>
  <si>
    <t>Carrer de Bonany, 07250 Vilafranca de Bonany, Illes Balears</t>
  </si>
  <si>
    <t>Villafranca de Bonany</t>
  </si>
  <si>
    <t>610 05 77 79</t>
  </si>
  <si>
    <t>Miguel Lliteras Noguera</t>
  </si>
  <si>
    <t>Carrer de Josep Maria Quadrado, 6, 07260 Porreres, Illes Balears</t>
  </si>
  <si>
    <t>Porreras</t>
  </si>
  <si>
    <t>Sant Antoni</t>
  </si>
  <si>
    <t>Carrer de Sant Rafel, 8, 07820 Sant Antoni de Portmany, Illes Balears</t>
  </si>
  <si>
    <t>instalacionessanantonio.com</t>
  </si>
  <si>
    <t>609 12 00 09</t>
  </si>
  <si>
    <t>in.sanantonio@yahoo.es</t>
  </si>
  <si>
    <t>Axa Universa</t>
  </si>
  <si>
    <t>Carretera Montuiri - Porreres, 4, 07260 Porreres, Balearic Islands</t>
  </si>
  <si>
    <t>971 64 72 10</t>
  </si>
  <si>
    <t>Instalaciones Las Palmas</t>
  </si>
  <si>
    <t>Calle de las Palmas, 66, 28938 Móstoles, Madrid</t>
  </si>
  <si>
    <t>Móstoles</t>
  </si>
  <si>
    <t>607 71 70 32</t>
  </si>
  <si>
    <t>Rafael Esparcia Fontanero</t>
  </si>
  <si>
    <t>Agaete</t>
  </si>
  <si>
    <t>633 71 72 73</t>
  </si>
  <si>
    <t>Afontur Servicios</t>
  </si>
  <si>
    <t>Camino Hondo Rambleta, 13, 46950 Xirivella, Valencia</t>
  </si>
  <si>
    <t>Chirivella</t>
  </si>
  <si>
    <t>963 70 99 80</t>
  </si>
  <si>
    <t>Fontanero Y Desatascos Matos 🔧 679 918 028</t>
  </si>
  <si>
    <t>Calle Palafox, 21, 35010 Las Palmas de Gran Canaria, Las Palmas</t>
  </si>
  <si>
    <t>fontanerodesatascosmatos.com</t>
  </si>
  <si>
    <t>679 91 80 28</t>
  </si>
  <si>
    <t>info@fontanerodesatascosmatos.com</t>
  </si>
  <si>
    <t>Fontaneros Suárez Las Palmas</t>
  </si>
  <si>
    <t>Calle Nardo, 2, 35010 Las Palmas de Gran Canaria, Las Palmas</t>
  </si>
  <si>
    <t>fontanero-veloz.negocio.site</t>
  </si>
  <si>
    <t>692 27 13 85</t>
  </si>
  <si>
    <t>Desatascos Las Palmas</t>
  </si>
  <si>
    <t>Calle Fernando Guanarteme, 196, 35010 Las Palmas de Gran Canaria, Las Palmas</t>
  </si>
  <si>
    <t>desatascoslaspalmas.com</t>
  </si>
  <si>
    <t>928 47 30 30</t>
  </si>
  <si>
    <t>info@desatascoslaspalmas.com</t>
  </si>
  <si>
    <t>FONTANERIA ORTEGA</t>
  </si>
  <si>
    <t>Calle Don Pío Coronado, 172, 35012 Las Palmas de Gran Canaria, Las Palmas</t>
  </si>
  <si>
    <t>fontaneriaortega.com</t>
  </si>
  <si>
    <t>696 43 55 43</t>
  </si>
  <si>
    <t>ortega@fontaneriaortega.com</t>
  </si>
  <si>
    <t>R E Fontaneros S C P</t>
  </si>
  <si>
    <t>Calle Jordán, 8, 35018 Tamaraceite, Las Palmas</t>
  </si>
  <si>
    <t>928 03 77 03</t>
  </si>
  <si>
    <t>Ifrume Fontanería</t>
  </si>
  <si>
    <t>Parque los Canarios, 1, 35011 Las Palmas de Gran Canaria, Las Palmas</t>
  </si>
  <si>
    <t>607 89 22 98</t>
  </si>
  <si>
    <t>Fontanería y Reformas Dieguez</t>
  </si>
  <si>
    <t>Av Industrial José Sánchez Peñate, 35010 Las Palmas de Gran Canaria, Las Palmas</t>
  </si>
  <si>
    <t>ueniweb.com</t>
  </si>
  <si>
    <t>690 35 02 84</t>
  </si>
  <si>
    <t>BROHEN INSTALACIONES</t>
  </si>
  <si>
    <t>Calle Pintor Nicolás Massieu, nº8, 35018, Las Palmas</t>
  </si>
  <si>
    <t>Tamaraceite</t>
  </si>
  <si>
    <t>brohen.es</t>
  </si>
  <si>
    <t>660 36 37 53</t>
  </si>
  <si>
    <t>oficina@brohen.es</t>
  </si>
  <si>
    <t>Desatascos en Las Palmas Baratos</t>
  </si>
  <si>
    <t>desatascosdelaspalmas.com</t>
  </si>
  <si>
    <t>670 27 97 77</t>
  </si>
  <si>
    <t>R.S. Fontanería</t>
  </si>
  <si>
    <t>Ctra. Vecinal de la Milagrosa, 213, 35018 Las Palmas de Gran Canaria, Las Palmas</t>
  </si>
  <si>
    <t>637 21 56 14</t>
  </si>
  <si>
    <t>Inst Técnicas De Fontanería Bigur S L</t>
  </si>
  <si>
    <t>Calle Alfred Nobel, 15, 35013 Las Palmas de Gran Canaria, Las Palmas</t>
  </si>
  <si>
    <t>928 41 44 12</t>
  </si>
  <si>
    <t>Ingefei S.L.</t>
  </si>
  <si>
    <t>Paseo de Tomás Morales, 48, 35003 Las Palmas de Gran Canaria, Las Palmas</t>
  </si>
  <si>
    <t>ingefei.com</t>
  </si>
  <si>
    <t>928 36 23 85</t>
  </si>
  <si>
    <t>canarias@ingefei.com</t>
  </si>
  <si>
    <t>Antonio Martín Déniz, S.L. (CANARIAS HIDRÁULICA)</t>
  </si>
  <si>
    <t>Calle Agaete, 20, 35010 Las Palmas de Gran Canaria, Las Palmas</t>
  </si>
  <si>
    <t>928 48 50 06</t>
  </si>
  <si>
    <t>Desatascos Islas Canarias</t>
  </si>
  <si>
    <t>Av. Ansite, 1, 35011 Las Palmas de Gran Canaria, Las Palmas</t>
  </si>
  <si>
    <t>928 22 78 70</t>
  </si>
  <si>
    <t>Font 7 instalaciones fontaneria</t>
  </si>
  <si>
    <t>Calle Otoño, 65, 35018 Hoya Andrea, Las Palmas</t>
  </si>
  <si>
    <t>Hoya Andrea</t>
  </si>
  <si>
    <t>637 03 01 11</t>
  </si>
  <si>
    <t>aldebaran instalaciones. fontanería y desatascos 24 horas las palmas</t>
  </si>
  <si>
    <t>Calle Hebrón, 33, 35018 Las Palmas de Gran Canaria, Las Palmas</t>
  </si>
  <si>
    <t>686 42 91 35</t>
  </si>
  <si>
    <t>ALBERTARI DESATASCO Y FONTANERIA 24HRS</t>
  </si>
  <si>
    <t>Calle Gral. Mas de Gaminde, 41, 35010 Las Palmas de Gran Canaria, Las Palmas</t>
  </si>
  <si>
    <t>wordpress.com</t>
  </si>
  <si>
    <t>692 02 17 19</t>
  </si>
  <si>
    <t>desatascos y fontanería 24h desacan</t>
  </si>
  <si>
    <t>35220 Telde, Las Palmas</t>
  </si>
  <si>
    <t>657 51 14 03</t>
  </si>
  <si>
    <t>Instalaciones De Fontanería Jesús Pérez</t>
  </si>
  <si>
    <t>Plaza Cruz, 40, 35018 Tamaraceite, Las Palmas</t>
  </si>
  <si>
    <t>928 67 77 73</t>
  </si>
  <si>
    <t>R&amp;amp;E Fontaneros - GarGar Fontaneros S.L</t>
  </si>
  <si>
    <t>Calle Siloé, 40, 35018 Las Palmas de Gran Canaria, Las Palmas</t>
  </si>
  <si>
    <t>ryefontaneros.es</t>
  </si>
  <si>
    <t>928 03 70 32</t>
  </si>
  <si>
    <t>Electro Fontagas</t>
  </si>
  <si>
    <t>Calle Hoya del Rosario, 86, 35016 Las Palmas de Gran Canaria, Las Palmas</t>
  </si>
  <si>
    <t>Femesa Instalaciones Hidrosanitarias</t>
  </si>
  <si>
    <t>Calle Luis Saavedra Miranda, 24, 35014 Las Palmas de Gran Canaria, Las Palmas</t>
  </si>
  <si>
    <t>928 42 04 78</t>
  </si>
  <si>
    <t>Las Palmas, 7 Palmas, Gran Canaria, Desatascos</t>
  </si>
  <si>
    <t>Av Pintor Felo Monzón, 39, 35019 Las Palmas de Gran Canaria, Las Palmas</t>
  </si>
  <si>
    <t>608 12 47 02</t>
  </si>
  <si>
    <t>Desatascos y Fontanería Buenagente</t>
  </si>
  <si>
    <t>Calle Violeta, 24, 35010 Las Palmas de Gran Canaria, Las Palmas</t>
  </si>
  <si>
    <t>desatascosyfontaneriabuenagente.com</t>
  </si>
  <si>
    <t>663 30 65 25</t>
  </si>
  <si>
    <t>info@desatascosyfontaneriabuenagente.com</t>
  </si>
  <si>
    <t>Primer Codo</t>
  </si>
  <si>
    <t>Calle San Germán, 28, 35018 Almatriche Bajo, Las Palmas</t>
  </si>
  <si>
    <t>Almatriche Bajo</t>
  </si>
  <si>
    <t>Desatascos en Las Palmas 24 horas</t>
  </si>
  <si>
    <t>600 57 23 89</t>
  </si>
  <si>
    <t>Fontanería Florido</t>
  </si>
  <si>
    <t>Calle Arapiles, 14, 35211 Telde, Las Palmas</t>
  </si>
  <si>
    <t>instagram.com</t>
  </si>
  <si>
    <t>928 68 15 45</t>
  </si>
  <si>
    <t>Instalaciones Carla Perdomo</t>
  </si>
  <si>
    <t>Calle Lomo de la Cruz, 23, 35014 Las Palmas de Gran Canaria, Las Palmas</t>
  </si>
  <si>
    <t>instalacionescarlaperdomo.es</t>
  </si>
  <si>
    <t>928 42 43 11</t>
  </si>
  <si>
    <t>info@instalacionescarlaperdomo.es</t>
  </si>
  <si>
    <t>Injar</t>
  </si>
  <si>
    <t>Calle León y Castillo, 421, 35007 Palmas De Gran Canaria ( Las ), Las Palmas</t>
  </si>
  <si>
    <t>928 26 86 50</t>
  </si>
  <si>
    <t>Fontaneria y desatascos Miguel</t>
  </si>
  <si>
    <t>Paseo del P.º, 17, 35210 Telde, Las Palmas</t>
  </si>
  <si>
    <t>629 12 10 85</t>
  </si>
  <si>
    <t>DESATASCOS ADAJES</t>
  </si>
  <si>
    <t>35011 Las Palmas de Gran Canaria, Las Palmas</t>
  </si>
  <si>
    <t>633 89 89 08</t>
  </si>
  <si>
    <t>Calle Huelva, 29, 35400 Arucas, Las Palmas</t>
  </si>
  <si>
    <t>Arucas</t>
  </si>
  <si>
    <t>Repa Express</t>
  </si>
  <si>
    <t>Calle Federico Viera, 34, 35012 Las Palmas de Gran Canaria, Las Palmas</t>
  </si>
  <si>
    <t>GRUPO INSULARSA SL</t>
  </si>
  <si>
    <t>Nesven</t>
  </si>
  <si>
    <t>C/ Virgen del Pilar, 14, 35012 Las Palmas de Gran Canaria, Las Palmas</t>
  </si>
  <si>
    <t>José Juan Delgado Delgado</t>
  </si>
  <si>
    <t>Calle Lérida, 49, 35016 Las Palmas de Gran Canaria, Las Palmas</t>
  </si>
  <si>
    <t>Isidro Y Efren Fontanería</t>
  </si>
  <si>
    <t>Calle Francisco Casimiro Brito, 3, 35213 San Antonio, Las Palmas</t>
  </si>
  <si>
    <t>San Antonio</t>
  </si>
  <si>
    <t>646 44 55 63</t>
  </si>
  <si>
    <t>ACM Averias Urgentes - Empresa de desatascos</t>
  </si>
  <si>
    <t>Camino Rosa Silva, s/n, 35415 Arucas, Las Palmas</t>
  </si>
  <si>
    <t>610 92 23 02</t>
  </si>
  <si>
    <t>Lusans</t>
  </si>
  <si>
    <t>Calle Plaza Barranco de la Ballena, 2, 35012 Las Palmas de Gran Canaria, Las Palmas</t>
  </si>
  <si>
    <t>Calle Secretario Artiles, 35007 Palmas De Gran Canaria ( Las ), Las Palmas</t>
  </si>
  <si>
    <t>928 49 44 97</t>
  </si>
  <si>
    <t>Fontanería desacan</t>
  </si>
  <si>
    <t>Calle Alcalde Suárez Franchy, 14, 35400 Arucas, Las Palmas</t>
  </si>
  <si>
    <t>Pedro Ojeda Almeida</t>
  </si>
  <si>
    <t>Calle Natan, 8, 35018 Las Palmas de Gran Canaria, Las Palmas</t>
  </si>
  <si>
    <t>928 67 33 19</t>
  </si>
  <si>
    <t>Servicios León Las Palmas</t>
  </si>
  <si>
    <t>serviciosleon.es</t>
  </si>
  <si>
    <t>671 14 53 66</t>
  </si>
  <si>
    <t>Desatascos Jumbo</t>
  </si>
  <si>
    <t>Calle Cuatro Cañones, 8, 35012 Las Palmas de Gran Canaria, Las Palmas</t>
  </si>
  <si>
    <t>desatascosjumbo.com</t>
  </si>
  <si>
    <t>Pedro Felipe Vega González</t>
  </si>
  <si>
    <t>Calle Baile del Vivo, 0, 35018 Mesas ( Las ), Las Palmas</t>
  </si>
  <si>
    <t>Las Mesas</t>
  </si>
  <si>
    <t>928 43 77 23</t>
  </si>
  <si>
    <t>O W Bunker Canary Islands S L</t>
  </si>
  <si>
    <t>Calle Prof. Agustín Millares Carlo, 10, 35003 Palmas De Gran Canaria ( Las ), Las Palmas</t>
  </si>
  <si>
    <t>928 38 11 27</t>
  </si>
  <si>
    <t>Fontanería Juan Cabrera Domínguez</t>
  </si>
  <si>
    <t>Calle Amundsen, 3, 1, 35215 Valle de los Nueve, Las Palmas</t>
  </si>
  <si>
    <t>Valle de los Nueve</t>
  </si>
  <si>
    <t>928 69 16 16</t>
  </si>
  <si>
    <t>Fontanería Ramisan S L</t>
  </si>
  <si>
    <t>Calle Tales de Mileto, 6, 35215 El Calero, Las Palmas</t>
  </si>
  <si>
    <t>El Calero</t>
  </si>
  <si>
    <t>928 68 33 96</t>
  </si>
  <si>
    <t>Azulay</t>
  </si>
  <si>
    <t>Calle Mercado las Palmas, 6, 35001 Las Palmas de Gran Canaria, Las Palmas</t>
  </si>
  <si>
    <t>928 38 50 92</t>
  </si>
  <si>
    <t>Fontanería Profesional David Hernández</t>
  </si>
  <si>
    <t>Calle Felix Rodriguez Aleman, Local 4, 35215 Telde, Las Palmas</t>
  </si>
  <si>
    <t>637 50 99 97</t>
  </si>
  <si>
    <t>Emilio Perdomo Fontanería</t>
  </si>
  <si>
    <t>Camino Cruz del Gamonal, 29, 35300 Sta Brígida, Las Palmas</t>
  </si>
  <si>
    <t>Sta Brígida</t>
  </si>
  <si>
    <t>928 64 40 38</t>
  </si>
  <si>
    <t>Fontaneria y Mantenimientos Antonio Hidalgo Santana</t>
  </si>
  <si>
    <t>Calle Alfonso XIII, 242, 35200 Telde, Las Palmas</t>
  </si>
  <si>
    <t>609 92 90 83</t>
  </si>
  <si>
    <t>RESUELVE YA DESATASCOS Y FONTANERIA</t>
  </si>
  <si>
    <t>Paseo Marítimo del Puertillo, 3, 35414 El Portillo, Palmas</t>
  </si>
  <si>
    <t>El Puertillo</t>
  </si>
  <si>
    <t>Palmas</t>
  </si>
  <si>
    <t>resuelveya.com</t>
  </si>
  <si>
    <t>928 62 71 51</t>
  </si>
  <si>
    <t>Fontanería Ñile</t>
  </si>
  <si>
    <t>Calle los Menores, 45, 35432 Los Rosales, Las Palmas</t>
  </si>
  <si>
    <t>Los Rosales</t>
  </si>
  <si>
    <t>639 72 81 98</t>
  </si>
  <si>
    <t>Famara</t>
  </si>
  <si>
    <t>Calle Arrecife, 27P, 35010 Las Palmas de Gran Canaria, Las Palmas</t>
  </si>
  <si>
    <t>928 48 09 34</t>
  </si>
  <si>
    <t>Fontanería Mahiben</t>
  </si>
  <si>
    <t>Calle Artemi, 12, 35423 Carreteria, Las Palmas</t>
  </si>
  <si>
    <t>Carreteria</t>
  </si>
  <si>
    <t>928 61 00 59</t>
  </si>
  <si>
    <t>Fontanería Válido</t>
  </si>
  <si>
    <t>Calle Voluntad, 12, 35240 Ingenio, Las Palmas</t>
  </si>
  <si>
    <t>Ingenio</t>
  </si>
  <si>
    <t>616 40 04 83</t>
  </si>
  <si>
    <t>Sartel Fontanería Y Obras</t>
  </si>
  <si>
    <t>Calle Alcalá Galiano, 4, 35214 Clavellinas, Las Palmas</t>
  </si>
  <si>
    <t>Clavellinas</t>
  </si>
  <si>
    <t>928 13 11 96</t>
  </si>
  <si>
    <t>Foncal</t>
  </si>
  <si>
    <t>Calle Bosque, 14, 35200 Telde, Las Palmas</t>
  </si>
  <si>
    <t>foncal.es</t>
  </si>
  <si>
    <t>902 22 40 10</t>
  </si>
  <si>
    <t>clientes@foncal.es</t>
  </si>
  <si>
    <t>Foncal | Todo en Fontanería, piscina, energía solar</t>
  </si>
  <si>
    <t>Calle Espiga, 13, 35219 El Goro, Las Palmas</t>
  </si>
  <si>
    <t>El Goro</t>
  </si>
  <si>
    <t>928 17 03 44</t>
  </si>
  <si>
    <t>Fontanería Nuez S.L.</t>
  </si>
  <si>
    <t>Calle del Gramil, Nº 16, 35118 Poligono Industrial de Arinaga, Las Palmas</t>
  </si>
  <si>
    <t>Poligono Industrial de Arinaga</t>
  </si>
  <si>
    <t>928 18 48 87</t>
  </si>
  <si>
    <t>Fontanería Enrique y Santiago</t>
  </si>
  <si>
    <t>Calle Montevideo, 3, 35109 El Tablero, Las Palmas</t>
  </si>
  <si>
    <t>El Tablero</t>
  </si>
  <si>
    <t>928 14 23 34</t>
  </si>
  <si>
    <t>Fontanería Llampe</t>
  </si>
  <si>
    <t>Calle de Colombia, 12, 35110 Llanos ( Los ), Las Palmas</t>
  </si>
  <si>
    <t>Vecindario</t>
  </si>
  <si>
    <t>928 15 66 77</t>
  </si>
  <si>
    <t>Mantenisur</t>
  </si>
  <si>
    <t>Av. de Moya, 5, 35100 San Bartolomé de Tirajana, Las Palmas</t>
  </si>
  <si>
    <t>San Bartolomé de Tirajana</t>
  </si>
  <si>
    <t>928 76 78 62</t>
  </si>
  <si>
    <t>Fontaenersol</t>
  </si>
  <si>
    <t>Calle Encina, 35118, Las Palmas</t>
  </si>
  <si>
    <t>fontaenersol.es</t>
  </si>
  <si>
    <t>928 79 53 80</t>
  </si>
  <si>
    <t>Desatascos en las Palmas</t>
  </si>
  <si>
    <t>fontanerosdesatascoslaspalmas.com</t>
  </si>
  <si>
    <t>Suministros de Fontanería de Zec Canarias S.L.</t>
  </si>
  <si>
    <t>Calle del Herraje, 21, 35118 Poligono Industrial de Arinaga, Las Palmas</t>
  </si>
  <si>
    <t>928 18 09 18</t>
  </si>
  <si>
    <t>Av. de la Cornisa, 35130 Puerto Rico de Gran Canaria, Las Palmas</t>
  </si>
  <si>
    <t>Puerto Rico de Gran Canaria</t>
  </si>
  <si>
    <t>928 56 01 54</t>
  </si>
  <si>
    <t>Canaritec</t>
  </si>
  <si>
    <t>Av. del Atlántico, 305, 35110 Santa Lucía de Tirajana, Las Palmas</t>
  </si>
  <si>
    <t>Santa Lucía de Tirajana</t>
  </si>
  <si>
    <t>928 75 35 87</t>
  </si>
  <si>
    <t>Fontanería Francisco Lemes S.L.</t>
  </si>
  <si>
    <t>Calle la Juventud, 57, 35600 Puerto del Rosario, Las Palmas</t>
  </si>
  <si>
    <t>928 85 85 46</t>
  </si>
  <si>
    <t>Fontanería y Comercial Yayo, S.L.</t>
  </si>
  <si>
    <t>Calle José Ortega y Gasset, nº 57, 35500 Arrecife, Las Palmas</t>
  </si>
  <si>
    <t>Arrecife</t>
  </si>
  <si>
    <t>fontaneriayayo.com</t>
  </si>
  <si>
    <t>928 81 14 65</t>
  </si>
  <si>
    <t>info@fontaneriayayo.com</t>
  </si>
  <si>
    <t>Fontanería Tavio</t>
  </si>
  <si>
    <t>17 ático, Calle Liria, 35500 Arrecife, Las Palmas</t>
  </si>
  <si>
    <t>fontanerolanzarote.com</t>
  </si>
  <si>
    <t>928 80 21 55</t>
  </si>
  <si>
    <t>Fontanería Guillermo Cabrera Roger S L</t>
  </si>
  <si>
    <t>Calle la Cuesta, 20, 35629 Las Playitas, Las Palmas</t>
  </si>
  <si>
    <t>Las Playitas</t>
  </si>
  <si>
    <t>629 47 22 26</t>
  </si>
  <si>
    <t>Fontanería Ramón y Lucas</t>
  </si>
  <si>
    <t>S N, Carretera Arrecife Yaiza, 0, 35509 Playa Honda, Las Palmas</t>
  </si>
  <si>
    <t>Playa Honda</t>
  </si>
  <si>
    <t>Foncal | Todo en Fontanería, piscina, energía sola</t>
  </si>
  <si>
    <t>Calle Océano Glaciar Ártico, 8, 35500 Arrecife, Las Palmas</t>
  </si>
  <si>
    <t>928 63 92 85</t>
  </si>
  <si>
    <t>Auxicon Servicios Fontanerias</t>
  </si>
  <si>
    <t>Calle Muyay, 66, 35500 Arrecife, Las Palmas</t>
  </si>
  <si>
    <t>660 80 80 50</t>
  </si>
  <si>
    <t>Foncal | Todo en Fontaneria, piscina, energía solar</t>
  </si>
  <si>
    <t>Poligono Industrial C/La Noria,36, 35600 El Matorral, Las Palmas</t>
  </si>
  <si>
    <t>El Matorral</t>
  </si>
  <si>
    <t>928 34 44 21</t>
  </si>
  <si>
    <t>Teuhome</t>
  </si>
  <si>
    <t>Avinguda de las Palmas, 51, 03725 Teulada, Alicante</t>
  </si>
  <si>
    <t>Teulada</t>
  </si>
  <si>
    <t>teuhome.com</t>
  </si>
  <si>
    <t>646 14 23 23</t>
  </si>
  <si>
    <t>Desatascos Eurofont</t>
  </si>
  <si>
    <t>Calle Isla de la Gomera, 12, 38006 Santa Cruz de Tenerife</t>
  </si>
  <si>
    <t>eurofontcanarias.es</t>
  </si>
  <si>
    <t>922 28 23 55</t>
  </si>
  <si>
    <t>info@eurofontcanarias.es</t>
  </si>
  <si>
    <t>FONTANERIA NAVARRO</t>
  </si>
  <si>
    <t>Calle Mencey Acaymo, 30, 38008 Santa Cruz de Tenerife</t>
  </si>
  <si>
    <t>desatascosnavarrotenerife.com</t>
  </si>
  <si>
    <t>922 22 44 10</t>
  </si>
  <si>
    <t>Desatascos Jumbo Tenerife</t>
  </si>
  <si>
    <t>Calle Zurbarán, 28, 38004 Santa Cruz de Tenerife</t>
  </si>
  <si>
    <t>922 15 24 34</t>
  </si>
  <si>
    <t>Hidráulica Tinerfeña S.L.</t>
  </si>
  <si>
    <t>Calle Subida al Mayorazgo, 12, 38110 Santa Cruz de Tenerife</t>
  </si>
  <si>
    <t>hidraulica.com</t>
  </si>
  <si>
    <t>922 21 10 88</t>
  </si>
  <si>
    <t>Disfoten 7 islas</t>
  </si>
  <si>
    <t>Calle Puntagorda, naves 10-11, Polígono Industrial Los Majuelos, 38108 San Cristóbal de La Laguna, Santa Cruz de Tenerife</t>
  </si>
  <si>
    <t>disfoten.com</t>
  </si>
  <si>
    <t>922 82 43 98</t>
  </si>
  <si>
    <t>disfoten@disfoten.com</t>
  </si>
  <si>
    <t>Fontaneria Urgencias 24 Santa Cruz de Tenerife - Fontanero en Tenerife</t>
  </si>
  <si>
    <t>urgencias24tenerife.com</t>
  </si>
  <si>
    <t>696 03 04 34</t>
  </si>
  <si>
    <t>Desatascos Santa Cruz</t>
  </si>
  <si>
    <t>Calle Mencey Acaymo, 1, 38008 Santa Cruz de Tenerife</t>
  </si>
  <si>
    <t>922 19 87 68</t>
  </si>
  <si>
    <t>ALEXIS ARROCHA -FONTANERIA -DESATASCOS-REFORMAS</t>
  </si>
  <si>
    <t>Calle Azorín, 4, 38007 Santa Cruz de Tenerife</t>
  </si>
  <si>
    <t>637 41 79 90</t>
  </si>
  <si>
    <t>Desatascos Tenerife 1</t>
  </si>
  <si>
    <t>desatascostenerife1.com</t>
  </si>
  <si>
    <t>email@domainname.com</t>
  </si>
  <si>
    <t>Grupo Refripeca</t>
  </si>
  <si>
    <t>Calle Capuchina, 10, 38107 El Tablero, Santa Cruz de Tenerife</t>
  </si>
  <si>
    <t>refripeca.com</t>
  </si>
  <si>
    <t>922 62 69 29</t>
  </si>
  <si>
    <t>Desatascos y Fontanería Tenerife, Limpieza de pozos en Tenerife</t>
  </si>
  <si>
    <t>Calle Alfonso XIII, 30, 38320 La Cuesta, Santa Cruz de Tenerife</t>
  </si>
  <si>
    <t>La Cuesta</t>
  </si>
  <si>
    <t>desatascos-tenerife.info</t>
  </si>
  <si>
    <t>619 05 65 89</t>
  </si>
  <si>
    <t>Desatascos y Fontanería la Unión</t>
  </si>
  <si>
    <t>Calle Jose Maria de Villa, 9, Local Derecho, 38005 Santa Cruz de Tenerife</t>
  </si>
  <si>
    <t>desatascoslaunion.com</t>
  </si>
  <si>
    <t>822 01 67 93</t>
  </si>
  <si>
    <t>informacion@desatascoslaunion.com</t>
  </si>
  <si>
    <t>Desatascos Tenerife</t>
  </si>
  <si>
    <t>Av. Islas Canarias, 41, 43, 38007 Santa Cruz de Tenerife</t>
  </si>
  <si>
    <t>desatascostenerife.com</t>
  </si>
  <si>
    <t>Desatascos DYR Tenerife</t>
  </si>
  <si>
    <t>desatascosylimpiezasdyr.com</t>
  </si>
  <si>
    <t>633 78 73 33</t>
  </si>
  <si>
    <t>info@desatascosylimpiezasdyr.com</t>
  </si>
  <si>
    <t>Fontanería de Palladino Daniele</t>
  </si>
  <si>
    <t>Calle de Carmen Monteverde, 38003 Santa Cruz de Tenerife</t>
  </si>
  <si>
    <t>Calle Hermano Pedro 102 primer piso D, 38010 Santa Cruz de Tenerife</t>
  </si>
  <si>
    <t>desatascostenerife.es</t>
  </si>
  <si>
    <t>625 18 47 12</t>
  </si>
  <si>
    <t>Tinerfe7Fontaneros:URGENCIA 24H TNO:645405394</t>
  </si>
  <si>
    <t>645 40 53 94</t>
  </si>
  <si>
    <t>Poligono Industrial La Campana, C/Thomas Alba Edison, 12, 38109 El Rosarito, Santa Cruz de Tenerife</t>
  </si>
  <si>
    <t>El Rosarito</t>
  </si>
  <si>
    <t>sucan.es</t>
  </si>
  <si>
    <t>922 62 40 00</t>
  </si>
  <si>
    <t>Tecnifugas</t>
  </si>
  <si>
    <t>Calle Celia Cruz, 6, 38003 Santa Cruz de Tenerife</t>
  </si>
  <si>
    <t>822 66 53 19</t>
  </si>
  <si>
    <t>Fontanero en Tenerife</t>
  </si>
  <si>
    <t>Calle Osa Mayor, 64, 38205 San Cristóbal de La Laguna, Santa Cruz de Tenerife</t>
  </si>
  <si>
    <t>620 03 16 65</t>
  </si>
  <si>
    <t>Desatascos Isleños</t>
  </si>
  <si>
    <t>Calle de Calderon de la Barca, 22, 38005 Santa Cruz de Tenerife</t>
  </si>
  <si>
    <t>822 10 22 83</t>
  </si>
  <si>
    <t>Fontanería Daniel Samos</t>
  </si>
  <si>
    <t>P.R.C - Expertos en Desatascos en La Laguna</t>
  </si>
  <si>
    <t>636 54 49 82</t>
  </si>
  <si>
    <t>MANTENIMIENTOS ANNABE</t>
  </si>
  <si>
    <t>661 00 26 58</t>
  </si>
  <si>
    <t>Desatascos y Cerrajeros Tamayo</t>
  </si>
  <si>
    <t>Av. Islas Canarias, 32, 38006 Santa Cruz de Tenerife</t>
  </si>
  <si>
    <t>desatascostenerifeisla.com</t>
  </si>
  <si>
    <t>670 58 95 20</t>
  </si>
  <si>
    <t>Fontanería Alejandro</t>
  </si>
  <si>
    <t>Calle Osa Mayor, 73, 38205 San Cristóbal de La Laguna, Santa Cruz de Tenerife</t>
  </si>
  <si>
    <t>fontanerourgente.org</t>
  </si>
  <si>
    <t>822 25 90 87</t>
  </si>
  <si>
    <t>Roca Baños Fontaneria</t>
  </si>
  <si>
    <t>Calle Tijarafe, 5, 38108 San Cristóbal de La Laguna, Santa Cruz de Tenerife</t>
  </si>
  <si>
    <t>Ipalfon 2000 S.L.</t>
  </si>
  <si>
    <t>Calle los Alamos, 19, 38107 Santa Cruz de Tenerife</t>
  </si>
  <si>
    <t>Fontalia Tenerife S.L.</t>
  </si>
  <si>
    <t>Calle la Guancha, 3, 38205 San Cristóbal de La Laguna, Santa Cruz de Tenerife</t>
  </si>
  <si>
    <t>fontalia.es</t>
  </si>
  <si>
    <t>619 79 19 05</t>
  </si>
  <si>
    <t>Lucio Luis Pérez Pérez</t>
  </si>
  <si>
    <t>Calle Sgto. Provisional, 49, 38010 Santa Cruz de Tenerife</t>
  </si>
  <si>
    <t>609 81 50 73</t>
  </si>
  <si>
    <t>Fontanero Fran Urgencias 24 Candelaria</t>
  </si>
  <si>
    <t>634 72 59 46</t>
  </si>
  <si>
    <t>Ocyr Multitecnicos</t>
  </si>
  <si>
    <t>Finca España, Calle Albacete, 38205 San Cristóbal de La Laguna, Santa Cruz de Tenerife</t>
  </si>
  <si>
    <t>ocyr.es</t>
  </si>
  <si>
    <t>616 61 40 08</t>
  </si>
  <si>
    <t>info@ocyr.es</t>
  </si>
  <si>
    <t>Cortes y Pliegues Tenerife</t>
  </si>
  <si>
    <t>Calle Barrionuevo de Ofra, 5 NAVE, 38320 La Cuesta, Santa Cruz de Tenerife</t>
  </si>
  <si>
    <t>cortesypliegues.es</t>
  </si>
  <si>
    <t>922 66 23 50</t>
  </si>
  <si>
    <t>Fomanje</t>
  </si>
  <si>
    <t>Av. Cercado Corazón, 3, 38107 La Gallega, Santa Cruz de Tenerife</t>
  </si>
  <si>
    <t>La Gallega</t>
  </si>
  <si>
    <t>922 61 30 49</t>
  </si>
  <si>
    <t>Miguel Cabrera Ledesma</t>
  </si>
  <si>
    <t>Calle el Frangollo, 25, 38291 Santa Cruz de Tenerife</t>
  </si>
  <si>
    <t>922 62 12 62</t>
  </si>
  <si>
    <t>GasFitter instalaciones de gas y agua</t>
  </si>
  <si>
    <t>Camino el Convento, 38, 38290 Santa Cruz de Tenerife</t>
  </si>
  <si>
    <t>gasfitter.negocio.site</t>
  </si>
  <si>
    <t>622 12 91 95</t>
  </si>
  <si>
    <t>Grupo Adg Fontanería</t>
  </si>
  <si>
    <t>Calle Moreiba, 28, 38111 Santa Cruz de Tenerife</t>
  </si>
  <si>
    <t>601 28 45 27</t>
  </si>
  <si>
    <t>Suministros Convi</t>
  </si>
  <si>
    <t>Calle las Seguidillas, 0, 38107 Sobradillo ( El ), Santa Cruz de Tenerife</t>
  </si>
  <si>
    <t>922 26 66 60</t>
  </si>
  <si>
    <t>Fontanero Mario Marino</t>
  </si>
  <si>
    <t>625 73 64 19</t>
  </si>
  <si>
    <t>Desatascos Laguna</t>
  </si>
  <si>
    <t>Calle Rector Alberto Navarro González, 31, 38205 San Cristóbal de La Laguna, Santa Cruz de Tenerife</t>
  </si>
  <si>
    <t>660 96 03 44</t>
  </si>
  <si>
    <t>Mantenimientos y Servicios Pabecan</t>
  </si>
  <si>
    <t>Calle Oráculo de Delfos, 38320 San Cristóbal de La Laguna, Santa Cruz de Tenerife</t>
  </si>
  <si>
    <t>617 07 12 33</t>
  </si>
  <si>
    <t>Juan Carlos Paredes Corrales</t>
  </si>
  <si>
    <t>Calle Calabria, 43, 38180 María Jiménez, Santa Cruz de Tenerife</t>
  </si>
  <si>
    <t>María Jiménez</t>
  </si>
  <si>
    <t>Cofonta Fontanería</t>
  </si>
  <si>
    <t>Carr. Gral. del Nte., 64, 38360 El Sauzal, Santa Cruz de Tenerife</t>
  </si>
  <si>
    <t>El Sauzal</t>
  </si>
  <si>
    <t>cofonta.com</t>
  </si>
  <si>
    <t>922 56 35 01</t>
  </si>
  <si>
    <t>Fontanero Mario</t>
  </si>
  <si>
    <t>Camino Caitano, 4, 38330 Guamasa, Santa Cruz de Tenerife</t>
  </si>
  <si>
    <t>Guamasa</t>
  </si>
  <si>
    <t>922 68 55 12</t>
  </si>
  <si>
    <t>Víctor Jesús Rodríguez Pinto</t>
  </si>
  <si>
    <t>634 59 34 06</t>
  </si>
  <si>
    <t>Rosban Baño</t>
  </si>
  <si>
    <t>Calle de la Orotava, 7, 38008 Santa Cruz de Tenerife</t>
  </si>
  <si>
    <t>922 33 55 13</t>
  </si>
  <si>
    <t>Fontanero en Tacoronte,24H</t>
  </si>
  <si>
    <t>Calle del Calvario, 74A, 38350 Tacoronte, Santa Cruz de Tenerife</t>
  </si>
  <si>
    <t>Tacoronte</t>
  </si>
  <si>
    <t>Fontanero Urgencias 24 Tenerife</t>
  </si>
  <si>
    <t>fontanerourgencias24tenerife.com</t>
  </si>
  <si>
    <t>Técnicas Hidráulicas S.L.</t>
  </si>
  <si>
    <t>Calle Juan De la Cierva, Manzana 15, Parcela A, Nave 3, 38109, Santa Cruz de Tenerife</t>
  </si>
  <si>
    <t>922 61 01 81</t>
  </si>
  <si>
    <t>Termotecnica multiservicio</t>
  </si>
  <si>
    <t>Calle Arzobispo Elías Yanes, 38206 San Cristóbal de La Laguna, Santa Cruz de Tenerife</t>
  </si>
  <si>
    <t>642 07 34 86</t>
  </si>
  <si>
    <t>Tinerfe7fontaneros</t>
  </si>
  <si>
    <t>La Placeta, Calle del Calvario, 74a, 38350 El Cantillo, Santa Cruz de Tenerife</t>
  </si>
  <si>
    <t>El Cantillo</t>
  </si>
  <si>
    <t>fontanerostenerife24h.es</t>
  </si>
  <si>
    <t>Fontaneria Fontagen</t>
  </si>
  <si>
    <t>fontaneriafontagen.com</t>
  </si>
  <si>
    <t>645 05 88 57</t>
  </si>
  <si>
    <t>Hidrotecnia Pirámides Tenerife S.L.</t>
  </si>
  <si>
    <t>Calle Chimisay, 13, BAJO, 38500 Güímar, Santa Cruz de Tenerife</t>
  </si>
  <si>
    <t>Güímar</t>
  </si>
  <si>
    <t>hidrotecniapiramidestenerife.es</t>
  </si>
  <si>
    <t>922 51 35 00</t>
  </si>
  <si>
    <t>Benito Acosta Machín</t>
  </si>
  <si>
    <t>Camino José Díaz y Díaz, 14, 38290 Las Barreras, Santa Cruz de Tenerife</t>
  </si>
  <si>
    <t>Las Barreras</t>
  </si>
  <si>
    <t>FontanerosTinerfe7,645405394</t>
  </si>
  <si>
    <t>Calle del Calvario, 74, A, 38350 Tacoronte, Santa Cruz de Tenerife</t>
  </si>
  <si>
    <t>Fontafer</t>
  </si>
  <si>
    <t>Carr. Provincial, 151, 38390 Sta Úrsula, Santa Cruz de Tenerife</t>
  </si>
  <si>
    <t>Sta Úrsula</t>
  </si>
  <si>
    <t>690 99 14 62</t>
  </si>
  <si>
    <t>Orlando Hernández Herrera</t>
  </si>
  <si>
    <t>Camino Pico Bermejo, 42, 38260 Tejina, Santa Cruz de Tenerife</t>
  </si>
  <si>
    <t>Tejina</t>
  </si>
  <si>
    <t>Fontanería Taoro</t>
  </si>
  <si>
    <t>Ctra. Nueva Corujera, 38399, Santa Cruz de Tenerife</t>
  </si>
  <si>
    <t>629 14 25 49</t>
  </si>
  <si>
    <t>Foncal | Todo en Fontaneria, piscina, energia solar</t>
  </si>
  <si>
    <t>Urbanización El Calvario, Calle la Isa, 38390 Sta Úrsula, Santa Cruz de Tenerife</t>
  </si>
  <si>
    <t>922 30 44 00</t>
  </si>
  <si>
    <t>Soluciona24</t>
  </si>
  <si>
    <t>Calle Lomo Colorado, 72, 38357 Tacoronte, Santa Cruz de Tenerife</t>
  </si>
  <si>
    <t>622 74 04 75</t>
  </si>
  <si>
    <t>Fontanería y Calor 2006 Sl</t>
  </si>
  <si>
    <t>Calle La Isa, 1 Urbanización El Calvario, 38390 Cuesta de la Villa, Santa Cruz de Tenerife</t>
  </si>
  <si>
    <t>Cuesta de la Villa</t>
  </si>
  <si>
    <t>922 62 99 95</t>
  </si>
  <si>
    <t>fontaneria,urgente 24h645405394</t>
  </si>
  <si>
    <t>COFONTA (Almacén)</t>
  </si>
  <si>
    <t>Almacenes centrales, Calle la Cuesta, 4, 38350 Tacoronte, Santa Cruz de Tenerife</t>
  </si>
  <si>
    <t>Polig.Industrial Llano del Camello, Av. 7 Islas Canarias, 162, 38639 San Miguel, Santa Cruz de Tenerife, Santa Cruz de Tenerife</t>
  </si>
  <si>
    <t>Las Chafiras</t>
  </si>
  <si>
    <t>922 73 50 03</t>
  </si>
  <si>
    <t>Desatascos Santa Cruz de Tenerife 24 horas</t>
  </si>
  <si>
    <t>desatascosdetenerife24horas.com</t>
  </si>
  <si>
    <t>607 84 53 86</t>
  </si>
  <si>
    <t>Tocopo</t>
  </si>
  <si>
    <t>Calle Juan Cullen, 4, 38300 La Orotava, Santa Cruz de Tenerife</t>
  </si>
  <si>
    <t>La Orotava</t>
  </si>
  <si>
    <t>FONTANORTE, S.L.</t>
  </si>
  <si>
    <t>Calle Sacerdote Elías Díaz Lorenzo, 4, 38315 La Perdoma, Santa Cruz de Tenerife</t>
  </si>
  <si>
    <t>La Perdoma</t>
  </si>
  <si>
    <t>fontanorte.es</t>
  </si>
  <si>
    <t>922 30 88 71</t>
  </si>
  <si>
    <t>Carlos Staebe, S L</t>
  </si>
  <si>
    <t>Calle Rambla Dr. Pérez, 6, 38390 Sta Úrsula, Santa Cruz de Tenerife</t>
  </si>
  <si>
    <t>carlosstaebe.es</t>
  </si>
  <si>
    <t>922 30 17 00</t>
  </si>
  <si>
    <t>fontanerostenerife7</t>
  </si>
  <si>
    <t>Multiservices AD - Empresa de fontanería, desatascos y cerrajería en Tenerife.</t>
  </si>
  <si>
    <t>multiservicesad.es</t>
  </si>
  <si>
    <t>666 11 91 55</t>
  </si>
  <si>
    <t>Domingo Antonio Vera Sánchez</t>
  </si>
  <si>
    <t>Calle de García Estrada, 14, 38410 Los Realejos, Santa Cruz de Tenerife</t>
  </si>
  <si>
    <t>Los Realejos</t>
  </si>
  <si>
    <t>922 34 31 69</t>
  </si>
  <si>
    <t>Calle Padre Esteban, 78, 38611 San Isidro, Santa Cruz de Tenerife</t>
  </si>
  <si>
    <t>San Isidro</t>
  </si>
  <si>
    <t>Gorka Instalaciones Insulares S.L.</t>
  </si>
  <si>
    <t>Calle Las Moraditas, 7 1º Edificio Tilena II, 38639 Las Chafiras, Santa Cruz de Tenerife</t>
  </si>
  <si>
    <t>gorkainstalaciones.com</t>
  </si>
  <si>
    <t>922 70 35 39</t>
  </si>
  <si>
    <t>info@gorkainstalaciones.com</t>
  </si>
  <si>
    <t>Gonzalo Ignacio Hernández González</t>
  </si>
  <si>
    <t>Lugar Urbanización Retamar, 47, 38300 La Orotava, Santa Cruz de Tenerife</t>
  </si>
  <si>
    <t>629 81 24 06</t>
  </si>
  <si>
    <t>Fontanería La Orensana</t>
  </si>
  <si>
    <t>Calle Tajinaste, 2, 38670 Adeje, Santa Cruz de Tenerife</t>
  </si>
  <si>
    <t>647 65 45 74</t>
  </si>
  <si>
    <t>Fontanería Jehergo</t>
  </si>
  <si>
    <t>Calle Ruiz de Padrón, 99, 38611 San Isidro, Santa Cruz de Tenerife</t>
  </si>
  <si>
    <t>649 87 99 02</t>
  </si>
  <si>
    <t>A. Feliciano S.A.</t>
  </si>
  <si>
    <t>Polígono Industrial San Jerónimo, 0 S/N, 38300 La Orotava, Santa Cruz de Tenerife</t>
  </si>
  <si>
    <t>922 33 16 33</t>
  </si>
  <si>
    <t>Fontanero s.i</t>
  </si>
  <si>
    <t>38611 San Isidro, Santa Cruz de Tenerife</t>
  </si>
  <si>
    <t>635 80 72 00</t>
  </si>
  <si>
    <t>J.L. Fontaneria</t>
  </si>
  <si>
    <t>617 59 99 47</t>
  </si>
  <si>
    <t>Asistencia Punta</t>
  </si>
  <si>
    <t>Calle Cabaña, 8, 38627 Buzanada, Santa Cruz de Tenerife</t>
  </si>
  <si>
    <t>Buzanada</t>
  </si>
  <si>
    <t>asistenciapunta.com</t>
  </si>
  <si>
    <t>696 43 40 90</t>
  </si>
  <si>
    <t>info@asistenciapunta.com</t>
  </si>
  <si>
    <t>Fontanería Felipe Lorenzo S L</t>
  </si>
  <si>
    <t>C. la Polvacera, 38711 Polvacera ( La ), Santa Cruz de Tenerife</t>
  </si>
  <si>
    <t>Breña Baja</t>
  </si>
  <si>
    <t>922 43 43 97</t>
  </si>
  <si>
    <t>Fontanería Benito S L</t>
  </si>
  <si>
    <t>Calle Molino Ind, 3, 38710 Breña Alta, Santa Cruz de Tenerife</t>
  </si>
  <si>
    <t>San Pedro</t>
  </si>
  <si>
    <t>comercialdominguez.es</t>
  </si>
  <si>
    <t>922 42 92 14</t>
  </si>
  <si>
    <t>Anrober Roma S L</t>
  </si>
  <si>
    <t>Calle Luis Alvarez Cruz, 1, 38631 Las Galletas, Santa Cruz de Tenerife</t>
  </si>
  <si>
    <t>Las Galletas</t>
  </si>
  <si>
    <t>922 73 11 37</t>
  </si>
  <si>
    <t>Desatasco LOW COST CANTABRIA</t>
  </si>
  <si>
    <t>Callr pais vasco n2 2 b, 39400 Los Corrales de Buelna, Cantabria</t>
  </si>
  <si>
    <t>Los Corrales de Buelna</t>
  </si>
  <si>
    <t>desatascoslowcostcantabria.com</t>
  </si>
  <si>
    <t>653 71 24 24</t>
  </si>
  <si>
    <t>Fontanero Edu Expósito</t>
  </si>
  <si>
    <t>675 98 20 87</t>
  </si>
  <si>
    <t>SOLUFUGAS</t>
  </si>
  <si>
    <t>P.º del Gral. Dávila, 38, 39005 Santander, Cantabria</t>
  </si>
  <si>
    <t>solufugas.com</t>
  </si>
  <si>
    <t>663 59 66 08</t>
  </si>
  <si>
    <t>info@solufugas.com</t>
  </si>
  <si>
    <t>Fontanería y Albañilería Daniel Polidura</t>
  </si>
  <si>
    <t>Calle de Sta. Teresa, Nº65, 39600 Maliaño, Cantabria</t>
  </si>
  <si>
    <t>Maliaño</t>
  </si>
  <si>
    <t>danielpolidura.com</t>
  </si>
  <si>
    <t>625 90 13 66</t>
  </si>
  <si>
    <t>hola@danielpolidura.com</t>
  </si>
  <si>
    <t>Fontaneros Foncalgas. Instaladores de gas en Santander</t>
  </si>
  <si>
    <t>P.º del Gral. Dávila, 109, 39006 Santander, Cantabria</t>
  </si>
  <si>
    <t>667 50 98 07</t>
  </si>
  <si>
    <t>Fontanería Camus S.L.</t>
  </si>
  <si>
    <t>Calle Luis Salgado Lodeiro, Nº 3, Nave 5, 39012 Santander, Cantabria</t>
  </si>
  <si>
    <t>fontaneriacamus.com</t>
  </si>
  <si>
    <t>942 21 50 63</t>
  </si>
  <si>
    <t>fontaneriacamus@fontaneriacamus.com</t>
  </si>
  <si>
    <t>Fontaneria Marcole Instalador Gas y Calefaccion Santander</t>
  </si>
  <si>
    <t>Calle Juego de los Bolos, 4, 39011 Santander, Cantabria</t>
  </si>
  <si>
    <t>fontaneriamarcole.es</t>
  </si>
  <si>
    <t>670 98 38 48</t>
  </si>
  <si>
    <t>FONTANERÍA TOBÍAS</t>
  </si>
  <si>
    <t>Paseo Ocharan Mazas, 34, 39700 Castro Urdiales, Cantabria</t>
  </si>
  <si>
    <t>Castro Urdiales</t>
  </si>
  <si>
    <t>fontaneria-tobias.negocio.site</t>
  </si>
  <si>
    <t>942 86 05 90</t>
  </si>
  <si>
    <t>Fontaneria José Manuel López</t>
  </si>
  <si>
    <t>Calle Tantín, 19, 39001 Santander, Cantabria</t>
  </si>
  <si>
    <t>942 21 29 69</t>
  </si>
  <si>
    <t>FONCAN</t>
  </si>
  <si>
    <t>Av. Jose Antonio, 14A, 39340 Suances, Cantabria, Cantabria</t>
  </si>
  <si>
    <t>Suances</t>
  </si>
  <si>
    <t>foncan.com</t>
  </si>
  <si>
    <t>639 31 51 52</t>
  </si>
  <si>
    <t>info@foncan.com</t>
  </si>
  <si>
    <t>Fontanería J Bezanilla</t>
  </si>
  <si>
    <t>Calle Somorrostro, 25, 39002 Santander, Cantabria</t>
  </si>
  <si>
    <t>609 45 44 16</t>
  </si>
  <si>
    <t>Fontanería Curto</t>
  </si>
  <si>
    <t>Calle República de Costa Rica, 8, 39770 Laredo, Cantabria</t>
  </si>
  <si>
    <t>Laredo</t>
  </si>
  <si>
    <t>658 87 09 74</t>
  </si>
  <si>
    <t>Urgencias 24 Horas Alvarez Desatascos</t>
  </si>
  <si>
    <t>Calle Antonio López, 8, 39002 Santander, Cantabria</t>
  </si>
  <si>
    <t>653 10 20 99</t>
  </si>
  <si>
    <t>VPM Asistencia</t>
  </si>
  <si>
    <t>Av. Trasmiera, 6, 39140 Somo, Cantabria</t>
  </si>
  <si>
    <t>Somo</t>
  </si>
  <si>
    <t>vpmasistencia.es</t>
  </si>
  <si>
    <t>678 31 22 99</t>
  </si>
  <si>
    <t>info@vpmasistencia.es</t>
  </si>
  <si>
    <t>Hermanos Amigó</t>
  </si>
  <si>
    <t>Av. Menéndez Pelayo, 4, 39600 Muriedas, Cantabria</t>
  </si>
  <si>
    <t>Muriedas</t>
  </si>
  <si>
    <t>942 05 60 92</t>
  </si>
  <si>
    <t>Fontanería Enrique Montés</t>
  </si>
  <si>
    <t>609 41 30 23</t>
  </si>
  <si>
    <t>Fontanería Gutemar</t>
  </si>
  <si>
    <t>Paseo Ocharan Mazas, 44, 39700 Castro Urdiales, Cantabria</t>
  </si>
  <si>
    <t>619 32 77 19</t>
  </si>
  <si>
    <t>Demetrio Instalaciones</t>
  </si>
  <si>
    <t>Barrio Sámano, 212, A, 39709 Castro Urdiales, Cantabria</t>
  </si>
  <si>
    <t>942 86 17 58</t>
  </si>
  <si>
    <t>Fontaneria AQUA</t>
  </si>
  <si>
    <t>Calle Luzmela, 10, 39400 Los Corrales de Buelna, Cantabria</t>
  </si>
  <si>
    <t>aquafontaneria.com</t>
  </si>
  <si>
    <t>634 95 15 14</t>
  </si>
  <si>
    <t>Alberto Allende Romaneli</t>
  </si>
  <si>
    <t>Calle Bajada del Chorrillo, 7, 39700 Castro Urdiales, Cantabria</t>
  </si>
  <si>
    <t>619 57 34 87</t>
  </si>
  <si>
    <t>Saltoki Santander</t>
  </si>
  <si>
    <t>Av. Candina, 22, 39011 Santander, Cantabria</t>
  </si>
  <si>
    <t>942 33 39 02</t>
  </si>
  <si>
    <t>Fontanería Calor</t>
  </si>
  <si>
    <t>Calle Eulogio Fernández Barros, 23, 39600 Muriedas, Cantabria</t>
  </si>
  <si>
    <t>942 26 09 99</t>
  </si>
  <si>
    <t>Fontanería Allende</t>
  </si>
  <si>
    <t>Calle de Silvestre Ochoa, 2, 39700 Castro Urdiales, Cantabria</t>
  </si>
  <si>
    <t>942 86 08 33</t>
  </si>
  <si>
    <t>FONTANERIA ALFREDO PEDROSA</t>
  </si>
  <si>
    <t>Av. Playa San Juan de la Canal, 55, 39110 Soto de la Marina, Cantabria</t>
  </si>
  <si>
    <t>Soto de la Marina</t>
  </si>
  <si>
    <t>687 58 04 21</t>
  </si>
  <si>
    <t>Fontanería Calefacción Julio Bezanilla</t>
  </si>
  <si>
    <t>Calle el Somo, 23, 39012 Santander, Cantabria</t>
  </si>
  <si>
    <t>625 34 58 60</t>
  </si>
  <si>
    <t>Fontanería Oscar López Y Gonzáles S L</t>
  </si>
  <si>
    <t>Calle Comillas, 4, 39340 Suances, Cantabria</t>
  </si>
  <si>
    <t>609 43 90 60</t>
  </si>
  <si>
    <t>Fontaneria Francisco Fernandez Fuertes</t>
  </si>
  <si>
    <t>C. Fernando de los Ríos, 52, 39006 Santander, Cantabria</t>
  </si>
  <si>
    <t>619 97 90 39</t>
  </si>
  <si>
    <t>Fontaneria Marcos Mayoral</t>
  </si>
  <si>
    <t>Barrio la Lastra, 3, A B-1, 39477 Oruña de Piélagos, Cantabria</t>
  </si>
  <si>
    <t>Oruña de Piélagos</t>
  </si>
  <si>
    <t>686 80 13 50</t>
  </si>
  <si>
    <t>Fontaneria Castillo</t>
  </si>
  <si>
    <t>Calle República de Colombia, 19, 39770 Laredo, Cantabria</t>
  </si>
  <si>
    <t>669 11 32 20</t>
  </si>
  <si>
    <t>INDUSTRIAS AGUSTIN - FONTANERIA Y CALEFACCION</t>
  </si>
  <si>
    <t>Av. Virgen del Mar, 31, 39011 Santander, Cantabria</t>
  </si>
  <si>
    <t>942 33 35 63</t>
  </si>
  <si>
    <t>Pedro Aizpurúa Fontanería Y Calefacción S L</t>
  </si>
  <si>
    <t>Calle Juan de la Cosa, 14, 39700 Castro Urdiales, Cantabria</t>
  </si>
  <si>
    <t>942 86 15 37</t>
  </si>
  <si>
    <t>Fontanería y Calefacción Guarnizo</t>
  </si>
  <si>
    <t>Grupo Santa Teresa Bloque 1 Bajo D, 39613 GUARNIZO, EL ASTILLERO, Cantabria</t>
  </si>
  <si>
    <t>Astillero</t>
  </si>
  <si>
    <t>fontaneriaycalefaccionguarnizo.es</t>
  </si>
  <si>
    <t>942 55 95 10</t>
  </si>
  <si>
    <t>contacto@fontaneriaycalefaccionguarnizo.com</t>
  </si>
  <si>
    <t>Albañilería y Fontanería David</t>
  </si>
  <si>
    <t>Barrio Arenillas de Ebro, 39232 Arenillas, Cantabria</t>
  </si>
  <si>
    <t>Arenillas de Ebro</t>
  </si>
  <si>
    <t>609 23 11 82</t>
  </si>
  <si>
    <t>Fontanería Y Calefacción Juan A Lucio</t>
  </si>
  <si>
    <t>Calle Padre Ignacio Ellacuría, 73, 39770 Laredo, Cantabria</t>
  </si>
  <si>
    <t>942 61 22 60</t>
  </si>
  <si>
    <t>Polígono Industrial Trascueto, 2 - 3, 39600 Revilla</t>
  </si>
  <si>
    <t>Revilla</t>
  </si>
  <si>
    <t>942 25 03 47</t>
  </si>
  <si>
    <t>Jaime Lamarca Fernández</t>
  </si>
  <si>
    <t>Av. Cantabria, 3, 39400 Los Corrales de Buelna, Cantabria</t>
  </si>
  <si>
    <t>649 44 61 78</t>
  </si>
  <si>
    <t>Instalaciones Alpe</t>
  </si>
  <si>
    <t>Av. la Naval, 40, 39200 Reinosa, Cantabria</t>
  </si>
  <si>
    <t>Reinosa</t>
  </si>
  <si>
    <t>942 75 54 48</t>
  </si>
  <si>
    <t>Fontaneria Gallo</t>
  </si>
  <si>
    <t>Calle Numancia, 10A, 39400 Los Corrales de Buelna, Cantabria</t>
  </si>
  <si>
    <t>670 51 32 45</t>
  </si>
  <si>
    <t>Fontanería Y Calefacción Santi</t>
  </si>
  <si>
    <t>Calle Carlos Haya, 8, 39009 Santander, Cantabria</t>
  </si>
  <si>
    <t>942 03 95 03</t>
  </si>
  <si>
    <t>Multiservicios de la Vega</t>
  </si>
  <si>
    <t>C/ Pando, 18, bajo izquierda, 39300 Torrelavega, Cantabria</t>
  </si>
  <si>
    <t>Torrelavega</t>
  </si>
  <si>
    <t>multiserviciosdelavega.com</t>
  </si>
  <si>
    <t>620 34 60 70</t>
  </si>
  <si>
    <t>info@grupodelavega.es</t>
  </si>
  <si>
    <t>Fontanería Hermanos Pelayo</t>
  </si>
  <si>
    <t>Av. Menéndez Pelayo, 6, 39600 Muriedas, Cantabria</t>
  </si>
  <si>
    <t>942 25 22 55</t>
  </si>
  <si>
    <t>Fontanería López Renedo</t>
  </si>
  <si>
    <t>Calle Belén, 11, 39700 Castro Urdiales, Cantabria</t>
  </si>
  <si>
    <t>Fontanería Iturbe</t>
  </si>
  <si>
    <t>Barrio las Lastras, 2, 39314 Queveda, Cantabria</t>
  </si>
  <si>
    <t>Queveda</t>
  </si>
  <si>
    <t>Instalaciones José</t>
  </si>
  <si>
    <t>Calle Bernardo Lavín, 5, 39610 Astillero, Cantabria</t>
  </si>
  <si>
    <t>647 56 76 88</t>
  </si>
  <si>
    <t>Anguje</t>
  </si>
  <si>
    <t>Calle Valle De Buelna, 3, 39300 Campuzano</t>
  </si>
  <si>
    <t>Campuzano</t>
  </si>
  <si>
    <t>942 80 44 98</t>
  </si>
  <si>
    <t>Fontaneros Cantabria</t>
  </si>
  <si>
    <t>Barrio el Jurrio, 69D, 39612 Parbayón, Cantabria</t>
  </si>
  <si>
    <t>Parbayón</t>
  </si>
  <si>
    <t>637 58 66 97</t>
  </si>
  <si>
    <t>Fontaneria Isidro Velez</t>
  </si>
  <si>
    <t>626 56 61 21</t>
  </si>
  <si>
    <t>Fontanería Y Calefacción Tayo</t>
  </si>
  <si>
    <t>Urb. el Concejero, 37, 39500 Cabezón de la Sal, Cantabria</t>
  </si>
  <si>
    <t>Cabezón de la Sal</t>
  </si>
  <si>
    <t>942 70 00 47</t>
  </si>
  <si>
    <t>Fontanería Polidura</t>
  </si>
  <si>
    <t>Calle Macías Picavea, 9, 39003 Santander, Cantabria</t>
  </si>
  <si>
    <t>942 36 30 43</t>
  </si>
  <si>
    <t>Fontanería Santos Díaz</t>
  </si>
  <si>
    <t>C. Juan del Castillo, 26, 39006 Santander, Cantabria</t>
  </si>
  <si>
    <t>Federico Escalante</t>
  </si>
  <si>
    <t>Calle la Cantábrica, 11, 39610 Astillero, Cantabria</t>
  </si>
  <si>
    <t>federicoescalante.es</t>
  </si>
  <si>
    <t>656 95 09 81</t>
  </si>
  <si>
    <t>Instalaciones Sebares</t>
  </si>
  <si>
    <t>Calle San Antonio, 4, 39540 San Vicente de la Barquera, Cantabria</t>
  </si>
  <si>
    <t>San Vicente de la Barquera</t>
  </si>
  <si>
    <t>627 46 43 09</t>
  </si>
  <si>
    <t>Fontanería Angel López Borbolla</t>
  </si>
  <si>
    <t>Calle Laredo, 8, 39340 Suances, Cantabria</t>
  </si>
  <si>
    <t>Fontanería D S G</t>
  </si>
  <si>
    <t>Barrio la Iglesia, 9, 39791 La Iglesia, Cantabria</t>
  </si>
  <si>
    <t>La Iglesia</t>
  </si>
  <si>
    <t>Fontanería Goyenechea</t>
  </si>
  <si>
    <t>Calle Prof. Jiménez Díaz, 3, 39007 Santander, Cantabria</t>
  </si>
  <si>
    <t>942 23 32 94</t>
  </si>
  <si>
    <t>Fontanería Mayoral</t>
  </si>
  <si>
    <t>Calle Habana, 5, 39008 Santander, Cantabria</t>
  </si>
  <si>
    <t>610 90 44 94</t>
  </si>
  <si>
    <t>Caysan S L</t>
  </si>
  <si>
    <t>Pol. Ind., 48, 39611 Guarnizo, Cantabria</t>
  </si>
  <si>
    <t>942 54 36 27</t>
  </si>
  <si>
    <t>Mazas Fontanería y Calefacción</t>
  </si>
  <si>
    <t>Barrio Mazas, 27, 39715 Navajeda, Cantabria</t>
  </si>
  <si>
    <t>Navajeda</t>
  </si>
  <si>
    <t>630 82 22 58</t>
  </si>
  <si>
    <t>calefacion cantabria</t>
  </si>
  <si>
    <t>Barrio la Ventilla, 5, 39479 Vioño de Piélagos, Cantabria</t>
  </si>
  <si>
    <t>Vioño de Piélagos</t>
  </si>
  <si>
    <t>675 57 67 06</t>
  </si>
  <si>
    <t>Fontanería Hermanos San Haro S Cv</t>
  </si>
  <si>
    <t>Avenida Cantabria, 0 S N, 39318 Cudón</t>
  </si>
  <si>
    <t>Cudón</t>
  </si>
  <si>
    <t>942 57 64 90</t>
  </si>
  <si>
    <t>Luis Antonio Campo Blanco</t>
  </si>
  <si>
    <t>Calle Altamira, 4, 39400 Corrales De Buelna ( Los ), Cantabria</t>
  </si>
  <si>
    <t>942 08 99 42</t>
  </si>
  <si>
    <t>Alejandro José Castillo Dehesa</t>
  </si>
  <si>
    <t>Calle República de Colombia, 39770 Laredo, Cantabria</t>
  </si>
  <si>
    <t>942 60 63 33</t>
  </si>
  <si>
    <t>Fontanería Piri S.L</t>
  </si>
  <si>
    <t>Calle el Parador, 5, 39350 Hinojedo, Cantabria</t>
  </si>
  <si>
    <t>Hinojedo</t>
  </si>
  <si>
    <t>654 38 28 35</t>
  </si>
  <si>
    <t>Fontanería Germán Arce</t>
  </si>
  <si>
    <t>Calle Madre Soledad, 22, 39006 Santander, Cantabria</t>
  </si>
  <si>
    <t>629 60 28 50</t>
  </si>
  <si>
    <t>Fontanería Pérez Salcines</t>
  </si>
  <si>
    <t>Calle Pronillo, 8, 39012 Santander, Cantabria</t>
  </si>
  <si>
    <t>942 34 08 01</t>
  </si>
  <si>
    <t>Fontanería Y Calefacción Holissc</t>
  </si>
  <si>
    <t>P.º del Gral. Dávila, 5, 39005 Santander, Cantabria</t>
  </si>
  <si>
    <t>942 33 55 25</t>
  </si>
  <si>
    <t>José Angel Cañizo Gómez</t>
  </si>
  <si>
    <t>Calle Mies de la Revilla, 2, 39800 Ramales de la Victoria, Cantabria</t>
  </si>
  <si>
    <t>Ramales de la Victoria</t>
  </si>
  <si>
    <t>Fontanería Manuel Galán Alonso</t>
  </si>
  <si>
    <t>Calle la Cantábrica, 22, 39610 Astillero, Cantabria</t>
  </si>
  <si>
    <t>609 46 66 85</t>
  </si>
  <si>
    <t>Fontanería Francisco Camus</t>
  </si>
  <si>
    <t>Calle Cueto, 11, 39012 Santander, Cantabria</t>
  </si>
  <si>
    <t>942 39 11 78</t>
  </si>
  <si>
    <t>Fontaneria D.s.g.</t>
  </si>
  <si>
    <t>Camino de Las Cuevas, 5, 39790 Bárcena de Cicero, Cantabria</t>
  </si>
  <si>
    <t>Bárcena de Cicero</t>
  </si>
  <si>
    <t>Fontanería y Gas Hermanos Becerril</t>
  </si>
  <si>
    <t>Calle José Gutiérrez Alonso, 6, 39300 Torrelavega, Cantabria</t>
  </si>
  <si>
    <t>601 25 41 58</t>
  </si>
  <si>
    <t>Hermanos Vicente Ortiz</t>
  </si>
  <si>
    <t>Calle Ramón Pelayo, 16, 39750 Colindres, Cantabria</t>
  </si>
  <si>
    <t>Colindres</t>
  </si>
  <si>
    <t>942 67 41 50</t>
  </si>
  <si>
    <t>Fontaneria Barrojo</t>
  </si>
  <si>
    <t>Prol. Av. Santander, 39180 Noja, Cantabria</t>
  </si>
  <si>
    <t>Noja</t>
  </si>
  <si>
    <t>942 63 03 64</t>
  </si>
  <si>
    <t>FONTANERIA PIRI S.L</t>
  </si>
  <si>
    <t>HNOS DE CARRIEDO Y PEREDO BAJO 10, 39300 Torrelavega, Cantabria</t>
  </si>
  <si>
    <t>Fontanería Muskiz S.L.</t>
  </si>
  <si>
    <t>Antonio Trueba Hiribidea, 19, 48550 Muskiz, Bizkaia</t>
  </si>
  <si>
    <t>San Julián de Musques o Somorrostro</t>
  </si>
  <si>
    <t>fontaneriamuskiz.com</t>
  </si>
  <si>
    <t>650 06 36 54</t>
  </si>
  <si>
    <t>fontaneriamuskiz@gmail.com</t>
  </si>
  <si>
    <t>Fontanería Manuel López Portillo</t>
  </si>
  <si>
    <t>Lugar Urbanización Marqués De Alvarado, 22, 39760 La Maza</t>
  </si>
  <si>
    <t>La Maza</t>
  </si>
  <si>
    <t>659 62 62 82</t>
  </si>
  <si>
    <t>Saneamientos Y Accesorios Elena</t>
  </si>
  <si>
    <t>Calle la Paz, 1, 39740 Santoña, Cantabria</t>
  </si>
  <si>
    <t>Santoña</t>
  </si>
  <si>
    <t>942 66 08 36</t>
  </si>
  <si>
    <t>Fontanería Y Calefacción Capitán</t>
  </si>
  <si>
    <t>Urb. Mies de Helguero, 6, 39300 Duález, Cantabria</t>
  </si>
  <si>
    <t>Duález</t>
  </si>
  <si>
    <t>660 13 77 79</t>
  </si>
  <si>
    <t>Fontanerias José Manuel López</t>
  </si>
  <si>
    <t>Barrio Monte-Corbanera, 78, 39012 Santander, Cantabria</t>
  </si>
  <si>
    <t>Fontanería German Y Jesús</t>
  </si>
  <si>
    <t>Calle Mata Linares, 7, 39540 San Vicente de la Barquera, Cantabria</t>
  </si>
  <si>
    <t>Fontanería y Calefacción Rugar</t>
  </si>
  <si>
    <t>Barrio Rolisas, D44, Nave 12B, 39318, Cantabria</t>
  </si>
  <si>
    <t>fontaneriarugarcantabria.es</t>
  </si>
  <si>
    <t>609 34 69 58</t>
  </si>
  <si>
    <t>Fontanería Tramullas</t>
  </si>
  <si>
    <t>Calle Padre Ignacio Ellacuría, 12, 39770 Laredo, Cantabria</t>
  </si>
  <si>
    <t>Fontaneria Felux Gonzalez</t>
  </si>
  <si>
    <t>Polígono Santoña, 39740 Santoña, Cantabria</t>
  </si>
  <si>
    <t>629 42 33 25</t>
  </si>
  <si>
    <t>Fontanería Villa</t>
  </si>
  <si>
    <t>Lugar Urbanización El Cerezo, 2, 39310 Mogro</t>
  </si>
  <si>
    <t>Mogro</t>
  </si>
  <si>
    <t>609 40 22 06</t>
  </si>
  <si>
    <t>David García Fontanería Calefacción</t>
  </si>
  <si>
    <t>Lugar Barrio El Francés, 0 S N, 39716 Hoznayo</t>
  </si>
  <si>
    <t>Hoznayo</t>
  </si>
  <si>
    <t>655 81 33 35</t>
  </si>
  <si>
    <t>Fontanería Sánchez y Suárez Sc</t>
  </si>
  <si>
    <t>Calle Alday, 15, 39600 Maliaño, Cantabria</t>
  </si>
  <si>
    <t>942 76 38 08</t>
  </si>
  <si>
    <t>Hermanos Ferriol</t>
  </si>
  <si>
    <t>Calle Venancio Bosco, 4, 39700 Castro Urdiales, Cantabria</t>
  </si>
  <si>
    <t>650 48 36 10</t>
  </si>
  <si>
    <t>Fontanería Poo</t>
  </si>
  <si>
    <t>C. Resconorio, 58, 39012 Santander, Cantabria</t>
  </si>
  <si>
    <t>617 25 58 88</t>
  </si>
  <si>
    <t>Fontanería Alfredo Guerra</t>
  </si>
  <si>
    <t>Calle Vista Alegre, nº 5, local 2, 39001 Santander, Cantabria</t>
  </si>
  <si>
    <t>687 47 34 27</t>
  </si>
  <si>
    <t>Fontanería Y Calefacción Sánchez Devia S L</t>
  </si>
  <si>
    <t>Calle la Quinta, 19, 39750 Colindres, Cantabria</t>
  </si>
  <si>
    <t>942 65 11 09</t>
  </si>
  <si>
    <t>Fontanería Casa Gerez S.C.</t>
  </si>
  <si>
    <t>Bajada de la Calzada, 27, 39006 Santander, Cantabria</t>
  </si>
  <si>
    <t>Fontaneria Cesar</t>
  </si>
  <si>
    <t>16, Calle Gral. Salinas, 12, 39740 Santoña, Cantabria</t>
  </si>
  <si>
    <t>659 48 22 24</t>
  </si>
  <si>
    <t>Hugo Seijas Ceballos</t>
  </si>
  <si>
    <t>C. Fernando de los Ríos, 69, 39006 Santander, Cantabria</t>
  </si>
  <si>
    <t>609 48 11 60</t>
  </si>
  <si>
    <t>CARLOS Y NICA</t>
  </si>
  <si>
    <t>Calle Epifanio Sánchez Mateo, nº3, 1º dcha, 39570 Potes, Cantabria</t>
  </si>
  <si>
    <t>carlosynicainstalaciones.com</t>
  </si>
  <si>
    <t>666 96 00 24</t>
  </si>
  <si>
    <t>administracion@dayvo.com</t>
  </si>
  <si>
    <t>Oficina F.C.G Cantabria</t>
  </si>
  <si>
    <t>Grupo Santa Teresa 13 Bajo, Boo de Guarnizo, Cantabria</t>
  </si>
  <si>
    <t>Boo de Guarnizo</t>
  </si>
  <si>
    <t>D.S.G. Fontaneria Y Calefaccion</t>
  </si>
  <si>
    <t>Av. de la Libertad, 39770 Laredo, Cantabria</t>
  </si>
  <si>
    <t>Hojalateria - Fontaneria - Zinguria</t>
  </si>
  <si>
    <t>Calle Gral. Salinas, 15, 39740 Santoña, Cantabria</t>
  </si>
  <si>
    <t>Oscar Peña S L</t>
  </si>
  <si>
    <t>Lugar Barrio Santiago El Mayor, 7, 39011 Santander</t>
  </si>
  <si>
    <t>942 33 77 83</t>
  </si>
  <si>
    <t>Fontanería Bizkaia - Reparaciones y servicios de urgencia</t>
  </si>
  <si>
    <t>Calle Sotera de la Mier Kalea, 28, 48910 Portugalete, Biscay</t>
  </si>
  <si>
    <t>Portugalete</t>
  </si>
  <si>
    <t>Biscay</t>
  </si>
  <si>
    <t>fontaneriabizkaia.com</t>
  </si>
  <si>
    <t>657 13 41 87</t>
  </si>
  <si>
    <t>info@fontaneriabizkaia.com</t>
  </si>
  <si>
    <t>Fcg Cantabria</t>
  </si>
  <si>
    <t>Calle la Gloria, 56, 39012 Santander, Cantabria</t>
  </si>
  <si>
    <t>Fontaneria Villasante</t>
  </si>
  <si>
    <t>Calle Medio, 11, 09569 Villasante, Burgos</t>
  </si>
  <si>
    <t>Villasante</t>
  </si>
  <si>
    <t>657 79 10 56</t>
  </si>
  <si>
    <t>Bilbao Fontaneros</t>
  </si>
  <si>
    <t>Camino Ugasko, 19 -Oficina, 48014 Bilbao, Biscay</t>
  </si>
  <si>
    <t>bilbaofontaneros.com</t>
  </si>
  <si>
    <t>944 48 36 47</t>
  </si>
  <si>
    <t>Fontanería Félix González</t>
  </si>
  <si>
    <t>39740 Santoña, Cantabria</t>
  </si>
  <si>
    <t>942 66 13 00</t>
  </si>
  <si>
    <t>David Fernández</t>
  </si>
  <si>
    <t>Calle el Monte, 11, 39750 Colindres, Cantabria</t>
  </si>
  <si>
    <t>696 43 35 91</t>
  </si>
  <si>
    <t>FONTANERÍA MANU</t>
  </si>
  <si>
    <t>Encartaciones Hiribidea, 20, 48800 Balmaseda, Bizkaia</t>
  </si>
  <si>
    <t>Valmaseda</t>
  </si>
  <si>
    <t>656 78 17 61</t>
  </si>
  <si>
    <t>Fontaneros Mas Que Duchas</t>
  </si>
  <si>
    <t>Askatasun Etorbidea, 40, 48901 Barakaldo, Bizkaia</t>
  </si>
  <si>
    <t>masqueduchas.com</t>
  </si>
  <si>
    <t>946 08 70 81</t>
  </si>
  <si>
    <t>info@masqueduchas.com</t>
  </si>
  <si>
    <t>Fontanería y desatascos El Campillo</t>
  </si>
  <si>
    <t>Polígono Industrial Ibarzaharra Pol., PABELLON 13, 48510 Trapagaran, Bizkaia</t>
  </si>
  <si>
    <t>Valle de Trápaga</t>
  </si>
  <si>
    <t>desatascoselcampillo.com</t>
  </si>
  <si>
    <t>660 44 91 44</t>
  </si>
  <si>
    <t>info@desatascoselcampillo.com</t>
  </si>
  <si>
    <t>Vigan</t>
  </si>
  <si>
    <t>39180 Noja, Cantabria</t>
  </si>
  <si>
    <t>Fontanería Pinosolo</t>
  </si>
  <si>
    <t>Aldapabarrena Kalea, 16, 4D, 48940 Leioa, Biscay</t>
  </si>
  <si>
    <t>Lejona</t>
  </si>
  <si>
    <t>fontaneriapinosolo.com</t>
  </si>
  <si>
    <t>656 44 18 35</t>
  </si>
  <si>
    <t>Desatascos Eco</t>
  </si>
  <si>
    <t>11 C, Camino la Virgen, 02005 Albacete</t>
  </si>
  <si>
    <t>desatascosalbacete.es</t>
  </si>
  <si>
    <t>967 03 20 05</t>
  </si>
  <si>
    <t>Desatascos Albacete BARATOS</t>
  </si>
  <si>
    <t>Calle Francisco Pizarro, 17, 02004 Albacete</t>
  </si>
  <si>
    <t>desatascosalbacete.net</t>
  </si>
  <si>
    <t>644 09 88 71</t>
  </si>
  <si>
    <t>Fontanería Rapid</t>
  </si>
  <si>
    <t>Camino la Virgen, 12, 02005 Albacete</t>
  </si>
  <si>
    <t>fontaneros024h.es</t>
  </si>
  <si>
    <t>608 86 45 39</t>
  </si>
  <si>
    <t>FONTANERIA INSTHISAL ( Instalaciones Hidráulicas Sanitarias S.A.L. )</t>
  </si>
  <si>
    <t>Calle Agustina de Aragón, 70, 02006 Albacete</t>
  </si>
  <si>
    <t>607 73 03 02</t>
  </si>
  <si>
    <t>AVERIAS CIRCUNVALACION</t>
  </si>
  <si>
    <t>Paseo Circunvalación, 19, Local, 02004 Albacete</t>
  </si>
  <si>
    <t>690 32 78 91</t>
  </si>
  <si>
    <t>Fontanería Juan Castillo</t>
  </si>
  <si>
    <t>Calle Granada, 50, bajo, 02005 Albacete</t>
  </si>
  <si>
    <t>MULTISERVICIOS BUENO ARENAS S.L.</t>
  </si>
  <si>
    <t>Calle Obispo Tagaste, 53, 02005 Albacete</t>
  </si>
  <si>
    <t>buenoarenas.es</t>
  </si>
  <si>
    <t>967 66 27 92</t>
  </si>
  <si>
    <t>Teclisa Albacete</t>
  </si>
  <si>
    <t>C. Carr. de Madrid, 8T, 02005 Albacete</t>
  </si>
  <si>
    <t>teclisa.com</t>
  </si>
  <si>
    <t>967 81 12 43</t>
  </si>
  <si>
    <t>info.cat@teclisa.com</t>
  </si>
  <si>
    <t>Instalaciones y Reparaciones Cano S. L</t>
  </si>
  <si>
    <t>Calle Industria, 24, 02005 Albacete</t>
  </si>
  <si>
    <t>666 22 92 32</t>
  </si>
  <si>
    <t>FONTANERO ,ALBAÑIL ,PINTOR ,,AUTONOMO</t>
  </si>
  <si>
    <t>02005 Albacete</t>
  </si>
  <si>
    <t>633 22 23 55</t>
  </si>
  <si>
    <t>Jesús Gómez Henares</t>
  </si>
  <si>
    <t>C. María Marín, 35, 02003 Albacete</t>
  </si>
  <si>
    <t>Instalaciones De Fontaneria:Fontaneria Andegal,S.L.</t>
  </si>
  <si>
    <t>Calle Marzo, 10, 02002 Albacete</t>
  </si>
  <si>
    <t>Fontanería Andegal Sl</t>
  </si>
  <si>
    <t>Calle Cid, 49, 02002 Albacete</t>
  </si>
  <si>
    <t>967 04 57 33</t>
  </si>
  <si>
    <t>Instalaciones Cambronero</t>
  </si>
  <si>
    <t>Calle Virrey Morcillo, 2, 02005 Albacete</t>
  </si>
  <si>
    <t>967 24 63 93</t>
  </si>
  <si>
    <t>Fittings Standar Sl</t>
  </si>
  <si>
    <t>Calle Arquitecto Fernandez, 26, 02005 Albacete</t>
  </si>
  <si>
    <t>967 24 55 71</t>
  </si>
  <si>
    <t>Fontaneria y Calefacción Insa</t>
  </si>
  <si>
    <t>695 34 73 51</t>
  </si>
  <si>
    <t>Proservi Fontaneros</t>
  </si>
  <si>
    <t>Calle Zaragoza, 7, 02005 Albacete</t>
  </si>
  <si>
    <t>Fontanería Y Calefacción Cemar S L</t>
  </si>
  <si>
    <t>Calle C, 13, 02007 Albacete</t>
  </si>
  <si>
    <t>967 59 22 53</t>
  </si>
  <si>
    <t>Fontanería Acua-Rapid</t>
  </si>
  <si>
    <t>Calle la Roda, 12, 02005 Albacete</t>
  </si>
  <si>
    <t>967 50 23 85</t>
  </si>
  <si>
    <t>BIOCLIMA S.L.U. Fontanería Y Calefacción 💧🔥</t>
  </si>
  <si>
    <t>675 34 20 10</t>
  </si>
  <si>
    <t>Fontanería Cerro</t>
  </si>
  <si>
    <t>Calle Melilla, 2, 02001 Albacete</t>
  </si>
  <si>
    <t>967 50 25 42</t>
  </si>
  <si>
    <t>Fontaneria Y Calefaccion J.a. Gonzalez Cuenca</t>
  </si>
  <si>
    <t>Calle Argentina, 2, Local, 02006 Albacete</t>
  </si>
  <si>
    <t>606 65 62 51</t>
  </si>
  <si>
    <t>Calle Córdoba, N 17, 2D, 02006 Albacete</t>
  </si>
  <si>
    <t>Esven Servicio Técnico S L</t>
  </si>
  <si>
    <t>Calle Pedro Coca, 65, 02003 Albacete</t>
  </si>
  <si>
    <t>967 22 66 04</t>
  </si>
  <si>
    <t>FRIMATEX LOGISTICA (DISPER.COM)</t>
  </si>
  <si>
    <t>Calle F, 30, 02007 Albacete</t>
  </si>
  <si>
    <t>disper.com</t>
  </si>
  <si>
    <t>967 67 46 38</t>
  </si>
  <si>
    <t>Fontaneria, Calefaccion Hnos. Reolio</t>
  </si>
  <si>
    <t>Calle Velarde, 16, 02004 Albacete</t>
  </si>
  <si>
    <t>Los Siete Hermanos de El Bonillo, S.L.</t>
  </si>
  <si>
    <t>Calle Juan Sebastián Elcano, 58, 02005 Albacete</t>
  </si>
  <si>
    <t>967 22 88 03</t>
  </si>
  <si>
    <t>Cabanes Corporación Empresarial</t>
  </si>
  <si>
    <t>Calle de la Feria, 77, 02004 Albacete</t>
  </si>
  <si>
    <t>Tecmoneco</t>
  </si>
  <si>
    <t>Calle Carmen Ibáñez, 02001 Albacete</t>
  </si>
  <si>
    <t>662 32 58 75</t>
  </si>
  <si>
    <t>Multiservicios Lulama S.L</t>
  </si>
  <si>
    <t>Calle C, 102, nave 3, 02007 Albacete</t>
  </si>
  <si>
    <t>multiservicioslulama.com</t>
  </si>
  <si>
    <t>967 04 31 63</t>
  </si>
  <si>
    <t>info@multiservicioslulama.com</t>
  </si>
  <si>
    <t>Remica Servicios Integrales S A</t>
  </si>
  <si>
    <t>Av. de la Mancha, 02005 Albacete</t>
  </si>
  <si>
    <t>967 52 11 31</t>
  </si>
  <si>
    <t>Plumbers 0024H</t>
  </si>
  <si>
    <t>Camino la Virgen, 4, Bajo, 02005 Albacete</t>
  </si>
  <si>
    <t>Tecno Thermi Sl</t>
  </si>
  <si>
    <t>Calle Santiago, 19, 02005 Albacete</t>
  </si>
  <si>
    <t>Panadero Denia S L</t>
  </si>
  <si>
    <t>Polígono Industrial Campollano, 0 S N, 02001 Albacete</t>
  </si>
  <si>
    <t>967 59 22 40</t>
  </si>
  <si>
    <t>Denia Stoves</t>
  </si>
  <si>
    <t>Polígono Industrial Campollano, Avenida 5, 13-15, 02007 Albacete</t>
  </si>
  <si>
    <t>deniastoves.com</t>
  </si>
  <si>
    <t>denia@deniastoves.com</t>
  </si>
  <si>
    <t>fontaventas.es</t>
  </si>
  <si>
    <t>02220 Motilleja, Albacete</t>
  </si>
  <si>
    <t>Motilleja</t>
  </si>
  <si>
    <t>fontaventases.business.site</t>
  </si>
  <si>
    <t>678 33 38 98</t>
  </si>
  <si>
    <t>SEINMA</t>
  </si>
  <si>
    <t>seinma.es</t>
  </si>
  <si>
    <t>600 45 62 76</t>
  </si>
  <si>
    <t>Fontanería La Pared C B</t>
  </si>
  <si>
    <t>Calle Ruiseñor, 9, 02200 Casas-Ibáñez, Albacete</t>
  </si>
  <si>
    <t>Casas-Ibáñez</t>
  </si>
  <si>
    <t>967 46 09 21</t>
  </si>
  <si>
    <t>EMIGDIO GRIÑAN</t>
  </si>
  <si>
    <t>POL.IND. C/A Nº 46, 02200 Casas-Ibáñez, Albacete</t>
  </si>
  <si>
    <t>606 34 04 46</t>
  </si>
  <si>
    <t>Av. Ayora, 52, 02151 Casas de Juan Núñez, Albacete</t>
  </si>
  <si>
    <t>Casas de Juan Núñez</t>
  </si>
  <si>
    <t>Fontanería Limorti</t>
  </si>
  <si>
    <t>Calle Alejandro Tomás, 6, bajo, 02400 Hellín, Albacete</t>
  </si>
  <si>
    <t>Hellín</t>
  </si>
  <si>
    <t>967 30 09 57</t>
  </si>
  <si>
    <t>Montajes Eléctricos Y De Fontanería Garrido S L</t>
  </si>
  <si>
    <t>Calle Mayor, 90, 02500 Tobarra, Albacete</t>
  </si>
  <si>
    <t>Tobarra</t>
  </si>
  <si>
    <t>967 32 55 25</t>
  </si>
  <si>
    <t>Hermanos Moreno</t>
  </si>
  <si>
    <t>Calle Cruces, 51, 02610 El Bonillo, Albacete</t>
  </si>
  <si>
    <t>El Bonillo</t>
  </si>
  <si>
    <t>967 37 10 06</t>
  </si>
  <si>
    <t>Pedro Martínez Atencia</t>
  </si>
  <si>
    <t>Calle Villa de Madrid, 1, 02639 Barrax, Albacete</t>
  </si>
  <si>
    <t>Barrax</t>
  </si>
  <si>
    <t>Los Siete Hermanos del Bonillo</t>
  </si>
  <si>
    <t>Calle Mingoyuste, 0, 02610 El Bonillo, Albacete</t>
  </si>
  <si>
    <t>sietehermanos.com</t>
  </si>
  <si>
    <t>967 37 11 45</t>
  </si>
  <si>
    <t>Fontanica SL</t>
  </si>
  <si>
    <t>Calle San Juan, 56, 02510 Pozo Cañada, Albacete</t>
  </si>
  <si>
    <t>Pozo Cañada</t>
  </si>
  <si>
    <t>Suministros Alarcón S.L.</t>
  </si>
  <si>
    <t>Av. Ossa de Montiel, 5, 02600 Villarrobledo, Albacete</t>
  </si>
  <si>
    <t>Villarrobledo</t>
  </si>
  <si>
    <t>suministrosalarcon.com</t>
  </si>
  <si>
    <t>967 14 52 35</t>
  </si>
  <si>
    <t>info@suministrosalarcon.com</t>
  </si>
  <si>
    <t>Instalaciones Pedro Griñán</t>
  </si>
  <si>
    <t>Calle Cerro San Jorge, 18, 02200 Casas-Ibáñez, Albacete</t>
  </si>
  <si>
    <t>fontagri.com</t>
  </si>
  <si>
    <t>606 34 04 47</t>
  </si>
  <si>
    <t>CLIFONTCAL 2018 SL</t>
  </si>
  <si>
    <t>Calle Concepción, 02400 Hellín, Albacete</t>
  </si>
  <si>
    <t>635 02 33 38</t>
  </si>
  <si>
    <t>FONTANERÍA Y CALEFACCIÓN JEREZ, S.L</t>
  </si>
  <si>
    <t>POLIGONO INDUSTRIAL, Calle Galileo Galilei, 5, 02600 Villarrobledo, Albacete</t>
  </si>
  <si>
    <t>fontaneriajerez.com</t>
  </si>
  <si>
    <t>629 56 21 86</t>
  </si>
  <si>
    <t>%20info@fontaneriajerez.com</t>
  </si>
  <si>
    <t>Instalaciones Ledaña</t>
  </si>
  <si>
    <t>Calle Larga, 50, 02270 Villamalea, Albacete</t>
  </si>
  <si>
    <t>Villamalea</t>
  </si>
  <si>
    <t>967 48 33 00</t>
  </si>
  <si>
    <t>Instalaciones Parrón</t>
  </si>
  <si>
    <t>Calle Infantes, 39 Bis, 02600 Villarrobledo, Albacete</t>
  </si>
  <si>
    <t>instalacionesparron.com</t>
  </si>
  <si>
    <t>659 90 99 08</t>
  </si>
  <si>
    <t>Juan González Calefacción y Fontanería S.L.</t>
  </si>
  <si>
    <t>Calle del Corredero del Agua, 25, 02600 Villarrobledo, Albacete</t>
  </si>
  <si>
    <t>Calor Economico</t>
  </si>
  <si>
    <t>Calle los Molinos, 18, 02100 Tarazona de la Mancha, Albacete</t>
  </si>
  <si>
    <t>Tarazona de la Mancha</t>
  </si>
  <si>
    <t>683 27 99 30</t>
  </si>
  <si>
    <t>Hijos De Julio Montoya López S A</t>
  </si>
  <si>
    <t>Calle D, 0 ( P Indust ), 02200 Casas-Ibáñez, Albacete</t>
  </si>
  <si>
    <t>967 46 00 72</t>
  </si>
  <si>
    <t>Ramón Martínez Mas</t>
  </si>
  <si>
    <t>Calle Ntra. Sra. de Lourdes, 12, 02400 Hellín, Albacete</t>
  </si>
  <si>
    <t>967 30 04 88</t>
  </si>
  <si>
    <t>Fersal Fontanería S.L.</t>
  </si>
  <si>
    <t>Av. Poeta Mariano Tomás, 40, 02400 Hellín, Albacete</t>
  </si>
  <si>
    <t>Rosario Blázquez Santos</t>
  </si>
  <si>
    <t>Calle Virgen, 2, 02612 Munera, Albacete</t>
  </si>
  <si>
    <t>Munera</t>
  </si>
  <si>
    <t>Parreño Arenas J A</t>
  </si>
  <si>
    <t>Calle Canarias, 15, 02612 Munera, Albacete</t>
  </si>
  <si>
    <t>967 37 33 22</t>
  </si>
  <si>
    <t>Gasóleos Sánchez Y Murcia</t>
  </si>
  <si>
    <t>Calle B, 1 ( San Rafael ), 02400 Hellín, Albacete</t>
  </si>
  <si>
    <t>gsym.net</t>
  </si>
  <si>
    <t>967 30 44 92</t>
  </si>
  <si>
    <t>info@gsym.net</t>
  </si>
  <si>
    <t>Acesol El Calor Azul</t>
  </si>
  <si>
    <t>Calle Corredera, 96, 02640 Almansa, Albacete</t>
  </si>
  <si>
    <t>Almansa</t>
  </si>
  <si>
    <t>Sociedad Cooperativa Limitada Castillo de las Peñas</t>
  </si>
  <si>
    <t>Calle Ctra. de Hellín, 02127 La Solana, Albacete</t>
  </si>
  <si>
    <t>La Solana</t>
  </si>
  <si>
    <t>967 29 81 06</t>
  </si>
  <si>
    <t>Fontanería y Calefacción Jesús Morcillo Fernández</t>
  </si>
  <si>
    <t>Calle San Luis, 24, 02600 Villarrobledo, Albacete</t>
  </si>
  <si>
    <t>638 01 23 82</t>
  </si>
  <si>
    <t>Adrián Peñarrubia Carrasco</t>
  </si>
  <si>
    <t>Calle Canario, 3, 16270 Villalpardo, Cuenca</t>
  </si>
  <si>
    <t>Villalpardo</t>
  </si>
  <si>
    <t>962 31 11 43</t>
  </si>
  <si>
    <t>Félix Francisco del Rey Arribas</t>
  </si>
  <si>
    <t>Calle San José, 23, 16220 Quintanar del Rey, Cuenca</t>
  </si>
  <si>
    <t>Quintanar del Rey</t>
  </si>
  <si>
    <t>Los Siete Hermanos Del Bonillo S L</t>
  </si>
  <si>
    <t>Calle San Cristóbal, 38, 02610 Bonillo ( El ), Albacete</t>
  </si>
  <si>
    <t>967 37 00 76</t>
  </si>
  <si>
    <t>Fermaser</t>
  </si>
  <si>
    <t>Calle Bañuelos, 13002 Ciudad Real, Cdad. Real</t>
  </si>
  <si>
    <t>fermaser.negocio.site</t>
  </si>
  <si>
    <t>609 96 42 06</t>
  </si>
  <si>
    <t>Marcos Aponte,S.L</t>
  </si>
  <si>
    <t>Calle de la Zarza, 7, 13003 Ciudad Real, Cdad. Real</t>
  </si>
  <si>
    <t>926 25 55 54</t>
  </si>
  <si>
    <t>Fontanería Hermanos Arenas</t>
  </si>
  <si>
    <t>Av. Descubrimiento de América, 31, BAJO, 13002 Ciudad Real, Cdad. Real</t>
  </si>
  <si>
    <t>fontaneriaarenas.com</t>
  </si>
  <si>
    <t>926 21 28 22</t>
  </si>
  <si>
    <t>Sanehogar S.A.</t>
  </si>
  <si>
    <t>Calle Malagón, 18, 13005 Ciudad Real, Cdad. Real</t>
  </si>
  <si>
    <t>sanehogar.com</t>
  </si>
  <si>
    <t>926 21 69 00</t>
  </si>
  <si>
    <t>Fontanería Patón</t>
  </si>
  <si>
    <t>Calle de Toledo, 34, 13003 Ciudad Real, Cdad. Real</t>
  </si>
  <si>
    <t>926 22 46 69</t>
  </si>
  <si>
    <t>Instalaciones Patro</t>
  </si>
  <si>
    <t>Calle de la Zarza, 11, 13002 Ciudad Real, Cdad. Real</t>
  </si>
  <si>
    <t>926 22 82 19</t>
  </si>
  <si>
    <t>FUGAS DE AGUA CIUDAD REAL - FUGASER CIUDAD REAL</t>
  </si>
  <si>
    <t>Abenójar</t>
  </si>
  <si>
    <t>fugaser.com</t>
  </si>
  <si>
    <t>653 97 37 11</t>
  </si>
  <si>
    <t>info@fugaser.com</t>
  </si>
  <si>
    <t>Fontaneria Murcia</t>
  </si>
  <si>
    <t>Calle Luz, 22, 13003 Ciudad Real, Cdad. Real</t>
  </si>
  <si>
    <t>Fontanería Y Calefacción Romero Moral</t>
  </si>
  <si>
    <t>Calle Altagracia, 2, 13003 Ciudad Real, Cdad. Real</t>
  </si>
  <si>
    <t>Servitubo</t>
  </si>
  <si>
    <t>CM-412, 23, 13004 Ciudad Real, Cdad. Real</t>
  </si>
  <si>
    <t>servitubo.com</t>
  </si>
  <si>
    <t>661 35 86 44</t>
  </si>
  <si>
    <t>Angel José Mora Ruiz</t>
  </si>
  <si>
    <t>Calle Aragón, 43, 13004 Ciudad Real, Cdad. Real</t>
  </si>
  <si>
    <t>926 22 80 02</t>
  </si>
  <si>
    <t>Oscar Luis Gallego Vinuesa</t>
  </si>
  <si>
    <t>Calle Italia, 21, 13005 Ciudad Real, Cdad. Real</t>
  </si>
  <si>
    <t>926 25 43 05</t>
  </si>
  <si>
    <t>SUMAC Distribuciones Metalúrgicas S.L.</t>
  </si>
  <si>
    <t>13005 Ciudad Real, Cdad. Real</t>
  </si>
  <si>
    <t>sumacsl.com</t>
  </si>
  <si>
    <t>926 20 85 95</t>
  </si>
  <si>
    <t>info@sumacsl.com</t>
  </si>
  <si>
    <t>Fontanería Punzón</t>
  </si>
  <si>
    <t>fontaneria-punzon.negocio.site</t>
  </si>
  <si>
    <t>619 32 72 92</t>
  </si>
  <si>
    <t>Fontanería Y Saneamientos Cofoman S L</t>
  </si>
  <si>
    <t>Calle Curtidores, 0, 13170 Miguelturra, Cdad. Real</t>
  </si>
  <si>
    <t>Miguelturra</t>
  </si>
  <si>
    <t>926 24 22 80</t>
  </si>
  <si>
    <t>Ramón Muñoz Delgado</t>
  </si>
  <si>
    <t>Paseo Santo Tomás de Villanueva, 31, 13170 Miguelturra, Cdad. Real</t>
  </si>
  <si>
    <t>926 24 00 94</t>
  </si>
  <si>
    <t>Santiago Arnas Díaz Pinto</t>
  </si>
  <si>
    <t>Calle Justicia, 3, 13170 Miguelturra, Cdad. Real</t>
  </si>
  <si>
    <t>679 97 89 06</t>
  </si>
  <si>
    <t>Instalaciones Gecomar, S.L.L.</t>
  </si>
  <si>
    <t>Calle el Trillo, 6, 13170 Miguelturra, Cdad. Real</t>
  </si>
  <si>
    <t>926 24 14 13</t>
  </si>
  <si>
    <t>fugality s.l.</t>
  </si>
  <si>
    <t>Calle Camino del Vicario, 8, 1º b, 13196 Las Casas, Cdad. Real</t>
  </si>
  <si>
    <t>Las Casas</t>
  </si>
  <si>
    <t>fugality.es</t>
  </si>
  <si>
    <t>673 46 67 26</t>
  </si>
  <si>
    <t>Julián Alcaide Paz</t>
  </si>
  <si>
    <t>Calle de Pozuelo, 4, 13279 Valenzuela de Calatrava, Cdad. Real</t>
  </si>
  <si>
    <t>Valenzuela de Calatrava</t>
  </si>
  <si>
    <t>Instalaciones j. Ignacio</t>
  </si>
  <si>
    <t>Calle Santísimo, 12a, 13260 Bolaños de Calatrava, Cdad. Real</t>
  </si>
  <si>
    <t>628 10 85 07</t>
  </si>
  <si>
    <t>Honsan Instalaciones S L</t>
  </si>
  <si>
    <t>Calle Cecilia Bohl de Faber, 1, 13140 Fernán Caballero, Cdad. Real</t>
  </si>
  <si>
    <t>Fernán Caballero</t>
  </si>
  <si>
    <t>926 80 77 10</t>
  </si>
  <si>
    <t>Detecting Fugas de agua y Desatascos</t>
  </si>
  <si>
    <t>Calle de Caldereros, 37, 13300 Valdepeñas, Cdad. Real</t>
  </si>
  <si>
    <t>detecting.es</t>
  </si>
  <si>
    <t>647 88 65 24</t>
  </si>
  <si>
    <t>Info@detecting.es</t>
  </si>
  <si>
    <t>Antonia Palacios León</t>
  </si>
  <si>
    <t>Calle Carnaval, 5, 13170 Miguelturra, Cdad. Real</t>
  </si>
  <si>
    <t>Estufas y Pellet en Almagro</t>
  </si>
  <si>
    <t>Calle Mora, N 5, A, 13270 Almagro, Cdad. Real</t>
  </si>
  <si>
    <t>Almagro</t>
  </si>
  <si>
    <t>estufasypelletciudadreal.com</t>
  </si>
  <si>
    <t>629 15 92 59</t>
  </si>
  <si>
    <t>info@estufasypelletciudadreal.com</t>
  </si>
  <si>
    <t>Fontanería Núñez</t>
  </si>
  <si>
    <t>Calle Mesta, 26, 28, 13230 Membrilla, Cdad. Real</t>
  </si>
  <si>
    <t>Membrilla</t>
  </si>
  <si>
    <t>926 63 63 25</t>
  </si>
  <si>
    <t>Julián Meldaño Flores</t>
  </si>
  <si>
    <t>Plaza Cura Valverde, 13195 Valverde, Cdad. Real</t>
  </si>
  <si>
    <t>Valverde</t>
  </si>
  <si>
    <t>Marcelino Solís Sepúlveda</t>
  </si>
  <si>
    <t>Calle Cardenal Monescillo, 44, 13670 Villarrubia de los Ojos, Cdad. Real</t>
  </si>
  <si>
    <t>Villarrubia de los Ojos</t>
  </si>
  <si>
    <t>Instalaciones Olmeda (Antiguo Ángel y Fermín CB)</t>
  </si>
  <si>
    <t>Calle Hernán Cortés, 48, 2ºA, 13500 Puertollano, Cdad. Real</t>
  </si>
  <si>
    <t>Puertollano</t>
  </si>
  <si>
    <t>en-gb.facebook.com</t>
  </si>
  <si>
    <t>618 69 93 62</t>
  </si>
  <si>
    <t>Fontanería Ruiz S L</t>
  </si>
  <si>
    <t>Calle Toledillo, 26, 13260 Bolaños de Calatrava, Cdad. Real</t>
  </si>
  <si>
    <t>926 87 13 65</t>
  </si>
  <si>
    <t>Fontelectric</t>
  </si>
  <si>
    <t>Travesía Triana, 32, 13300 Valdepeñas, Cdad. Real</t>
  </si>
  <si>
    <t>fontelectric.com</t>
  </si>
  <si>
    <t>646 16 88 51</t>
  </si>
  <si>
    <t>info@fontelectric.com</t>
  </si>
  <si>
    <t>Instalaciones y Mantenimientos Foncair Sl</t>
  </si>
  <si>
    <t>Callejón Matadero, 3, 13250 Daimiel, Cdad. Real</t>
  </si>
  <si>
    <t>926 85 38 52</t>
  </si>
  <si>
    <t>Baños Bolaños</t>
  </si>
  <si>
    <t>Av. Generalísimo, 15, 13260 Bolaños de Calatrava, Cdad. Real</t>
  </si>
  <si>
    <t>926 88 44 33</t>
  </si>
  <si>
    <t>Instalaciones Aguilar</t>
  </si>
  <si>
    <t>Calle Alejandro Prieto, 25, 13500 Puertollano, Cdad. Real</t>
  </si>
  <si>
    <t>635 47 96 23</t>
  </si>
  <si>
    <t>Multiservicios Guadiana Daimiel SLU</t>
  </si>
  <si>
    <t>Calle de la Formación, 1, 13250 Daimiel, Cdad. Real</t>
  </si>
  <si>
    <t>926 87 95 43</t>
  </si>
  <si>
    <t>Baños Real S.c.l</t>
  </si>
  <si>
    <t>Calle Salobral, 0, 13260 Bolaños de Calatrava, Cdad. Real</t>
  </si>
  <si>
    <t>926 88 47 08</t>
  </si>
  <si>
    <t>Fernando Caraballo Aranda</t>
  </si>
  <si>
    <t>Calle Carlos I, 19, 13260 Bolaños de Calatrava, Cdad. Real</t>
  </si>
  <si>
    <t>926 87 10 70</t>
  </si>
  <si>
    <t>Grupo Disfer</t>
  </si>
  <si>
    <t>Calle Dr. Chocano, 10, 13670 Villarrubia de los Ojos, Cdad. Real</t>
  </si>
  <si>
    <t>grupodisfer.com</t>
  </si>
  <si>
    <t>926 89 65 92</t>
  </si>
  <si>
    <t>INSTALACIONES AGUILAR</t>
  </si>
  <si>
    <t>Ramón Guerrero Ferrer</t>
  </si>
  <si>
    <t>Av. Primero de Mayo, 1, 13500 Puertollano, Cdad. Real</t>
  </si>
  <si>
    <t>926 41 43 23</t>
  </si>
  <si>
    <t>Juan Pedro Coronel</t>
  </si>
  <si>
    <t>Av. Don Emiliano García Roldán, 39, 13200 Manzanares, Cdad. Real</t>
  </si>
  <si>
    <t>926 25 11 88</t>
  </si>
  <si>
    <t>Félix Torres Chaves</t>
  </si>
  <si>
    <t>Calle Barranco de Albacete, 10, 13250 Daimiel, Cdad. Real</t>
  </si>
  <si>
    <t>926 85 26 60</t>
  </si>
  <si>
    <t>MARPRA GESTION, SL</t>
  </si>
  <si>
    <t>Cristo Nº 115B, 13260 Bolaños de Calatrava, Cdad. Real</t>
  </si>
  <si>
    <t>629 18 21 77</t>
  </si>
  <si>
    <t>Cabanes Thisa Puerto Llano</t>
  </si>
  <si>
    <t>Ctra Córdoba-Tarragona, 13500 Puertollano, Cdad. Real</t>
  </si>
  <si>
    <t>thisa.com</t>
  </si>
  <si>
    <t>926 44 01 99</t>
  </si>
  <si>
    <t>hello@thisa.com</t>
  </si>
  <si>
    <t>Luis Rincón Villarreal</t>
  </si>
  <si>
    <t>Calle Libertad, 30, 13600 Alcázar de San Juan, Cdad. Real</t>
  </si>
  <si>
    <t>Alcázar de San Juan</t>
  </si>
  <si>
    <t>926 54 45 89</t>
  </si>
  <si>
    <t>Multiservicios Tomás Pascual García</t>
  </si>
  <si>
    <t>Calle Arena, 36, 13300 Valdepeñas, Cdad. Real</t>
  </si>
  <si>
    <t>677 27 50 63</t>
  </si>
  <si>
    <t>Focasol</t>
  </si>
  <si>
    <t>Calle Postas, 73, 13300 Valdepeñas, Cdad. Real</t>
  </si>
  <si>
    <t>600 89 27 44</t>
  </si>
  <si>
    <t>Joype - Fontanería y Calefacción</t>
  </si>
  <si>
    <t>Av. las Regiones, 35, 13600 Alcázar de San Juan, Cdad. Real</t>
  </si>
  <si>
    <t>joypefc.com</t>
  </si>
  <si>
    <t>926 55 28 70</t>
  </si>
  <si>
    <t>info@joypefc.com</t>
  </si>
  <si>
    <t>Pedro Cruz Díaz</t>
  </si>
  <si>
    <t>Calle Rita Lambert, 1, 13270 Almagro, Cdad. Real</t>
  </si>
  <si>
    <t>Instalaciones Santiago</t>
  </si>
  <si>
    <t>Sal n 1, Sal 1, 13200 Manzanares, Cdad. Real</t>
  </si>
  <si>
    <t>670 60 00 63</t>
  </si>
  <si>
    <t>Diprobama S.L.</t>
  </si>
  <si>
    <t>Calle Cervantes, 64, 13440 Argamasilla de Calatrava, Cdad. Real</t>
  </si>
  <si>
    <t>Argamasilla de Calatrava</t>
  </si>
  <si>
    <t>Andrés Bonis</t>
  </si>
  <si>
    <t>Calle Antonio Castillo, 3, 13600 Alcázar de San Juan, Cdad. Real</t>
  </si>
  <si>
    <t>andresbonis.es</t>
  </si>
  <si>
    <t>926 55 20 85</t>
  </si>
  <si>
    <t>Angel Gómez Cabrera S L</t>
  </si>
  <si>
    <t>Av. del Vino, 13670 Villarrubia de los Ojos, Cdad. Real</t>
  </si>
  <si>
    <t>926 89 77 28</t>
  </si>
  <si>
    <t>Biofuego Energías</t>
  </si>
  <si>
    <t>Carr Herencia, Km. 2, 8, 13600 Alcázar de San Juan, Cdad. Real</t>
  </si>
  <si>
    <t>ecoforest.es</t>
  </si>
  <si>
    <t>926 11 07 10</t>
  </si>
  <si>
    <t>Julián Espinosa Espinosa</t>
  </si>
  <si>
    <t>Calle Sta. Ana, 26, 13640 Herencia, Cdad. Real</t>
  </si>
  <si>
    <t>Herencia</t>
  </si>
  <si>
    <t>609 08 51 28</t>
  </si>
  <si>
    <t>Santiago Valdepeñas Peláez</t>
  </si>
  <si>
    <t>Calle Vega, 7, 13740 Torrenueva, Cdad. Real</t>
  </si>
  <si>
    <t>Torrenueva</t>
  </si>
  <si>
    <t>926 34 11 03</t>
  </si>
  <si>
    <t>Fontanería Y Calefacción Pipo Sl</t>
  </si>
  <si>
    <t>Calle Consolación, 0 S N, 13300 Valdepeñas, Cdad. Real</t>
  </si>
  <si>
    <t>986 57 11 24</t>
  </si>
  <si>
    <t>Flores Y Rojo Instalaciones Sl</t>
  </si>
  <si>
    <t>Calle Joaquín Sánchez Donoso, 62, 13350 Moral de Calatrava, Cdad. Real</t>
  </si>
  <si>
    <t>Moral de Calatrava</t>
  </si>
  <si>
    <t>620 22 46 00</t>
  </si>
  <si>
    <t>Fontaneria Paniagua S.L.</t>
  </si>
  <si>
    <t>Calle Quijote, 49, 13600 Alcázar de San Juan, Cdad. Real</t>
  </si>
  <si>
    <t>926 54 73 88</t>
  </si>
  <si>
    <t>Fontanería Y Saneamientos Hicam S L</t>
  </si>
  <si>
    <t>Calle Ordóñez, 30, 13740 Torrenueva, Cdad. Real</t>
  </si>
  <si>
    <t>687 41 12 88</t>
  </si>
  <si>
    <t>Antonio Vargas Ureña</t>
  </si>
  <si>
    <t>C/ Escuelas, 56, 13300 Valdepeñas, Cdad. Real</t>
  </si>
  <si>
    <t>926 32 22 15</t>
  </si>
  <si>
    <t>Baños Gómez</t>
  </si>
  <si>
    <t>Calle Ramón y Cajal, 36, 13260 Bolaños de Calatrava, Cdad. Real</t>
  </si>
  <si>
    <t>926 87 11 00</t>
  </si>
  <si>
    <t>Foncalclima</t>
  </si>
  <si>
    <t>Calle Pérez Galdós, 51, 13200 Manzanares, Cdad. Real</t>
  </si>
  <si>
    <t>foncalclima.com</t>
  </si>
  <si>
    <t>926 61 41 96</t>
  </si>
  <si>
    <t>info@foncalclima.com</t>
  </si>
  <si>
    <t>José Rodríguez Rosa</t>
  </si>
  <si>
    <t>Calle Encina, 3, 13500 Puertollano, Cdad. Real</t>
  </si>
  <si>
    <t>926 42 06 44</t>
  </si>
  <si>
    <t>G&amp;amp;E MULTISERVICIOS</t>
  </si>
  <si>
    <t>CALLE GENERAL PRIM, N.58, 13620 Pedro Muñoz, Cdad. Real</t>
  </si>
  <si>
    <t>Pedro Muñoz</t>
  </si>
  <si>
    <t>631 69 03 24</t>
  </si>
  <si>
    <t>Luchena</t>
  </si>
  <si>
    <t>Calle Calzada, 19, 13500 Puertollano, Cdad. Real</t>
  </si>
  <si>
    <t>926 42 10 41</t>
  </si>
  <si>
    <t>L. Camacho</t>
  </si>
  <si>
    <t>Paseo del Cordón, 88, 13670 Villarrubia de los Ojos, Cdad. Real</t>
  </si>
  <si>
    <t>926 89 72 99</t>
  </si>
  <si>
    <t>Instalaciones Francisco López S L U</t>
  </si>
  <si>
    <t>Calle Antonio Romero Velasco, 7D, 13240 La Solana, Cdad. Real</t>
  </si>
  <si>
    <t>Calefacciones Miguel Gonzalez S.L</t>
  </si>
  <si>
    <t>Av. de la Constitución, 13240 La Solana, Cdad. Real</t>
  </si>
  <si>
    <t>926 63 46 70</t>
  </si>
  <si>
    <t>Fontanería y Reformas Alemanas en Carabanchel - Lomills</t>
  </si>
  <si>
    <t>Calle de Eugenia de Montijo, 60, Escalera 2 4C, 28025 Madrid</t>
  </si>
  <si>
    <t>lomills.com</t>
  </si>
  <si>
    <t>910 05 37 69</t>
  </si>
  <si>
    <t>Instalaciones Cuadrado Matarredona S.L</t>
  </si>
  <si>
    <t>Calle Gral. Espartero, 13412 Chillón, Cdad. Real</t>
  </si>
  <si>
    <t>Chillón</t>
  </si>
  <si>
    <t>cuadradomatarredona.wixsite.com</t>
  </si>
  <si>
    <t>659 16 96 16</t>
  </si>
  <si>
    <t>Fontaneria José Martinez</t>
  </si>
  <si>
    <t>Calle San Damián, n4, 16002 Cuenca</t>
  </si>
  <si>
    <t>680 90 00 11</t>
  </si>
  <si>
    <t>Almacen Saneamientos San Antonio de Cuenca, SL</t>
  </si>
  <si>
    <t>Travesia Av. Cruz Roja Española, 18, 16002 Cuenca</t>
  </si>
  <si>
    <t>969 22 19 52</t>
  </si>
  <si>
    <t>Desatascos Lucho</t>
  </si>
  <si>
    <t>Calle de Francisco Suay, 112, 5° B, 16004 Cuenca</t>
  </si>
  <si>
    <t>desatascoscuenca.es</t>
  </si>
  <si>
    <t>608 51 37 22</t>
  </si>
  <si>
    <t>info@desatascoscuenca.es</t>
  </si>
  <si>
    <t>abarca fontaneria</t>
  </si>
  <si>
    <t>Av. de los Reyes Católicos, 16003 Cuenca</t>
  </si>
  <si>
    <t>620 22 41 63</t>
  </si>
  <si>
    <t>Fontanería Gómez</t>
  </si>
  <si>
    <t>Calle de Santiago López, 21, 16003 Cuenca</t>
  </si>
  <si>
    <t>969 22 72 49</t>
  </si>
  <si>
    <t>Instafel - Félix Martínez Soliva</t>
  </si>
  <si>
    <t>Calle Escritor Florencio Martinez Ruiz, 2, BAJO, 16003 Cuenca</t>
  </si>
  <si>
    <t>689 78 85 93</t>
  </si>
  <si>
    <t>Fontaneria y calefacción julian lopez</t>
  </si>
  <si>
    <t>Travesia Avenida Cruz Roja Española Travesía, Travesia Av. Cruz Roja Española, 3, 16002 Cuenca</t>
  </si>
  <si>
    <t>629 01 38 18</t>
  </si>
  <si>
    <t>Fontanería Sergio Martínez</t>
  </si>
  <si>
    <t>Calle Diego Ramírez de Villaescusa, 4, 16001 Cuenca</t>
  </si>
  <si>
    <t>601 05 97 29</t>
  </si>
  <si>
    <t>S.Gimenes Fontaneria</t>
  </si>
  <si>
    <t>Calle Alonso de Ojeda, 3, 16001 Cuenca</t>
  </si>
  <si>
    <t>Antonio Contreras Garcella</t>
  </si>
  <si>
    <t>Calle Huesas del Vasallo, 70, 16003 Cuenca</t>
  </si>
  <si>
    <t>969 22 93 72</t>
  </si>
  <si>
    <t>AVERIAS DE APARATOS DE GAS</t>
  </si>
  <si>
    <t>16004 Cuenca</t>
  </si>
  <si>
    <t>Fontaneria Vieco</t>
  </si>
  <si>
    <t>Gamarsa</t>
  </si>
  <si>
    <t>Travesia Av. Cruz Roja Española, 15, 16002 Cuenca</t>
  </si>
  <si>
    <t>969 23 73 57</t>
  </si>
  <si>
    <t>Albánchez Cuenca S.L</t>
  </si>
  <si>
    <t>Calle Urbanizacion las Pernalosas, 27, 16196 Villar de Olalla, Cuenca</t>
  </si>
  <si>
    <t>Villar de Olalla</t>
  </si>
  <si>
    <t>659 62 26 06</t>
  </si>
  <si>
    <t>Cuencanal</t>
  </si>
  <si>
    <t>Poligono Industrial Sepes, calle La Torre parcela 34, Ctra. Valencia, 16004 Cuenca</t>
  </si>
  <si>
    <t>cuencanalcanalum.com</t>
  </si>
  <si>
    <t>619 03 90 65</t>
  </si>
  <si>
    <t>cuencanal@yahoo.es</t>
  </si>
  <si>
    <t>Saneamientos Díaz, S.L.</t>
  </si>
  <si>
    <t>Calle de Luisa Sigea, 5, 16400 Tarancón, Cuenca</t>
  </si>
  <si>
    <t>Tarancón</t>
  </si>
  <si>
    <t>saneamientosdiaz.com</t>
  </si>
  <si>
    <t>969 32 03 44</t>
  </si>
  <si>
    <t>info@saneamientosdiaz.com</t>
  </si>
  <si>
    <t>Herminio de la Torre García</t>
  </si>
  <si>
    <t>Calle Carretera, 5, 16196 Barbalimpia, Cuenca</t>
  </si>
  <si>
    <t>Barbalimpia</t>
  </si>
  <si>
    <t>Damián Gómez Navarro (Instalador de fontanería y calefacción)</t>
  </si>
  <si>
    <t>Calle Almendro, 11, 16200 Motilla del Palancar, Cuenca</t>
  </si>
  <si>
    <t>Motilla del Palancar</t>
  </si>
  <si>
    <t>630 25 29 14</t>
  </si>
  <si>
    <t>Fontanería y calefacción Carlos</t>
  </si>
  <si>
    <t>16200 Motilla del Palancar, Cuenca</t>
  </si>
  <si>
    <t>671 58 54 42</t>
  </si>
  <si>
    <t>Fontaneros Villa de Vallecas</t>
  </si>
  <si>
    <t>644 64 64 51</t>
  </si>
  <si>
    <t>Rayzar Tarancon</t>
  </si>
  <si>
    <t>Av. Adolfo Suárez, 41, 16400 Tarancón, Cuenca</t>
  </si>
  <si>
    <t>rayzar.com</t>
  </si>
  <si>
    <t>969 32 17 11</t>
  </si>
  <si>
    <t>info@rayzar.com</t>
  </si>
  <si>
    <t>Teodoro Castillo Arcos</t>
  </si>
  <si>
    <t>Calle Iglesia, 16440 Montalbo, Cuenca</t>
  </si>
  <si>
    <t>Montalbo</t>
  </si>
  <si>
    <t>969 13 02 99</t>
  </si>
  <si>
    <t>Granero Fontanería</t>
  </si>
  <si>
    <t>Calle Toledillo, 54, 16210 Campillo de Altobuey, Cuenca</t>
  </si>
  <si>
    <t>Campillo de Altobuey</t>
  </si>
  <si>
    <t>Fontanero barato Madrid 1ªVisita Gratis</t>
  </si>
  <si>
    <t>fontanerosmadrid.com</t>
  </si>
  <si>
    <t>655 53 44 45</t>
  </si>
  <si>
    <t>Desatascos carlos</t>
  </si>
  <si>
    <t>Ideal Future World S.L.</t>
  </si>
  <si>
    <t>Calle Madrid, 37, 16114 Buenache de Alarcón, Cuenca</t>
  </si>
  <si>
    <t>Buenache de Alarcón</t>
  </si>
  <si>
    <t>969 20 90 97</t>
  </si>
  <si>
    <t>Salvador Romero Cañas</t>
  </si>
  <si>
    <t>Calle la Cava, 1, 16800 Priego, Cuenca</t>
  </si>
  <si>
    <t>Priego</t>
  </si>
  <si>
    <t>Valera Clima S L</t>
  </si>
  <si>
    <t>Calle Paz, 0, 16120 Valera de Abajo, Cuenca</t>
  </si>
  <si>
    <t>Valera de Abajo</t>
  </si>
  <si>
    <t>969 20 88 30</t>
  </si>
  <si>
    <t>Fontaneria Y Calefaccion Pema S.L.</t>
  </si>
  <si>
    <t>Calle Madrid, 4, 16114 Buenache de Alarcón, Cuenca</t>
  </si>
  <si>
    <t>Otón Fernández Carpintero</t>
  </si>
  <si>
    <t>Calle Tripa Ciega, 15, 16432 Villarejo de Fuentes, Cuenca</t>
  </si>
  <si>
    <t>Villarejo de Fuentes</t>
  </si>
  <si>
    <t>Gregorio García Rubio</t>
  </si>
  <si>
    <t>Calle José Calvo Sotelo, 3, 16442 Villares del Saz, Cuenca</t>
  </si>
  <si>
    <t>Villares del Saz</t>
  </si>
  <si>
    <t>Fontaneros Pinto</t>
  </si>
  <si>
    <t>fontaneros-pinto.es</t>
  </si>
  <si>
    <t>644 33 87 45</t>
  </si>
  <si>
    <t>Fontaneria Oscar Granero</t>
  </si>
  <si>
    <t>Calle Toledillo, 58, 16210 Campillo de Altobuey, Cuenca</t>
  </si>
  <si>
    <t>669 01 99 35</t>
  </si>
  <si>
    <t>Ruiperez Manzano SL.</t>
  </si>
  <si>
    <t>Calle Convento, 16230 Villanueva de la Jara, Cuenca</t>
  </si>
  <si>
    <t>Villanueva de la Jara</t>
  </si>
  <si>
    <t>967 49 30 68</t>
  </si>
  <si>
    <t>Barajas Fontaneros</t>
  </si>
  <si>
    <t>644 96 49 29</t>
  </si>
  <si>
    <t>José Javier Gallardo Carrión</t>
  </si>
  <si>
    <t>Calle el Sol, 19, 16660 Las Pedroñeras, Cuenca</t>
  </si>
  <si>
    <t>Las Pedroñeras</t>
  </si>
  <si>
    <t>Luis Enrique Rodríguez Martínez</t>
  </si>
  <si>
    <t>Calle Don Fernando Jaén, 21, 16260 Minglanilla, Cuenca</t>
  </si>
  <si>
    <t>962 18 75 62</t>
  </si>
  <si>
    <t>Petróleos Cuenca</t>
  </si>
  <si>
    <t>Ctra. San Clemente Motilla, 0, 16211 El Picazo, Cuenca</t>
  </si>
  <si>
    <t>El Picazo</t>
  </si>
  <si>
    <t>969 38 00 10</t>
  </si>
  <si>
    <t>Fontanería Diego CUENCA</t>
  </si>
  <si>
    <t>Calle Cuenca, 3, BAJO, 46340 Requena, Valencia</t>
  </si>
  <si>
    <t>Requena</t>
  </si>
  <si>
    <t>673 84 64 49</t>
  </si>
  <si>
    <t>Juan Andrés Mesas Ruiz</t>
  </si>
  <si>
    <t>Calle Ruecas, 2, 16239 Casasimarro, Cuenca</t>
  </si>
  <si>
    <t>Casasimarro</t>
  </si>
  <si>
    <t>967 48 74 58</t>
  </si>
  <si>
    <t>Fontanería Manuel Checa</t>
  </si>
  <si>
    <t>Camino Pozo Molino, 3, 16600 San Clemente, Cuenca</t>
  </si>
  <si>
    <t>San Clemente</t>
  </si>
  <si>
    <t>609 70 82 42</t>
  </si>
  <si>
    <t>TALAYUELAS FONTANERIA</t>
  </si>
  <si>
    <t>C. Dr. Fleming, nº 2, 16320 Talayuelas, Cuenca</t>
  </si>
  <si>
    <t>Talayuelas</t>
  </si>
  <si>
    <t>687 47 50 54</t>
  </si>
  <si>
    <t>Natalio Sánchez Avilés</t>
  </si>
  <si>
    <t>Calle Vistillas de Carretera, 2, 16431 Almonacid del Marquesado, Cuenca</t>
  </si>
  <si>
    <t>Almonacid del Marquesado</t>
  </si>
  <si>
    <t>Juan Pedro Martín Aguado S.L.</t>
  </si>
  <si>
    <t>Calle de Alarico, 22, 16214 Alarcón, Cuenca</t>
  </si>
  <si>
    <t>José Martínez García</t>
  </si>
  <si>
    <t>Calle Huerta, 13, 16235 Iniesta, Cuenca</t>
  </si>
  <si>
    <t>Iniesta</t>
  </si>
  <si>
    <t>Instalaciones Campos</t>
  </si>
  <si>
    <t>La, Calle la Cierva, 16620 La Alberca de Záncara, Cuenca</t>
  </si>
  <si>
    <t>La Alberca de Záncara</t>
  </si>
  <si>
    <t>687 72 72 58</t>
  </si>
  <si>
    <t>Servicio Tecnico Calderas y Calentadores de gas Madrid</t>
  </si>
  <si>
    <t>623 23 29 05</t>
  </si>
  <si>
    <t>Guijarro Fontaneros</t>
  </si>
  <si>
    <t>guijarrofontaneros.es</t>
  </si>
  <si>
    <t>644 42 68 60</t>
  </si>
  <si>
    <t>info@guijarrofontaneros.es</t>
  </si>
  <si>
    <t>UtielFon</t>
  </si>
  <si>
    <t>Calle Felipe Hernández, 5, 46300 Utiel, Valencia</t>
  </si>
  <si>
    <t>Utiel</t>
  </si>
  <si>
    <t>962 17 07 69</t>
  </si>
  <si>
    <t>Fonta Nico</t>
  </si>
  <si>
    <t>Calle Trinidad, 62, 16210 Campillo de Altobuey, Cuenca</t>
  </si>
  <si>
    <t>650 62 31 15</t>
  </si>
  <si>
    <t>Benito López - Fontanería y Calefacción - Quintanar del Rey</t>
  </si>
  <si>
    <t>Santa Ana, 11, 16220 Quintanar del Rey, Cuenca</t>
  </si>
  <si>
    <t>652 93 15 96</t>
  </si>
  <si>
    <t>Fontaneria Daniel</t>
  </si>
  <si>
    <t>Calle San Antonio, 105, 02640 Almansa, Albacete</t>
  </si>
  <si>
    <t>fontaneriadaniel.com</t>
  </si>
  <si>
    <t>661 34 61 10</t>
  </si>
  <si>
    <t>info@fontaneriadaniel.com</t>
  </si>
  <si>
    <t>Fontaneros Móstoles</t>
  </si>
  <si>
    <t>644 81 08 31</t>
  </si>
  <si>
    <t>Majadahonda Fontaneros</t>
  </si>
  <si>
    <t>fontanerosmajadahonda.es</t>
  </si>
  <si>
    <t>693 24 35 97</t>
  </si>
  <si>
    <t>Saneamientos Vanessa, S.l</t>
  </si>
  <si>
    <t>Av. de la Constitución, 29, 28530 Morata de Tajuña, Madrid</t>
  </si>
  <si>
    <t>Morata de Tajuña</t>
  </si>
  <si>
    <t>918 73 00 74</t>
  </si>
  <si>
    <t>FONTANEROS VALENCIA ECONOMICOS</t>
  </si>
  <si>
    <t>Carrer del Doctor Nicasi Benlloch, 5, 46009 València, Valencia</t>
  </si>
  <si>
    <t>milanuncios.com</t>
  </si>
  <si>
    <t>644 33 57 25</t>
  </si>
  <si>
    <t>info@milanuncios.com</t>
  </si>
  <si>
    <t>Manuel Fontaneros</t>
  </si>
  <si>
    <t>fontanerosarguelles.es</t>
  </si>
  <si>
    <t>644 25 67 41</t>
  </si>
  <si>
    <t>INSTALJARA</t>
  </si>
  <si>
    <t>Calle San Sebastián, 16, 16230 Villanueva de la Jara, Cuenca</t>
  </si>
  <si>
    <t>Pedro Ruiz Cuenca</t>
  </si>
  <si>
    <t>Calle Alicante, 46, 02640 Almansa, Albacete</t>
  </si>
  <si>
    <t>967 34 44 51</t>
  </si>
  <si>
    <t>Fontanero Madrid</t>
  </si>
  <si>
    <t>fontanero-madrid.es</t>
  </si>
  <si>
    <t>662 04 29 10</t>
  </si>
  <si>
    <t>info@fontanero-madrid.es</t>
  </si>
  <si>
    <t>El Fontanero De Ibor</t>
  </si>
  <si>
    <t>elfontanerodeibor.com</t>
  </si>
  <si>
    <t>910 60 50 97</t>
  </si>
  <si>
    <t>info@elfontanerodeibor.com</t>
  </si>
  <si>
    <t>Fontaneros Boadilla del Monte Baratos</t>
  </si>
  <si>
    <t>644 82 59 41</t>
  </si>
  <si>
    <t>Fontanería Merino, S.L.</t>
  </si>
  <si>
    <t>Pje. la Soledad, 5, local 1, 19200 Azuqueca de Henares, Guadalajara</t>
  </si>
  <si>
    <t>Azuqueca de Henares</t>
  </si>
  <si>
    <t>949 26 43 16</t>
  </si>
  <si>
    <t>Fontaneros de Madrid</t>
  </si>
  <si>
    <t>fontanerosdemadrid.ueniweb.com</t>
  </si>
  <si>
    <t>marketing@lomills.com</t>
  </si>
  <si>
    <t>Instalaciones Bernardo Melero</t>
  </si>
  <si>
    <t>Calle de San Francisco, 25, 02600 Villarrobledo, Albacete</t>
  </si>
  <si>
    <t>670 90 76 33</t>
  </si>
  <si>
    <t>EDiaz Instalaciones Fontanería, Calefaccion, Gas y Climatización en Guadalajara</t>
  </si>
  <si>
    <t>Calle Río Linares, 24, 19005 Guadalajara</t>
  </si>
  <si>
    <t>616 53 40 76</t>
  </si>
  <si>
    <t>Fontanería Molinero</t>
  </si>
  <si>
    <t>Calle Juana Quilez, 3, 19005 Guadalajara</t>
  </si>
  <si>
    <t>949 22 97 87</t>
  </si>
  <si>
    <t>CECILIO ALONSO, S.L.</t>
  </si>
  <si>
    <t>Calle Padre Tabernero, 21, 19002 Guadalajara</t>
  </si>
  <si>
    <t>cecilialonso.com</t>
  </si>
  <si>
    <t>949 22 00 65</t>
  </si>
  <si>
    <t>cecilia@cecilialonso.com</t>
  </si>
  <si>
    <t>OHR</t>
  </si>
  <si>
    <t>Calle Holanda, 4, 19005 Guadalajara</t>
  </si>
  <si>
    <t>instalacionesohr.es</t>
  </si>
  <si>
    <t>670 32 27 73</t>
  </si>
  <si>
    <t>EDiaz Instalaciones fontanería, calefacción, aerotermia, gas, pellets</t>
  </si>
  <si>
    <t>Av. Hayedo de la Tejera Negra, 19005 Guadalajara</t>
  </si>
  <si>
    <t>Antonio Alcocer García</t>
  </si>
  <si>
    <t>Calle Virgen del Amparo, 42, 19002 Guadalajara</t>
  </si>
  <si>
    <t>949 25 59 44</t>
  </si>
  <si>
    <t>Miguel Valero Abanades</t>
  </si>
  <si>
    <t>Calle Viña Plana, 40, 19005 Guadalajara</t>
  </si>
  <si>
    <t>multiservicioshenares.es</t>
  </si>
  <si>
    <t>949 21 43 82</t>
  </si>
  <si>
    <t>INSTALACIONES J. BENITO S.L.</t>
  </si>
  <si>
    <t>Calle Perú, 11, 19005 Guadalajara</t>
  </si>
  <si>
    <t>659 84 36 19</t>
  </si>
  <si>
    <t>Instalaciones Csanz</t>
  </si>
  <si>
    <t>Calle Romero, 19004 Guadalajara</t>
  </si>
  <si>
    <t>csanz.es</t>
  </si>
  <si>
    <t>643 36 28 92</t>
  </si>
  <si>
    <t>info@csanz.es</t>
  </si>
  <si>
    <t>Saneamientos Daniel Sedano C.B.</t>
  </si>
  <si>
    <t>Calle Francisco de Medina y Mendoza, parcela 26, nave 10, 19171 Cabanillas del Campo, Guadalajara</t>
  </si>
  <si>
    <t>Cabanillas del Campo</t>
  </si>
  <si>
    <t>Todo Canalón</t>
  </si>
  <si>
    <t>Calle de Francisco Aritio, 158, NAVE;45, 19004 Guadalajara</t>
  </si>
  <si>
    <t>todocanalon.es</t>
  </si>
  <si>
    <t>949 20 87 21</t>
  </si>
  <si>
    <t>Esmunas</t>
  </si>
  <si>
    <t>Calle Juan de Austria, 132, 19004 Guadalajara</t>
  </si>
  <si>
    <t>949 21 11 27</t>
  </si>
  <si>
    <t>Acuacanal canalones</t>
  </si>
  <si>
    <t>Calle de Francisco Aritio, 119, NAVE 18, 19004 Guadalajara</t>
  </si>
  <si>
    <t>acuacanal.es</t>
  </si>
  <si>
    <t>949 20 13 68</t>
  </si>
  <si>
    <t>info@acuacanal.es</t>
  </si>
  <si>
    <t>InstalacionesCsanz</t>
  </si>
  <si>
    <t>csanz.negocio.site</t>
  </si>
  <si>
    <t>Servifast, S. L.</t>
  </si>
  <si>
    <t>Calle Rosal, 3, 19001 Guadalajara</t>
  </si>
  <si>
    <t>servifast-s-l.negocio.site</t>
  </si>
  <si>
    <t>625 38 87 89</t>
  </si>
  <si>
    <t>Instalaciones Alovera S.L. - Fontanería y lampisteria</t>
  </si>
  <si>
    <t>Calle Valbueno, 7, 19208 Alovera, Guadalajara</t>
  </si>
  <si>
    <t>Alovera</t>
  </si>
  <si>
    <t>607 75 42 34</t>
  </si>
  <si>
    <t>Bienvenido Díaz Jiménez</t>
  </si>
  <si>
    <t>Calle Eladia Centenera, 99, 19208 Alovera, Guadalajara</t>
  </si>
  <si>
    <t>949 29 77 52</t>
  </si>
  <si>
    <t>Ayudas Hidráulicas S L</t>
  </si>
  <si>
    <t>Calle Francisco de Medina y Mendoza, 28, 19171 Cabanillas del Campo, Guadalajara</t>
  </si>
  <si>
    <t>949 20 77 16</t>
  </si>
  <si>
    <t>Fontanería Chus S</t>
  </si>
  <si>
    <t>Camino de Talamanca, 17, 19170 Casar ( El ), Guadalajara</t>
  </si>
  <si>
    <t>El Casar</t>
  </si>
  <si>
    <t>949 33 51 23</t>
  </si>
  <si>
    <t>Alejandro del Amo S.A.</t>
  </si>
  <si>
    <t>Calle de Guadalajara-Jalisco, 10, 19004 Guadalajara</t>
  </si>
  <si>
    <t>949 21 33 44</t>
  </si>
  <si>
    <t>Antonio González Pozo</t>
  </si>
  <si>
    <t>Calle Valdelaviña, 36, 19208 Alovera, Guadalajara</t>
  </si>
  <si>
    <t>949 29 70 09</t>
  </si>
  <si>
    <t>Sudisa</t>
  </si>
  <si>
    <t>Av. de Guadalajara, 8, 19200 Azuqueca de Henares, Guadalajara</t>
  </si>
  <si>
    <t>sudisa.es</t>
  </si>
  <si>
    <t>949 26 12 42</t>
  </si>
  <si>
    <t>info@sudisa.es</t>
  </si>
  <si>
    <t>FONTANERIA Y JARDINERIA</t>
  </si>
  <si>
    <t>guadaservimantenimiento.es</t>
  </si>
  <si>
    <t>664 64 15 56</t>
  </si>
  <si>
    <t>info@guadaservimantenimiento.es</t>
  </si>
  <si>
    <t>Calle Gregorio Corrochano, 35, 19200 Azuqueca de Henares, Guadalajara</t>
  </si>
  <si>
    <t>Star Fontaneros</t>
  </si>
  <si>
    <t>Calle Castillo Torija, 420, 19174 Parque de Las Castillas, Guadalajara</t>
  </si>
  <si>
    <t>Parque de Las Castillas</t>
  </si>
  <si>
    <t>rinreformas.es</t>
  </si>
  <si>
    <t>643 32 34 63</t>
  </si>
  <si>
    <t>José Caballero Fernández</t>
  </si>
  <si>
    <t>Camino de Aranzueque, 19140 Horche, Guadalajara</t>
  </si>
  <si>
    <t>Horche</t>
  </si>
  <si>
    <t>Emilio Salgueró Torres</t>
  </si>
  <si>
    <t>Calle del Álamo, 1, 19161 Pozo de Guadalajara, Guadalajara</t>
  </si>
  <si>
    <t>Pozo de Guadalajara</t>
  </si>
  <si>
    <t>949 27 24 03</t>
  </si>
  <si>
    <t>Galasis Azuqueca</t>
  </si>
  <si>
    <t>Av. de la Alcarria, 3, 19200 Azuqueca de Henares, Guadalajara</t>
  </si>
  <si>
    <t>949 26 04 40</t>
  </si>
  <si>
    <t>Julio Hijes Baldominos</t>
  </si>
  <si>
    <t>Av. de la Constitución, 21, 19161 Pozo de Guadalajara, Guadalajara</t>
  </si>
  <si>
    <t>949 27 21 78</t>
  </si>
  <si>
    <t>DRASAN 74</t>
  </si>
  <si>
    <t>19197 Ciruelas, Guadalajara</t>
  </si>
  <si>
    <t>Ciruelas</t>
  </si>
  <si>
    <t>601 29 41 61</t>
  </si>
  <si>
    <t>Fontanería Y Calefacción F.T</t>
  </si>
  <si>
    <t>Calle el Parque, Numero 1, Piso 2, 19200 Azuqueca de Henares, Guadalajara</t>
  </si>
  <si>
    <t>643 87 41 90</t>
  </si>
  <si>
    <t>Florentino Moreno García. Fontanería y calefacción.</t>
  </si>
  <si>
    <t>Calle Barranco Calavera, 19420 Cifuentes, Guadalajara</t>
  </si>
  <si>
    <t>Cifuentes</t>
  </si>
  <si>
    <t>negociorural.es</t>
  </si>
  <si>
    <t>949 81 03 35</t>
  </si>
  <si>
    <t>info@negociorural.es</t>
  </si>
  <si>
    <t>Desatrancos, desatascos y poceros Madrid</t>
  </si>
  <si>
    <t>Calle Salamanca, 1, 19200 Azuqueca de Henares, Guadalajara</t>
  </si>
  <si>
    <t>660 95 92 76</t>
  </si>
  <si>
    <t>Cocepa</t>
  </si>
  <si>
    <t>Pol. Ind., 0, 19004 Guadalajara</t>
  </si>
  <si>
    <t>672 03 38 14</t>
  </si>
  <si>
    <t>Desatrancos Económicos</t>
  </si>
  <si>
    <t>desatrancos-economicos.com</t>
  </si>
  <si>
    <t>641 91 76 87</t>
  </si>
  <si>
    <t>desatascos alcala henares</t>
  </si>
  <si>
    <t>Calle Cañada, 25, 19162 Pioz, Guadalajara</t>
  </si>
  <si>
    <t>Ecofon S.L.</t>
  </si>
  <si>
    <t>Calle Miguel Delibes, 19, 19200 Azuqueca de Henares, Guadalajara</t>
  </si>
  <si>
    <t>949 36 22 97</t>
  </si>
  <si>
    <t>Aurelio Fernández Sanz</t>
  </si>
  <si>
    <t>Calle Pesquera, 6, 19227 Robledillo de Mohernando, Guadalajara</t>
  </si>
  <si>
    <t>Robledillo de Mohernando</t>
  </si>
  <si>
    <t>Ranera Crespo S.L.</t>
  </si>
  <si>
    <t>Ctra. Guadalajara, 19100 Pastrana, Guadalajara</t>
  </si>
  <si>
    <t>949 37 00 06</t>
  </si>
  <si>
    <t>Martín Sagredo Rodríguez</t>
  </si>
  <si>
    <t>Calle Gregorio Corrochano, 38, 19200 Azuqueca de Henares, Guadalajara</t>
  </si>
  <si>
    <t>949 26 19 85</t>
  </si>
  <si>
    <t>Instalaciones Pezuela</t>
  </si>
  <si>
    <t>Callejón del Rosario, 4, 19112 Albares, Guadalajara</t>
  </si>
  <si>
    <t>Albares</t>
  </si>
  <si>
    <t>ipezuela.com</t>
  </si>
  <si>
    <t>949 24 71 14</t>
  </si>
  <si>
    <t>info@site.info</t>
  </si>
  <si>
    <t>Miguel Emilio Domarco Rivas</t>
  </si>
  <si>
    <t>Calle Atienza, 11, 19400 Brihuega, Guadalajara</t>
  </si>
  <si>
    <t>Brihuega</t>
  </si>
  <si>
    <t>Angel Luis López Martín y Otro C.B.</t>
  </si>
  <si>
    <t>Camino Valdenuño, 0, 19170 Casar (El), Guadalajara</t>
  </si>
  <si>
    <t>949 33 63 69</t>
  </si>
  <si>
    <t>Mora Fontanería</t>
  </si>
  <si>
    <t>Plaza San Roque, 2, 19240 Jadraque, Guadalajara</t>
  </si>
  <si>
    <t>Jadraque</t>
  </si>
  <si>
    <t>Instalaciones Marcos A. Garcia</t>
  </si>
  <si>
    <t>677 60 41 72</t>
  </si>
  <si>
    <t>Jesús Cano Fontanero</t>
  </si>
  <si>
    <t>jesuscanofontanero.com</t>
  </si>
  <si>
    <t>680 26 94 32</t>
  </si>
  <si>
    <t>Ete</t>
  </si>
  <si>
    <t>Calle Alcarria, 34, 19240 Jadraque, Guadalajara</t>
  </si>
  <si>
    <t>ete.es</t>
  </si>
  <si>
    <t>949 89 12 43</t>
  </si>
  <si>
    <t>info@ete.es</t>
  </si>
  <si>
    <t>Saltoki Alcalá</t>
  </si>
  <si>
    <t>Av. Europa, 4 Bis, 28806 Alcalá de Henares, Madrid</t>
  </si>
  <si>
    <t>Alcalá de Henares</t>
  </si>
  <si>
    <t>918 79 01 83</t>
  </si>
  <si>
    <t>Instalaciones Alcarrenas C Y J</t>
  </si>
  <si>
    <t>Calle Mayor, 0, 19112 Albares, Guadalajara</t>
  </si>
  <si>
    <t>949 38 00 69</t>
  </si>
  <si>
    <t>LM fontaneros</t>
  </si>
  <si>
    <t>lm-fontaneros.negocio.site</t>
  </si>
  <si>
    <t>661 32 80 91</t>
  </si>
  <si>
    <t>Luis Miguel Llorente Somolinos</t>
  </si>
  <si>
    <t>Calle San Roque, 1, 19240 Jadraque, Guadalajara</t>
  </si>
  <si>
    <t>José Manuel Merchante Ballesteros</t>
  </si>
  <si>
    <t>Calle la Iglesia, 57, 19117 Albalate de Zorita, Guadalajara</t>
  </si>
  <si>
    <t>Albalate de Zorita</t>
  </si>
  <si>
    <t>949 37 67 06</t>
  </si>
  <si>
    <t>VICENTE IGNACIO SALDAÑA FUENTES</t>
  </si>
  <si>
    <t>Calle Santo Cristo, 8, 19270 Atienza, Guadalajara</t>
  </si>
  <si>
    <t>Atienza</t>
  </si>
  <si>
    <t>949 39 91 34</t>
  </si>
  <si>
    <t>Gema Compis</t>
  </si>
  <si>
    <t>Calle Claudio de la Torre, 19208, Guadalajara</t>
  </si>
  <si>
    <t>Angel Madrigal Rubio</t>
  </si>
  <si>
    <t>Av. de Guadalajara, 31, 28863 Cobeña, Madrid</t>
  </si>
  <si>
    <t>Cobeña</t>
  </si>
  <si>
    <t>916 20 88 62</t>
  </si>
  <si>
    <t>MultiserviciosHenares</t>
  </si>
  <si>
    <t>Paseo de Pastrana, 37, L4B, 28803 Alcalá de Henares, Madrid</t>
  </si>
  <si>
    <t>633 63 11 77</t>
  </si>
  <si>
    <t>Fidel Colliga Lozano</t>
  </si>
  <si>
    <t>Camino del Val, 5, 19420 Cifuentes, Guadalajara</t>
  </si>
  <si>
    <t>Desatascos Juanma San Sebastian de los Reyes</t>
  </si>
  <si>
    <t>644 91 55 34</t>
  </si>
  <si>
    <t>Saltoki San Fernando</t>
  </si>
  <si>
    <t>Av. de Castilla, 12, 28830 San Fernando de Henares, Madrid</t>
  </si>
  <si>
    <t>916 78 45 60</t>
  </si>
  <si>
    <t>Servi Poceros y Fontaneros Henares</t>
  </si>
  <si>
    <t>643 78 75 17</t>
  </si>
  <si>
    <t>Saltoki Alcobendas</t>
  </si>
  <si>
    <t>Carr. de Fuencarral, nº 46, km 15, 28108 Alcobendas, Madrid</t>
  </si>
  <si>
    <t>Alcobendas</t>
  </si>
  <si>
    <t>915 23 62 76</t>
  </si>
  <si>
    <t>Desatascos y poceria Ciempozuelos</t>
  </si>
  <si>
    <t>Ambrona</t>
  </si>
  <si>
    <t>Calle de Vicente Moñux, 6, 19250 Sigüenza, Guadalajara</t>
  </si>
  <si>
    <t>Sigüenza</t>
  </si>
  <si>
    <t>949 39 10 49</t>
  </si>
  <si>
    <t>Hnos. de La Concepción</t>
  </si>
  <si>
    <t>Plaza del Obispo Don Bernardo, 2, 19250 Sigüenza, Guadalajara</t>
  </si>
  <si>
    <t>Román Piñero</t>
  </si>
  <si>
    <t>Calle de la Grandeza Española, 10, 28011 Madrid</t>
  </si>
  <si>
    <t>fontaneriarp.elcasar.net</t>
  </si>
  <si>
    <t>639 13 39 68</t>
  </si>
  <si>
    <t>Comercial Foncamo S.A.</t>
  </si>
  <si>
    <t>Calle Río Marches, 73 Bajo, Pol. Ind, 45007 Toledo</t>
  </si>
  <si>
    <t>foncamo.es</t>
  </si>
  <si>
    <t>925 23 21 39</t>
  </si>
  <si>
    <t>Tubogar Toledo S L</t>
  </si>
  <si>
    <t>Plaza Magdalena, 4, 45001 Toledo</t>
  </si>
  <si>
    <t>925 22 33 51</t>
  </si>
  <si>
    <t>F Corroto Instalac</t>
  </si>
  <si>
    <t>Ronda Buenavista, 30, 45005 Toledo</t>
  </si>
  <si>
    <t>insfoncal.com</t>
  </si>
  <si>
    <t>606 38 82 22</t>
  </si>
  <si>
    <t>Fricalor</t>
  </si>
  <si>
    <t>Av. de América, 1, 45004 Toledo</t>
  </si>
  <si>
    <t>925 22 57 65</t>
  </si>
  <si>
    <t>Instalaciones JSC</t>
  </si>
  <si>
    <t>Doctor Fleming, 1, Urbanización Tres Culturas, Portal 5 4B, 45005 Toledo</t>
  </si>
  <si>
    <t>calefaccionyfontaneriajsc.es</t>
  </si>
  <si>
    <t>607 86 30 14</t>
  </si>
  <si>
    <t>info@calefaccionyfontaneriajsc.es</t>
  </si>
  <si>
    <t>Zocodover De Calefacción Y Fontanería</t>
  </si>
  <si>
    <t>Av. del Río Boladiez, 163, 45007 Toledo</t>
  </si>
  <si>
    <t>Calderas Castilla La Mancha</t>
  </si>
  <si>
    <t>Calle Rosa Parks, 19, 45005 Toledo</t>
  </si>
  <si>
    <t>655 08 66 40</t>
  </si>
  <si>
    <t>Maingas M D</t>
  </si>
  <si>
    <t>Av. de Santa Bárbara, 54, 45006 Toledo</t>
  </si>
  <si>
    <t>671 52 55 95</t>
  </si>
  <si>
    <t>Pino Y Andrés C B</t>
  </si>
  <si>
    <t>Plaza Poeta Antonio Machado, 4, 45007 Toledo</t>
  </si>
  <si>
    <t>Ajofrín</t>
  </si>
  <si>
    <t>Desatrancos Moreno</t>
  </si>
  <si>
    <t>Calle Don Juan Manuel, 11, 45111 Cobisa, Toledo</t>
  </si>
  <si>
    <t>Cobisa</t>
  </si>
  <si>
    <t>676 41 94 65</t>
  </si>
  <si>
    <t>Santiago Ribero Isabel</t>
  </si>
  <si>
    <t>Calle Ciudad, 9, 45002 Toledo</t>
  </si>
  <si>
    <t>650 48 00 02</t>
  </si>
  <si>
    <t>Fri Calor Hogar</t>
  </si>
  <si>
    <t>Calle Río Jarama, 33, 45007 Toledo</t>
  </si>
  <si>
    <t>Alares S.L.</t>
  </si>
  <si>
    <t>Calle Río Valdecelada, nº12, 45007 Toledo</t>
  </si>
  <si>
    <t>alares-sl.negocio.site</t>
  </si>
  <si>
    <t>616 07 44 14</t>
  </si>
  <si>
    <t>Galán Jj Piñero S C</t>
  </si>
  <si>
    <t>Calle Río Valdehuesa, 21, 45007 Toledo</t>
  </si>
  <si>
    <t>925 26 44 03</t>
  </si>
  <si>
    <t>Cabanes Thisa Toledo</t>
  </si>
  <si>
    <t>Calle Río Marches, 77, 45007 Toledo</t>
  </si>
  <si>
    <t>925 23 49 24</t>
  </si>
  <si>
    <t>Humedades en toledo</t>
  </si>
  <si>
    <t>Paseo de Bachilleres, 45003 Toledo</t>
  </si>
  <si>
    <t>911 88 37 99</t>
  </si>
  <si>
    <t>Marcos Aceituno Muñoz</t>
  </si>
  <si>
    <t>Calle del Olivo, 13, 45005 Toledo</t>
  </si>
  <si>
    <t>Instalaciones Pergo S.A.</t>
  </si>
  <si>
    <t>Av. Castilla la Mancha, 29, 45270 Mocejón, Toledo</t>
  </si>
  <si>
    <t>Mocejón</t>
  </si>
  <si>
    <t>925 36 02 49</t>
  </si>
  <si>
    <t>Desatascos Lusitania</t>
  </si>
  <si>
    <t>Calle Tramontana, 1, 45112 Burguillos de Toledo, Toledo</t>
  </si>
  <si>
    <t>Burguillos de Toledo</t>
  </si>
  <si>
    <t>desatrancoslusitania.com</t>
  </si>
  <si>
    <t>918 13 35 33</t>
  </si>
  <si>
    <t>Antonio Pérez Santos, S.L.</t>
  </si>
  <si>
    <t>Calle Don Pedro Galindo, 1, 45270 Mocejón, Toledo</t>
  </si>
  <si>
    <t>antonioperezsantos.es</t>
  </si>
  <si>
    <t>925 36 04 85</t>
  </si>
  <si>
    <t>info@antonioperezsantos.es</t>
  </si>
  <si>
    <t>Instalaciones Jaime García Perea</t>
  </si>
  <si>
    <t>Calle de Francisco de Goya, 19, 45122 Argés, Toledo</t>
  </si>
  <si>
    <t>Argés</t>
  </si>
  <si>
    <t>610 74 25 79</t>
  </si>
  <si>
    <t>INSTALACIONES GARRIDO C.B.</t>
  </si>
  <si>
    <t>Av. Castilla la Mancha, 70, NAVE 2, 45270 Mocejón, Toledo</t>
  </si>
  <si>
    <t>670 23 29 45</t>
  </si>
  <si>
    <t>Fontanero en toledo</t>
  </si>
  <si>
    <t>643 83 53 55</t>
  </si>
  <si>
    <t>Eloy Gómez Pozo</t>
  </si>
  <si>
    <t>S N, Lugar Urbanización Los Olivos, 0, 45280 Olías del Rey, Toledo</t>
  </si>
  <si>
    <t>Olías del Rey</t>
  </si>
  <si>
    <t>652 83 88 91</t>
  </si>
  <si>
    <t>Fontaneros express toledo</t>
  </si>
  <si>
    <t>911 01 19 00</t>
  </si>
  <si>
    <t>José Luis Díaz del Cerro</t>
  </si>
  <si>
    <t>Calle José María Pemán, 3, 45270 Mocejón, Toledo</t>
  </si>
  <si>
    <t>925 27 08 73</t>
  </si>
  <si>
    <t>Fontaneria Y Calefaccion Salvador Rico</t>
  </si>
  <si>
    <t>Calle Victor Martin Vigara, 72, 45211 Recas, Toledo</t>
  </si>
  <si>
    <t>Recas</t>
  </si>
  <si>
    <t>925 52 28 05</t>
  </si>
  <si>
    <t>REPARACIONES CHEMA RC 97 S.L.L.</t>
  </si>
  <si>
    <t>Calle El Aguila, 19 NAVE, 45270 Mocejón, Toledo</t>
  </si>
  <si>
    <t>925 36 02 84</t>
  </si>
  <si>
    <t>Mariano García Rainero</t>
  </si>
  <si>
    <t>Calle Virgen del Rosario, 26, 45280 Olías del Rey, Toledo</t>
  </si>
  <si>
    <t>925 49 03 27</t>
  </si>
  <si>
    <t>Dos-F Desatrancos</t>
  </si>
  <si>
    <t>Calle Viñas, 6, 45215 El Viso de San Juan, Toledo</t>
  </si>
  <si>
    <t>dosf-desatrancos-toledo.es</t>
  </si>
  <si>
    <t>925 52 62 53</t>
  </si>
  <si>
    <t>Fontanero Vivanco</t>
  </si>
  <si>
    <t>Av. San Francisco, 15 P3, 2°H, 45291 Cobeja, Toledo</t>
  </si>
  <si>
    <t>Cobeja</t>
  </si>
  <si>
    <t>fontanerotoledo.negocio.site</t>
  </si>
  <si>
    <t>640 63 85 13</t>
  </si>
  <si>
    <t>Fontanería DARYAN S.L.U</t>
  </si>
  <si>
    <t>Calle Fray Diego de Ocaña, 4, 45300 Ocaña, Toledo</t>
  </si>
  <si>
    <t>Ocaña</t>
  </si>
  <si>
    <t>fontaneriadaryan.simdif.com</t>
  </si>
  <si>
    <t>603 14 26 15</t>
  </si>
  <si>
    <t>v2_628410@ring2chat.com</t>
  </si>
  <si>
    <t>Multiservicios Juan Manuel Afonso</t>
  </si>
  <si>
    <t>Calle Miguel de Cervantes, 6, 45270 Mocejón, Toledo</t>
  </si>
  <si>
    <t>687 53 66 94</t>
  </si>
  <si>
    <t>Fontanería Raúl García Sánchez</t>
  </si>
  <si>
    <t>Calle San Juan, 22, 45164 Gálvez, Toledo</t>
  </si>
  <si>
    <t>Gálvez</t>
  </si>
  <si>
    <t>925 40 00 90</t>
  </si>
  <si>
    <t>Saneamientos Toledo</t>
  </si>
  <si>
    <t>Calle del Humilladero, 7, 28005 Madrid</t>
  </si>
  <si>
    <t>saneamientostoledo.com</t>
  </si>
  <si>
    <t>913 66 96 50</t>
  </si>
  <si>
    <t>Grupo Vitirri S.L</t>
  </si>
  <si>
    <t>Calle Velilla, 27, 45270 Mocejón, Toledo</t>
  </si>
  <si>
    <t>676 98 35 27</t>
  </si>
  <si>
    <t>Angel García Frío Calor S L</t>
  </si>
  <si>
    <t>Calle Ramón y Cajal, 2, 45529 Yuncler, Toledo</t>
  </si>
  <si>
    <t>Yuncler</t>
  </si>
  <si>
    <t>925 51 86 80</t>
  </si>
  <si>
    <t>Fontanería y Calefacción Oliva</t>
  </si>
  <si>
    <t>Calle Recas, 7, 45300 Ocaña, Toledo</t>
  </si>
  <si>
    <t>608 91 34 43</t>
  </si>
  <si>
    <t>Roberto Mora Aguirre</t>
  </si>
  <si>
    <t>Calle del Carmen, 2, 45100 Sonseca, Toledo</t>
  </si>
  <si>
    <t>Sonseca</t>
  </si>
  <si>
    <t>925 38 00 61</t>
  </si>
  <si>
    <t>Angel Cervantes Garoz</t>
  </si>
  <si>
    <t>Calle Lepanto, 15, 45400 Mora, Toledo</t>
  </si>
  <si>
    <t>Mora</t>
  </si>
  <si>
    <t>Fontaneria Ocaña, S.L.</t>
  </si>
  <si>
    <t>C. Prolongacion la Granja, 7, 45224 Seseña Nuevo, Toledo</t>
  </si>
  <si>
    <t>Seseña Nuevo</t>
  </si>
  <si>
    <t>Toleclima S L</t>
  </si>
  <si>
    <t>Calle Prado de Abajo, 17, 45590 Magán, Toledo</t>
  </si>
  <si>
    <t>Magán</t>
  </si>
  <si>
    <t>609 16 80 31</t>
  </si>
  <si>
    <t>Juan Antonio Toledo Nombela</t>
  </si>
  <si>
    <t>Calle Francisco González, 2, 45518 Gerindote, Toledo</t>
  </si>
  <si>
    <t>Gerindote</t>
  </si>
  <si>
    <t>607 88 52 69</t>
  </si>
  <si>
    <t>Fontaneros Pro</t>
  </si>
  <si>
    <t>Calle Alcorcón, 21, 45215 El Viso de San Juan, Toledo</t>
  </si>
  <si>
    <t>fontanerospro.com</t>
  </si>
  <si>
    <t>611 15 73 06</t>
  </si>
  <si>
    <t>José Luis Riega Ruiz</t>
  </si>
  <si>
    <t>Calle Pirineos, 8, 45128 Menasalbas, Toledo</t>
  </si>
  <si>
    <t>Menasalbas</t>
  </si>
  <si>
    <t>925 41 33 09</t>
  </si>
  <si>
    <t>Vicente Mayoral Morón</t>
  </si>
  <si>
    <t>Calle Goya, 24, 45270 Mocejón, Toledo</t>
  </si>
  <si>
    <t>925 27 00 12</t>
  </si>
  <si>
    <t>Angel Gómez Díaz</t>
  </si>
  <si>
    <t>Calle Ronda, 1, 45529 Yuncler, Toledo</t>
  </si>
  <si>
    <t>Luis Alonso Sotodosos</t>
  </si>
  <si>
    <t>Calle Orgaz, 14, 45240 Alameda de la Sagra, Toledo</t>
  </si>
  <si>
    <t>Alameda de la Sagra</t>
  </si>
  <si>
    <t>David Blanco</t>
  </si>
  <si>
    <t>Calle Real del Caño, 12, 45222 Borox, Toledo</t>
  </si>
  <si>
    <t>Borox</t>
  </si>
  <si>
    <t>625 48 55 06</t>
  </si>
  <si>
    <t>FONTANERIA, CALEFACCION, GAS Y REFORMAS EN GENERAL</t>
  </si>
  <si>
    <t>Calle Chile, 6, 45210 Yuncos, Toledo</t>
  </si>
  <si>
    <t>Yuncos</t>
  </si>
  <si>
    <t>679 18 17 20</t>
  </si>
  <si>
    <t>Salomón Amador Cobo</t>
  </si>
  <si>
    <t>Calle Prim, 62, 45250 Añover de Tajo, Toledo</t>
  </si>
  <si>
    <t>Añover de Tajo</t>
  </si>
  <si>
    <t>925 50 61 54</t>
  </si>
  <si>
    <t>Fontanería Maccaroni S L</t>
  </si>
  <si>
    <t>Calle Guadalmeci, 1, 45216 Carranque, Toledo</t>
  </si>
  <si>
    <t>Carranque</t>
  </si>
  <si>
    <t>687 43 35 14</t>
  </si>
  <si>
    <t>Emilio Benayas Pérez</t>
  </si>
  <si>
    <t>Calle Luna, 1, 45519 Novés, Toledo</t>
  </si>
  <si>
    <t>Novés</t>
  </si>
  <si>
    <t>Desatascos Madrid - Desatascos urgentes en Madrid - Desatascos baratos en Madrid - Desatascos urgentes en Toledo- Desatascos baratos en Toledo -Desatascos en Toledo</t>
  </si>
  <si>
    <t>Calle Valcárcel, 12, 45420 Almonacid de Toledo, Toledo</t>
  </si>
  <si>
    <t>Almonacid de Toledo</t>
  </si>
  <si>
    <t>tododesatascosmadrid.com</t>
  </si>
  <si>
    <t>611 08 40 88</t>
  </si>
  <si>
    <t>info@tododesatascosmadrid.com</t>
  </si>
  <si>
    <t>Francisco Jurado González</t>
  </si>
  <si>
    <t>Calle León XIII, 14, 45500 Torrijos, Toledo</t>
  </si>
  <si>
    <t>Torrijos</t>
  </si>
  <si>
    <t>925 76 00 01</t>
  </si>
  <si>
    <t>Instalaciones García Méndez</t>
  </si>
  <si>
    <t>Av. Cristo del Amparo, 20, 45510 Fuensalida, Toledo</t>
  </si>
  <si>
    <t>Fuensalida</t>
  </si>
  <si>
    <t>925 73 90 21</t>
  </si>
  <si>
    <t>Fontanería De La Cruz S L</t>
  </si>
  <si>
    <t>Calle Agrícola Rodríguez, 6, 45400 Mora, Toledo</t>
  </si>
  <si>
    <t>Urbano Martín Ortega</t>
  </si>
  <si>
    <t>Calle Alberche, 17, 45270 Mocejón, Toledo</t>
  </si>
  <si>
    <t>925 36 03 11</t>
  </si>
  <si>
    <t>Luis Felipe Magán Ruano</t>
  </si>
  <si>
    <t>Pje. de la Luna, 3, 45250 Añover de Tajo, Toledo</t>
  </si>
  <si>
    <t>925 50 66 76</t>
  </si>
  <si>
    <t>Cairsan</t>
  </si>
  <si>
    <t>Calle Canalejas, 14, 45840 La Puebla de Almoradiel, Toledo</t>
  </si>
  <si>
    <t>La Puebla de Almoradiel</t>
  </si>
  <si>
    <t>Agua y Clima Control</t>
  </si>
  <si>
    <t>Calle Eustaquia Millas, 16, 45400 Mora, Toledo</t>
  </si>
  <si>
    <t>Acuadis Toledo</t>
  </si>
  <si>
    <t>Calle Margarita, 6, 45216 Carranque, Toledo</t>
  </si>
  <si>
    <t>925 52 99 94</t>
  </si>
  <si>
    <t>Fontanería Saceja</t>
  </si>
  <si>
    <t>Av. Toledo, 10, 45516 La Puebla de Montalbán, Toledo</t>
  </si>
  <si>
    <t>La Puebla de Montalbán</t>
  </si>
  <si>
    <t>Ángel De La Cruz</t>
  </si>
  <si>
    <t>Calle Agrícola Rodríguez, 20, 45400 Mora, Toledo</t>
  </si>
  <si>
    <t>670 42 47 23</t>
  </si>
  <si>
    <t>Jesús Villaluenga Herrero</t>
  </si>
  <si>
    <t>Calle Gorrión, 14, 45516 La Puebla de Montalbán, Toledo</t>
  </si>
  <si>
    <t>925 74 55 52</t>
  </si>
  <si>
    <t>Carrasco Peñalba</t>
  </si>
  <si>
    <t>Calle Quilla, 6, 45200 Illescas, Toledo</t>
  </si>
  <si>
    <t>925 51 19 93</t>
  </si>
  <si>
    <t>JDI-SOLUCIONES</t>
  </si>
  <si>
    <t>jdi-soluciones.es</t>
  </si>
  <si>
    <t>665 80 01 11</t>
  </si>
  <si>
    <t>info@jdi-soluciones.es</t>
  </si>
  <si>
    <t>Servifont Fontanería Profesional</t>
  </si>
  <si>
    <t>Av. Arroyo Virvi, 8, 45909 Calalberche, Toledo</t>
  </si>
  <si>
    <t>Calalberche</t>
  </si>
  <si>
    <t>servifont.net</t>
  </si>
  <si>
    <t>918 18 00 11</t>
  </si>
  <si>
    <t>servifont@hotmail.es</t>
  </si>
  <si>
    <t>José Luis Lalanda Hernández</t>
  </si>
  <si>
    <t>Calle Pilar, 2, 45290 Pantoja, Toledo</t>
  </si>
  <si>
    <t>Pantoja</t>
  </si>
  <si>
    <t>925 55 46 37</t>
  </si>
  <si>
    <t>Alyman</t>
  </si>
  <si>
    <t>Calle Magallanes, 15, 45510 Fuensalida, Toledo</t>
  </si>
  <si>
    <t>925 73 11 60</t>
  </si>
  <si>
    <t>Fontanero Autorizado Illescas Y Alrededores</t>
  </si>
  <si>
    <t>Calle Alfredo Bryce Echenique, 13, 45200 Illescas, Toledo</t>
  </si>
  <si>
    <t>Saneamientos Y Fontanería A Maldonado Monte</t>
  </si>
  <si>
    <t>Calle Monte, 15, 45516 La Puebla de Montalbán, Toledo</t>
  </si>
  <si>
    <t>925 75 11 09</t>
  </si>
  <si>
    <t>David Jimenez Fontanero - Empresa de fontanería y calefacción en Madrid sur</t>
  </si>
  <si>
    <t>661 87 16 35</t>
  </si>
  <si>
    <t>Fontaneros Getafe</t>
  </si>
  <si>
    <t>Calle Ferrocarril, 21, 28901 Getafe, Madrid</t>
  </si>
  <si>
    <t>fontanerosgetafe.es</t>
  </si>
  <si>
    <t>910 91 10 15</t>
  </si>
  <si>
    <t>ILLESCLIMA</t>
  </si>
  <si>
    <t>Plaza Mayor, 9, 45200 Illescas, Toledo</t>
  </si>
  <si>
    <t>illesclima.wixsite.com</t>
  </si>
  <si>
    <t>Jh Fontanería Hernández</t>
  </si>
  <si>
    <t>Calle Estafeta Vieja, 6, 45200 Illescas, Toledo</t>
  </si>
  <si>
    <t>609 24 23 55</t>
  </si>
  <si>
    <t>Fontanería Angel Rodríguez</t>
  </si>
  <si>
    <t>Calle Convento, 60, 45780 Tembleque, Toledo</t>
  </si>
  <si>
    <t>Tembleque</t>
  </si>
  <si>
    <t>Fontaneros Villaviciosa de Odon Economicos</t>
  </si>
  <si>
    <t>fontanerosvillaviciosadeodon.com</t>
  </si>
  <si>
    <t>644 18 53 79</t>
  </si>
  <si>
    <t>Jejubesan</t>
  </si>
  <si>
    <t>Calle Dr. Juan Francisco Higueras, 9, 45210 Yuncos, Toledo</t>
  </si>
  <si>
    <t>606 38 59 98</t>
  </si>
  <si>
    <t>Obras y Servicios Perea sl</t>
  </si>
  <si>
    <t>Calle Prado, 6, 45529 Yuncler, Toledo</t>
  </si>
  <si>
    <t>Foncadia S L</t>
  </si>
  <si>
    <t>Calle Mariana Pineda, 0, 45300 Ocaña, Toledo</t>
  </si>
  <si>
    <t>925 12 06 07</t>
  </si>
  <si>
    <t>Miguel Angel Cereceda Montés</t>
  </si>
  <si>
    <t>Calle Molino, 19, 45200 Illescas, Toledo</t>
  </si>
  <si>
    <t>925 51 11 04</t>
  </si>
  <si>
    <t>Juan Manuel Rodríguez Verdejo</t>
  </si>
  <si>
    <t>Calle Conde de Cedillo, 24, 45214 Cedillo del Condado, Toledo</t>
  </si>
  <si>
    <t>Cedillo del Condado</t>
  </si>
  <si>
    <t>665 57 00 33</t>
  </si>
  <si>
    <t>J.M ROCO FONTANEROS S.L</t>
  </si>
  <si>
    <t>Ctra Toledo, Av. Alcázar de San Juan, km 60, 200, 45700, Toledo</t>
  </si>
  <si>
    <t>Consuegra</t>
  </si>
  <si>
    <t>928 47 58 07</t>
  </si>
  <si>
    <t>Carlos García Simarro</t>
  </si>
  <si>
    <t>Calle la Paz, 11, 45950 Casarrubios del Monte, Toledo</t>
  </si>
  <si>
    <t>Casarrubios del Monte</t>
  </si>
  <si>
    <t>918 17 22 20</t>
  </si>
  <si>
    <t>Mundobaño De Toledo</t>
  </si>
  <si>
    <t>Carretera Viso, 0 S N, 45214 Cedillo del Condado, Toledo</t>
  </si>
  <si>
    <t>925 50 22 01</t>
  </si>
  <si>
    <t>Crescencio Fresno Sánchez Fontanería Calefacción Depuradoras Riego</t>
  </si>
  <si>
    <t>Calle Cuesta de Prim, 2, 45930 Méntrida, Toledo</t>
  </si>
  <si>
    <t>Méntrida</t>
  </si>
  <si>
    <t>918 17 71 88</t>
  </si>
  <si>
    <t>Fontanería y Calefacción Kesa</t>
  </si>
  <si>
    <t>45920 La Torre de Esteban Hambrán, Toledo</t>
  </si>
  <si>
    <t>La Torre de Esteban Hambrán</t>
  </si>
  <si>
    <t>fontaneriaycalefaccion-kesa.eu</t>
  </si>
  <si>
    <t>659 07 67 71</t>
  </si>
  <si>
    <t>administracion@fontaneriaycalefaccion-kesa.eu</t>
  </si>
  <si>
    <t>E J Calor Y Confort</t>
  </si>
  <si>
    <t>Calle Ugena, 67, 45210 Yuncos, Toledo</t>
  </si>
  <si>
    <t>925 53 77 19</t>
  </si>
  <si>
    <t>Ceygesa</t>
  </si>
  <si>
    <t>Calle Salamanca, 17, 45400 Mora, Toledo</t>
  </si>
  <si>
    <t>925 32 22 04</t>
  </si>
  <si>
    <t>Rubén Castro Martínez</t>
  </si>
  <si>
    <t>Calle Cuchilleros, 7, 45200 Illescas, Toledo</t>
  </si>
  <si>
    <t>925 51 11 93</t>
  </si>
  <si>
    <t>J M Roco Fontaneros</t>
  </si>
  <si>
    <t>Ctra. Toledo Alcázar, 0, 45700 Consuegra, Toledo</t>
  </si>
  <si>
    <t>925 47 58 07</t>
  </si>
  <si>
    <t>Juan Angel De La Cruz García Calvo</t>
  </si>
  <si>
    <t>Calle Real, 53, 45109 Arisgotas, Toledo</t>
  </si>
  <si>
    <t>Arisgotas</t>
  </si>
  <si>
    <t>925 34 77 00</t>
  </si>
  <si>
    <t>FONTYCAM</t>
  </si>
  <si>
    <t>Carr. de Villaverde a Vallecas, 28021 Madrid</t>
  </si>
  <si>
    <t>averiasfontanero.com</t>
  </si>
  <si>
    <t>637 65 41 60</t>
  </si>
  <si>
    <t>info@averiasfontanero.com</t>
  </si>
  <si>
    <t>Desatascos y Poceria Griñon</t>
  </si>
  <si>
    <t>644 23 28 98</t>
  </si>
  <si>
    <t>Representaciones Calero S L</t>
  </si>
  <si>
    <t>Pol. Ind. Villa de Yuncos, Calle Carlos I, 36, 45210 Yuncos, Toledo</t>
  </si>
  <si>
    <t>916 42 44 72</t>
  </si>
  <si>
    <t>Fontanería Sin Obras</t>
  </si>
  <si>
    <t>Paseo de la Castellana, 127, 1ºA, 28020 Madrid</t>
  </si>
  <si>
    <t>fontaneriasinobrasdualpipe.com</t>
  </si>
  <si>
    <t>608 53 17 71</t>
  </si>
  <si>
    <t>info@dualpipe.es</t>
  </si>
  <si>
    <t>Fontacobre Sl</t>
  </si>
  <si>
    <t>Calle de la Perdiz, 80, 45950 Casarrubios del Monte, Toledo</t>
  </si>
  <si>
    <t>918 18 81 20</t>
  </si>
  <si>
    <t>Alvaro E Hijos</t>
  </si>
  <si>
    <t>Calle Condes de Barcelona, 7, 28019 Madrid</t>
  </si>
  <si>
    <t>alvaroehijos.net</t>
  </si>
  <si>
    <t>619 31 99 92</t>
  </si>
  <si>
    <t>alvaroehijos24h@yahoo.es</t>
  </si>
  <si>
    <t>Fontanería y Calefacción Villaseñor</t>
  </si>
  <si>
    <t>Calle Felipe II, 2, 45830 Miguel Esteban, Toledo</t>
  </si>
  <si>
    <t>Miguel Esteban</t>
  </si>
  <si>
    <t>F.r.b. Baños</t>
  </si>
  <si>
    <t>Av. San Crispin, 104, 45510 Fuensalida, Toledo</t>
  </si>
  <si>
    <t>925 78 43 70</t>
  </si>
  <si>
    <t>Saltoki Leganés</t>
  </si>
  <si>
    <t>Calle Esteban Terradas, 22, 28914 Leganés, Madrid</t>
  </si>
  <si>
    <t>Leganés</t>
  </si>
  <si>
    <t>914 81 22 16</t>
  </si>
  <si>
    <t>Instalaciones Seseña. Aerotermia, Suelo Radiante y Fontanería</t>
  </si>
  <si>
    <t>Calle Zeus, 6, 28341 Madrid</t>
  </si>
  <si>
    <t>Valdemoro</t>
  </si>
  <si>
    <t>instalacionessesena.es</t>
  </si>
  <si>
    <t>670 50 42 99</t>
  </si>
  <si>
    <t>Reformas Nae Y Ioana</t>
  </si>
  <si>
    <t>Calle Miguel de Cervantes, 59, 45525 Barcience, Toledo</t>
  </si>
  <si>
    <t>Barcience</t>
  </si>
  <si>
    <t>925 75 99 56</t>
  </si>
  <si>
    <t>Tomás Cabello</t>
  </si>
  <si>
    <t>Calle Ermita, 0, 45215 El Viso de San Juan, Toledo</t>
  </si>
  <si>
    <t>925 55 99 11</t>
  </si>
  <si>
    <t>Saltoki Móstoles</t>
  </si>
  <si>
    <t>Calle Puerto Navafría, 21, 28935 Móstoles, Madrid</t>
  </si>
  <si>
    <t>916 16 94 70</t>
  </si>
  <si>
    <t>Navaircal Fontaneria Y Calefacción</t>
  </si>
  <si>
    <t>Ctra. Tembleque, 30C, 45860 Villacañas, Toledo</t>
  </si>
  <si>
    <t>Villacañas</t>
  </si>
  <si>
    <t>Robaño</t>
  </si>
  <si>
    <t>Avenida Gremios, 27 ( Pol Ind La Veredilla ), 45200 Illescas, Toledo</t>
  </si>
  <si>
    <t>Saltoki Vallecas</t>
  </si>
  <si>
    <t>Polígono Vallecas, Ctra. Villaverde a Vallecas, 267A, 28031 Madrid</t>
  </si>
  <si>
    <t>911 74 85 44</t>
  </si>
  <si>
    <t>Ruimor Fontanería y Calefacción</t>
  </si>
  <si>
    <t>Calle Virrey Morcillo, 54, 1 ° A, 02600 Villarrobledo, Albacete</t>
  </si>
  <si>
    <t>620 09 94 17</t>
  </si>
  <si>
    <t>Saltoki Getafe</t>
  </si>
  <si>
    <t>Calle Río Tinto, 1, 28906 Getafe, Madrid</t>
  </si>
  <si>
    <t>911 91 16 81</t>
  </si>
  <si>
    <t>Fontanero en Avila Multiservicios JPSA</t>
  </si>
  <si>
    <t>Calle Alfonso X el Sabio, 3, 05001 Ávila</t>
  </si>
  <si>
    <t>633 27 91 34</t>
  </si>
  <si>
    <t>Berrojalbiz E Hijos SA</t>
  </si>
  <si>
    <t>Calle Cuatro Postes, 1, 05002 Ávila</t>
  </si>
  <si>
    <t>berrojalbizehijos.es</t>
  </si>
  <si>
    <t>920 21 17 10</t>
  </si>
  <si>
    <t>Jlh Fontanería y Calefacción Ávila</t>
  </si>
  <si>
    <t>Calle Agustín Rodríguez Sahagún, 3, 05003 Ávila</t>
  </si>
  <si>
    <t>630 36 68 42</t>
  </si>
  <si>
    <t>Ávila-Hidrocalor</t>
  </si>
  <si>
    <t>Plaza San Benito, 6, 05003 Ávila</t>
  </si>
  <si>
    <t>920 22 22 29</t>
  </si>
  <si>
    <t>Novoa Pérez Instalaciones</t>
  </si>
  <si>
    <t>C. Teso del Hospital Viejo, 6, BAJO, 05002 Ávila</t>
  </si>
  <si>
    <t>novoaperezinstalaciones.com</t>
  </si>
  <si>
    <t>920 22 86 15</t>
  </si>
  <si>
    <t>contacto@novoaperezinstalaciones.com</t>
  </si>
  <si>
    <t>Fontanero 24h Avila Tietar</t>
  </si>
  <si>
    <t>Adanero</t>
  </si>
  <si>
    <t>654 12 91 20</t>
  </si>
  <si>
    <t>Tafoman S.L.</t>
  </si>
  <si>
    <t>Calle San Pedro Bautista, 21, 05005 Ávila</t>
  </si>
  <si>
    <t>tafoman-sl.negocio.site</t>
  </si>
  <si>
    <t>639 34 36 11</t>
  </si>
  <si>
    <t>Benjamín López Jiménez</t>
  </si>
  <si>
    <t>Calle Vasco de la Zarza, 9, 05002 Ávila</t>
  </si>
  <si>
    <t>Fontaneria Y Fumisteria Novoa</t>
  </si>
  <si>
    <t>Calle Capitán Peñas, 9, 05003 Ávila</t>
  </si>
  <si>
    <t>Instalaciones Renatur</t>
  </si>
  <si>
    <t>Puerta 7 VIVERO DE EMPRESAS, Calle Río Cea, 6, 05004 Ávila</t>
  </si>
  <si>
    <t>renatur.net</t>
  </si>
  <si>
    <t>695 82 54 47</t>
  </si>
  <si>
    <t>fancybox@3.5.7</t>
  </si>
  <si>
    <t>Xavi Mosqueira # Javier Mosqueira # fontanero # fontanería # (Javi-fonta)</t>
  </si>
  <si>
    <t>606 83 14 49</t>
  </si>
  <si>
    <t>AQUAMANU</t>
  </si>
  <si>
    <t>Plaza San Francisco, n°8, 05005 Ávila</t>
  </si>
  <si>
    <t>aquamanu.business.site</t>
  </si>
  <si>
    <t>665 80 51 90</t>
  </si>
  <si>
    <t>Javier Lopez Hernandez</t>
  </si>
  <si>
    <t>Luis Martín Ramos</t>
  </si>
  <si>
    <t>Calle Santo Tomás, 21, 05003 Ávila</t>
  </si>
  <si>
    <t>FONTYCAL BLANCO S.L</t>
  </si>
  <si>
    <t>616 74 80 06</t>
  </si>
  <si>
    <t>Carlos López Rodríguez</t>
  </si>
  <si>
    <t>Av. Juan Pablo II, 1, 05003 Ávila</t>
  </si>
  <si>
    <t>FONCALCER, SL</t>
  </si>
  <si>
    <t>Calle los Lagares, 15, 05350 San Pedro del Arroyo, Ávila</t>
  </si>
  <si>
    <t>San Pedro del Arroyo</t>
  </si>
  <si>
    <t>foncalcer.es</t>
  </si>
  <si>
    <t>630 01 65 56</t>
  </si>
  <si>
    <t>Técnico para reparación de calderas de gas y gasoil.</t>
  </si>
  <si>
    <t>722 26 32 94</t>
  </si>
  <si>
    <t>Berrojalbiz e Hijos S.A.</t>
  </si>
  <si>
    <t>Carretera Soria Plasencia, 0, 05192 La Colilla, Ávila</t>
  </si>
  <si>
    <t>La Colilla</t>
  </si>
  <si>
    <t>920 26 97 75</t>
  </si>
  <si>
    <t>Jaime Y Rubén Instaladores S L</t>
  </si>
  <si>
    <t>Calle Celestina García, 25, 05240 Navalperal de Pinares, Ávila</t>
  </si>
  <si>
    <t>Navalperal de Pinares</t>
  </si>
  <si>
    <t>Jesús Martín Sánchez</t>
  </si>
  <si>
    <t>Calle Vistanorte, 05230 Las Navas del Marqués, Ávila</t>
  </si>
  <si>
    <t>Las Navas del Marqués</t>
  </si>
  <si>
    <t>918 97 13 90</t>
  </si>
  <si>
    <t>FONTANERIA MARTIN</t>
  </si>
  <si>
    <t>Constitución, 41, 05250 El Hoyo de Pinares, Ávila</t>
  </si>
  <si>
    <t>El Hoyo de Pinares</t>
  </si>
  <si>
    <t>fontaneriamartin.negocio.site</t>
  </si>
  <si>
    <t>687 64 06 95</t>
  </si>
  <si>
    <t>Apolonio González González</t>
  </si>
  <si>
    <t>Calle el Garrobal, 2, 05110 El Barraco, Ávila</t>
  </si>
  <si>
    <t>El Barraco</t>
  </si>
  <si>
    <t>Instalaciones de Fontaneria y Calefaccion A. Nava Sanchez</t>
  </si>
  <si>
    <t>Ctra. Piedrahita Ávila, 21, 05500 Piedrahíta, Ávila</t>
  </si>
  <si>
    <t>Piedrahíta</t>
  </si>
  <si>
    <t>Asistencia Técnica del Calor S.L.</t>
  </si>
  <si>
    <t>Av. del Tajo, 631, 05279 La Atalaya, Ávila</t>
  </si>
  <si>
    <t>La Atalaya</t>
  </si>
  <si>
    <t>Gasadi</t>
  </si>
  <si>
    <t>Av. Madrid, 60, 05430 La Adrada, Ávila</t>
  </si>
  <si>
    <t>La Adrada</t>
  </si>
  <si>
    <t>918 67 07 80</t>
  </si>
  <si>
    <t>Suministros Cándido Martín S.A.L.</t>
  </si>
  <si>
    <t>Plaza las Ventillas, 22, 05420 Sotillo de la Adrada, Ávila</t>
  </si>
  <si>
    <t>Sotillo de la Adrada</t>
  </si>
  <si>
    <t>suministroscandidomartin.com</t>
  </si>
  <si>
    <t>918 66 04 21</t>
  </si>
  <si>
    <t>Francisco López Sierra</t>
  </si>
  <si>
    <t>Av. Castilla y León, 1, 05430 La Adrada, Ávila</t>
  </si>
  <si>
    <t>Angel Sánchez García</t>
  </si>
  <si>
    <t>Calle La Cuesta, 2, 05122 Navatalgordo, Ávila</t>
  </si>
  <si>
    <t>Navatalgordo</t>
  </si>
  <si>
    <t>José María González Jiménez</t>
  </si>
  <si>
    <t>Calle Atalayas, 9, 05122 Navatalgordo, Ávila</t>
  </si>
  <si>
    <t>Víctor Santamaría Roda</t>
  </si>
  <si>
    <t>Calle Corredera de San Miguel, 1, 05250 El Hoyo de Pinares, Ávila</t>
  </si>
  <si>
    <t>Desatascos Sevilla La Nueva Economicos</t>
  </si>
  <si>
    <t>Saneamientos A Gutiérrez Martín</t>
  </si>
  <si>
    <t>Av. de la Villa, 26, 05600 El Barco de Ávila, Ávila</t>
  </si>
  <si>
    <t>El Barco de Ávila</t>
  </si>
  <si>
    <t>920 34 00 92</t>
  </si>
  <si>
    <t>FHG SERMATEC S.L</t>
  </si>
  <si>
    <t>Calle Prado de Las Encinas, 15, 28280 Madrid</t>
  </si>
  <si>
    <t>San Lorenzo de El Escorial</t>
  </si>
  <si>
    <t>fhgsermatec.com</t>
  </si>
  <si>
    <t>615 47 55 44</t>
  </si>
  <si>
    <t>IberFuga - Detección de fugas de agua</t>
  </si>
  <si>
    <t>Paseo de Zorrilla, 192, 47006 Valladolid</t>
  </si>
  <si>
    <t>iberfuga.com</t>
  </si>
  <si>
    <t>673 77 29 64</t>
  </si>
  <si>
    <t>info@iberfuga.com</t>
  </si>
  <si>
    <t>Fontanería Saneamientos y Decoración Serrano</t>
  </si>
  <si>
    <t>05413 Mombeltrán, Ávila</t>
  </si>
  <si>
    <t>Mombeltrán</t>
  </si>
  <si>
    <t>GodoGas</t>
  </si>
  <si>
    <t>Av. de Emilio Romero, 18, 05200 Arévalo, Ávila</t>
  </si>
  <si>
    <t>Arévalo</t>
  </si>
  <si>
    <t>TIENDA IGLESIAS</t>
  </si>
  <si>
    <t>Calle Rosarito, 6, 05480 Candeleda, Ávila</t>
  </si>
  <si>
    <t>Candeleda</t>
  </si>
  <si>
    <t>tiendaiglesias.com</t>
  </si>
  <si>
    <t>920 38 03 32</t>
  </si>
  <si>
    <t>Encarnación Blazques Fernández</t>
  </si>
  <si>
    <t>Calle la Callejuela, 8, 05470 Pedro Bernardo, Ávila</t>
  </si>
  <si>
    <t>Pedro Bernardo</t>
  </si>
  <si>
    <t>Soluciones Energeticas Erena</t>
  </si>
  <si>
    <t>Calle Vistanorte, 30, 05230 Las Navas del Marqués, Ávila</t>
  </si>
  <si>
    <t>solucionesenergeticas.com</t>
  </si>
  <si>
    <t>ventas2@solucionesenergeticas.com</t>
  </si>
  <si>
    <t>Lobato E Hijos SLL</t>
  </si>
  <si>
    <t>Calle de Lima, 11, 28944 Fuenlabrada, Madrid</t>
  </si>
  <si>
    <t>Fuenlabrada</t>
  </si>
  <si>
    <t>916 06 16 88</t>
  </si>
  <si>
    <t>María Elvia Narváez Pinchao</t>
  </si>
  <si>
    <t>Calle Narciso López Pintor, 11, 05480 Candeleda, Ávila</t>
  </si>
  <si>
    <t>Miguel Angel Flores Herranz</t>
  </si>
  <si>
    <t>Calle Ignacio González Serrano, 2, 28400 Collado Villalba, Madrid</t>
  </si>
  <si>
    <t>Collado Villalba</t>
  </si>
  <si>
    <t>607 64 66 30</t>
  </si>
  <si>
    <t>Fontanería Y Calefacción&amp;apos;Del Aguila&amp;apos;S L</t>
  </si>
  <si>
    <t>Calle Sta. Apolonia, 19, 37300 Peñaranda de Bracamonte, Salamanca</t>
  </si>
  <si>
    <t>Peñaranda de Bracamonte</t>
  </si>
  <si>
    <t>923 54 22 02</t>
  </si>
  <si>
    <t>Julián Cañadas Torrecilla</t>
  </si>
  <si>
    <t>Av. de la Vera Alta, 10, 10450 Jarandilla de la Vera, Cáceres</t>
  </si>
  <si>
    <t>Jarandilla de la Vera</t>
  </si>
  <si>
    <t>927 56 02 15</t>
  </si>
  <si>
    <t>Emilio García Blázquez</t>
  </si>
  <si>
    <t>Calle de los Castañuelos, 5, 05480 Candeleda, Ávila</t>
  </si>
  <si>
    <t>Farrá Riegos y Piscinas</t>
  </si>
  <si>
    <t>Av. Ramón y Cajal, 17, 05480 Candeleda, Ávila</t>
  </si>
  <si>
    <t>920 38 03 53</t>
  </si>
  <si>
    <t>José Luis Sánchez García</t>
  </si>
  <si>
    <t>Calle Dr. Bravo, 9, 10480 Madrigal de la Vera, Cáceres</t>
  </si>
  <si>
    <t>Madrigal de la Vera</t>
  </si>
  <si>
    <t>676 99 33 74</t>
  </si>
  <si>
    <t>Fontaneria sin obra CyL</t>
  </si>
  <si>
    <t>Paseo de Zorrilla, 22, 2A, 47006 Valladolid</t>
  </si>
  <si>
    <t>fontaneriasinobra.es</t>
  </si>
  <si>
    <t>983 37 69 51</t>
  </si>
  <si>
    <t>David Jimenez Instalaciónes</t>
  </si>
  <si>
    <t>649 96 65 29</t>
  </si>
  <si>
    <t>Reformas En General Fontanería</t>
  </si>
  <si>
    <t>Calle Parque Grande, 28924 Alcorcón, Madrid</t>
  </si>
  <si>
    <t>Alcorcón</t>
  </si>
  <si>
    <t>916 42 66 05</t>
  </si>
  <si>
    <t>Instalaciones Oscar Sánchez</t>
  </si>
  <si>
    <t>Av Portugal (N-v), 53, 28931 Móstoles, Madrid</t>
  </si>
  <si>
    <t>630 22 00 96</t>
  </si>
  <si>
    <t>Fermín Barroso Santero</t>
  </si>
  <si>
    <t>Calle Real de Abajo, 36, 10611 Tornavacas, Cáceres</t>
  </si>
  <si>
    <t>Tornavacas</t>
  </si>
  <si>
    <t>Ávila Bosch S.L.</t>
  </si>
  <si>
    <t>Carrer de la Mare de Déu del Carme, 36, 12580 Benicarló, Castelló</t>
  </si>
  <si>
    <t>avilabosch.com</t>
  </si>
  <si>
    <t>964 47 22 34</t>
  </si>
  <si>
    <t>info@avilabosch.com</t>
  </si>
  <si>
    <t>AVILA BOSCH, S.L. - CENTRAL</t>
  </si>
  <si>
    <t>Passeig d&amp;apos;En José Febrer i Soriano, 4, 12580 Benicarló, Castelló</t>
  </si>
  <si>
    <t>Fontaneros.com</t>
  </si>
  <si>
    <t>Calle del Romancero, 6, 09002 Burgos</t>
  </si>
  <si>
    <t>fontanerosburgos.com</t>
  </si>
  <si>
    <t>607 84 86 95</t>
  </si>
  <si>
    <t>Óscar Pérez Fontanería</t>
  </si>
  <si>
    <t>Calle del Duero, 6, Bajo, 09002 Burgos</t>
  </si>
  <si>
    <t>670 93 46 97</t>
  </si>
  <si>
    <t>T. Valdés S.L.</t>
  </si>
  <si>
    <t>Calle Diego Laínez, 4, Bajo, 09005 Burgos</t>
  </si>
  <si>
    <t>tvaldes.es</t>
  </si>
  <si>
    <t>947 22 98 08</t>
  </si>
  <si>
    <t>info@tvaldes.es</t>
  </si>
  <si>
    <t>Instalaciones Céner S.L.</t>
  </si>
  <si>
    <t>Calle de los Alfareros, 11, 09001 Burgos</t>
  </si>
  <si>
    <t>659 59 67 67</t>
  </si>
  <si>
    <t>SANEAMIENTOS GOZALO</t>
  </si>
  <si>
    <t>Av. de los Derechos Humanos, 57, BAJO, 09007 Burgos</t>
  </si>
  <si>
    <t>saneamientosgozalo.com</t>
  </si>
  <si>
    <t>947 47 07 70</t>
  </si>
  <si>
    <t>comercial@saneamientosgozalo.com</t>
  </si>
  <si>
    <t>Desatascos Burgos</t>
  </si>
  <si>
    <t>Calle Barrio Gimeno, Nº25, 09002 Burgos</t>
  </si>
  <si>
    <t>desatascosburgos.es</t>
  </si>
  <si>
    <t>639 14 05 28</t>
  </si>
  <si>
    <t>info@desatascosburgos.es</t>
  </si>
  <si>
    <t>Buintec S.L.</t>
  </si>
  <si>
    <t>Calle Vitoria, 165, 09007 Burgos</t>
  </si>
  <si>
    <t>947 23 04 61</t>
  </si>
  <si>
    <t>Siro Vázquez, S.L. (Almacén Burgos)</t>
  </si>
  <si>
    <t>Pol.Gamonal Villimar, Pentasa II, nave 14-16, 09007 Burgos</t>
  </si>
  <si>
    <t>947 48 50 57</t>
  </si>
  <si>
    <t>Instalaciones Orillares S.L.L.</t>
  </si>
  <si>
    <t>Pje. Fernando de Rojas, 11, 09007 Burgos</t>
  </si>
  <si>
    <t>instalacionesorillares.com</t>
  </si>
  <si>
    <t>615 88 66 01</t>
  </si>
  <si>
    <t>Siro Vázquez, S.L. (Tienda Burgos)</t>
  </si>
  <si>
    <t>Calle Ana María Lopidana, 9, 09005 Burgos</t>
  </si>
  <si>
    <t>947 21 80 54</t>
  </si>
  <si>
    <t>Fontacal | Servicios de fontanería y calefacción en Burgos</t>
  </si>
  <si>
    <t>Calle San Pedro de Cardeña, 42, 09002 Burgos</t>
  </si>
  <si>
    <t>627 72 13 54</t>
  </si>
  <si>
    <t>INSTALACIONES ANCAR</t>
  </si>
  <si>
    <t>Calle Valentín Jalón, 11, 09005 Burgos</t>
  </si>
  <si>
    <t>instalacionesancar.com</t>
  </si>
  <si>
    <t>635 62 15 10</t>
  </si>
  <si>
    <t>fontaneria@instalacionesancar.com</t>
  </si>
  <si>
    <t>Fontanería, Calefacción y Gas José Gómez</t>
  </si>
  <si>
    <t>Calle Victoria Balfe, 187, 6ºE, 09007 Burgos</t>
  </si>
  <si>
    <t>610 40 01 08</t>
  </si>
  <si>
    <t>Santillán Instalaciones S L</t>
  </si>
  <si>
    <t>Calle de los Alfareros, 26, 09001 Burgos</t>
  </si>
  <si>
    <t>947 25 66 73</t>
  </si>
  <si>
    <t>Fontanero 24 horas Burgos</t>
  </si>
  <si>
    <t>Calle Vitoria, 192, 09007 Burgos</t>
  </si>
  <si>
    <t>621 03 50 45</t>
  </si>
  <si>
    <t>Fontanero Burgos</t>
  </si>
  <si>
    <t>Calle Alfonso VIII, 14, 09001 Burgos</t>
  </si>
  <si>
    <t>607 82 81 64</t>
  </si>
  <si>
    <t>F. Bermejo (Fontanería)</t>
  </si>
  <si>
    <t>Juan Ramón Jiménez s/n, 09007 Burgos</t>
  </si>
  <si>
    <t>Abajas</t>
  </si>
  <si>
    <t>676 56 57 54</t>
  </si>
  <si>
    <t>Instalaciones Arlanza</t>
  </si>
  <si>
    <t>C/ Alcalde Martín Cobos, S/N, 09007 Burgos</t>
  </si>
  <si>
    <t>947 48 72 84</t>
  </si>
  <si>
    <t>Instalaciones Ibeas SL</t>
  </si>
  <si>
    <t>Calle Hermano Rafael, 11, 09001 Burgos</t>
  </si>
  <si>
    <t>947 27 32 80</t>
  </si>
  <si>
    <t>Fontaneria Gas Calefaccion</t>
  </si>
  <si>
    <t>Calle de Ramón y Cajal, 4, 09002 Burgos</t>
  </si>
  <si>
    <t>Instalaciones Seyodi</t>
  </si>
  <si>
    <t>Carr. de Poza, 34, Nave 8, 09007 Burgos</t>
  </si>
  <si>
    <t>649 47 79 75</t>
  </si>
  <si>
    <t>Miguel Angel Mena López</t>
  </si>
  <si>
    <t>Calle Argentina, 39, 09001 Burgos</t>
  </si>
  <si>
    <t>Calle Condado de Treviño, 22, BAJO, 09001 Burgos</t>
  </si>
  <si>
    <t>947 29 70 04</t>
  </si>
  <si>
    <t>Oficina Fontaneria Manso</t>
  </si>
  <si>
    <t>Calle del Romancero, 28, 09002 Burgos</t>
  </si>
  <si>
    <t>fontaneriamanso.es</t>
  </si>
  <si>
    <t>680 98 18 66</t>
  </si>
  <si>
    <t>info@fontaneriamanso.es</t>
  </si>
  <si>
    <t>Instalaciones Crucero SLU</t>
  </si>
  <si>
    <t>Calle Ebro, 9, 09002 Burgos</t>
  </si>
  <si>
    <t>629 65 23 07</t>
  </si>
  <si>
    <t>Hojalateria Y Fontaneria L.Machin</t>
  </si>
  <si>
    <t>Calle de la Concepción, 17, 09002 Burgos</t>
  </si>
  <si>
    <t>Controla tu Consumo y Mas</t>
  </si>
  <si>
    <t>Calle Ntra. Sra. de Fátima, 26, 09007 Burgos</t>
  </si>
  <si>
    <t>Instalaciones Cueto Matínez</t>
  </si>
  <si>
    <t>Calle Valle de Mena, 7, 09001 Burgos</t>
  </si>
  <si>
    <t>947 29 83 96</t>
  </si>
  <si>
    <t>Fonvibur</t>
  </si>
  <si>
    <t>C/ La Ribera, 5 bis (Trasera, 09007 Burgos</t>
  </si>
  <si>
    <t>947 46 74 09</t>
  </si>
  <si>
    <t>Luis Sáiz Portugal</t>
  </si>
  <si>
    <t>Calle de Valdenúñez, 4, 09001 Burgos</t>
  </si>
  <si>
    <t>Biobur</t>
  </si>
  <si>
    <t>Paseo de las Fuentecillas, 94, 09001 Burgos</t>
  </si>
  <si>
    <t>616 24 24 11</t>
  </si>
  <si>
    <t>Instalaciones Alonso Alonso, SL</t>
  </si>
  <si>
    <t>C/ San Miguel, 13 Pol. Ind Los Brezos, 09197 Villalbilla de Burgos, Burgos</t>
  </si>
  <si>
    <t>Villalbilla de Burgos</t>
  </si>
  <si>
    <t>instalacionesalonsoalonso.com</t>
  </si>
  <si>
    <t>629 46 67 29</t>
  </si>
  <si>
    <t>info@instalacionesalonsoalonso.com</t>
  </si>
  <si>
    <t>Juan Antonio Llorente Irazábal</t>
  </si>
  <si>
    <t>Av. del Arlanzón, 61, 09007 Burgos</t>
  </si>
  <si>
    <t>947 21 74 23</t>
  </si>
  <si>
    <t>Fontanería Manso</t>
  </si>
  <si>
    <t>Calle el Molino, 7, 09195 Villagonzalo Pedernales, Burgos</t>
  </si>
  <si>
    <t>Villagonzalo Pedernales</t>
  </si>
  <si>
    <t>Ctra. Madrid-Irún, 0, 09001 Burgos</t>
  </si>
  <si>
    <t>947 25 66 67</t>
  </si>
  <si>
    <t>Fontanería Acqua S.L.</t>
  </si>
  <si>
    <t>Calle López Bravo, 0 S/N (Pol Ind Villalonquéjar), 09001 Burgos</t>
  </si>
  <si>
    <t>947 29 89 93</t>
  </si>
  <si>
    <t>Fontanería Oscar Escudero</t>
  </si>
  <si>
    <t>Calle rompízales nave 19.poligono industrial de villalonquejar, 09001 Burgos</t>
  </si>
  <si>
    <t>699 05 98 38</t>
  </si>
  <si>
    <t>Grifos y Duchas</t>
  </si>
  <si>
    <t>Calle Vitoria, 272 Polígono Taglosa, Nave 27, 09007 Burgos</t>
  </si>
  <si>
    <t>grifosyduchas.com</t>
  </si>
  <si>
    <t>629 80 93 04</t>
  </si>
  <si>
    <t>info@grifosyduchas.com</t>
  </si>
  <si>
    <t>Compañía Española De Petróleos</t>
  </si>
  <si>
    <t>Av. Valladolid, 09230 San Mamés de Burgos, Burgos</t>
  </si>
  <si>
    <t>947 41 22 65</t>
  </si>
  <si>
    <t>Jvh</t>
  </si>
  <si>
    <t>09007 Burgos</t>
  </si>
  <si>
    <t>Santiago García</t>
  </si>
  <si>
    <t>Camino Traseras Polígono, 56, 09001, Burgos</t>
  </si>
  <si>
    <t>Villagonzalo-Arenas</t>
  </si>
  <si>
    <t>Miguel Miguel Miguel</t>
  </si>
  <si>
    <t>Calle San Miguel, 0, 09197 Villalbilla de Burgos, Burgos</t>
  </si>
  <si>
    <t>947 29 11 09</t>
  </si>
  <si>
    <t>Fontanería Carlos S.L.</t>
  </si>
  <si>
    <t>Calle Juan de Medina, 7, 09500 Medina de Pomar, Burgos</t>
  </si>
  <si>
    <t>Medina de Pomar</t>
  </si>
  <si>
    <t>carlosmultiservicios.com</t>
  </si>
  <si>
    <t>947 14 72 84</t>
  </si>
  <si>
    <t>LUIS CANTERO</t>
  </si>
  <si>
    <t>Calle Mayor, 47, 09240 Briviesca, Burgos</t>
  </si>
  <si>
    <t>Briviesca</t>
  </si>
  <si>
    <t>947 59 24 73</t>
  </si>
  <si>
    <t>C/ Vega de Santa Cecilia, 89, 09340 Lerma, Burgos</t>
  </si>
  <si>
    <t>Lerma</t>
  </si>
  <si>
    <t>947 17 06 92</t>
  </si>
  <si>
    <t>F Y C Hermanos Escudero</t>
  </si>
  <si>
    <t>Plaza Constitución, 0, 09260 Pradoluengo, Burgos</t>
  </si>
  <si>
    <t>Pradoluengo</t>
  </si>
  <si>
    <t>947 58 64 46</t>
  </si>
  <si>
    <t>Angel Izquierdo Maestro</t>
  </si>
  <si>
    <t>Calle Real de San Juan, 09109 Villasandino, Burgos</t>
  </si>
  <si>
    <t>Villasandino</t>
  </si>
  <si>
    <t>Fontanería - Calefacción - Gas Carlos Simón</t>
  </si>
  <si>
    <t>Calle Alameda, 21, 09400 Aranda de Duero, Burgos</t>
  </si>
  <si>
    <t>infoplus.qdq.com</t>
  </si>
  <si>
    <t>947 50 47 23</t>
  </si>
  <si>
    <t>Uni-dos Foncal</t>
  </si>
  <si>
    <t>Calle de las Merindades de Castilla, 14, BAJO, 09550, Burgos</t>
  </si>
  <si>
    <t>Villarcayo</t>
  </si>
  <si>
    <t>947 13 23 53</t>
  </si>
  <si>
    <t>Julián Cotelo Serrano</t>
  </si>
  <si>
    <t>Calle Redecilla del Campo, 3, 09250 Belorado, Burgos</t>
  </si>
  <si>
    <t>Belorado</t>
  </si>
  <si>
    <t>Gaspar Mate S.L.</t>
  </si>
  <si>
    <t>Calle el Tinte, 22, 09300 Roa, Burgos</t>
  </si>
  <si>
    <t>Roa</t>
  </si>
  <si>
    <t>947 54 00 37</t>
  </si>
  <si>
    <t>Fontanería Gabri</t>
  </si>
  <si>
    <t>Av. Bilbao, 16, bajo, 09500 Medina de Pomar, Burgos</t>
  </si>
  <si>
    <t>fontaneria-gabri.negocio.site</t>
  </si>
  <si>
    <t>625 42 85 70</t>
  </si>
  <si>
    <t>GAS ARANDA S.L</t>
  </si>
  <si>
    <t>Av. Murillo, 4, bajo, 09400 Aranda de Duero, Burgos</t>
  </si>
  <si>
    <t>gas-aranda-sl.negocio.site</t>
  </si>
  <si>
    <t>655 92 75 52</t>
  </si>
  <si>
    <t>Agrobureba Tobalina</t>
  </si>
  <si>
    <t>Lugar Cornudilla, 0 km 3 , 2, 09246 Cornudilla, Burgos</t>
  </si>
  <si>
    <t>Cornudilla</t>
  </si>
  <si>
    <t>agrobureba.com</t>
  </si>
  <si>
    <t>Instalaciones RASINES</t>
  </si>
  <si>
    <t>Calle Ronda del Ferrocarril, 18, Bajo, 09200 Miranda de Ebro, Burgos</t>
  </si>
  <si>
    <t>600 55 45 73</t>
  </si>
  <si>
    <t>Fontanero Ivan Pereda García</t>
  </si>
  <si>
    <t>Calle Monte Tesla Lonja Nº4, 09550 Villarcayo, Burgos</t>
  </si>
  <si>
    <t>628 43 97 55</t>
  </si>
  <si>
    <t>Instalaciones Montouto</t>
  </si>
  <si>
    <t>Av. Castilla, 79, 09400 Aranda de Duero, Burgos</t>
  </si>
  <si>
    <t>947 51 33 03</t>
  </si>
  <si>
    <t>Centermant SL</t>
  </si>
  <si>
    <t>Calle Bilbao, 22, 09200 Miranda de Ebro, Burgos</t>
  </si>
  <si>
    <t>947 33 31 71</t>
  </si>
  <si>
    <t>Matías Fernández Acha</t>
  </si>
  <si>
    <t>Calle Mayor, 36, 09250 Belorado, Burgos</t>
  </si>
  <si>
    <t>947 58 01 55</t>
  </si>
  <si>
    <t>Anastasio Rojas S.l.</t>
  </si>
  <si>
    <t>Calle Hospicio, nº2, 09400 Aranda de Duero, Burgos</t>
  </si>
  <si>
    <t>947 50 32 21</t>
  </si>
  <si>
    <t>Font Cal Nebreda</t>
  </si>
  <si>
    <t>Calle Urbanización Villa - Real, 27, 09556 Cigüenza, Burgos</t>
  </si>
  <si>
    <t>Cigüenza</t>
  </si>
  <si>
    <t>Grupo Fontyclima</t>
  </si>
  <si>
    <t>Ctra. Burgos, 34004 Palencia</t>
  </si>
  <si>
    <t>fontyclima.es</t>
  </si>
  <si>
    <t>983 30 84 52</t>
  </si>
  <si>
    <t>ana@fontyclima.es</t>
  </si>
  <si>
    <t>Instalaciones Juanes</t>
  </si>
  <si>
    <t>Calle Cristóbal de Andino, 2, 3 D, 09500 Medina de Pomar, Burgos</t>
  </si>
  <si>
    <t>659 73 85 54</t>
  </si>
  <si>
    <t>Fontanería El Pequeñin</t>
  </si>
  <si>
    <t>Calle Santiago Andrés Simón, 6, 09300 Roa, Burgos</t>
  </si>
  <si>
    <t>Fontanería -Calefacción-Gas Laso</t>
  </si>
  <si>
    <t>Calle Martínez Conde, 1, 09500 Medina de Pomar, Burgos</t>
  </si>
  <si>
    <t>615 47 69 78</t>
  </si>
  <si>
    <t>Manuel Illera Arranz</t>
  </si>
  <si>
    <t>Calle Cascajar, 2, 09400 Aranda de Duero, Burgos</t>
  </si>
  <si>
    <t>947 50 41 80</t>
  </si>
  <si>
    <t>Akanto 21 Sl</t>
  </si>
  <si>
    <t>Eugenio y Seri, 2, Calle Mesoneros Eugenio y Sery, 09400 Aranda de Duero, Burgos</t>
  </si>
  <si>
    <t>947 50 72 37</t>
  </si>
  <si>
    <t>Fontanero Leon</t>
  </si>
  <si>
    <t>Acebedo</t>
  </si>
  <si>
    <t>fontaneroleon24h.wix.com</t>
  </si>
  <si>
    <t>687 47 41 18</t>
  </si>
  <si>
    <t>Sagimar S.L.</t>
  </si>
  <si>
    <t>Calle Moisés de León, 43, 24006 León</t>
  </si>
  <si>
    <t>sagimar.com</t>
  </si>
  <si>
    <t>679 97 78 12</t>
  </si>
  <si>
    <t>contacto@sagimar.com</t>
  </si>
  <si>
    <t>Rodrigo Rodriguez S.L.</t>
  </si>
  <si>
    <t>Paseo Quintanilla, 13, 24007 León</t>
  </si>
  <si>
    <t>987 22 59 79</t>
  </si>
  <si>
    <t>San Francisco Calefaccion</t>
  </si>
  <si>
    <t>24008 León</t>
  </si>
  <si>
    <t>sfcalefaccion.com</t>
  </si>
  <si>
    <t>987 22 44 34</t>
  </si>
  <si>
    <t>Fontaneros León 24 Horas</t>
  </si>
  <si>
    <t>Calle Medul, 1, 24007 León</t>
  </si>
  <si>
    <t>Desatascos León</t>
  </si>
  <si>
    <t>Calle Riosol, 9, 24009 León</t>
  </si>
  <si>
    <t>670 90 60 60</t>
  </si>
  <si>
    <t>Diherfon S.l.</t>
  </si>
  <si>
    <t>Calle la Bañeza, 12, 24007 León</t>
  </si>
  <si>
    <t>Joaquín Pérez Cuadrado</t>
  </si>
  <si>
    <t>Calle Marcelino Elosúa, 5, 24008 León</t>
  </si>
  <si>
    <t>987 80 29 39</t>
  </si>
  <si>
    <t>Alvaro Alonso Blanco</t>
  </si>
  <si>
    <t>Calle Concha Espina, 15, 24007 León</t>
  </si>
  <si>
    <t>987 24 55 79</t>
  </si>
  <si>
    <t>Fontaneria Y Calefaccion Ros Sl</t>
  </si>
  <si>
    <t>Calle Villafranca, 34, 24001 León</t>
  </si>
  <si>
    <t>Fetosal</t>
  </si>
  <si>
    <t>Calle Esla, 1, 24010 León</t>
  </si>
  <si>
    <t>fetosal.com</t>
  </si>
  <si>
    <t>987 26 26 41</t>
  </si>
  <si>
    <t>cosmomedia@cosmomedia.es</t>
  </si>
  <si>
    <t>Sagimar</t>
  </si>
  <si>
    <t>Calle Moisés de León, 0, 24006 León</t>
  </si>
  <si>
    <t>987 25 66 99</t>
  </si>
  <si>
    <t>Fontaneria Calefaccion Villa</t>
  </si>
  <si>
    <t>Calle San Guillermo, 36, 24006 León</t>
  </si>
  <si>
    <t>Retec C B</t>
  </si>
  <si>
    <t>Calle San Juan de la Cruz, 3, 24010 Trobajo del Camino, León</t>
  </si>
  <si>
    <t>Trobajo del Camino</t>
  </si>
  <si>
    <t>659 29 77 57</t>
  </si>
  <si>
    <t>Juan José Martín Martínez</t>
  </si>
  <si>
    <t>Calle Via Augusta, 69, 24010 San Andrés del Rabanedo, León</t>
  </si>
  <si>
    <t>San Andrés del Rabanedo</t>
  </si>
  <si>
    <t>987 87 44 32</t>
  </si>
  <si>
    <t>Daniel Sacristán Laguna</t>
  </si>
  <si>
    <t>Calle Padre Javier de Valladolid, 1, 24005 León</t>
  </si>
  <si>
    <t>987 21 17 59</t>
  </si>
  <si>
    <t>Tecfontcal</t>
  </si>
  <si>
    <t>Calle, Arrabal San Madrid, s/n, 24005 León</t>
  </si>
  <si>
    <t>tecfontcal.com</t>
  </si>
  <si>
    <t>987 26 21 68</t>
  </si>
  <si>
    <t>comercial@tecfontcal.com</t>
  </si>
  <si>
    <t>Julio Montalvo Velilla</t>
  </si>
  <si>
    <t>Calle las Presillas, 8, 24010 Trobajo del Camino, León</t>
  </si>
  <si>
    <t>987 80 12 89</t>
  </si>
  <si>
    <t>Manuel Navarro Flórez</t>
  </si>
  <si>
    <t>Av. Facultad de Veterinaria, 59, 24004 León</t>
  </si>
  <si>
    <t>987 20 99 70</t>
  </si>
  <si>
    <t>Regentino Aller Campano</t>
  </si>
  <si>
    <t>Av. de San Andrés, 57, 24191 San Andrés del Rabanedo, León</t>
  </si>
  <si>
    <t>987 22 88 00</t>
  </si>
  <si>
    <t>José María Prieto Manzano Y Otro C B</t>
  </si>
  <si>
    <t>Calle Marqués de Sta. María del Villar, 6, 24007 León</t>
  </si>
  <si>
    <t>987 22 66 50</t>
  </si>
  <si>
    <t>Leon fontaneria y calefacción</t>
  </si>
  <si>
    <t>641 55 29 41</t>
  </si>
  <si>
    <t>Rubén Cuervo</t>
  </si>
  <si>
    <t>Plaza Bierzo, 4, 24010 León</t>
  </si>
  <si>
    <t>636 65 88 68</t>
  </si>
  <si>
    <t>Oscar López Robles</t>
  </si>
  <si>
    <t>Calle Marcelino Elosúa, 17, 24008 León</t>
  </si>
  <si>
    <t>987 80 33 75</t>
  </si>
  <si>
    <t>Representaciones Tomillo S L</t>
  </si>
  <si>
    <t>Av. República Argentina, 31, 24004 León</t>
  </si>
  <si>
    <t>987 20 22 96</t>
  </si>
  <si>
    <t>Alonso Calefacción</t>
  </si>
  <si>
    <t>Calle Tarifa, 6, 24193 Navatejera, León</t>
  </si>
  <si>
    <t>Navatejera</t>
  </si>
  <si>
    <t>679 49 00 06</t>
  </si>
  <si>
    <t>Jesica Augusto Díez</t>
  </si>
  <si>
    <t>Calle Roa de la Vega, 8, 24002 León</t>
  </si>
  <si>
    <t>987 80 04 25</t>
  </si>
  <si>
    <t>Gonzalo Crespo</t>
  </si>
  <si>
    <t>Calle Voluntario Ángel Soto, 2, 24010 Trobajo del Camino, León</t>
  </si>
  <si>
    <t>gonzalocresposl.com</t>
  </si>
  <si>
    <t>987 80 62 35</t>
  </si>
  <si>
    <t>Valmont</t>
  </si>
  <si>
    <t>Av. Suero de Quiñones, 11, 24002 León</t>
  </si>
  <si>
    <t>987 24 55 65</t>
  </si>
  <si>
    <t>Suministros Ricardo Chao, S.L.</t>
  </si>
  <si>
    <t>Carretera Madrid km., km. 321, 24227 Valdelafuente, León</t>
  </si>
  <si>
    <t>Valdelafuente</t>
  </si>
  <si>
    <t>grupochao.com</t>
  </si>
  <si>
    <t>987 26 08 15</t>
  </si>
  <si>
    <t>info@ricardochao.com</t>
  </si>
  <si>
    <t>Blanco Marcilla F</t>
  </si>
  <si>
    <t>Calle del Mirador, 57, 24009 Oteruelo de la Valdoncina, León</t>
  </si>
  <si>
    <t>Oteruelo de la Valdoncina</t>
  </si>
  <si>
    <t>987 20 88 40</t>
  </si>
  <si>
    <t>Evangelino Gallego García</t>
  </si>
  <si>
    <t>Travesía Fuentina 2, 2 ( Segunda ), 24193 Navatejera, León</t>
  </si>
  <si>
    <t>615 18 88 28</t>
  </si>
  <si>
    <t>Renerbi</t>
  </si>
  <si>
    <t>Calle Galicia, 464, 24007 León</t>
  </si>
  <si>
    <t>987 45 55 95</t>
  </si>
  <si>
    <t>Vicente León Fernández</t>
  </si>
  <si>
    <t>Calle de la Alcoholera, 0, 24197 Villanueva del Árbol, León</t>
  </si>
  <si>
    <t>Villanueva del Árbol</t>
  </si>
  <si>
    <t>987 28 15 02</t>
  </si>
  <si>
    <t>Av. San Antonio, 53, 24196 Carbajal de la Legua, León</t>
  </si>
  <si>
    <t>Carbajal de la Legua</t>
  </si>
  <si>
    <t>987 28 88 31</t>
  </si>
  <si>
    <t>Carbones Y Gasóleos Rodríguez Mirantes S A</t>
  </si>
  <si>
    <t>Carr. Caboalles, 24191 Villabalter, León</t>
  </si>
  <si>
    <t>Suministros Para la Fontanería y Calefacción</t>
  </si>
  <si>
    <t>Carretera Madrid, 0 km 0322 , 0 (Polígono), 24227 Arcahueja, León</t>
  </si>
  <si>
    <t>Arcahueja</t>
  </si>
  <si>
    <t>987 20 55 37</t>
  </si>
  <si>
    <t>Guillermo Herrera Rovira</t>
  </si>
  <si>
    <t>Urbanización Vega, 5 ( La, 24391 Santovenia de la Valdoncina, León</t>
  </si>
  <si>
    <t>Santovenia de la Valdoncina</t>
  </si>
  <si>
    <t>987 28 11 27</t>
  </si>
  <si>
    <t>Vicasa León S C</t>
  </si>
  <si>
    <t>Calle Calderón de la Barca, 15, 24391 Quintana de Raneros, León</t>
  </si>
  <si>
    <t>Quintana de Raneros</t>
  </si>
  <si>
    <t>Serviagualeon</t>
  </si>
  <si>
    <t>Calle Iglesia, 8, 24199 Alija de la Ribera, León</t>
  </si>
  <si>
    <t>Alija de la Ribera</t>
  </si>
  <si>
    <t>serviagualeon.negocio.site</t>
  </si>
  <si>
    <t>607 65 70 84</t>
  </si>
  <si>
    <t>R V Calefacción</t>
  </si>
  <si>
    <t>Calle Jano, 28, 24391 Ribaseca, León</t>
  </si>
  <si>
    <t>Ribaseca</t>
  </si>
  <si>
    <t>626 70 77 95</t>
  </si>
  <si>
    <t>Grupo Chao</t>
  </si>
  <si>
    <t>Carretera Madrid km., 321, 24227 Valdelafuente, León</t>
  </si>
  <si>
    <t>Caldisa</t>
  </si>
  <si>
    <t>Ctra. Madrid, 0, 24227 Arcahueja, León</t>
  </si>
  <si>
    <t>distribucionesdieguez.com</t>
  </si>
  <si>
    <t>987 21 82 90</t>
  </si>
  <si>
    <t>info@caldisa.es</t>
  </si>
  <si>
    <t>Fontanería y Calefacción Cabero</t>
  </si>
  <si>
    <t>Calle Lorenzo Miguélez, 15, 24350 Veguellina de Órbigo, León</t>
  </si>
  <si>
    <t>Veguellina de Órbigo</t>
  </si>
  <si>
    <t>654 66 83 94</t>
  </si>
  <si>
    <t>Grupo ZZ</t>
  </si>
  <si>
    <t>Av. Entre Puentes, 124, 24763 Requejo de la Vega, León</t>
  </si>
  <si>
    <t>Requejo de la Vega</t>
  </si>
  <si>
    <t>2020grupozz.com</t>
  </si>
  <si>
    <t>608 66 62 38</t>
  </si>
  <si>
    <t>Saneamientos Domingo</t>
  </si>
  <si>
    <t>Plaza Reyes Católicos, 14, 24750 La Bañeza, León</t>
  </si>
  <si>
    <t>La Bañeza</t>
  </si>
  <si>
    <t>987 64 01 95</t>
  </si>
  <si>
    <t>Instalaciones Del Jamuz S L</t>
  </si>
  <si>
    <t>Plaza Tierras Bañezanas, 9, 24750 La Bañeza, León</t>
  </si>
  <si>
    <t>instalacionesdeljamuz.es</t>
  </si>
  <si>
    <t>987 64 44 64</t>
  </si>
  <si>
    <t>Fontaneria, Calefaccion y Saneamiento - David Alonso Escudero</t>
  </si>
  <si>
    <t>Travesía Sopeña, 6, 24710 San Justo de la Vega, León</t>
  </si>
  <si>
    <t>San Justo de la Vega</t>
  </si>
  <si>
    <t>638 06 96 46</t>
  </si>
  <si>
    <t>Roybencal S L</t>
  </si>
  <si>
    <t>Calle los Rosales, 6, 24830 Barrio Estación, León</t>
  </si>
  <si>
    <t>Barrio Estación</t>
  </si>
  <si>
    <t>669 10 44 13</t>
  </si>
  <si>
    <t>Francisco Alonso Fernández</t>
  </si>
  <si>
    <t>Calle Ugidos, 1, 24240 Santa María del Páramo, León</t>
  </si>
  <si>
    <t>Santa María del Páramo</t>
  </si>
  <si>
    <t>987 35 00 13</t>
  </si>
  <si>
    <t>FONTANERIA LEANDRO</t>
  </si>
  <si>
    <t>Calle el Colegio Viejo, 21, 24800 Cistierna, León</t>
  </si>
  <si>
    <t>987 70 10 10</t>
  </si>
  <si>
    <t>Ferdelasi</t>
  </si>
  <si>
    <t>Ctra. General, 601, 0, 24228 Valdefresno, León</t>
  </si>
  <si>
    <t>Valdefresno</t>
  </si>
  <si>
    <t>987 25 11 95</t>
  </si>
  <si>
    <t>Fontanería David Cuervo</t>
  </si>
  <si>
    <t>Carr. de Pandorado, 76, 24700 Astorga, León</t>
  </si>
  <si>
    <t>Astorga</t>
  </si>
  <si>
    <t>650 01 56 88</t>
  </si>
  <si>
    <t>Fontaneria Terman</t>
  </si>
  <si>
    <t>Calle los Barreros, 11, 24767 Santa Elena de Jamuz, León</t>
  </si>
  <si>
    <t>Santa Elena de Jamuz</t>
  </si>
  <si>
    <t>651 93 97 70</t>
  </si>
  <si>
    <t>Enrique Panchón Vilorio</t>
  </si>
  <si>
    <t>Travesía Plazuela, 1, 24792 Altobar de la Encomienda, León</t>
  </si>
  <si>
    <t>636 96 00 73</t>
  </si>
  <si>
    <t>Canalones JH</t>
  </si>
  <si>
    <t>LE ES, Paseo Estación, 2, 3ºC, 24350 Veguellina de Órbigo, León</t>
  </si>
  <si>
    <t>jhcanalones.es</t>
  </si>
  <si>
    <t>609 24 52 13</t>
  </si>
  <si>
    <t>direccion@jhcanalones.com</t>
  </si>
  <si>
    <t>Fontanería y Calefacción Cuervo Carrizo</t>
  </si>
  <si>
    <t>Calle Cueto, 12, 24710 San Justo de la Vega, León</t>
  </si>
  <si>
    <t>646 08 41 48</t>
  </si>
  <si>
    <t>Faustino Río Zapico</t>
  </si>
  <si>
    <t>Calle Juan Ferreras, 7, 24800 Cistierna, León</t>
  </si>
  <si>
    <t>ANGEL PASTRANA REDONDO</t>
  </si>
  <si>
    <t>Calle la Morería, Nº62, 24320 Sahagún, León</t>
  </si>
  <si>
    <t>Sahagún</t>
  </si>
  <si>
    <t>626 78 88 83</t>
  </si>
  <si>
    <t>Leandro Alvarez Luna</t>
  </si>
  <si>
    <t>Ctra. Mayorga, 23, 24320 Sahagún, León</t>
  </si>
  <si>
    <t>987 78 00 48</t>
  </si>
  <si>
    <t>Cayetano Alvarez Alvarez</t>
  </si>
  <si>
    <t>Travesía Arco, 19, 24320 Sahagún, León</t>
  </si>
  <si>
    <t>Pedro Antinio Gonzalesz García</t>
  </si>
  <si>
    <t>Calle Río Esla, 26, 24300 Bembibre, León</t>
  </si>
  <si>
    <t>F Y P Martínez Instalaciones</t>
  </si>
  <si>
    <t>Calle Gerardo Arteaga Abad, 3, 24220 Valderas, León</t>
  </si>
  <si>
    <t>Valderas</t>
  </si>
  <si>
    <t>620 92 00 49</t>
  </si>
  <si>
    <t>Paso Honroso</t>
  </si>
  <si>
    <t>Av de Odón Alonso, 14, 24750 Bañeza (la), León</t>
  </si>
  <si>
    <t>987 65 50 00</t>
  </si>
  <si>
    <t>INSTALACIONES ALONSO</t>
  </si>
  <si>
    <t>Calle Empedrada, 6, 34002 Palencia</t>
  </si>
  <si>
    <t>979 74 01 20</t>
  </si>
  <si>
    <t>INST. VALENTIN LOPEZ, S.L.</t>
  </si>
  <si>
    <t>Calle Guzmán el Bueno, 2, 34002 Palencia</t>
  </si>
  <si>
    <t>979 72 71 57</t>
  </si>
  <si>
    <t>Ynstalia Palencia S.L.</t>
  </si>
  <si>
    <t>Av. de la Comunidad Europea, 52, 34004 Palencia</t>
  </si>
  <si>
    <t>ynstalia.com</t>
  </si>
  <si>
    <t>979 72 34 02</t>
  </si>
  <si>
    <t>Multiservicios Luis A Cano Sl</t>
  </si>
  <si>
    <t>Calle Mayor Principal, 4, 34001 Palencia</t>
  </si>
  <si>
    <t>multiservicioscano.com</t>
  </si>
  <si>
    <t>979 71 34 22</t>
  </si>
  <si>
    <t>info@multiservicioscano.com</t>
  </si>
  <si>
    <t>Desatascos Alde</t>
  </si>
  <si>
    <t>Calle Juan de Castilla, 2, 34001 Palencia</t>
  </si>
  <si>
    <t>alde.grupoalde.es</t>
  </si>
  <si>
    <t>900 828 965</t>
  </si>
  <si>
    <t>Climapal S.L.</t>
  </si>
  <si>
    <t>Av. Modesto Lafuente, 1, 34002 Palencia</t>
  </si>
  <si>
    <t>979 72 58 22</t>
  </si>
  <si>
    <t>INSTALACIONES ALSER, S.L.</t>
  </si>
  <si>
    <t>Av. Campos Góticos, 61, BAJO, 34003 Palencia</t>
  </si>
  <si>
    <t>685 30 71 17</t>
  </si>
  <si>
    <t>Fonkepal</t>
  </si>
  <si>
    <t>Abarca de Campos</t>
  </si>
  <si>
    <t>675 35 33 82</t>
  </si>
  <si>
    <t>Gas Alonso SLU</t>
  </si>
  <si>
    <t>Av. de los Vacceos, 3, 34003 Palencia</t>
  </si>
  <si>
    <t>979 74 97 23</t>
  </si>
  <si>
    <t>Fco José Mancho de Arriba</t>
  </si>
  <si>
    <t>Paseo los Frailes, 9, 34002 Palencia</t>
  </si>
  <si>
    <t>644 31 79 91</t>
  </si>
  <si>
    <t>Fontaneria Maldonado</t>
  </si>
  <si>
    <t>Calle Juan Bravo, 12A, 34003 Palencia</t>
  </si>
  <si>
    <t>Fontanería Calefacción y Gas</t>
  </si>
  <si>
    <t>Calle Empedrada, 1, 34002 Palencia</t>
  </si>
  <si>
    <t>657 80 54 75</t>
  </si>
  <si>
    <t>Ramón Caminero Antolinez</t>
  </si>
  <si>
    <t>Calle Menéndez Pidal, 3, 34004 Palencia</t>
  </si>
  <si>
    <t>ANJULE S.L.</t>
  </si>
  <si>
    <t>Calle Andalucía, 74, 34004 Palencia</t>
  </si>
  <si>
    <t>anjule.es</t>
  </si>
  <si>
    <t>979 72 03 43</t>
  </si>
  <si>
    <t>info@anjule.es</t>
  </si>
  <si>
    <t>Juan Carlos Prieto Julián</t>
  </si>
  <si>
    <t>979 74 50 12</t>
  </si>
  <si>
    <t>Buenaventrua Suministros y Obras</t>
  </si>
  <si>
    <t>Calle Juan Ramon Jimenez, 9, 34001 Palencia</t>
  </si>
  <si>
    <t>Fontanería Pedrosa</t>
  </si>
  <si>
    <t>Ctra. Burgos, 21, local, 34200 Venta de Baños, Palencia</t>
  </si>
  <si>
    <t>Venta de Baños</t>
  </si>
  <si>
    <t>fontaneriaycalefaccionpedrosa.com</t>
  </si>
  <si>
    <t>615 48 83 77</t>
  </si>
  <si>
    <t>raulpedrosa1@hotmail.com</t>
  </si>
  <si>
    <t>DAMASER INSTALACIONES Y MULTISERVICIOS</t>
  </si>
  <si>
    <t>Cdad. Jardín Virgen del Milagro, 12, local, 34190 Villamuriel de Cerrato, Palencia</t>
  </si>
  <si>
    <t>691 93 32 41</t>
  </si>
  <si>
    <t>Jesús Manuel Porral Garmendia</t>
  </si>
  <si>
    <t>Calle Juan Sebastián Elcano, 5, 34200 Venta de Baños, Palencia</t>
  </si>
  <si>
    <t>Desatascos ValMa Valladolid</t>
  </si>
  <si>
    <t>Paseo de Zorrilla, 157, 6c, 47008 Valladolid</t>
  </si>
  <si>
    <t>desatascosvalma.com</t>
  </si>
  <si>
    <t>678 56 95 04</t>
  </si>
  <si>
    <t>info@desatascosvalma.com</t>
  </si>
  <si>
    <t>Instalaciones Ortega</t>
  </si>
  <si>
    <t>C. los Caños, 45, BAJO;LOCAL, 34440 Frómista, Palencia</t>
  </si>
  <si>
    <t>Frómista</t>
  </si>
  <si>
    <t>instalacionesortega.es</t>
  </si>
  <si>
    <t>629 08 04 27</t>
  </si>
  <si>
    <t>info@instalacionesortega.es</t>
  </si>
  <si>
    <t>Fontanería Y Calefacción Calzada</t>
  </si>
  <si>
    <t>Calle Felipe II, 4, 34200 Venta de Baños, Palencia</t>
  </si>
  <si>
    <t>fontaneriaycalefaccioncalzada.com</t>
  </si>
  <si>
    <t>654 51 60 33</t>
  </si>
  <si>
    <t>info@fontaneriaycalefaccioncalzada.com</t>
  </si>
  <si>
    <t>Juan Sáiz Merino</t>
  </si>
  <si>
    <t>Calle Anselmo Arenillas, 7, 34250 Quintana del Puente, Palencia</t>
  </si>
  <si>
    <t>Quintana del Puente</t>
  </si>
  <si>
    <t>AGE fontaneria y calefaccion</t>
  </si>
  <si>
    <t>632 54 56 44</t>
  </si>
  <si>
    <t>Fugas de Agua - Desatranques - Fontanería Iván Mesa</t>
  </si>
  <si>
    <t>Calle Miguel de Unamuno, 17, 47008 Valladolid</t>
  </si>
  <si>
    <t>ivanmesa.com</t>
  </si>
  <si>
    <t>675 98 44 50</t>
  </si>
  <si>
    <t>fontaneria.ivan@yahoo.es</t>
  </si>
  <si>
    <t>Desatascos Valladolid Gescal</t>
  </si>
  <si>
    <t>Calle Plata, 14, 47012 Valladolid</t>
  </si>
  <si>
    <t>desatascosgescal.com</t>
  </si>
  <si>
    <t>660 41 46 08</t>
  </si>
  <si>
    <t>info@desatascosgescal.com</t>
  </si>
  <si>
    <t>Jesús Duque Celix</t>
  </si>
  <si>
    <t>Calle Lavapiés, 0, 34450 Astudillo, Palencia</t>
  </si>
  <si>
    <t>Astudillo</t>
  </si>
  <si>
    <t>979 82 22 01</t>
  </si>
  <si>
    <t>Miguel Angel Martinez López S. L.</t>
  </si>
  <si>
    <t>Ctra. Cramagdalena, 1D, 34880 Guardo, Palencia</t>
  </si>
  <si>
    <t>979 85 14 97</t>
  </si>
  <si>
    <t>Fontanería David De La Gala</t>
  </si>
  <si>
    <t>Calle Albariza, 9, BAJO, 34880 Guardo, Palencia</t>
  </si>
  <si>
    <t>607 81 00 57</t>
  </si>
  <si>
    <t>Ramiro Zorita Pérez</t>
  </si>
  <si>
    <t>Calle Carlos Casado del Alisal, 59, 34340 Villada, Palencia</t>
  </si>
  <si>
    <t>Villada</t>
  </si>
  <si>
    <t>Manuel Miguel Martín</t>
  </si>
  <si>
    <t>Calle Calvo Sotelo, 10, 34480 Alar del Rey, Palencia</t>
  </si>
  <si>
    <t>Alar del Rey</t>
  </si>
  <si>
    <t>979 13 33 28</t>
  </si>
  <si>
    <t>Instalaciones Priero S L</t>
  </si>
  <si>
    <t>Calle Poligono Industrial, 0, 34100 Saldaña, Palencia</t>
  </si>
  <si>
    <t>Saldaña</t>
  </si>
  <si>
    <t>979 89 00 07</t>
  </si>
  <si>
    <t>Fontanería Hermanos Rodríguez Sastre</t>
  </si>
  <si>
    <t>Ronda Don García, 14, 16, 34100 Saldaña, Palencia</t>
  </si>
  <si>
    <t>626 64 45 79</t>
  </si>
  <si>
    <t>Fontanería Aceña</t>
  </si>
  <si>
    <t>Calle de Palencia, 23, 28020 Madrid</t>
  </si>
  <si>
    <t>fontaneriaacena.es</t>
  </si>
  <si>
    <t>652 89 20 92</t>
  </si>
  <si>
    <t>info@fontaneriaacena.es</t>
  </si>
  <si>
    <t>Aircal - Fontanería y Calefacción</t>
  </si>
  <si>
    <t>Calle Barquillo, 14, 34400 Herrera de Pisuerga, Palencia</t>
  </si>
  <si>
    <t>Herrera de Pisuerga</t>
  </si>
  <si>
    <t>979 13 00 07</t>
  </si>
  <si>
    <t>Villacorta Merino</t>
  </si>
  <si>
    <t>Av. Explosivos, 33, 34880 Guardo, Palencia</t>
  </si>
  <si>
    <t>Fontanería M. García</t>
  </si>
  <si>
    <t>Calle de Palencia, 42, 28020 Madrid</t>
  </si>
  <si>
    <t>658 28 61 98</t>
  </si>
  <si>
    <t>Vega Oil 2000 S L</t>
  </si>
  <si>
    <t>Poligono Industrial, 19, 34100 Saldaña, Palencia</t>
  </si>
  <si>
    <t>901 11 19 79</t>
  </si>
  <si>
    <t>PEPE FONTA</t>
  </si>
  <si>
    <t>Calle Ntra. Sra. del Carmen, 36, 34480 Alar del Rey, Palencia</t>
  </si>
  <si>
    <t>617 95 99 74</t>
  </si>
  <si>
    <t>Gescal Desatascos, Fosas Septicas, pozos de bombeo, Obras en red de saneamiento</t>
  </si>
  <si>
    <t>Cl. Cobalto, 26, 47012 Valladolid</t>
  </si>
  <si>
    <t>Ebora Group</t>
  </si>
  <si>
    <t>Calle Buril, 2, 28400 Collado Villalba, Madrid</t>
  </si>
  <si>
    <t>918 53 55 67</t>
  </si>
  <si>
    <t>Fontaneria Pablo Sánchez</t>
  </si>
  <si>
    <t>Paseo de los Robles, 43, 37004 Salamanca</t>
  </si>
  <si>
    <t>661 19 20 93</t>
  </si>
  <si>
    <t>Desatascos Andres</t>
  </si>
  <si>
    <t>Calle Herreros, 1, 37006 Salamanca</t>
  </si>
  <si>
    <t>desatascosandres.negocio.site</t>
  </si>
  <si>
    <t>644 61 32 92</t>
  </si>
  <si>
    <t>Fontanería Sin Obra FSD</t>
  </si>
  <si>
    <t>Calle María Auxiliadora, 78, 37004 Salamanca</t>
  </si>
  <si>
    <t>fontaneriasinobrasalamanca.es</t>
  </si>
  <si>
    <t>923 12 25 78</t>
  </si>
  <si>
    <t>info@fontaneriasinobra.es</t>
  </si>
  <si>
    <t>BECAL Fontanería Salamanca</t>
  </si>
  <si>
    <t>Av. Campoamor, 13, 37003 Salamanca</t>
  </si>
  <si>
    <t>becal.es</t>
  </si>
  <si>
    <t>923 99 34 68</t>
  </si>
  <si>
    <t>simple-line-icons@2.4.1</t>
  </si>
  <si>
    <t>Saneamientos Daniel</t>
  </si>
  <si>
    <t>Calle Wences Moreno, 4, 37007 Salamanca</t>
  </si>
  <si>
    <t>923 22 75 49</t>
  </si>
  <si>
    <t>Fontanería y Calefacción Salamanca</t>
  </si>
  <si>
    <t>Calle Camelias, 1, 37004 Salamanca</t>
  </si>
  <si>
    <t>fontaneriaycalefaccionsalamanca.com</t>
  </si>
  <si>
    <t>629 08 42 23</t>
  </si>
  <si>
    <t>Riegos Saneamientos Calefacción Jose - Avenida de Portugal</t>
  </si>
  <si>
    <t>Calle Pereda, 4, 37004 Salamanca</t>
  </si>
  <si>
    <t>riegosjose.com</t>
  </si>
  <si>
    <t>923 24 98 15</t>
  </si>
  <si>
    <t>Sucesores De Juan Sánchez Alonso</t>
  </si>
  <si>
    <t>Calle Saavedra y Fajardo, 32, 37008 Salamanca</t>
  </si>
  <si>
    <t>923 21 95 81</t>
  </si>
  <si>
    <t>https://fontanerosalamanca.blogspot.com/</t>
  </si>
  <si>
    <t>Paseo de la Estación, 100, 37004 Salamanca</t>
  </si>
  <si>
    <t>fontasalamanca.blogspot.com</t>
  </si>
  <si>
    <t>655 75 63 58</t>
  </si>
  <si>
    <t>FONTANERIA Y CALEFACCION SALAMANCA</t>
  </si>
  <si>
    <t>Calle de Miguel Ángel, 2, 37008 Salamanca</t>
  </si>
  <si>
    <t>625 61 55 00</t>
  </si>
  <si>
    <t>Fontaneria Sin Obras CyL</t>
  </si>
  <si>
    <t>Av. de los Cedros, 14, 37004 Salamanca</t>
  </si>
  <si>
    <t>fontaneriasinobrascyl.es</t>
  </si>
  <si>
    <t>633 69 82 24</t>
  </si>
  <si>
    <t>Fontanería Antonio Amaro</t>
  </si>
  <si>
    <t>Calle Ónice, 1, 37006 Salamanca</t>
  </si>
  <si>
    <t>fontaneriaantonioamaro.es</t>
  </si>
  <si>
    <t>923 25 39 37</t>
  </si>
  <si>
    <t>atencionalcliente@qdqmedia.com</t>
  </si>
  <si>
    <t>RECICANAL SALAMANCA</t>
  </si>
  <si>
    <t>Polígono Industrial los Villares, Calle Robledo, 34, 37184 Salamanca</t>
  </si>
  <si>
    <t>636 99 17 70</t>
  </si>
  <si>
    <t>Riegos Saneamientos Calefacción Jose - Exposición Salamanca</t>
  </si>
  <si>
    <t>Avenida de Portugal, 23, 37004 Salamanca</t>
  </si>
  <si>
    <t>923 24 66 21</t>
  </si>
  <si>
    <t>Riegos Saneamientos Calefacción Jose - Polígono industrial Montalvo III</t>
  </si>
  <si>
    <t>Calle Segunda, 28, 37188 Carbajosa de la Sagrada, Salamanca</t>
  </si>
  <si>
    <t>Carbajosa de la Sagrada</t>
  </si>
  <si>
    <t>923 19 76 50</t>
  </si>
  <si>
    <t>Fontanería Manuel Sánchez</t>
  </si>
  <si>
    <t>Abusejo</t>
  </si>
  <si>
    <t>670 78 56 10</t>
  </si>
  <si>
    <t>Hijo De Rufino Sánchez</t>
  </si>
  <si>
    <t>Calle Fernando de Rojas, 17, 37005 Salamanca</t>
  </si>
  <si>
    <t>923 22 35 49</t>
  </si>
  <si>
    <t>Fontanería Arranz</t>
  </si>
  <si>
    <t>Calle Camelias, 5, 37004 Salamanca</t>
  </si>
  <si>
    <t>Fontaneria Edisson</t>
  </si>
  <si>
    <t>Calle Edisson, 1, 37007 Salamanca</t>
  </si>
  <si>
    <t>Suministros Izard</t>
  </si>
  <si>
    <t>Calle Segunda, 40, 37188 Carbajosa de la Sagrada, Salamanca</t>
  </si>
  <si>
    <t>izard.net</t>
  </si>
  <si>
    <t>923 19 11 08</t>
  </si>
  <si>
    <t>info@izard.net</t>
  </si>
  <si>
    <t>Alcasa Castilla</t>
  </si>
  <si>
    <t>Calle Pasteur, 33, 37184 Salamanca</t>
  </si>
  <si>
    <t>alcasasaturno.es</t>
  </si>
  <si>
    <t>923 28 24 56</t>
  </si>
  <si>
    <t>Instalaciones Gas y Calefacción</t>
  </si>
  <si>
    <t>Calle Pintores, 24, 37006 Salamanca</t>
  </si>
  <si>
    <t>Evaristo González Barrado</t>
  </si>
  <si>
    <t>Calle Lilas, 2, 37004 Salamanca</t>
  </si>
  <si>
    <t>923 25 36 73</t>
  </si>
  <si>
    <t>FonClisa S.L.</t>
  </si>
  <si>
    <t>Plaza de la Libertad, 6, 37187 Aldeatejada, Salamanca</t>
  </si>
  <si>
    <t>Aldeatejada</t>
  </si>
  <si>
    <t>fonclisa.com</t>
  </si>
  <si>
    <t>923 42 22 22</t>
  </si>
  <si>
    <t>Francisco Javier Cabrero Calvo</t>
  </si>
  <si>
    <t>Av. Hilario Goyenechea, 29, 37008 Salamanca</t>
  </si>
  <si>
    <t>923 21 94 64</t>
  </si>
  <si>
    <t>Salvador García</t>
  </si>
  <si>
    <t>Calle Hernán Cortés, 19, 37003 Salamanca</t>
  </si>
  <si>
    <t>Manuel Ángel Mateos Pascual</t>
  </si>
  <si>
    <t>Plaza Ladislao Sánchez, 3, 37008 Salamanca</t>
  </si>
  <si>
    <t>Riegos Saneamientos Calefaccion Jose - Polígono industrial Villares de la Reina</t>
  </si>
  <si>
    <t>Calle Valderas, 45, 37184 Villares de la Reina, Salamanca</t>
  </si>
  <si>
    <t>Villares de la Reina</t>
  </si>
  <si>
    <t>923 20 42 16</t>
  </si>
  <si>
    <t>Manuel Martín Blanco</t>
  </si>
  <si>
    <t>Calle del Maestro Valverde, 16, 37008 Salamanca</t>
  </si>
  <si>
    <t>Miguel Ángel Montejo Blanco</t>
  </si>
  <si>
    <t>Calle Dr. Navarro, 4, 37006 Salamanca</t>
  </si>
  <si>
    <t>609 82 13 90</t>
  </si>
  <si>
    <t>Reformas jbo (Jose)</t>
  </si>
  <si>
    <t>reformas-jbo-jose.negocio.site</t>
  </si>
  <si>
    <t>608 53 73 71</t>
  </si>
  <si>
    <t>Reformas Marcos</t>
  </si>
  <si>
    <t>Calle Buen Pastor, 4, 37006 Salamanca</t>
  </si>
  <si>
    <t>666 79 68 74</t>
  </si>
  <si>
    <t>Sebastián Cortés Yenes</t>
  </si>
  <si>
    <t>Calle Padre Suárez, 9, 37003 Salamanca</t>
  </si>
  <si>
    <t>Juan Luis Montero Merchán</t>
  </si>
  <si>
    <t>Calle Sancho Panza, 37006 Salamanca</t>
  </si>
  <si>
    <t>923 98 93 03</t>
  </si>
  <si>
    <t>Jsn - Fontaneria Calefaccion Y Gas</t>
  </si>
  <si>
    <t>Avenida de Portugal, 135, 37006 Salamanca</t>
  </si>
  <si>
    <t>654 12 80 26</t>
  </si>
  <si>
    <t>RTSO Fontaneria Sin Obras Salamanca</t>
  </si>
  <si>
    <t>Ctra. Zamora, 113, 37189 Aldeaseca de la Armuña, Salamanca</t>
  </si>
  <si>
    <t>Aldeaseca de la Armuña</t>
  </si>
  <si>
    <t>rtso.es</t>
  </si>
  <si>
    <t>600 97 19 72</t>
  </si>
  <si>
    <t>info@rtso.es</t>
  </si>
  <si>
    <t>Saneamientos Toribio</t>
  </si>
  <si>
    <t>Av. de los Comuneros, 39, 37003 Salamanca</t>
  </si>
  <si>
    <t>Manuel Alonso García</t>
  </si>
  <si>
    <t>Calle Santiago Martín &amp;quot;El Viti&amp;quot;, 34, 37900 Santa Marta de Tormes, Salamanca</t>
  </si>
  <si>
    <t>Santa Marta de Tormes</t>
  </si>
  <si>
    <t>923 13 84 58</t>
  </si>
  <si>
    <t>Matías Marcos Hernández</t>
  </si>
  <si>
    <t>Calle Marineros, 30, 37006 Salamanca</t>
  </si>
  <si>
    <t>Luis Teodoro López Guerra</t>
  </si>
  <si>
    <t>Calle Don Quijote, 1, 37006 Salamanca</t>
  </si>
  <si>
    <t>Hernández De Carbones S L</t>
  </si>
  <si>
    <t>Ctra. Fregeneda, 4, 37008 Salamanca</t>
  </si>
  <si>
    <t>Trinova S L L</t>
  </si>
  <si>
    <t>Suyser Hosteleria Integral, S.L., Calle Mercurio, 11, 37184 Salamanca</t>
  </si>
  <si>
    <t>923 19 66 38</t>
  </si>
  <si>
    <t>Suyser Hosteleria Integral, S.L., Calle Lima, 8, 37184 Salamanca</t>
  </si>
  <si>
    <t>Instalaciones González Marcos</t>
  </si>
  <si>
    <t>Calle Río Águeda, 10, 37190 Terradillos, Salamanca</t>
  </si>
  <si>
    <t>Terradillos</t>
  </si>
  <si>
    <t>687 76 69 27</t>
  </si>
  <si>
    <t>Miguel Mateos Soto</t>
  </si>
  <si>
    <t>Camino de Salamanca, 0, 37193 Cabrerizos, Salamanca</t>
  </si>
  <si>
    <t>Cabrerizos</t>
  </si>
  <si>
    <t>María del Carmen Pérez Martínez</t>
  </si>
  <si>
    <t>Calle Constitución, 10, 37181 Pelabravo, Salamanca</t>
  </si>
  <si>
    <t>Pelabravo</t>
  </si>
  <si>
    <t>Heliodoro Martín García</t>
  </si>
  <si>
    <t>Calle Vereda, 14, 37350 Aldealengua, Salamanca</t>
  </si>
  <si>
    <t>Aldealengua</t>
  </si>
  <si>
    <t>Santiago Martín González</t>
  </si>
  <si>
    <t>Calle San Antonio, 10, 37330 Babilafuente, Salamanca</t>
  </si>
  <si>
    <t>Babilafuente</t>
  </si>
  <si>
    <t>Instalaciones Dosa Guijuelo S L</t>
  </si>
  <si>
    <t>Calle Filiberto Villalobos, 105, 37770 Guijuelo, Salamanca</t>
  </si>
  <si>
    <t>Guijuelo</t>
  </si>
  <si>
    <t>instalacionesdosa.es</t>
  </si>
  <si>
    <t>923 58 20 23</t>
  </si>
  <si>
    <t>info@instalacionesdosa.es</t>
  </si>
  <si>
    <t>Manuel Jesús Calama Navarro</t>
  </si>
  <si>
    <t>Calle Salamanca, 13, 37766 Endrinal, Salamanca</t>
  </si>
  <si>
    <t>Endrinal</t>
  </si>
  <si>
    <t>609 33 24 23</t>
  </si>
  <si>
    <t>Hermanos Ratón</t>
  </si>
  <si>
    <t>Calle de Salamanca, 57, 49028 Zamora</t>
  </si>
  <si>
    <t>fontaneriacalefaccionzamora.com</t>
  </si>
  <si>
    <t>980 53 03 82</t>
  </si>
  <si>
    <t>Cesáreo Hernández Nieto</t>
  </si>
  <si>
    <t>Calle Altozano, 37740 Santibáñez de Béjar, Salamanca</t>
  </si>
  <si>
    <t>Santibáñez de Béjar</t>
  </si>
  <si>
    <t>Suministros San José</t>
  </si>
  <si>
    <t>Carr. de Salamanca, 37, 37500 Cdad. Rodrigo, Salamanca</t>
  </si>
  <si>
    <t>Cdad. Rodrigo</t>
  </si>
  <si>
    <t>923 48 02 48</t>
  </si>
  <si>
    <t>FONTANERÍA ZAZO</t>
  </si>
  <si>
    <t>Calle de Salamanca, 55, 49028 Zamora</t>
  </si>
  <si>
    <t>653 61 11 63</t>
  </si>
  <si>
    <t>Carlos Vaquero Mateos</t>
  </si>
  <si>
    <t>Calle Fuente Abajo, 55, 37260 Villavieja de Yeltes, Salamanca</t>
  </si>
  <si>
    <t>Villavieja de Yeltes</t>
  </si>
  <si>
    <t>Fontaneria Redondo</t>
  </si>
  <si>
    <t>Calle de Hernán Cortés, 9, 37300 Peñaranda de Bracamonte, Salamanca</t>
  </si>
  <si>
    <t>fontaneriaredondo.es</t>
  </si>
  <si>
    <t>923 54 14 79</t>
  </si>
  <si>
    <t>info@fontaneriaredondo.es</t>
  </si>
  <si>
    <t>Saneamientos José Martín</t>
  </si>
  <si>
    <t>Calle San Roque, 58, 37210 Vitigudino, Salamanca</t>
  </si>
  <si>
    <t>Vitigudino</t>
  </si>
  <si>
    <t>923 50 12 79</t>
  </si>
  <si>
    <t>García, M. Hernández</t>
  </si>
  <si>
    <t>Calle Paz, 2, 37770 Guijuelo, Salamanca</t>
  </si>
  <si>
    <t>Iscalfon S L</t>
  </si>
  <si>
    <t>Calle Luz Baja, 21, 37300 Peñaranda de Bracamonte, Salamanca</t>
  </si>
  <si>
    <t>923 54 22 11</t>
  </si>
  <si>
    <t>Amh Fontanería</t>
  </si>
  <si>
    <t>Calle de Béjar, 26, 28028 Madrid</t>
  </si>
  <si>
    <t>amhfontaneria.es</t>
  </si>
  <si>
    <t>913 61 28 56</t>
  </si>
  <si>
    <t>amh_fontaneria@yahoo.es</t>
  </si>
  <si>
    <t>Instalaciones Sanitarias Vela Martin</t>
  </si>
  <si>
    <t>Calle PROGRESO (POL. IND. AGUAS MALAS), 13, 37760 Linares de Riofrío, Salamanca</t>
  </si>
  <si>
    <t>Linares de Riofrío</t>
  </si>
  <si>
    <t>isvelamartin.com</t>
  </si>
  <si>
    <t>649 87 39 48</t>
  </si>
  <si>
    <t>Fontanería Angel Gómez S L</t>
  </si>
  <si>
    <t>Calle de Castelló, 5, 28001 Madrid</t>
  </si>
  <si>
    <t>670 58 66 47</t>
  </si>
  <si>
    <t>Calle del General Díaz Porlier, 67, 28006 Madrid</t>
  </si>
  <si>
    <t>Inspania</t>
  </si>
  <si>
    <t>Calle Fuente Nava, 18, 37500 Cdad. Rodrigo, Salamanca</t>
  </si>
  <si>
    <t>inspania.es</t>
  </si>
  <si>
    <t>923 60 92 41</t>
  </si>
  <si>
    <t>info@inspania.es</t>
  </si>
  <si>
    <t>Fontanero En Tu Zona</t>
  </si>
  <si>
    <t>Calle de Leganitos, 47, Planta 7, 28013 Madrid</t>
  </si>
  <si>
    <t>fontaneroentuzona.es</t>
  </si>
  <si>
    <t>641 42 67 26</t>
  </si>
  <si>
    <t>Instalaciones Santos Simón S.L.</t>
  </si>
  <si>
    <t>Calle de la Fuente del Berro, 5, 28009 Madrid</t>
  </si>
  <si>
    <t>913 09 26 16</t>
  </si>
  <si>
    <t>Danyarranz Fontanería</t>
  </si>
  <si>
    <t>Calle Atenas, 3, 40005 Segovia</t>
  </si>
  <si>
    <t>fontanerosegovia.es</t>
  </si>
  <si>
    <t>665 30 44 74</t>
  </si>
  <si>
    <t>Saneamientos Casper S. L.</t>
  </si>
  <si>
    <t>Calle Peñalara, 22, 40006 Segovia</t>
  </si>
  <si>
    <t>casper.es</t>
  </si>
  <si>
    <t>921 41 26 33</t>
  </si>
  <si>
    <t>info@casper.es</t>
  </si>
  <si>
    <t>Termoclivet</t>
  </si>
  <si>
    <t>Paseo Ezequiel González, 5, 40002 Segovia</t>
  </si>
  <si>
    <t>722 71 34 95</t>
  </si>
  <si>
    <t>Instalaciones Cotpe</t>
  </si>
  <si>
    <t>Calle de San Antón, 9, 40005 Segovia</t>
  </si>
  <si>
    <t>C Y F Jose&amp;apos;s SL</t>
  </si>
  <si>
    <t>Camino Valseca, 21, 40196 La Lastrilla, Segovia</t>
  </si>
  <si>
    <t>La Lastrilla</t>
  </si>
  <si>
    <t>921 44 01 15</t>
  </si>
  <si>
    <t>De la Calle</t>
  </si>
  <si>
    <t>Calle del Cristo del Mercado, 1, 40005 Segovia</t>
  </si>
  <si>
    <t>921 42 32 01</t>
  </si>
  <si>
    <t>Jesús Velasco Castro</t>
  </si>
  <si>
    <t>Plaza Azorín, 5, 40006 Segovia</t>
  </si>
  <si>
    <t>921 43 05 61</t>
  </si>
  <si>
    <t>Roto y Descosido</t>
  </si>
  <si>
    <t>Av. del Obispo Quesada, 12, 40006 Segovia</t>
  </si>
  <si>
    <t>Segoasistencia Segovia</t>
  </si>
  <si>
    <t>Calle Gremio de los Caldereros, 37, 40195 Segovia</t>
  </si>
  <si>
    <t>segoasistencia.com</t>
  </si>
  <si>
    <t>921 44 53 50</t>
  </si>
  <si>
    <t>CALTAMARC</t>
  </si>
  <si>
    <t>Paseo Ezequiel González, 40002 Segovia</t>
  </si>
  <si>
    <t>El Codo Instalaciones</t>
  </si>
  <si>
    <t>Calle del Puente de la Muerte y de la Vida, 10, 5ºC, 40005 Segovia</t>
  </si>
  <si>
    <t>elcodoinstalaciones.es</t>
  </si>
  <si>
    <t>611 05 72 10</t>
  </si>
  <si>
    <t>clientes@elcodoinstalaciones.es</t>
  </si>
  <si>
    <t>Siro Vázquez S L</t>
  </si>
  <si>
    <t>Av. Hontoria, 82, 40195 Hontoria, Segovia</t>
  </si>
  <si>
    <t>Hontoria</t>
  </si>
  <si>
    <t>921 41 21 07</t>
  </si>
  <si>
    <t>FLUME ( Segovia )</t>
  </si>
  <si>
    <t>Calle Gremio de los Canteros, 89, 40195 Segovia</t>
  </si>
  <si>
    <t>flume.es</t>
  </si>
  <si>
    <t>686 04 77 70</t>
  </si>
  <si>
    <t>Enrique Rubio Lomillos</t>
  </si>
  <si>
    <t>Paseo Cabanillas, 14, 40196 La Lastrilla, Segovia</t>
  </si>
  <si>
    <t>Antonio Virseda Pérez</t>
  </si>
  <si>
    <t>Calle Gremio de los Cinteros, 17, 40195 Hontoria, Segovia</t>
  </si>
  <si>
    <t>921 43 66 29</t>
  </si>
  <si>
    <t>F. Rivilla Anaya S.L.</t>
  </si>
  <si>
    <t>Pol. Ind. Nicomedes García, Calle Abeto Parcela 80, 40140 Valverde del Majano, Segovia</t>
  </si>
  <si>
    <t>Valverde del Majano</t>
  </si>
  <si>
    <t>frivilla.com</t>
  </si>
  <si>
    <t>921 49 06 28</t>
  </si>
  <si>
    <t>info@frivilla.com</t>
  </si>
  <si>
    <t>Juan José Cobos Pacheco</t>
  </si>
  <si>
    <t>Travesía los Linares, 2, 40194 Palazuelos de Eresma, Segovia</t>
  </si>
  <si>
    <t>Palazuelos de Eresma</t>
  </si>
  <si>
    <t>921 44 93 33</t>
  </si>
  <si>
    <t>Jose Ant. Almena</t>
  </si>
  <si>
    <t>Ctra. de Trescasas, 77, 40197 San Cristóbal de Segovia, Segovia</t>
  </si>
  <si>
    <t>San Cristóbal de Segovia</t>
  </si>
  <si>
    <t>921 40 65 16</t>
  </si>
  <si>
    <t>Masfon S.L.</t>
  </si>
  <si>
    <t>Calle el Sauce, 40197 San Cristóbal de Segovia, Segovia</t>
  </si>
  <si>
    <t>921 40 67 78</t>
  </si>
  <si>
    <t>Ciriaco Brañas Morejón</t>
  </si>
  <si>
    <t>Calle Obispo Daniel Llorente, 6, 40006 Segovia</t>
  </si>
  <si>
    <t>Tecnocalor S.L</t>
  </si>
  <si>
    <t>Camino de Trescasas, 24, 40196 La Lastrilla, Segovia</t>
  </si>
  <si>
    <t>tecnocalor.es</t>
  </si>
  <si>
    <t>921 43 34 34</t>
  </si>
  <si>
    <t>Canalones Benito González</t>
  </si>
  <si>
    <t>Calle Mediodía, 12, 40196 Zamarramala, Segovia</t>
  </si>
  <si>
    <t>Zamarramala</t>
  </si>
  <si>
    <t>921 43 11 17</t>
  </si>
  <si>
    <t>Fontaneria y calefacción Segovia</t>
  </si>
  <si>
    <t>Paseo Sta. Isabel, 10, 2ºA, 40100 Real Sitio de San Ildefonso, Segovia</t>
  </si>
  <si>
    <t>Real Sitio de San Ildefonso</t>
  </si>
  <si>
    <t>606 42 93 06</t>
  </si>
  <si>
    <t>CANALONES ZAMARRAMALA</t>
  </si>
  <si>
    <t>Calle Mediodía, 12, 40196 Encinillas, Segovia</t>
  </si>
  <si>
    <t>Encinillas</t>
  </si>
  <si>
    <t>647 46 92 82</t>
  </si>
  <si>
    <t>TEJADOS Y CANALONES JESUS GONZALEZ</t>
  </si>
  <si>
    <t>Calle Fragua, 19, 40195 Hontoria, Segovia</t>
  </si>
  <si>
    <t>tejadosycanalones.com</t>
  </si>
  <si>
    <t>658 56 13 18</t>
  </si>
  <si>
    <t>Elasa</t>
  </si>
  <si>
    <t>Calle Soria, 11, 40004 Segovia</t>
  </si>
  <si>
    <t>921 43 99 40</t>
  </si>
  <si>
    <t>Deripetro S L</t>
  </si>
  <si>
    <t>Calle Los Linares, 0, 40196 San Cristóbal de Segovia, Segovia</t>
  </si>
  <si>
    <t>921 44 44 03</t>
  </si>
  <si>
    <t>Pedro L. Martín Fontanero</t>
  </si>
  <si>
    <t>Ctra. Coruña, 1, 40410 El Espinar, Segovia</t>
  </si>
  <si>
    <t>pedro-fontanero.negocio.site</t>
  </si>
  <si>
    <t>679 41 41 26</t>
  </si>
  <si>
    <t>Manuel Adeva e Hijos; S.L.</t>
  </si>
  <si>
    <t>Travesía Alto del León, 13, 40410 San Rafael, Segovia</t>
  </si>
  <si>
    <t>San Rafael</t>
  </si>
  <si>
    <t>921 17 11 01</t>
  </si>
  <si>
    <t>Fontaneria Jose Soto Arribas</t>
  </si>
  <si>
    <t>Calle Abajo, 27, 40430 Bernardos, Segovia</t>
  </si>
  <si>
    <t>Bernardos</t>
  </si>
  <si>
    <t>651 99 67 35</t>
  </si>
  <si>
    <t>F Rivilla Anaya S L</t>
  </si>
  <si>
    <t>Calle Prado, 25, 40140 Valverde del Majano, Segovia</t>
  </si>
  <si>
    <t>Arzam Segovia - Desatascos, Desatrancos, Inspección de tuberías, limpieza fosas sépticas</t>
  </si>
  <si>
    <t>Calle Cantarranas, 15, 40400 El Espinar, Segovia</t>
  </si>
  <si>
    <t>Hermanos Madrid Carretero</t>
  </si>
  <si>
    <t>Travesía Fuente del Pino, 4, 28792 Miraflores de la Sierra, Madrid</t>
  </si>
  <si>
    <t>Miraflores de la Sierra</t>
  </si>
  <si>
    <t>918 44 53 56</t>
  </si>
  <si>
    <t>Hermanos Piñataro Martín</t>
  </si>
  <si>
    <t>Calle Mayor, 39, 40440 Santa María la Real de Nieva, Segovia</t>
  </si>
  <si>
    <t>Santa María la Real de Nieva</t>
  </si>
  <si>
    <t>921 59 40 54</t>
  </si>
  <si>
    <t>Balduino Tabanera Vázquez</t>
  </si>
  <si>
    <t>Calle Fray Antonio, 22, 40150 Villacastín, Segovia</t>
  </si>
  <si>
    <t>Villacastín</t>
  </si>
  <si>
    <t>629 50 23 27</t>
  </si>
  <si>
    <t>Instalaciones Y Reformas Muñoz Bas</t>
  </si>
  <si>
    <t>Calle Cantarranas, 104, 40141 Abades, Segovia</t>
  </si>
  <si>
    <t>Abades</t>
  </si>
  <si>
    <t>629 67 50 04</t>
  </si>
  <si>
    <t>F Esquifino Romano</t>
  </si>
  <si>
    <t>Calle Joanario Apellaniz, 17, 40400 El Espinar, Segovia</t>
  </si>
  <si>
    <t>921 18 11 71</t>
  </si>
  <si>
    <t>Juan Manuel Balsells Rodríguez</t>
  </si>
  <si>
    <t>Calle Arroyo, 3, 40392 Mata de Quintanar, Segovia</t>
  </si>
  <si>
    <t>Mata de Quintanar</t>
  </si>
  <si>
    <t>Fontanería Miguel Yagüe Moral</t>
  </si>
  <si>
    <t>Calle San Roque, 8, 40430 Bernardos, Segovia</t>
  </si>
  <si>
    <t>miguelitofontanero.com</t>
  </si>
  <si>
    <t>626 56 47 90</t>
  </si>
  <si>
    <t>Desatascos Fontaneria Calefaccion</t>
  </si>
  <si>
    <t>Calle de los Morales, 28791 Soto del Real, Madrid</t>
  </si>
  <si>
    <t>Soto del Real</t>
  </si>
  <si>
    <t>desatascosmadridnorte.com</t>
  </si>
  <si>
    <t>677 17 52 30</t>
  </si>
  <si>
    <t>Canalones Luis González Cuenca</t>
  </si>
  <si>
    <t>Calle Parras, 5, 40360 Cantimpalos, Segovia</t>
  </si>
  <si>
    <t>Cantimpalos</t>
  </si>
  <si>
    <t>679 31 00 89</t>
  </si>
  <si>
    <t>Arzam , Desatrancos, Desatascos y Limpieza de Fosas en Guadarrama, Madrid, Segovia y Ávila.</t>
  </si>
  <si>
    <t>Calle Camino de Pradovera, 20, 28440 Guadarrama, Madrid</t>
  </si>
  <si>
    <t>Guadarrama</t>
  </si>
  <si>
    <t>919 07 23 50</t>
  </si>
  <si>
    <t>Elasa S.a.</t>
  </si>
  <si>
    <t>Carretera Soria - Plasencia, 0 km 183 , 5, 40191 Espirdo, Segovia</t>
  </si>
  <si>
    <t>Espirdo</t>
  </si>
  <si>
    <t>921 40 10 55</t>
  </si>
  <si>
    <t>Antonio San Faustino Blanco</t>
  </si>
  <si>
    <t>Calle Angosta, 3, 40185 Arevalillo de Cega, Segovia</t>
  </si>
  <si>
    <t>Arevalillo de Cega</t>
  </si>
  <si>
    <t>Gasóleos Segovia</t>
  </si>
  <si>
    <t>Calle Julián Arévalo, 2, 40450 Nava de la Asunción, Segovia</t>
  </si>
  <si>
    <t>Nava de la Asunción</t>
  </si>
  <si>
    <t>921 58 00 30</t>
  </si>
  <si>
    <t>Gregorio Gete Esteban</t>
  </si>
  <si>
    <t>Calle Dr. Felipe Pérez Ruano, 20, 40400 El Espinar, Segovia</t>
  </si>
  <si>
    <t>GerAlfre Herrero S.L.</t>
  </si>
  <si>
    <t>Calle Caño, 51, 40280 Navalmanzano, Segovia</t>
  </si>
  <si>
    <t>geralfreherrero.com</t>
  </si>
  <si>
    <t>667 61 47 81</t>
  </si>
  <si>
    <t>info@geralfreherrero.com</t>
  </si>
  <si>
    <t>Saneamientos Virseda Esbe</t>
  </si>
  <si>
    <t>Calle de Eustaquio Casado, 4, 40450 Nava de la Asunción, Segovia</t>
  </si>
  <si>
    <t>Antonio Rodríguez Sánchez</t>
  </si>
  <si>
    <t>Calle de la Encina, 8, 28260 Galapagar, Madrid</t>
  </si>
  <si>
    <t>Galapagar</t>
  </si>
  <si>
    <t>607 70 36 09</t>
  </si>
  <si>
    <t>Miguel García Martín</t>
  </si>
  <si>
    <t>Plaza de San Pedro, 10, 40163 Matabuena, Segovia</t>
  </si>
  <si>
    <t>Matabuena</t>
  </si>
  <si>
    <t>MIGUELITO FONCLIMAC.B.</t>
  </si>
  <si>
    <t>Calle San Roque, nº 8, 40430 Bernardos, Segovia</t>
  </si>
  <si>
    <t>Fontanería Caete - Ricardo Frías Escolar</t>
  </si>
  <si>
    <t>Calle Cañamares, 31, 40340 Aguilafuente, Segovia</t>
  </si>
  <si>
    <t>Aguilafuente</t>
  </si>
  <si>
    <t>607 39 26 45</t>
  </si>
  <si>
    <t>HIDROLEC INSTALACIONES Y SERVICOS</t>
  </si>
  <si>
    <t>M-608, 40, 28791 Soto del Real, Madrid</t>
  </si>
  <si>
    <t>grupohidrolec.es</t>
  </si>
  <si>
    <t>918 47 68 93</t>
  </si>
  <si>
    <t>Nemesio Municio Moreno</t>
  </si>
  <si>
    <t>Calle Isabel Católica, 19, 40320 Cantalejo, Segovia</t>
  </si>
  <si>
    <t>Cantalejo</t>
  </si>
  <si>
    <t>921 52 14 77</t>
  </si>
  <si>
    <t>Fontaneros Alcorcón</t>
  </si>
  <si>
    <t>Calle Polvoranca, 72, 28923 Alcorcón, Madrid</t>
  </si>
  <si>
    <t>fontanerosalcorcon.net</t>
  </si>
  <si>
    <t>MANITAS DEL HOGAR.</t>
  </si>
  <si>
    <t>Calle Encinar del Rey, 12, 28450 Collado Mediano, Madrid</t>
  </si>
  <si>
    <t>Collado Mediano</t>
  </si>
  <si>
    <t>620 77 76 49</t>
  </si>
  <si>
    <t>Fontanero Javier Palermo</t>
  </si>
  <si>
    <t>Calle el Corpus, 17, BAJO, 40300 Sepúlveda, Segovia</t>
  </si>
  <si>
    <t>Sepúlveda</t>
  </si>
  <si>
    <t>630 49 16 52</t>
  </si>
  <si>
    <t>Grupo Sani Líder</t>
  </si>
  <si>
    <t>sanilider.com</t>
  </si>
  <si>
    <t>918 51 41 91</t>
  </si>
  <si>
    <t>Pablo Luna Instalaciones</t>
  </si>
  <si>
    <t>Calle de los Morales, 11, 28791 Soto del Real, Madrid</t>
  </si>
  <si>
    <t>666 83 86 95</t>
  </si>
  <si>
    <t>RTSO Fontanería Sin Obras Madrid</t>
  </si>
  <si>
    <t>Calle Laguna del Marquesado, 12, Nave 20, 28021 Madrid</t>
  </si>
  <si>
    <t>910 35 31 82</t>
  </si>
  <si>
    <t>Jose Manuel García Arcones</t>
  </si>
  <si>
    <t>Calle San José, 6, 1-A, 28400 Collado Villalba, Madrid</t>
  </si>
  <si>
    <t>jmgarcones.es</t>
  </si>
  <si>
    <t>918 32 30 04</t>
  </si>
  <si>
    <t>Instalaciones Al</t>
  </si>
  <si>
    <t>Calle de la Sierra, 30, 28440 Guadarrama, Madrid</t>
  </si>
  <si>
    <t>instalacionesal.com</t>
  </si>
  <si>
    <t>918 54 11 05</t>
  </si>
  <si>
    <t>instalacionesal@instalacionesal.com</t>
  </si>
  <si>
    <t>María Nieves de la Cruz Horcajo</t>
  </si>
  <si>
    <t>Calle Sancho García, 20, 40300 Sepúlveda, Segovia</t>
  </si>
  <si>
    <t>Madrid Blaco</t>
  </si>
  <si>
    <t>Calle Mirlo, 8, 28792 Miraflores de la Sierra, Madrid</t>
  </si>
  <si>
    <t>918 44 33 91</t>
  </si>
  <si>
    <t>Javier Pascual Bayón</t>
  </si>
  <si>
    <t>Calle José Escolar, 12, 40220 Olombrada, Segovia</t>
  </si>
  <si>
    <t>Olombrada</t>
  </si>
  <si>
    <t>921 16 55 06</t>
  </si>
  <si>
    <t>Saneamientos Lucas S.L.</t>
  </si>
  <si>
    <t>Plaza del Hospital, 8, 28792 Miraflores de la Sierra, Madrid</t>
  </si>
  <si>
    <t>914 64 82 97</t>
  </si>
  <si>
    <t>Herminio Torres Merino</t>
  </si>
  <si>
    <t>Calle Plazuela, 35, 40354 Adrados, Segovia</t>
  </si>
  <si>
    <t>Adrados</t>
  </si>
  <si>
    <t>Javier Pérez de la Torre</t>
  </si>
  <si>
    <t>Travesía del Olvido, 12, 28450 Collado Mediano, Madrid</t>
  </si>
  <si>
    <t>629 13 13 22</t>
  </si>
  <si>
    <t>Maniro</t>
  </si>
  <si>
    <t>691 40 74 47</t>
  </si>
  <si>
    <t>Aquains Instalaciones De Fontanería</t>
  </si>
  <si>
    <t>Calle los Olmos, 0, 28411 Moralzarzal, Madrid</t>
  </si>
  <si>
    <t>918 42 11 51</t>
  </si>
  <si>
    <t>Nuria Moreno Guillém</t>
  </si>
  <si>
    <t>Av. de Calvo Sotelo, 1, 28490 Becerril de la Sierra, Madrid</t>
  </si>
  <si>
    <t>Becerril de la Sierra</t>
  </si>
  <si>
    <t>918 53 88 82</t>
  </si>
  <si>
    <t>Basilio Moreno Sanz</t>
  </si>
  <si>
    <t>Calle Victoriano de la Serna, 22, 40300 Sepúlveda, Segovia</t>
  </si>
  <si>
    <t>Socopar S.L.</t>
  </si>
  <si>
    <t>C/ de Zurdo y Giráldez, 40, 40470 Navas de Oro, Segovia</t>
  </si>
  <si>
    <t>Navas de Oro</t>
  </si>
  <si>
    <t>921 59 12 32</t>
  </si>
  <si>
    <t>Desatranques Davirán Toro</t>
  </si>
  <si>
    <t>Calle de los Panaderos, 19, 1b, 28410 Manzanares el Real, Madrid</t>
  </si>
  <si>
    <t>Manzanares el Real</t>
  </si>
  <si>
    <t>644 45 28 51</t>
  </si>
  <si>
    <t>Instalaciones H2O</t>
  </si>
  <si>
    <t>Av. Marqués de Santillana, 18, 28411 Moralzarzal, Madrid</t>
  </si>
  <si>
    <t>Pedro Angel Arranz Rojo</t>
  </si>
  <si>
    <t>Calle Gral. Mola, 4, 40500 Riaza, Segovia</t>
  </si>
  <si>
    <t>Riaza</t>
  </si>
  <si>
    <t>Jose Casas Nieto Fontanería</t>
  </si>
  <si>
    <t>Calle Parral, 1, 40520 Ayllón, Segovia</t>
  </si>
  <si>
    <t>Ayllón</t>
  </si>
  <si>
    <t>689 41 45 37</t>
  </si>
  <si>
    <t>Javier Garzón Rodríguez</t>
  </si>
  <si>
    <t>Calle Cerro San Pantaleón, 72, 28440 Guadarrama, Madrid</t>
  </si>
  <si>
    <t>CALOR Y CONFORT INSTALACIONES</t>
  </si>
  <si>
    <t>Calle la Fragua, 40517 Sequera de Fresno, Segovia</t>
  </si>
  <si>
    <t>Sequera de Fresno</t>
  </si>
  <si>
    <t>687 95 02 89</t>
  </si>
  <si>
    <t>Marcial Blanco E Hijos</t>
  </si>
  <si>
    <t>Calle Juntera, 42, 28400 Collado Villalba, Madrid</t>
  </si>
  <si>
    <t>918 40 00 15</t>
  </si>
  <si>
    <t>Juan Adrián Navarro Cendón</t>
  </si>
  <si>
    <t>Calle Costa Brava, 12, 28400 Collado Villalba, Madrid</t>
  </si>
  <si>
    <t>918 50 44 71</t>
  </si>
  <si>
    <t>Fontaneros en Leganes</t>
  </si>
  <si>
    <t>Plaza de Tovares, 1, 28911 Leganés, Madrid</t>
  </si>
  <si>
    <t>682 71 66 03</t>
  </si>
  <si>
    <t>Madridcocinas</t>
  </si>
  <si>
    <t>Calle de Segovia, 6, 28005 Madrid</t>
  </si>
  <si>
    <t>648 83 11 66</t>
  </si>
  <si>
    <t>Alejandro Maqueda Muñoz- AMM - Fontanero</t>
  </si>
  <si>
    <t>Calle Galicia, 13, 42005 Soria</t>
  </si>
  <si>
    <t>656 95 75 51</t>
  </si>
  <si>
    <t>Emilio Redondo Crespo Fontaneria Y Calefaccion</t>
  </si>
  <si>
    <t>Calle Maestro García Muñoz, 24, 42004 Soria</t>
  </si>
  <si>
    <t>emilioredondo.com</t>
  </si>
  <si>
    <t>975 22 16 26</t>
  </si>
  <si>
    <t>Saltoki Soria</t>
  </si>
  <si>
    <t>Poligono Ind. Las Casas, Calle E, nave 41, 42005 Soria</t>
  </si>
  <si>
    <t>975 23 31 24</t>
  </si>
  <si>
    <t>Fontanería Calefacción Gas Energias Renovables Carlos González</t>
  </si>
  <si>
    <t>Calle Cortes de Soria, 24, 42003 Soria</t>
  </si>
  <si>
    <t>fontanerosoria.es</t>
  </si>
  <si>
    <t>678 69 30 79</t>
  </si>
  <si>
    <t>fontaneriacarlos@yahoo.es</t>
  </si>
  <si>
    <t>Foncasta</t>
  </si>
  <si>
    <t>Calle Dionisio Ridruejo, 42004 Soria</t>
  </si>
  <si>
    <t>foncasta.com</t>
  </si>
  <si>
    <t>646 07 00 27</t>
  </si>
  <si>
    <t>Fontanería Foncaso</t>
  </si>
  <si>
    <t>Calle D Pol.Ind. Las Casas, Parcela 44, Nave 9, 42005</t>
  </si>
  <si>
    <t>42005</t>
  </si>
  <si>
    <t>975 23 12 37</t>
  </si>
  <si>
    <t>Fontaneria Pacheco</t>
  </si>
  <si>
    <t>Calle Venerable Palafox, 15, 42001 Soria</t>
  </si>
  <si>
    <t>banoonline.wordpress.com</t>
  </si>
  <si>
    <t>975 22 34 04</t>
  </si>
  <si>
    <t>Juan Pedro González Pérez</t>
  </si>
  <si>
    <t>Carr. de Logroño, 19, 42004 Soria</t>
  </si>
  <si>
    <t>Fontanerias Duero Soria S L</t>
  </si>
  <si>
    <t>Calle Zaragoza, 36, 42004 Soria</t>
  </si>
  <si>
    <t>975 67 88 24</t>
  </si>
  <si>
    <t>Octavio De Miguel Martínez</t>
  </si>
  <si>
    <t>Calle Fray Tomás de Berlanga, 5, 2 A, 42005 Soria</t>
  </si>
  <si>
    <t>626 03 34 19</t>
  </si>
  <si>
    <t>Ecasor</t>
  </si>
  <si>
    <t>Ctra. Garray, 42004 Soria</t>
  </si>
  <si>
    <t>975 21 41 09</t>
  </si>
  <si>
    <t>Pacheco Hernández S L</t>
  </si>
  <si>
    <t>Calle Mártires Independencia, 2, 42001 Soria</t>
  </si>
  <si>
    <t>Justo Hernández Fontanería</t>
  </si>
  <si>
    <t>Av. Valladolid, 15, 42001 Soria</t>
  </si>
  <si>
    <t>975 21 16 76</t>
  </si>
  <si>
    <t>El Arco</t>
  </si>
  <si>
    <t>Calle Arboleda, 2, 42002 Soria</t>
  </si>
  <si>
    <t>Sehersa</t>
  </si>
  <si>
    <t>Calle K, Calle B, Parcela 322, 42005 Las Casas</t>
  </si>
  <si>
    <t>sehersa.es</t>
  </si>
  <si>
    <t>975 21 22 94</t>
  </si>
  <si>
    <t>info@sehersa.es</t>
  </si>
  <si>
    <t>Saneamientos Cercadillo S.L.</t>
  </si>
  <si>
    <t>Calle N, 220, 42005 Soria</t>
  </si>
  <si>
    <t>975 24 05 94</t>
  </si>
  <si>
    <t>Félix Angel Fuente Cuesta</t>
  </si>
  <si>
    <t>Calle Ezequiel Solana, 1, 42004 Soria</t>
  </si>
  <si>
    <t>MOISÉS GONZALO SANZ</t>
  </si>
  <si>
    <t>Calle Venerable Carabantes, 1, 42003 Soria</t>
  </si>
  <si>
    <t>975 22 88 45</t>
  </si>
  <si>
    <t>Distribuciones Sorianas De Gasóleos S L</t>
  </si>
  <si>
    <t>Calle Castilla la Mancha, 1, 42004 Soria</t>
  </si>
  <si>
    <t>975 22 33 20</t>
  </si>
  <si>
    <t>Serafín Hernández S. A.</t>
  </si>
  <si>
    <t>Calle Santo Domingo de Silos, 12, 42003 Soria</t>
  </si>
  <si>
    <t>Justo Hernández S. L.</t>
  </si>
  <si>
    <t>Calle E, 0, 42005 Soria</t>
  </si>
  <si>
    <t>975 22 30 37</t>
  </si>
  <si>
    <t>BAÑOS 2000</t>
  </si>
  <si>
    <t>Calle I, 234, Pol. Ind:, 42005 Las Casas, Soria</t>
  </si>
  <si>
    <t>aseos2000.com</t>
  </si>
  <si>
    <t>975 23 04 83</t>
  </si>
  <si>
    <t>info@aseos2000.com</t>
  </si>
  <si>
    <t>Saneamientos Alejandro Del Amo</t>
  </si>
  <si>
    <t>Calle H, 282, 42005 Soria</t>
  </si>
  <si>
    <t>Odorico Sistemas S L</t>
  </si>
  <si>
    <t>Calle D, 44, 42005 Soria</t>
  </si>
  <si>
    <t>975 22 00 03</t>
  </si>
  <si>
    <t>42005 Soria</t>
  </si>
  <si>
    <t>Desatascos Lindesal</t>
  </si>
  <si>
    <t>Calle Henchidero, 5, 42200 Almazán, Soria</t>
  </si>
  <si>
    <t>Almazán</t>
  </si>
  <si>
    <t>lindesal.com</t>
  </si>
  <si>
    <t>615 49 33 80</t>
  </si>
  <si>
    <t>Fontanería Esteban</t>
  </si>
  <si>
    <t>Calle San Salvador, 3, 42200 Almazán, Soria</t>
  </si>
  <si>
    <t>fontaneriaestebanalmazan.es</t>
  </si>
  <si>
    <t>653 86 31 32</t>
  </si>
  <si>
    <t>info@fontaneriaestebanalmazan.es</t>
  </si>
  <si>
    <t>Saneamientos Almazán</t>
  </si>
  <si>
    <t>Pol. Industrial La Dehesa Cl Fresno N 22, 42200 Almazán, Soria</t>
  </si>
  <si>
    <t>saneamientosalmazan.com</t>
  </si>
  <si>
    <t>649 43 42 33</t>
  </si>
  <si>
    <t>comercial@saneamientosalmazan.com</t>
  </si>
  <si>
    <t>Fontanería Miguel Angel</t>
  </si>
  <si>
    <t>Calle Mayor, 12, 42127 Serón de Nágima, Soria</t>
  </si>
  <si>
    <t>Serón de Nágima</t>
  </si>
  <si>
    <t>975 30 70 96</t>
  </si>
  <si>
    <t>GARCIA HEDO INSTALACIONES</t>
  </si>
  <si>
    <t>Calle ARCO DE LA VILLA, 10, BAJO, 42200 Almazán, Soria</t>
  </si>
  <si>
    <t>975 30 09 63</t>
  </si>
  <si>
    <t>OSAL24 DESATASCOS | Almazán | Soria</t>
  </si>
  <si>
    <t>Pol. Ind. la Dehesa, Calle Acebo, 12, 42200 Almazán, Soria</t>
  </si>
  <si>
    <t>655 46 77 02</t>
  </si>
  <si>
    <t>Soria Derivacion Y Carburantes</t>
  </si>
  <si>
    <t>Calle Fuente, 0, 42165 Valdeavellano de Tera, Soria</t>
  </si>
  <si>
    <t>Valdeavellano de Tera</t>
  </si>
  <si>
    <t>975 18 00 99</t>
  </si>
  <si>
    <t>Tejedor</t>
  </si>
  <si>
    <t>Calle los Caños, 0, 42153 El Royo, Soria</t>
  </si>
  <si>
    <t>El Royo</t>
  </si>
  <si>
    <t>975 05 22 86</t>
  </si>
  <si>
    <t>Fontanería Jesús Gonzalo</t>
  </si>
  <si>
    <t>Calle Acosta, 23, 42300 El Burgo de Osma, Soria</t>
  </si>
  <si>
    <t>El Burgo de Osma</t>
  </si>
  <si>
    <t>LUIS ESCRIBANO</t>
  </si>
  <si>
    <t>Calle Francisco Tello, 28, 42300 El Burgo de Osma, Soria</t>
  </si>
  <si>
    <t>fontanerialuisescribano.es</t>
  </si>
  <si>
    <t>677 45 63 69</t>
  </si>
  <si>
    <t>deCalde</t>
  </si>
  <si>
    <t>Poligono Industrial Emiliano Revilla calle España, numero 4, 42110 Ólvega, Soria</t>
  </si>
  <si>
    <t>Ólvega</t>
  </si>
  <si>
    <t>649 00 44 12</t>
  </si>
  <si>
    <t>SANEAMIENTOS ACEÑA</t>
  </si>
  <si>
    <t>Calle Jesús Posadas Moreno, 1 Bajo, 42100 Ágreda, Soria</t>
  </si>
  <si>
    <t>Ágreda</t>
  </si>
  <si>
    <t>618 75 19 18</t>
  </si>
  <si>
    <t>Fontaneria Martin C.b.</t>
  </si>
  <si>
    <t>Calle Corta, 6, 42158 Duruelo de la Sierra, Soria</t>
  </si>
  <si>
    <t>Duruelo de la Sierra</t>
  </si>
  <si>
    <t>Fontanería Jose María</t>
  </si>
  <si>
    <t>Calle Antonio Machado, 8, 42250 Arcos de Jalón, Soria</t>
  </si>
  <si>
    <t>Arcos de Jalón</t>
  </si>
  <si>
    <t>639 55 51 89</t>
  </si>
  <si>
    <t>Fontanería Javier Matamala JM Almazán</t>
  </si>
  <si>
    <t>Calle Encina, 5, 42200 Almazán, Soria</t>
  </si>
  <si>
    <t>615 91 76 34</t>
  </si>
  <si>
    <t>Arturo Soria Royo</t>
  </si>
  <si>
    <t>Paseo de los Fueros de Aragón, 58, 50500 Tarazona, Zaragoza</t>
  </si>
  <si>
    <t>976 64 13 18</t>
  </si>
  <si>
    <t>Navas Mateo</t>
  </si>
  <si>
    <t>Polígono Industrial la Guera, 0 S/N, 42318, Soria</t>
  </si>
  <si>
    <t>975 36 80 60</t>
  </si>
  <si>
    <t>Vicente García Flores</t>
  </si>
  <si>
    <t>Calle Isaac García Alonso, 7, 42330 San Esteban de Gormaz, Soria</t>
  </si>
  <si>
    <t>Fontanero Rafael Peña</t>
  </si>
  <si>
    <t>Camino Almaluez, 1, 42250 Arcos de Jalón, Soria</t>
  </si>
  <si>
    <t>975 32 02 90</t>
  </si>
  <si>
    <t>ArturService Reparacion de Calderas y Aire Acondicionado Arturo Soria</t>
  </si>
  <si>
    <t>Calle Movinda, 28043 Madrid</t>
  </si>
  <si>
    <t>633 77 54 45</t>
  </si>
  <si>
    <t>Fontaneros Arturo Soria Madrid</t>
  </si>
  <si>
    <t>Calle de Bueso de Pineda, 41, 28043 Madrid</t>
  </si>
  <si>
    <t>644 94 26 51</t>
  </si>
  <si>
    <t>Instalaciones del Valle Ortiz S.L.</t>
  </si>
  <si>
    <t>42300, Soria</t>
  </si>
  <si>
    <t>La Olmeda</t>
  </si>
  <si>
    <t>Saltoki La Rioja</t>
  </si>
  <si>
    <t>Polígono Industrial la Portalada, Calle Cordonera, 1, 26006 Logroño, La Rioja</t>
  </si>
  <si>
    <t>941 21 11 77</t>
  </si>
  <si>
    <t>Saltoki Tudela</t>
  </si>
  <si>
    <t>Pol. Ind. la Barrena, S/N, 31500 Tudela, Navarra</t>
  </si>
  <si>
    <t>Tudela</t>
  </si>
  <si>
    <t>948 82 12 47</t>
  </si>
  <si>
    <t>Reparaciones Urgentes Fontaneros Madrid</t>
  </si>
  <si>
    <t>Calle de San Bernardo, 20, 1ª Planta, 28015 Madrid</t>
  </si>
  <si>
    <t>reparacionesurgentesenmadrid.com</t>
  </si>
  <si>
    <t>914 66 92 18</t>
  </si>
  <si>
    <t>info@reparacionesurgentesenmadrid.com</t>
  </si>
  <si>
    <t>Fontaneros Ciudad Lineal Economicos</t>
  </si>
  <si>
    <t>Calle Virgen del Val, 32, 28027 Madrid</t>
  </si>
  <si>
    <t>fontanerosciudadlineal.es</t>
  </si>
  <si>
    <t>644 91 58 64</t>
  </si>
  <si>
    <t>INSTALACIONES BERNA</t>
  </si>
  <si>
    <t>C/ VIRGEN DEL CORO Nº 11 LOCAL, Nº 3, 28027 Madrid</t>
  </si>
  <si>
    <t>instalacionesberna.com</t>
  </si>
  <si>
    <t>669 01 05 49</t>
  </si>
  <si>
    <t>Fontanería y Grupos de Presión RCV Instalaciones</t>
  </si>
  <si>
    <t>Carrer de Jaume García Soria, 8, 46950 Xirivella, Valencia</t>
  </si>
  <si>
    <t>instalacionesrcv.com</t>
  </si>
  <si>
    <t>676 69 14 51</t>
  </si>
  <si>
    <t>acion@instalacionesrcv.com</t>
  </si>
  <si>
    <t>Fernández y Pinar C.B.</t>
  </si>
  <si>
    <t>42140 S. Leonardo de Yagüe, Soria</t>
  </si>
  <si>
    <t>S. Leonardo de Yagüe</t>
  </si>
  <si>
    <t>Saltoki Vitoria Fontaneria</t>
  </si>
  <si>
    <t>Portal de Zurbano, 1, 3, 01013 Gasteiz, Araba</t>
  </si>
  <si>
    <t>945 12 38 88</t>
  </si>
  <si>
    <t>Fontanería Soria</t>
  </si>
  <si>
    <t>Carrer Verge de la Mar, 25, 46012 València, Valencia</t>
  </si>
  <si>
    <t>963 24 80 08</t>
  </si>
  <si>
    <t>Santiago García White</t>
  </si>
  <si>
    <t>Calle Paralela José Zorrilla, 3, 47350 Quintanilla de Onésimo, Valladolid</t>
  </si>
  <si>
    <t>Quintanilla de Onésimo</t>
  </si>
  <si>
    <t>Fonsanz Valladolid S.L.</t>
  </si>
  <si>
    <t>Plaza Porticada, 1, BAJO, 47009 Valladolid</t>
  </si>
  <si>
    <t>fonsanzfontaneros.es</t>
  </si>
  <si>
    <t>983 33 39 74</t>
  </si>
  <si>
    <t>Bercal Fontanería y Calefacción</t>
  </si>
  <si>
    <t>Calle Gamazo, 24, piso 1 Izda, 47004 Valladolid</t>
  </si>
  <si>
    <t>687 76 46 66</t>
  </si>
  <si>
    <t>Grupo Fontyclima - Desatascos y Fontaneria</t>
  </si>
  <si>
    <t>Calle Verbena, 11, 47005 Valladolid</t>
  </si>
  <si>
    <t>603 85 12 70</t>
  </si>
  <si>
    <t>Desatascos Sanevall</t>
  </si>
  <si>
    <t>Calle del Mirlo, 46, 47012 Valladolid</t>
  </si>
  <si>
    <t>desatascosvalladolidsanevall.com</t>
  </si>
  <si>
    <t>666 16 63 60</t>
  </si>
  <si>
    <t>info@desatascosvalladolidsanevall.com</t>
  </si>
  <si>
    <t>Suministros Garcichao, S.L.</t>
  </si>
  <si>
    <t>Calle Kriptón, 29, Bajo, 47012 Valladolid</t>
  </si>
  <si>
    <t>983 10 09 83</t>
  </si>
  <si>
    <t>De Agua Instalaciones JAVIER PANERO</t>
  </si>
  <si>
    <t>Calle Laguna, 4B, 47193 Cistérniga, Valladolid</t>
  </si>
  <si>
    <t>Cistérniga</t>
  </si>
  <si>
    <t>fontaneros-valladolid.es</t>
  </si>
  <si>
    <t>618 54 74 72</t>
  </si>
  <si>
    <t>info@fontaneros-valladolid.es</t>
  </si>
  <si>
    <t>Disfonca S L</t>
  </si>
  <si>
    <t>Av. de el Nte. de Castilla, 16, 47008 Valladolid</t>
  </si>
  <si>
    <t>983 47 95 50</t>
  </si>
  <si>
    <t>Cadielsa Solar</t>
  </si>
  <si>
    <t>Calle Plomo,1, Nave 10, Polig. Ind. San Cristóbal, 47012 Valladolid</t>
  </si>
  <si>
    <t>cadielsa.com</t>
  </si>
  <si>
    <t>983 21 90 26</t>
  </si>
  <si>
    <t>Fontaneria Mauricio Muñoz</t>
  </si>
  <si>
    <t>Calle Trepador, 11, 47012 Valladolid</t>
  </si>
  <si>
    <t>655 85 31 75</t>
  </si>
  <si>
    <t>Ledo</t>
  </si>
  <si>
    <t>Calle Silio, 2, 47005 Valladolid</t>
  </si>
  <si>
    <t>gasledo.es</t>
  </si>
  <si>
    <t>983 13 30 51</t>
  </si>
  <si>
    <t>info@gasledo.es</t>
  </si>
  <si>
    <t>Aguado fontaneros</t>
  </si>
  <si>
    <t>Calle Gallo, n 13, 1A, 47012 Valladolid</t>
  </si>
  <si>
    <t>multiserviciosaguado.es</t>
  </si>
  <si>
    <t>665 49 18 20</t>
  </si>
  <si>
    <t>admin@multiserviciosaguado.es</t>
  </si>
  <si>
    <t>DMV Desatascos y Mantenimientos Valladolid</t>
  </si>
  <si>
    <t>Calle Gallo, 19, 47012 Valladolid</t>
  </si>
  <si>
    <t>Fontaneria Sin Obras Valladolid</t>
  </si>
  <si>
    <t>Calle de la Cigüeña, 5, 47012 Valladolid</t>
  </si>
  <si>
    <t>fontaneriasinobrasvalladolid.es</t>
  </si>
  <si>
    <t>info@fontaneriasinobrasvalladolid.es</t>
  </si>
  <si>
    <t>José Abad Comercial Del Cobre S A</t>
  </si>
  <si>
    <t>Calle Bronce, 0, 47008 Valladolid</t>
  </si>
  <si>
    <t>983 31 45 89</t>
  </si>
  <si>
    <t>Fontaneria Barcala</t>
  </si>
  <si>
    <t>Calle Depósito, 47008 Valladolid</t>
  </si>
  <si>
    <t>fontaneriabarcalavalladolid.com</t>
  </si>
  <si>
    <t>983 23 03 40</t>
  </si>
  <si>
    <t>J Porro E Hijo S L</t>
  </si>
  <si>
    <t>Calle Embajadores, 69, 47013 Valladolid</t>
  </si>
  <si>
    <t>983 47 77 16</t>
  </si>
  <si>
    <t>Detección técnica de fugas de agua - FugaTec -</t>
  </si>
  <si>
    <t>Calle de José Velicia, 42, 47008 Valladolid</t>
  </si>
  <si>
    <t>fugatec.com</t>
  </si>
  <si>
    <t>652 93 77 95</t>
  </si>
  <si>
    <t>info@fugatec.com</t>
  </si>
  <si>
    <t>Multiservicios Aguado S.L.U</t>
  </si>
  <si>
    <t>Calle Gallo, 13, 1A, 47012 Valladolid</t>
  </si>
  <si>
    <t>J J Sanz Laguna</t>
  </si>
  <si>
    <t>Calle Comercio, 5, 47140 Laguna de Duero, Valladolid</t>
  </si>
  <si>
    <t>Laguna de Duero</t>
  </si>
  <si>
    <t>983 54 04 17</t>
  </si>
  <si>
    <t>Fontaneria Y Calefaccion Rafeal Espeso</t>
  </si>
  <si>
    <t>Calle de Vega Sicilia, 3, 47008 Valladolid</t>
  </si>
  <si>
    <t>Juste San José</t>
  </si>
  <si>
    <t>Paseo Farnesio, 21, 47013 Valladolid</t>
  </si>
  <si>
    <t>juste-san-jose.business.site</t>
  </si>
  <si>
    <t>983 26 73 54</t>
  </si>
  <si>
    <t>Fontanería Lobo</t>
  </si>
  <si>
    <t>Calle Álava, 6, 47013 Valladolid</t>
  </si>
  <si>
    <t>983 30 44 88</t>
  </si>
  <si>
    <t>Fontaneria L.Gonzalez Caleffaccion</t>
  </si>
  <si>
    <t>Calle de la Cigüeña, 27, 47012 Valladolid</t>
  </si>
  <si>
    <t>Iván Mesa Rodríguez</t>
  </si>
  <si>
    <t>983 24 44 36</t>
  </si>
  <si>
    <t>Zacarías Rodríguez Rico</t>
  </si>
  <si>
    <t>Calle Lucio Zumel, 12, 47193 Cistérniga, Valladolid</t>
  </si>
  <si>
    <t>983 40 13 07</t>
  </si>
  <si>
    <t>Talleres Elfo Service</t>
  </si>
  <si>
    <t>Calle Canterac, 32, 47012 Valladolid</t>
  </si>
  <si>
    <t>983 22 37 73</t>
  </si>
  <si>
    <t>Fontanería Aira</t>
  </si>
  <si>
    <t>Calle del Arzobispo Marcelo González, 15, 47007 Valladolid</t>
  </si>
  <si>
    <t>635 58 04 02</t>
  </si>
  <si>
    <t>Angel Hernández Ferrero</t>
  </si>
  <si>
    <t>Calle Gamazo, 22, 47004 Valladolid</t>
  </si>
  <si>
    <t>617 84 33 70</t>
  </si>
  <si>
    <t>Reda Fontanería Calefacción S L</t>
  </si>
  <si>
    <t>Cl. Cobalto, 13, 47012 Valladolid</t>
  </si>
  <si>
    <t>Fontyolid</t>
  </si>
  <si>
    <t>Calle Salud, 47011 Valladolid</t>
  </si>
  <si>
    <t>fontyolid.ueniweb.com</t>
  </si>
  <si>
    <t>983 15 09 15</t>
  </si>
  <si>
    <t>fontyolid@gmail.com</t>
  </si>
  <si>
    <t>Calle Huelva, 18, 47012 Valladolid</t>
  </si>
  <si>
    <t>Calle Moradas, 12, 47010 Valladolid</t>
  </si>
  <si>
    <t>670 39 22 73</t>
  </si>
  <si>
    <t>Fontanería Alberto Cano</t>
  </si>
  <si>
    <t>Calle Montes de Oca, 4, 47008 Valladolid</t>
  </si>
  <si>
    <t>671 03 54 00</t>
  </si>
  <si>
    <t>Juan Salamanca Izquierdo</t>
  </si>
  <si>
    <t>Calle Moradas, 19, 47010 Valladolid</t>
  </si>
  <si>
    <t>FONTANERIA SIN OBRAS VALLADOLID. DISTRAI TECNOLOGIA</t>
  </si>
  <si>
    <t>Paseo Arco de Ladrillo, nº44, 4ºB, 47007 Valladolid</t>
  </si>
  <si>
    <t>fontaneriasinobrasdistrai.com</t>
  </si>
  <si>
    <t>900 555 205</t>
  </si>
  <si>
    <t>Manuel Martínez Rubio</t>
  </si>
  <si>
    <t>Calle Gral. Shelly, 20, 47013 Valladolid</t>
  </si>
  <si>
    <t>Ignacio José González Pomposu</t>
  </si>
  <si>
    <t>983 29 22 31</t>
  </si>
  <si>
    <t>Servicio Técnico oficial JUNKERS</t>
  </si>
  <si>
    <t>Calle Pozo, 1, 47193 Cistérniga, Valladolid</t>
  </si>
  <si>
    <t>serviciostecnicos.nom.es</t>
  </si>
  <si>
    <t>983 40 15 45</t>
  </si>
  <si>
    <t>Calefacción Fontanería Riego</t>
  </si>
  <si>
    <t>Paseo de Juan Carlos I, 71, 47012 Valladolid</t>
  </si>
  <si>
    <t>CalorValladolid</t>
  </si>
  <si>
    <t>Calle Prof. Adolfo Miaja de la Muela, 4, 47014 Valladolid</t>
  </si>
  <si>
    <t>656 16 29 86</t>
  </si>
  <si>
    <t>Fontaneria Damian Rojo</t>
  </si>
  <si>
    <t>Av. de la Libertad, 20, 47140 Laguna de Duero, Valladolid</t>
  </si>
  <si>
    <t>Alfonso Santana Santana</t>
  </si>
  <si>
    <t>Av. Palencia, 24, 47011 Valladolid</t>
  </si>
  <si>
    <t>983 25 38 91</t>
  </si>
  <si>
    <t>Lucio Ortega Palomo</t>
  </si>
  <si>
    <t>Calle Reyes, 1, 47002 Valladolid</t>
  </si>
  <si>
    <t>983 20 33 46</t>
  </si>
  <si>
    <t>Isla</t>
  </si>
  <si>
    <t>Calle Marte, 2, 47009 Valladolid</t>
  </si>
  <si>
    <t>A Fonta3</t>
  </si>
  <si>
    <t>Calle Álava, 2, 47013 Valladolid</t>
  </si>
  <si>
    <t>635 47 88 35</t>
  </si>
  <si>
    <t>Fontanerías Mariano Blanco Prieto</t>
  </si>
  <si>
    <t>Adalia</t>
  </si>
  <si>
    <t>609 83 71 99</t>
  </si>
  <si>
    <t>Sateq</t>
  </si>
  <si>
    <t>Calle Concepción, 2, 47003 Valladolid</t>
  </si>
  <si>
    <t>983 35 22 99</t>
  </si>
  <si>
    <t>Pro-fugas</t>
  </si>
  <si>
    <t>Camino de la Esperanza, 47007 Valladolid</t>
  </si>
  <si>
    <t>643 39 67 56</t>
  </si>
  <si>
    <t>Fontalytal</t>
  </si>
  <si>
    <t>Calle Sta. Marina, 2, 47013 Valladolid</t>
  </si>
  <si>
    <t>983 22 55 77</t>
  </si>
  <si>
    <t>J J Sanz Laguna S L</t>
  </si>
  <si>
    <t>Calle de Gabilondo, 2, 47007 Valladolid</t>
  </si>
  <si>
    <t>983 26 55 38</t>
  </si>
  <si>
    <t>C. Real, 70, 47155 Santovenia de Pisuerga, Valladolid</t>
  </si>
  <si>
    <t>Santovenia de Pisuerga</t>
  </si>
  <si>
    <t>639 84 52 84</t>
  </si>
  <si>
    <t>Pro Calor 80</t>
  </si>
  <si>
    <t>Calle Vegafría, 29, 47013 Valladolid</t>
  </si>
  <si>
    <t>procalor80.com</t>
  </si>
  <si>
    <t>Fontanería y Calefacción Franco</t>
  </si>
  <si>
    <t>616 26 95 11</t>
  </si>
  <si>
    <t>Jacinto Hernández Calleja</t>
  </si>
  <si>
    <t>Calle Huertas, 36, 47005 Valladolid</t>
  </si>
  <si>
    <t>983 30 11 80</t>
  </si>
  <si>
    <t>Tezdaf</t>
  </si>
  <si>
    <t>Plaza Circular, 7, 47005 Valladolid</t>
  </si>
  <si>
    <t>902 36 77 70</t>
  </si>
  <si>
    <t>INTERVA S.L.</t>
  </si>
  <si>
    <t>Calle Ángel García, 93, 47011 Valladolid</t>
  </si>
  <si>
    <t>interva.es</t>
  </si>
  <si>
    <t>648 20 68 12</t>
  </si>
  <si>
    <t>someone@example.com</t>
  </si>
  <si>
    <t>Construcciones Guillermo Gómez</t>
  </si>
  <si>
    <t>652 93 77 79</t>
  </si>
  <si>
    <t>Industrias R. Soto</t>
  </si>
  <si>
    <t>Calle Merced, 4, 47002 Valladolid</t>
  </si>
  <si>
    <t>Calle Hermanos Cossío, 2, 47014 Valladolid</t>
  </si>
  <si>
    <t>983 33 55 71</t>
  </si>
  <si>
    <t>jacyl 78 sl fontanería construcción</t>
  </si>
  <si>
    <t>Camino a Arroyo, 15, 47610 Zaratán, Valladolid</t>
  </si>
  <si>
    <t>Zaratán</t>
  </si>
  <si>
    <t>663 40 25 79</t>
  </si>
  <si>
    <t>Repalva Multiservicios</t>
  </si>
  <si>
    <t>Calle de la Reja, 47012 Valladolid</t>
  </si>
  <si>
    <t>661 63 50 90</t>
  </si>
  <si>
    <t>Poligas</t>
  </si>
  <si>
    <t>Calle Plata, 41, 47012 Valladolid</t>
  </si>
  <si>
    <t>983 39 00 50</t>
  </si>
  <si>
    <t>ForoClima</t>
  </si>
  <si>
    <t>Calle las Lobas, 4, Nave D, 47140 Laguna de Duero, Valladolid</t>
  </si>
  <si>
    <t>foroclima.es</t>
  </si>
  <si>
    <t>983 84 40 09</t>
  </si>
  <si>
    <t>administracion@foroclima.es</t>
  </si>
  <si>
    <t>Gasfal</t>
  </si>
  <si>
    <t>Calle Domingo Martínez, 4, 47007 Valladolid</t>
  </si>
  <si>
    <t>983 47 77 90</t>
  </si>
  <si>
    <t>Eutiquio Ríos Villarragut</t>
  </si>
  <si>
    <t>Calle Vegafría, 15, 47013 Valladolid</t>
  </si>
  <si>
    <t>983 23 99 75</t>
  </si>
  <si>
    <t>Goncusa S L</t>
  </si>
  <si>
    <t>Calle Miguel de Cervantes, 10, 47140 Laguna de Duero, Valladolid</t>
  </si>
  <si>
    <t>983 54 11 28</t>
  </si>
  <si>
    <t>Damián Fontaneria</t>
  </si>
  <si>
    <t>Calle Acacia, 47193, Valladolid</t>
  </si>
  <si>
    <t>Fontaneros Ceyfe</t>
  </si>
  <si>
    <t>Av Don Marcelo González Martín, 76, 47620 Villanubla, Valladolid</t>
  </si>
  <si>
    <t>Villanubla</t>
  </si>
  <si>
    <t>619 09 89 97</t>
  </si>
  <si>
    <t>Alfonso Cabeza</t>
  </si>
  <si>
    <t>Calle del Aluminio, 23, 47012 Valladolid</t>
  </si>
  <si>
    <t>983 30 11 66</t>
  </si>
  <si>
    <t>Mariano Blanco Prieto</t>
  </si>
  <si>
    <t>Calle Jesús, 28A, 47155 Santovenia de Pisuerga, Valladolid</t>
  </si>
  <si>
    <t>Cerámicas Javier</t>
  </si>
  <si>
    <t>Paseo de San Vicente, 22, 47013 Valladolid</t>
  </si>
  <si>
    <t>983 29 88 85</t>
  </si>
  <si>
    <t>Instalaciones Núñez Vallejo</t>
  </si>
  <si>
    <t>Calle Ronda de las Huertas, 15, 47194 Mucientes, Valladolid</t>
  </si>
  <si>
    <t>Mucientes</t>
  </si>
  <si>
    <t>instalacionesnunezvallejo.com</t>
  </si>
  <si>
    <t>658 77 57 90</t>
  </si>
  <si>
    <t>Fontanerias C Y C | Cambio bañera por plato de ducha - Reformas integrales</t>
  </si>
  <si>
    <t>Calle de Dimas Rodríguez, 11, 47100 Tordesillas, Valladolid</t>
  </si>
  <si>
    <t>fontaneriacyc.com</t>
  </si>
  <si>
    <t>983 79 68 69</t>
  </si>
  <si>
    <t>TSM- Fontanería y Reformas</t>
  </si>
  <si>
    <t>Calle de Gerardo Toribio, 38, 47170 Renedo de Esgueva, Valladolid</t>
  </si>
  <si>
    <t>Renedo de Esgueva</t>
  </si>
  <si>
    <t>650 57 07 30</t>
  </si>
  <si>
    <t>Instalaciones Nuñez Vallejo</t>
  </si>
  <si>
    <t>Calle de las Herrenes, 15, 47194 Mucientes, Valladolid</t>
  </si>
  <si>
    <t>L.Parra Fontanería y Calefacción</t>
  </si>
  <si>
    <t>Calle Tomillares, 10, 47151 Boecillo, Valladolid</t>
  </si>
  <si>
    <t>Boecillo</t>
  </si>
  <si>
    <t>661 52 25 55</t>
  </si>
  <si>
    <t>Montajes E Instalaciones Del Duero S L</t>
  </si>
  <si>
    <t>Calle Cueva, 1, 47320 Tudela de Duero, Valladolid</t>
  </si>
  <si>
    <t>983 52 33 20</t>
  </si>
  <si>
    <t>Javier Fernández Rubio</t>
  </si>
  <si>
    <t>Calle Doctrina, 4, 47800 Medina de Rioseco, Valladolid</t>
  </si>
  <si>
    <t>Medina de Rioseco</t>
  </si>
  <si>
    <t>983 72 02 21</t>
  </si>
  <si>
    <t>Gerardo Abril Antón</t>
  </si>
  <si>
    <t>Av. Valladolid, 53, 47100 Tordesillas, Valladolid</t>
  </si>
  <si>
    <t>983 77 11 66</t>
  </si>
  <si>
    <t>Félix Merino Morejón</t>
  </si>
  <si>
    <t>Calle Humilladero, 4, 47430 Pedrajas de San Esteban, Valladolid</t>
  </si>
  <si>
    <t>Pedrajas de San Esteban</t>
  </si>
  <si>
    <t>Industrias Sanitarias de Zamora S.L. (HIJO DE ATILANO)</t>
  </si>
  <si>
    <t>Calle Vega, 5, BAJO, 49026 Zamora</t>
  </si>
  <si>
    <t>isz-atilano.com</t>
  </si>
  <si>
    <t>980 52 64 75</t>
  </si>
  <si>
    <t>Saneamienos Brime Zamora S L</t>
  </si>
  <si>
    <t>Calle Pico de Pájaro, 21, 49024 Zamora</t>
  </si>
  <si>
    <t>saneamientosbrime.es</t>
  </si>
  <si>
    <t>980 67 19 22</t>
  </si>
  <si>
    <t>info@saneamientosbrime.es</t>
  </si>
  <si>
    <t>Fontanería Valdés</t>
  </si>
  <si>
    <t>Bajada Mercado, 5, 49005 Zamora</t>
  </si>
  <si>
    <t>fontaneriavaldes.com</t>
  </si>
  <si>
    <t>980 52 93 44</t>
  </si>
  <si>
    <t>info@fontaneriavaldes.com</t>
  </si>
  <si>
    <t>Fontanería García</t>
  </si>
  <si>
    <t>633 02 29 86</t>
  </si>
  <si>
    <t>Saneamientos Atilano</t>
  </si>
  <si>
    <t>Plaza Cuartel Viejo, 7 local 1 esquina, Calle Palomar, 49006 Zamora</t>
  </si>
  <si>
    <t>saneamientosatilano.com</t>
  </si>
  <si>
    <t>980 53 64 91</t>
  </si>
  <si>
    <t>info@saneamientosatilano.com</t>
  </si>
  <si>
    <t>José L Vaquero S L</t>
  </si>
  <si>
    <t>Calle Sol, 40, 49025 Zamora</t>
  </si>
  <si>
    <t>980 51 39 17</t>
  </si>
  <si>
    <t>Font Zamora.</t>
  </si>
  <si>
    <t>Calle Escultor Becerra, 6, 49019 Zamora</t>
  </si>
  <si>
    <t>980 52 30 02</t>
  </si>
  <si>
    <t>Andújar Andújar</t>
  </si>
  <si>
    <t>Av. Feria, 26, 49026 Zamora</t>
  </si>
  <si>
    <t>980 55 15 86</t>
  </si>
  <si>
    <t>Fontanería José</t>
  </si>
  <si>
    <t>Calle de Moraleja, 0, 49028 Zamora</t>
  </si>
  <si>
    <t>980 53 06 65</t>
  </si>
  <si>
    <t>Fontaneria Temprano</t>
  </si>
  <si>
    <t>Calle de Diego de Almagro, 7, 49020 Zamora</t>
  </si>
  <si>
    <t>AGV Desatasques</t>
  </si>
  <si>
    <t>Calle Monsalve, 14, 49017 Zamora</t>
  </si>
  <si>
    <t>agvdesatasques.com</t>
  </si>
  <si>
    <t>610 61 35 63</t>
  </si>
  <si>
    <t>info@agvdesatasques.com</t>
  </si>
  <si>
    <t>FONTANERIA GARCIA ZAMORA</t>
  </si>
  <si>
    <t>German Fontanería Calefacción</t>
  </si>
  <si>
    <t>Calle de Castilla, 6, 49022 Zamora</t>
  </si>
  <si>
    <t>Fontaneria Calefaccion San-Ben</t>
  </si>
  <si>
    <t>Ronda de la Feria, 7, 49005 Zamora</t>
  </si>
  <si>
    <t>Fontanería Rubén Román</t>
  </si>
  <si>
    <t>Calle Doña Elvira, 4, 8, 49026 Zamora</t>
  </si>
  <si>
    <t>Germán Antón de San Eloy</t>
  </si>
  <si>
    <t>Bajada Barriada Asturias, 24, 49022 Zamora</t>
  </si>
  <si>
    <t>980 51 65 05</t>
  </si>
  <si>
    <t>Hermanos Ramos Macías</t>
  </si>
  <si>
    <t>Calle Campo de Marte, 13, 49007 Zamora</t>
  </si>
  <si>
    <t>980 52 28 22</t>
  </si>
  <si>
    <t>Thisa</t>
  </si>
  <si>
    <t>Calle Pico de Pájaro, 64, 49024 Zamora</t>
  </si>
  <si>
    <t>980 51 00 65</t>
  </si>
  <si>
    <t>Araceli Gallego Contra</t>
  </si>
  <si>
    <t>Calle Virtud, 3, 49031 Zamora</t>
  </si>
  <si>
    <t>Fontanería y calefacción Jose Enrique Jorge Fernandez</t>
  </si>
  <si>
    <t>692 02 12 21</t>
  </si>
  <si>
    <t>Puerta Zamora 99</t>
  </si>
  <si>
    <t>Av. de la Frontera, 11, 49026 Zamora</t>
  </si>
  <si>
    <t>980 51 55 45</t>
  </si>
  <si>
    <t>Gestión de Hostelería y Carburantes S.L.</t>
  </si>
  <si>
    <t>Calle Poeta Alfonso de Peñalosa, 0, 49022 Zamora</t>
  </si>
  <si>
    <t>980 52 16 82</t>
  </si>
  <si>
    <t>Square Armarios Sl</t>
  </si>
  <si>
    <t>Calle Clavel, 4, 49121 Zamora</t>
  </si>
  <si>
    <t>980 05 11 92</t>
  </si>
  <si>
    <t>Angel Mariano Mateos Mateos</t>
  </si>
  <si>
    <t>Calle Villalazan, 3, 49150 Moraleja del Vino, Zamora</t>
  </si>
  <si>
    <t>Moraleja del Vino</t>
  </si>
  <si>
    <t>607 54 50 64</t>
  </si>
  <si>
    <t>Juan José Felipe de San Fermín</t>
  </si>
  <si>
    <t>Calle Miguel de Unamuno, 14, 49159 Villaralbo, Zamora</t>
  </si>
  <si>
    <t>Villaralbo</t>
  </si>
  <si>
    <t>980 53 99 73</t>
  </si>
  <si>
    <t>FONTANERIA FERMAR SL</t>
  </si>
  <si>
    <t>Calle Requejo, 7, 49530 Coreses, Zamora</t>
  </si>
  <si>
    <t>Coreses</t>
  </si>
  <si>
    <t>980 50 00 65</t>
  </si>
  <si>
    <t>Crespo Y Bueno</t>
  </si>
  <si>
    <t>Calle Carretera, 0, 49192 Roales, Zamora</t>
  </si>
  <si>
    <t>Roales</t>
  </si>
  <si>
    <t>980 53 88 91</t>
  </si>
  <si>
    <t>Exclusivas Aliste S L</t>
  </si>
  <si>
    <t>Travesía Villalpando, 2, 49121 Monfarracinos, Zamora</t>
  </si>
  <si>
    <t>Monfarracinos</t>
  </si>
  <si>
    <t>980 50 55 55</t>
  </si>
  <si>
    <t>Fontanería &amp;quot;PORTILLO&amp;quot;</t>
  </si>
  <si>
    <t>Calle Ronda de Capuchinos, nº 11, 49800 Toro, Zamora</t>
  </si>
  <si>
    <t>portillo.negocio.site</t>
  </si>
  <si>
    <t>980 69 34 46</t>
  </si>
  <si>
    <t>Fontaneria ,calefaccion y gas Jonas</t>
  </si>
  <si>
    <t>Calle Amargura, 4, 49130 Manganeses de la Lampreana, Zamora</t>
  </si>
  <si>
    <t>Manganeses de la Lampreana</t>
  </si>
  <si>
    <t>603 43 19 21</t>
  </si>
  <si>
    <t>fontaneria Roberto Español</t>
  </si>
  <si>
    <t>Calle Sta. Ana, 64, 49300 Puebla de Sanabria, Zamora</t>
  </si>
  <si>
    <t>Puebla de Sanabria</t>
  </si>
  <si>
    <t>676 98 20 48</t>
  </si>
  <si>
    <t>Fontanería Granado</t>
  </si>
  <si>
    <t>Calle Olleros, 49630 Villalpando, Zamora</t>
  </si>
  <si>
    <t>Villalpando</t>
  </si>
  <si>
    <t>José Luis Ordax Galindo</t>
  </si>
  <si>
    <t>Calle Salida de Toro, 3, bajo, 47851 San Pedro de Latarce, Valladolid</t>
  </si>
  <si>
    <t>San Pedro de Latarce</t>
  </si>
  <si>
    <t>983 72 31 17</t>
  </si>
  <si>
    <t>Rufino de Córdoba Lorenzo</t>
  </si>
  <si>
    <t>Calle Pajarinas, 25, 49800 Toro, Zamora</t>
  </si>
  <si>
    <t>Instalaciones Marujo, S. L.</t>
  </si>
  <si>
    <t>Calle Juana Monroy, 8, 49810 Morales de Toro, Zamora</t>
  </si>
  <si>
    <t>Morales de Toro</t>
  </si>
  <si>
    <t>980 69 80 76</t>
  </si>
  <si>
    <t>Fontaneria Gas Calefacción ACEVEDO</t>
  </si>
  <si>
    <t>Calle Doña Elvira, 6, 49800 Toro, Zamora</t>
  </si>
  <si>
    <t>615 30 19 21</t>
  </si>
  <si>
    <t>FONTANERIA Y CALEFACCION SAMUEL</t>
  </si>
  <si>
    <t>Crta Sotillo s/n, 49395 Ilanes de Sanabria, Zamora</t>
  </si>
  <si>
    <t>Ilanes</t>
  </si>
  <si>
    <t>615 85 77 88</t>
  </si>
  <si>
    <t>Fontanería Tábara</t>
  </si>
  <si>
    <t>C. Generalísimo, 0, 49140 Tábara, Zamora</t>
  </si>
  <si>
    <t>Tábara</t>
  </si>
  <si>
    <t>Fontanería Marcial</t>
  </si>
  <si>
    <t>Ctra. Madrid Coruña, 25, 49630 Villalpando, Zamora</t>
  </si>
  <si>
    <t>Fontanería Holguín</t>
  </si>
  <si>
    <t>Calle Amargura, 8, 49630 Villalpando, Zamora</t>
  </si>
  <si>
    <t>Julio del Río Hernández</t>
  </si>
  <si>
    <t>Ctra. Fuentelapeña, 0, 49400 Fuentesaúco, Zamora</t>
  </si>
  <si>
    <t>Fuentesaúco</t>
  </si>
  <si>
    <t>FONTANERIA Y CALEFACCION AQUOVIAL ( Calderas Gasoil, Leña, Pellets) calentadores gas sanitarios</t>
  </si>
  <si>
    <t>Av Castilla y León, 25, 49500 Alcañices, Zamora</t>
  </si>
  <si>
    <t>Alcañices</t>
  </si>
  <si>
    <t>619 04 69 89</t>
  </si>
  <si>
    <t>Angel López Prieto</t>
  </si>
  <si>
    <t>Calle Zamora, 3, 49210 Almeida de Sayago, Zamora</t>
  </si>
  <si>
    <t>Almeida de Sayago</t>
  </si>
  <si>
    <t>Juan Zamora Alonso</t>
  </si>
  <si>
    <t>Calle Llamas, 10, 49523 San Vitero, Zamora</t>
  </si>
  <si>
    <t>San Vitero</t>
  </si>
  <si>
    <t>Fontaneria Fran</t>
  </si>
  <si>
    <t>Calle Flor, 10, 49600 Benavente, Zamora</t>
  </si>
  <si>
    <t>Saneamientos Fontaneria</t>
  </si>
  <si>
    <t>Calle Matadero, 16, 49600 Benavente, Zamora</t>
  </si>
  <si>
    <t>Fontanería Poli Huerga</t>
  </si>
  <si>
    <t>Calle el Calvario, 57, 49690 San Cristóbal de Entreviñas, Zamora</t>
  </si>
  <si>
    <t>San Cristóbal de Entreviñas</t>
  </si>
  <si>
    <t>Fontanería Valcal</t>
  </si>
  <si>
    <t>Calle Escultor Coomonte, 2, 49600 Benavente, Zamora</t>
  </si>
  <si>
    <t>980 63 47 68</t>
  </si>
  <si>
    <t>Fontanería Peña Y Piris</t>
  </si>
  <si>
    <t>Plaza Mayor, 4, 49220 Fermoselle, Zamora</t>
  </si>
  <si>
    <t>Fermoselle</t>
  </si>
  <si>
    <t>615 96 22 56</t>
  </si>
  <si>
    <t>Antonio Calvo Villar</t>
  </si>
  <si>
    <t>0, Orense, Calle Benavente, S N, 49622 Quiruelas de Vidriales, Zamora</t>
  </si>
  <si>
    <t>Quiruelas de Vidriales</t>
  </si>
  <si>
    <t>FONTANERIA BENAVENTE</t>
  </si>
  <si>
    <t>Calle Nte., 23, 49600 Benavente, Zamora</t>
  </si>
  <si>
    <t>625 18 71 33</t>
  </si>
  <si>
    <t>Fontaneria Y Calefaccion Fontafer</t>
  </si>
  <si>
    <t>Calle de San Antón Viejo, 26, 49600 Benavente, Zamora</t>
  </si>
  <si>
    <t>fontafer.com</t>
  </si>
  <si>
    <t>630 05 58 78</t>
  </si>
  <si>
    <t>info@fontafer.com</t>
  </si>
  <si>
    <t>Raúl Garrido Seco</t>
  </si>
  <si>
    <t>Calle Palomberas, 1, 49220 Fermoselle, Zamora</t>
  </si>
  <si>
    <t>Antonio García Cano</t>
  </si>
  <si>
    <t>Calle Palomares, 12, 49619 San Pedro de la Viña, Zamora</t>
  </si>
  <si>
    <t>San Pedro de la Viña</t>
  </si>
  <si>
    <t>Fontanería Juanjo</t>
  </si>
  <si>
    <t>fontaneriajuanjo.es</t>
  </si>
  <si>
    <t>609 87 28 03</t>
  </si>
  <si>
    <t>Fontaneria Instalvi</t>
  </si>
  <si>
    <t>Rúa Zamora, 74, 36203 Vigo, Pontevedra</t>
  </si>
  <si>
    <t>Fontaneros J.C. Zamora</t>
  </si>
  <si>
    <t>Ronda Llano de las Tinajerías, 19, 14900 Lucena, Córdoba</t>
  </si>
  <si>
    <t>696 38 54 44</t>
  </si>
  <si>
    <t>Lampista Barcelona Laiman</t>
  </si>
  <si>
    <t>C. de la Nació, 30, 08026 Barcelona</t>
  </si>
  <si>
    <t>lampistabarcelona.org</t>
  </si>
  <si>
    <t>933 88 90 49</t>
  </si>
  <si>
    <t>Barcelona Serveis</t>
  </si>
  <si>
    <t>Carrer de Casteràs, 12, 08028 Barcelona</t>
  </si>
  <si>
    <t>barcelonaserveis.negocio.site</t>
  </si>
  <si>
    <t>623 10 60 43</t>
  </si>
  <si>
    <t>FONTANERO URGENCIAS BARCELONA</t>
  </si>
  <si>
    <t>Carrer del Rosselló, 64, esc derecha 5-1, 08029 Barcelona</t>
  </si>
  <si>
    <t>fontanerourgencias.com</t>
  </si>
  <si>
    <t>627 67 77 95</t>
  </si>
  <si>
    <t>Velamont</t>
  </si>
  <si>
    <t>C/ del Cardener, 10, 08024 Barcelona</t>
  </si>
  <si>
    <t>velamont.com</t>
  </si>
  <si>
    <t>932 10 10 90</t>
  </si>
  <si>
    <t>instalvelamont@velamont.com</t>
  </si>
  <si>
    <t>Fontaneros Barcelona ECONOMICOS</t>
  </si>
  <si>
    <t>Abrera</t>
  </si>
  <si>
    <t>667 79 50 97</t>
  </si>
  <si>
    <t>Servicios de Fontaneria, Desatascos, Electricidad</t>
  </si>
  <si>
    <t>Carrer de Sant Alexandre, 56, 08031 Barcelona</t>
  </si>
  <si>
    <t>fontaneriaenbarcelona.com</t>
  </si>
  <si>
    <t>635 18 59 19</t>
  </si>
  <si>
    <t>fontaneriaenbarcelona@fontaneriaenbarcelona.com</t>
  </si>
  <si>
    <t>Desatascos Joannet Barcelona</t>
  </si>
  <si>
    <t>Carrer de Mallorca, 638, local 5, 08027 Barcelona</t>
  </si>
  <si>
    <t>multiserveisjoannet.es</t>
  </si>
  <si>
    <t>651 86 43 16</t>
  </si>
  <si>
    <t>info@multiserveisjoannet.es</t>
  </si>
  <si>
    <t>Fontaneria RGR Barcelona</t>
  </si>
  <si>
    <t>Avinguda de la República Argentina, 63 Bis, 08023 Barcelona</t>
  </si>
  <si>
    <t>602 80 85 58</t>
  </si>
  <si>
    <t>Lampistas Barcelona</t>
  </si>
  <si>
    <t>lampistas-barcelona.com</t>
  </si>
  <si>
    <t>622 14 40 05</t>
  </si>
  <si>
    <t>Román</t>
  </si>
  <si>
    <t>Carrer dels Jocs Florals, 140, 08014 Barcelona</t>
  </si>
  <si>
    <t>lampisteriaroman.com</t>
  </si>
  <si>
    <t>934 22 94 77</t>
  </si>
  <si>
    <t>SUMIBAT S.L. Suministros Industriales De Baterias Valvulas Y Accesorios (Fontaneria)</t>
  </si>
  <si>
    <t>Carrer de Lope de Vega, 106, 08005 Barcelona</t>
  </si>
  <si>
    <t>934 57 64 46</t>
  </si>
  <si>
    <t>Fontanero Barcelona</t>
  </si>
  <si>
    <t>Carrer de Valencia nº237 b1, 08007 Barcelona</t>
  </si>
  <si>
    <t>634 50 10 16</t>
  </si>
  <si>
    <t>Lampistería Radas</t>
  </si>
  <si>
    <t>Carrer de Radas, 10, 08004 Barcelona</t>
  </si>
  <si>
    <t>934 43 17 69</t>
  </si>
  <si>
    <t>Instal·lacions Lucas</t>
  </si>
  <si>
    <t>Carrer de Càceres, 10, 08028 Barcelona</t>
  </si>
  <si>
    <t>619 28 85 20</t>
  </si>
  <si>
    <t>Sanitarios Urgell</t>
  </si>
  <si>
    <t>Carrer del Comte d&amp;apos;Urgell, 139, 08036 Barcelona</t>
  </si>
  <si>
    <t>sanitarisurgell.com</t>
  </si>
  <si>
    <t>934 51 16 90</t>
  </si>
  <si>
    <t>Lampistería Albentosa en Barcelona</t>
  </si>
  <si>
    <t>Carrer de la Ciutat de Balaguer, 31, 08022 Barcelona</t>
  </si>
  <si>
    <t>lampisteriaalbentosa.com</t>
  </si>
  <si>
    <t>649 23 69 65</t>
  </si>
  <si>
    <t>Lampistería Brusi S.L.U.</t>
  </si>
  <si>
    <t>Via Augusta, 128, 08006 Barcelona</t>
  </si>
  <si>
    <t>932 01 31 61</t>
  </si>
  <si>
    <t>Comercial Fe Co SL</t>
  </si>
  <si>
    <t>Carrer de Sepúlveda, 174, 08011 Barcelona</t>
  </si>
  <si>
    <t>934 23 92 31</t>
  </si>
  <si>
    <t>ISEMAR 2000, S.L.U.</t>
  </si>
  <si>
    <t>Carrer d&amp;apos;Escipió, 22 Bis, 08023 Barcelona</t>
  </si>
  <si>
    <t>934 18 55 16</t>
  </si>
  <si>
    <t>Fontanero, Electricista y Desatasco 24hs de Urgencias</t>
  </si>
  <si>
    <t>Carrer de Calvet, 64, 1a 2a, 08021 Barcelona</t>
  </si>
  <si>
    <t>urgencias.casa</t>
  </si>
  <si>
    <t>642 86 53 52</t>
  </si>
  <si>
    <t>info@urgencias.casa</t>
  </si>
  <si>
    <t>Sanitaris Urgell S.L.</t>
  </si>
  <si>
    <t>Carrer de Sants, 387, 08028 Barcelona</t>
  </si>
  <si>
    <t>934 49 23 18</t>
  </si>
  <si>
    <t>Fontaneros Barcelona</t>
  </si>
  <si>
    <t>69 Esc A,pis 1,PTA 2A, Carrer de Gayarre, 67, 08014 Barcelona</t>
  </si>
  <si>
    <t>681 63 68 15</t>
  </si>
  <si>
    <t>Subministres Confort</t>
  </si>
  <si>
    <t>Carrer de Santaló, 48, 08021 Barcelona</t>
  </si>
  <si>
    <t>932 00 64 00</t>
  </si>
  <si>
    <t>ELECTRICISTA FONTANERO ANTENAS ECONÓMICO R. PARDO</t>
  </si>
  <si>
    <t>Carrer de Bruniquer, 51, p2, 08024 Barcelona</t>
  </si>
  <si>
    <t>652 85 85 22</t>
  </si>
  <si>
    <t>J.P Instal·lacions</t>
  </si>
  <si>
    <t>Carrer de Ca l&amp;apos;Alegre de Dalt, 15, 08024 Barcelona</t>
  </si>
  <si>
    <t>jpinstallacions.com</t>
  </si>
  <si>
    <t>932 85 01 28</t>
  </si>
  <si>
    <t>info@jpinstallacions.com</t>
  </si>
  <si>
    <t>VICMAN. Fontaneria-Electricidad-Reformas Intégrales</t>
  </si>
  <si>
    <t>Av. de Roma, 117, 08011 Barcelona</t>
  </si>
  <si>
    <t>651 74 89 15</t>
  </si>
  <si>
    <t>A.C. Fontaneria</t>
  </si>
  <si>
    <t>Rambla de l&amp;apos;Onze de Setembre, 16, 08030 Barcelona</t>
  </si>
  <si>
    <t>932 74 09 19</t>
  </si>
  <si>
    <t>Instalaciones y Montajes Julio Jurjo</t>
  </si>
  <si>
    <t>C. del Consell de Cent, 470, 08013 Barcelona</t>
  </si>
  <si>
    <t>932 31 69 05</t>
  </si>
  <si>
    <t>Fontgas Maquinista</t>
  </si>
  <si>
    <t>Passeig de Guayaquil, 37, 08030 Barcelona</t>
  </si>
  <si>
    <t>935 21 24 00</t>
  </si>
  <si>
    <t>Lampista Eixample</t>
  </si>
  <si>
    <t>Passeig de Gracia nº 127B, 08008 Barcelona</t>
  </si>
  <si>
    <t>lampista-eixample.negocio.site</t>
  </si>
  <si>
    <t>727 79 46 96</t>
  </si>
  <si>
    <t>INSTAL TOT de la llar, S.L</t>
  </si>
  <si>
    <t>Carrer de la Legalitat, 33, 08024 Barcelona</t>
  </si>
  <si>
    <t>932 13 67 49</t>
  </si>
  <si>
    <t>José Ferrer García</t>
  </si>
  <si>
    <t>Carrer de la Riera de Tena, 35, 08014 Barcelona</t>
  </si>
  <si>
    <t>933 32 81 90</t>
  </si>
  <si>
    <t>Saltoki Barcelona Norte</t>
  </si>
  <si>
    <t>Via Trajana, 41, 08020 Barcelona</t>
  </si>
  <si>
    <t>934 98 77 13</t>
  </si>
  <si>
    <t>Fontaneros Antiga Esquerra Eixample</t>
  </si>
  <si>
    <t>Carrer de la Diputació, 148B, 08011 Barcelona</t>
  </si>
  <si>
    <t>662 17 05 33</t>
  </si>
  <si>
    <t>Fontanero Eixample Dret Barcelona</t>
  </si>
  <si>
    <t>Carrer d&amp;apos;Ausiàs Marc, 41B, 08010 Barcelona</t>
  </si>
  <si>
    <t>672 69 09 17</t>
  </si>
  <si>
    <t>Instal·lacions Roger Menescal</t>
  </si>
  <si>
    <t>Carrer de Sardenya, 160, 08013 Barcelona</t>
  </si>
  <si>
    <t>menescal.info</t>
  </si>
  <si>
    <t>932 45 06 79</t>
  </si>
  <si>
    <t>Lampisteria tres torres</t>
  </si>
  <si>
    <t>Carrer de Manuel de Falla, 26, 08034 Barcelona</t>
  </si>
  <si>
    <t>lampisteriatrestorres.com</t>
  </si>
  <si>
    <t>610 42 43 21</t>
  </si>
  <si>
    <t>Lampisteria Putxet Fontanero y Electricista</t>
  </si>
  <si>
    <t>Carrer d&amp;apos;Hurtado, 16, 08023 Barcelona</t>
  </si>
  <si>
    <t>937 37 56 29</t>
  </si>
  <si>
    <t>Aragó Subministraments Sanitaris</t>
  </si>
  <si>
    <t>C/ d&amp;apos;Aragó, 557, 08026 Barcelona</t>
  </si>
  <si>
    <t>aragosanitaris.com</t>
  </si>
  <si>
    <t>932 46 31 62</t>
  </si>
  <si>
    <t>aragosanitaris@aragosanitaris.com</t>
  </si>
  <si>
    <t>Fontaneros Sants-Montjuïc Guillem</t>
  </si>
  <si>
    <t>Carrer de la Mare de Déu de Port, 251, 08038 Barcelona</t>
  </si>
  <si>
    <t>673 00 44 54</t>
  </si>
  <si>
    <t>Talinsta Lampistería</t>
  </si>
  <si>
    <t>Carrer de Ríos Rosas, 44, 08006 Barcelona</t>
  </si>
  <si>
    <t>932 12 17 87</t>
  </si>
  <si>
    <t>Fontaneros Sarrià - Sant Gervasi Domingo</t>
  </si>
  <si>
    <t>Carrer del Cardenal Vives i Tutó Nº65 b cp 08034, 08034 Barcelona</t>
  </si>
  <si>
    <t>607 35 33 37</t>
  </si>
  <si>
    <t>L.A.R.INSTALACIONES</t>
  </si>
  <si>
    <t>larinstalaciones.com</t>
  </si>
  <si>
    <t>664 83 72 48</t>
  </si>
  <si>
    <t>Instalaciones Tc.</t>
  </si>
  <si>
    <t>Carrer de Salvà, 40, 08004 Barcelona</t>
  </si>
  <si>
    <t>934 42 48 73</t>
  </si>
  <si>
    <t>Metalgrif</t>
  </si>
  <si>
    <t>Carrer d&amp;apos;Erasme de Janer, 7, 08001 Barcelona</t>
  </si>
  <si>
    <t>metalgrif.com</t>
  </si>
  <si>
    <t>934 42 45 34</t>
  </si>
  <si>
    <t>info@metalgrif.com</t>
  </si>
  <si>
    <t>Desatascos Barcelona Jet-Net</t>
  </si>
  <si>
    <t>Carrer de Sant Josep Oriol, 17, 08001 Barcelona</t>
  </si>
  <si>
    <t>desatascosjetnet.com</t>
  </si>
  <si>
    <t>669 98 44 84</t>
  </si>
  <si>
    <t>info@desatascosjetnet.com</t>
  </si>
  <si>
    <t>Desatascos Barcelona</t>
  </si>
  <si>
    <t>Avinguda del Bon Pastor, nº113, 08930 Barcelona</t>
  </si>
  <si>
    <t>681 62 96 55</t>
  </si>
  <si>
    <t>Lampistería Salvador Ramos Domínguez</t>
  </si>
  <si>
    <t>Carrer de Torà, 1, 08020 Barcelona</t>
  </si>
  <si>
    <t>933 13 06 41</t>
  </si>
  <si>
    <t>Serafín Roca Sancho</t>
  </si>
  <si>
    <t>Passeig de Fabra i Puig, 385, 08031 Barcelona</t>
  </si>
  <si>
    <t>934 27 43 28</t>
  </si>
  <si>
    <t>Www Elsebas Net</t>
  </si>
  <si>
    <t>Felipe II, 51, 08027 Barcelona</t>
  </si>
  <si>
    <t>elsebas.net</t>
  </si>
  <si>
    <t>698 29 00 05</t>
  </si>
  <si>
    <t>Instalaciones David - Electricista y Fontanero Urgente 24 Horas</t>
  </si>
  <si>
    <t>Carrer de Cristòfor Llargués i Campmany, 22, local 3, 08940 Cornellà de Llobregat, Barcelona</t>
  </si>
  <si>
    <t>Cornellà de Llobregat</t>
  </si>
  <si>
    <t>instalacionesdavid.com</t>
  </si>
  <si>
    <t>607 83 00 80</t>
  </si>
  <si>
    <t>INSTAL·LACIONS OSCAR</t>
  </si>
  <si>
    <t>Carrer de Sardenya, 495, 08025 Barcelona</t>
  </si>
  <si>
    <t>graciadivina.com</t>
  </si>
  <si>
    <t>934 55 30 57</t>
  </si>
  <si>
    <t>info@graciadivina.com</t>
  </si>
  <si>
    <t>Lampistería Ferraz</t>
  </si>
  <si>
    <t>Passeig Universal, 22, 08042 Barcelona</t>
  </si>
  <si>
    <t>934 09 02 15</t>
  </si>
  <si>
    <t>DESATASCAR FREGADERO</t>
  </si>
  <si>
    <t>Carrer de Lluís Marià Vidal, 47, 08032 Barcelona</t>
  </si>
  <si>
    <t>desatascarfregadero.cat</t>
  </si>
  <si>
    <t>932 42 90 60</t>
  </si>
  <si>
    <t>Marín</t>
  </si>
  <si>
    <t>Carrer de l&amp;apos;Escultor Canet, 33, 08028 Barcelona</t>
  </si>
  <si>
    <t>673 75 18 12</t>
  </si>
  <si>
    <t>Desatascos Galbac</t>
  </si>
  <si>
    <t>Carrer de Balmes, 32, 1, 08007 Barcelona</t>
  </si>
  <si>
    <t>desatascosgalbac.com</t>
  </si>
  <si>
    <t>info@desatascosgalbac.com</t>
  </si>
  <si>
    <t>Grupo ACA | Instalación eléctrica gas y agua, Cristalería, Cerrajería, Boletines en Barcelona</t>
  </si>
  <si>
    <t>Carrer de la Diputació, 390, 392, 08013 Barcelona</t>
  </si>
  <si>
    <t>grupoaca.es</t>
  </si>
  <si>
    <t>934 44 10 10</t>
  </si>
  <si>
    <t>Reparaciones Fontaneria y Electricidad C.G.</t>
  </si>
  <si>
    <t>Carrer de la Font Honrada, 40, 08004 Barcelona</t>
  </si>
  <si>
    <t>651 09 22 56</t>
  </si>
  <si>
    <t>Lampistería Valero</t>
  </si>
  <si>
    <t>Carrer de Rafael Campalans, 147, 08903 L&amp;apos;Hospitalet de Llobregat, Barcelona</t>
  </si>
  <si>
    <t>L&amp;apos;Hospitalet de Llobregat</t>
  </si>
  <si>
    <t>Fontanero Urgente Hospitalet</t>
  </si>
  <si>
    <t>Carrer de l&amp;apos;Escultor Canet, 41, local 3, 08028 Barcelona</t>
  </si>
  <si>
    <t>buscofontanero.es</t>
  </si>
  <si>
    <t>Carrer de Travau, 37, 08031 Barcelona</t>
  </si>
  <si>
    <t>934 44 40 40</t>
  </si>
  <si>
    <t>Leysor</t>
  </si>
  <si>
    <t>Carrer Sorolla, 5, 08290 Cerdanyola del Vallès, Barcelona</t>
  </si>
  <si>
    <t>Cerdanyola del Vallès</t>
  </si>
  <si>
    <t>leysor.es</t>
  </si>
  <si>
    <t>677 45 12 75</t>
  </si>
  <si>
    <t>info@leysor.es</t>
  </si>
  <si>
    <t>Electrisita Lampista Fontanero Barcelona</t>
  </si>
  <si>
    <t>Carrer de Cantàbria, 48, 08020 Barcelona</t>
  </si>
  <si>
    <t>931 76 76 02</t>
  </si>
  <si>
    <t>Fontgas</t>
  </si>
  <si>
    <t>FONTANERIA LIRVIS</t>
  </si>
  <si>
    <t>Carrer de Grases, 1, 08004 Barcelona</t>
  </si>
  <si>
    <t>fontaneria-lirvis.negocio.site</t>
  </si>
  <si>
    <t>603 82 83 50</t>
  </si>
  <si>
    <t>LA FONTANERA</t>
  </si>
  <si>
    <t>Carrer de Numància, 66, 7º3ª, 08029 Barcelona</t>
  </si>
  <si>
    <t>lafontanera.com</t>
  </si>
  <si>
    <t>660 19 30 07</t>
  </si>
  <si>
    <t>Fontaneros Sant Martí RBS</t>
  </si>
  <si>
    <t>C. de Provençals, nº65, b, 08019 Barcelona</t>
  </si>
  <si>
    <t>667 40 77 45</t>
  </si>
  <si>
    <t>Ise 40</t>
  </si>
  <si>
    <t>Carrer de la Cultura, 40, 08922 Santa Coloma de Gramenet, Barcelona</t>
  </si>
  <si>
    <t>Sta Coloma de Gramanet</t>
  </si>
  <si>
    <t>934 66 12 66</t>
  </si>
  <si>
    <t>Roger Menescal Rodríguez</t>
  </si>
  <si>
    <t>Carrer de Casp, 192, 08013 Barcelona</t>
  </si>
  <si>
    <t>932 45 00 67</t>
  </si>
  <si>
    <t>Fernando De La Cruz Mulet</t>
  </si>
  <si>
    <t>Carrer dels Almogàvers, 62, 08018 Barcelona</t>
  </si>
  <si>
    <t>933 09 00 61</t>
  </si>
  <si>
    <t>Instalaciones Salgueró</t>
  </si>
  <si>
    <t>Carrer de Concepción Arenal, 5, 08027 Barcelona</t>
  </si>
  <si>
    <t>933 52 29 10</t>
  </si>
  <si>
    <t>Fontgas Elèctric</t>
  </si>
  <si>
    <t>Rambla del Brasil, 28, 08028 Barcelona</t>
  </si>
  <si>
    <t>609 76 61 11</t>
  </si>
  <si>
    <t>Fontanero Les Corts Barcelona Servicios Profesionales 4</t>
  </si>
  <si>
    <t>Travessera de les Corts, 70, 08028 Barcelona</t>
  </si>
  <si>
    <t>933 34 64 00</t>
  </si>
  <si>
    <t>Alcasan</t>
  </si>
  <si>
    <t>Carrer del Tèxtil, 7, 08018 Barcelona</t>
  </si>
  <si>
    <t>lampisteria</t>
  </si>
  <si>
    <t>Avinguda del Torrent Gornal, 6, Ent 1, 08904 L&amp;apos;Hospitalet, Barcelona</t>
  </si>
  <si>
    <t>934 48 67 22</t>
  </si>
  <si>
    <t>Fontanero Badalona - Presupuesto GRATIS</t>
  </si>
  <si>
    <t>Carrer de Cantàbria, 7, 08915 Badalona, Barcelona</t>
  </si>
  <si>
    <t>fontanerobadalona.es</t>
  </si>
  <si>
    <t>677 16 84 37</t>
  </si>
  <si>
    <t>info@fontanerobadalona.es</t>
  </si>
  <si>
    <t>Mainou S A</t>
  </si>
  <si>
    <t>Carrer de Mir, 43, 08030 Barcelona</t>
  </si>
  <si>
    <t>933 46 22 11</t>
  </si>
  <si>
    <t>Desatascos Dany - Empresa de desatascos y reformas de baños en Barcelona</t>
  </si>
  <si>
    <t>Avinguda Meridiana, 319, 1-2, 08027 Barcelona</t>
  </si>
  <si>
    <t>empresadedesatascosenbarcelona.com</t>
  </si>
  <si>
    <t>607 50 03 13</t>
  </si>
  <si>
    <t>empresadedesatascosenbarcelona@empresadedesatascosenbarcelona.com</t>
  </si>
  <si>
    <t>José Ramón García Gaitero</t>
  </si>
  <si>
    <t>Carrer de la Font d&amp;apos;en Canyelles, 107, 08042 Barcelona</t>
  </si>
  <si>
    <t>685 47 53 65</t>
  </si>
  <si>
    <t>Juan Bascompte Nogués</t>
  </si>
  <si>
    <t>Carrer de Biscaia, 366, 08027 Barcelona</t>
  </si>
  <si>
    <t>933 40 22 94</t>
  </si>
  <si>
    <t>Instal·lacions Murano</t>
  </si>
  <si>
    <t>Carrer de la Muntanya, 84, 08026 Barcelona</t>
  </si>
  <si>
    <t>934 36 20 17</t>
  </si>
  <si>
    <t>Reparadors</t>
  </si>
  <si>
    <t>Sagalés - Pg. Sant Joan, Pg. de Sant Joan, 08130 Florida (la), Barcelona</t>
  </si>
  <si>
    <t>666 35 83 71</t>
  </si>
  <si>
    <t>Electricitat Manel</t>
  </si>
  <si>
    <t>C/ d&amp;apos;Entença, 44, 08015 Barcelona</t>
  </si>
  <si>
    <t>934 23 99 45</t>
  </si>
  <si>
    <t>Elèctrics i Fontaneria Aire Condicionat i Calefacció</t>
  </si>
  <si>
    <t>Carrer d&amp;apos;Osi, 43, 08034 Barcelona</t>
  </si>
  <si>
    <t>P Felipe Instalaciones S L</t>
  </si>
  <si>
    <t>Avinguda de la República Argentina, 258, 08023 Barcelona</t>
  </si>
  <si>
    <t>José Antonio Amores Casanova</t>
  </si>
  <si>
    <t>Carrer del Rosselló, 454, 08025 Barcelona</t>
  </si>
  <si>
    <t>933 47 89 27</t>
  </si>
  <si>
    <t>Reparaciones de Averías 24h</t>
  </si>
  <si>
    <t>reparacionesaverias24h.com</t>
  </si>
  <si>
    <t>677 33 79 37</t>
  </si>
  <si>
    <t>Mariano Giménez Baldó</t>
  </si>
  <si>
    <t>Carrer d&amp;apos;Ausiàs Marc, 19, 08010 Barcelona</t>
  </si>
  <si>
    <t>933 01 11 30</t>
  </si>
  <si>
    <t>2051 instal•lacions</t>
  </si>
  <si>
    <t>Carrer de Padilla, 475, 08025 Barcelona</t>
  </si>
  <si>
    <t>674 53 17 97</t>
  </si>
  <si>
    <t>Desatascos Barcelona S.L</t>
  </si>
  <si>
    <t>Carrer de Provença, 190, 08036 Barcelona</t>
  </si>
  <si>
    <t>empresadesatascos.com</t>
  </si>
  <si>
    <t>931 78 02 25</t>
  </si>
  <si>
    <t>Aloy Vives Fontanería</t>
  </si>
  <si>
    <t>Via Júlia, 152, 08016 Barcelona</t>
  </si>
  <si>
    <t>Electricista Fontanero Antenas muy económico R. Pardo</t>
  </si>
  <si>
    <t>Dídac reparaciones</t>
  </si>
  <si>
    <t>Carrer del Repartidor, 57, 08023 Barcelona</t>
  </si>
  <si>
    <t>didacreparaciones.com</t>
  </si>
  <si>
    <t>679 18 67 85</t>
  </si>
  <si>
    <t>Reparacion de Calderas en Barcelona</t>
  </si>
  <si>
    <t>Carrer de Gavà, 18, 08014 Barcelona</t>
  </si>
  <si>
    <t>932 80 54 89</t>
  </si>
  <si>
    <t>Grup Tot Serveis</t>
  </si>
  <si>
    <t>Carrer de Pavia, 19, 08028 Barcelona</t>
  </si>
  <si>
    <t>gruptotserveis.com</t>
  </si>
  <si>
    <t>931 65 55 32</t>
  </si>
  <si>
    <t>info@gruptotserveis.com</t>
  </si>
  <si>
    <t>Fontaneros Gromo</t>
  </si>
  <si>
    <t>683 51 73 71</t>
  </si>
  <si>
    <t>fontanero y Desatascos en rubi 25% Descuento</t>
  </si>
  <si>
    <t>Carrer de la Riera, 44, 08191 Rubí, Barcelona</t>
  </si>
  <si>
    <t>jimdosite.com</t>
  </si>
  <si>
    <t>655 98 08 59</t>
  </si>
  <si>
    <t>Grycoter</t>
  </si>
  <si>
    <t>Carrer d&amp;apos;Àvila, 71-75, 08005 Barcelona</t>
  </si>
  <si>
    <t>grycoter.es</t>
  </si>
  <si>
    <t>932 68 06 66</t>
  </si>
  <si>
    <t>info@grycoter.es</t>
  </si>
  <si>
    <t>Instalaciones Ruizes Bcn Sl</t>
  </si>
  <si>
    <t>Carrer de Xifré, 56, 08026 Barcelona</t>
  </si>
  <si>
    <t>Senervap N C</t>
  </si>
  <si>
    <t>Carrer de la Llacuna, 52, 08005 Barcelona</t>
  </si>
  <si>
    <t>933 09 77 80</t>
  </si>
  <si>
    <t>fontaneroentuzona.net</t>
  </si>
  <si>
    <t>C. de Villarroel, 138, 2-1, 08036 Barcelona</t>
  </si>
  <si>
    <t>fontaneroentuzona@fontaneroentuzona.net</t>
  </si>
  <si>
    <t>Salvador Martínez Crespo</t>
  </si>
  <si>
    <t>Carrer de València, 36, 08930 Sant Adrià de Besòs, Barcelona</t>
  </si>
  <si>
    <t>Sant Adrià de Besòs</t>
  </si>
  <si>
    <t>934 63 91 27</t>
  </si>
  <si>
    <t>Ronda de Sant Ramon, 166, 08830 Sant Boi de Llobregat, Barcelona</t>
  </si>
  <si>
    <t>Sant Boi de Llobregat</t>
  </si>
  <si>
    <t>Luis Ríu Solano</t>
  </si>
  <si>
    <t>Carrer de la Comtessa de Pardo Bazán, 15, 08027 Barcelona</t>
  </si>
  <si>
    <t>933 52 77 75</t>
  </si>
  <si>
    <t>La fontanería en casa</t>
  </si>
  <si>
    <t>Carrer Horta, 10, Nave 3, 08750 Molins de Rei, Barcelona</t>
  </si>
  <si>
    <t>Molins de Rei</t>
  </si>
  <si>
    <t>lafontaneriaencasa.com</t>
  </si>
  <si>
    <t>661 46 51 51</t>
  </si>
  <si>
    <t>Construbany S L</t>
  </si>
  <si>
    <t>Carrer de Sepúlveda, 156, 08011 Barcelona</t>
  </si>
  <si>
    <t>934 26 44 32</t>
  </si>
  <si>
    <t>Ramón Pujol Abellá</t>
  </si>
  <si>
    <t>Av. de Can Baró, 18, 08024 Barcelona</t>
  </si>
  <si>
    <t>932 13 35 68</t>
  </si>
  <si>
    <t>C. de Sant Josep, 17, 08980 Sant Feliu de Llobregat, Barcelona</t>
  </si>
  <si>
    <t>Sant Feliu de Llobregat</t>
  </si>
  <si>
    <t>conectaelectric.com</t>
  </si>
  <si>
    <t>605 49 11 54</t>
  </si>
  <si>
    <t>info@conectaelectric.com</t>
  </si>
  <si>
    <t>Www Instaltecbcn Com</t>
  </si>
  <si>
    <t>Carrer de la Mare de Déu de Port, 259, 08038 Barcelona</t>
  </si>
  <si>
    <t>666 42 44 03</t>
  </si>
  <si>
    <t>Electricidad Casanova</t>
  </si>
  <si>
    <t>Carrer del Milanesat, 5, 08017 Barcelona</t>
  </si>
  <si>
    <t>932 04 00 97</t>
  </si>
  <si>
    <t>Vival</t>
  </si>
  <si>
    <t>Carrer de la Flor de Neu, 9, 08016 Barcelona</t>
  </si>
  <si>
    <t>Ramón Zamora Ramírez</t>
  </si>
  <si>
    <t>Carrer de Santa Matilde, 30, 08031 Barcelona</t>
  </si>
  <si>
    <t>GTG GLOBAL TRUKING</t>
  </si>
  <si>
    <t>C. del Consell de Cent, 99, 08015 Barcelona</t>
  </si>
  <si>
    <t>Saltoki Cornellà</t>
  </si>
  <si>
    <t>Carrer del Silici, 17, 23, 08940 Cornellà de Llobregat, Barcelona</t>
  </si>
  <si>
    <t>932 96 81 17</t>
  </si>
  <si>
    <t>Fontaneros Damián</t>
  </si>
  <si>
    <t>600 28 63 71</t>
  </si>
  <si>
    <t>Hijo De José M Masiques S A</t>
  </si>
  <si>
    <t>Carrer del Dos de Maig, 238, 08013 Barcelona</t>
  </si>
  <si>
    <t>932 68 44 66</t>
  </si>
  <si>
    <t>Francisco López Linares</t>
  </si>
  <si>
    <t>Carrer de Pérez Galdós, 37, 08913 Badalona, Barcelona</t>
  </si>
  <si>
    <t>934 60 22 89</t>
  </si>
  <si>
    <t>GLOBAL DOS, S.L. INSTALACIONES ELECTICIDAD FONTANERIA GAS CALEFACCION</t>
  </si>
  <si>
    <t>Carrer de Figueres, 13, 08917 Badalona, Barcelona</t>
  </si>
  <si>
    <t>933 87 26 66</t>
  </si>
  <si>
    <t>Saltoki Badalona</t>
  </si>
  <si>
    <t>Carrer Marina, 9, 08911 Badalona, Barcelona</t>
  </si>
  <si>
    <t>933 84 86 54</t>
  </si>
  <si>
    <t>Albareda</t>
  </si>
  <si>
    <t>Carrer de l’Albareda, 40, 08904 L&amp;apos;Hospitalet de Llobregat, Barcelona</t>
  </si>
  <si>
    <t>Diamadelic S.L</t>
  </si>
  <si>
    <t>Rambla de Badal, 17, 08014 Barcelona</t>
  </si>
  <si>
    <t>Instalaciones Maryna SL</t>
  </si>
  <si>
    <t>Carrer de Sant Antoni Mª Claret, 42, 08950 Esplugues de Llobregat, Barcelona</t>
  </si>
  <si>
    <t>Esplugues de Llobregat</t>
  </si>
  <si>
    <t>677 59 75 42</t>
  </si>
  <si>
    <t>Tubos Y Hierros Industriales</t>
  </si>
  <si>
    <t>C/ del Perú, 156, 08020 Barcelona</t>
  </si>
  <si>
    <t>Manipulados de P.V.C. Martín S.L.</t>
  </si>
  <si>
    <t>Carrer d&amp;apos;Isaac Peral, 21, 08912 Badalona, Barcelona</t>
  </si>
  <si>
    <t>933 99 58 04</t>
  </si>
  <si>
    <t>Rehabilitaweb Barcelona - Centro Logístico</t>
  </si>
  <si>
    <t>Carrer d&amp;apos;Enric Granados, 16, 08950 Esplugues de Llobregat, Barcelona</t>
  </si>
  <si>
    <t>SUMINISTROS LA FONTANERIA SL</t>
  </si>
  <si>
    <t>Carrer Tamarit, 43, 08291 Ripollet, Barcelona</t>
  </si>
  <si>
    <t>936 91 76 55</t>
  </si>
  <si>
    <t>Josep Llunell Gil</t>
  </si>
  <si>
    <t>Carrer de Sant Jordi, 12, 08172 Sant Cugat del Vallès, Barcelona</t>
  </si>
  <si>
    <t>Sant Cugat del Vallès</t>
  </si>
  <si>
    <t>936 75 00 32</t>
  </si>
  <si>
    <t>Desatascos MesKnet - Sant Boi</t>
  </si>
  <si>
    <t>Carrer Ramon Llull, 26, Ático, 1ª, 08830 Sant Boi de Llobregat, Barcelona</t>
  </si>
  <si>
    <t>626 07 13 19</t>
  </si>
  <si>
    <t>ABC GAVÀ - Subministraments Sanitaris</t>
  </si>
  <si>
    <t>Carrer del Centre, 41, 08850 Gavà, Barcelona</t>
  </si>
  <si>
    <t>Gavà</t>
  </si>
  <si>
    <t>abcgrup.com</t>
  </si>
  <si>
    <t>936 33 32 30</t>
  </si>
  <si>
    <t>abcviladecans@abcgrup.com</t>
  </si>
  <si>
    <t>Simón Martínez Giménez</t>
  </si>
  <si>
    <t>Carrer de Ferran Agulló, 6, 08750 Molins de Rei, Barcelona</t>
  </si>
  <si>
    <t>Saltoki Barberà</t>
  </si>
  <si>
    <t>Avinguda Salvatella, 122, 08210 Barberà del Vallès, Barcelona</t>
  </si>
  <si>
    <t>Barberà del Vallès</t>
  </si>
  <si>
    <t>936 25 96 00</t>
  </si>
  <si>
    <t>Fontgas Sabadell</t>
  </si>
  <si>
    <t>Carrer de Sant Ferran, 209, 08205 Sabadell, Barcelona</t>
  </si>
  <si>
    <t>Sabadell</t>
  </si>
  <si>
    <t>937 20 55 66</t>
  </si>
  <si>
    <t>Fontanero Sant Cugat</t>
  </si>
  <si>
    <t>fontaneroterrassa.com</t>
  </si>
  <si>
    <t>627 46 81 94</t>
  </si>
  <si>
    <t>hola@fontaneroterrassa.com</t>
  </si>
  <si>
    <t>Carlos Sánchez Ginesta</t>
  </si>
  <si>
    <t>Carrer de Barcelona, 30A, 08191 Rubí, Barcelona</t>
  </si>
  <si>
    <t>SOLO desatascos</t>
  </si>
  <si>
    <t>Carrer la Nòria, 15, 08430 La Roca del Vallès, Barcelona</t>
  </si>
  <si>
    <t>La Roca del Vallès</t>
  </si>
  <si>
    <t>solodesatascos.es</t>
  </si>
  <si>
    <t>937 32 60 17</t>
  </si>
  <si>
    <t>info@solodesatascos.es</t>
  </si>
  <si>
    <t>Heredia S.L</t>
  </si>
  <si>
    <t>Carrer de Catalunya, 30, 08970 Sant Joan Despí, Barcelona</t>
  </si>
  <si>
    <t>Sant Joan Despí</t>
  </si>
  <si>
    <t>933 73 24 46</t>
  </si>
  <si>
    <t>Fontgas Terrassa</t>
  </si>
  <si>
    <t>Carrer de la Castellassa, 42, 08227 Terrassa, Barcelona</t>
  </si>
  <si>
    <t>Terrassa</t>
  </si>
  <si>
    <t>937 34 99 00</t>
  </si>
  <si>
    <t>Fontanería Fernández</t>
  </si>
  <si>
    <t>Carrer de Catalunya, 48, 08430 Roca del Valles (la), Barcelona</t>
  </si>
  <si>
    <t>938 42 09 73</t>
  </si>
  <si>
    <t>Jordi Cañellas Ferrer Lampista</t>
  </si>
  <si>
    <t>Carrer d&amp;apos;En Martí Mas, 11, 08629 Torrelles de Llobregat, Barcelona</t>
  </si>
  <si>
    <t>Torrelles de Llobregat</t>
  </si>
  <si>
    <t>936 89 11 92</t>
  </si>
  <si>
    <t>Polyventions España</t>
  </si>
  <si>
    <t>Carrer de la Mare de Déu de Núria, 21, 08830 Sant Boi de Llobregat, Barcelona</t>
  </si>
  <si>
    <t>J. G. Gilabert</t>
  </si>
  <si>
    <t>Carrer de Santa Gemma, 19, 08340 Vilassar de Mar, Barcelona</t>
  </si>
  <si>
    <t>ViIassar de Mar</t>
  </si>
  <si>
    <t>609 37 21 77</t>
  </si>
  <si>
    <t>Instal·lacions Ángel Molero e Hijos</t>
  </si>
  <si>
    <t>Carrer Gran, 5, 08295 Sant Vicenç de Castellet, Barcelona</t>
  </si>
  <si>
    <t>Sant Vicenç de Castellet</t>
  </si>
  <si>
    <t>fontaneriabages.com</t>
  </si>
  <si>
    <t>938 33 20 17</t>
  </si>
  <si>
    <t>SENCOR distribuidor oficial BAXI</t>
  </si>
  <si>
    <t>14, Carrer Castellfollit, 13 Polígon Ind. Els Dolors 13, 08243 Manresa, Barcelona</t>
  </si>
  <si>
    <t>Manresa</t>
  </si>
  <si>
    <t>sencor.cat</t>
  </si>
  <si>
    <t>938 78 47 11</t>
  </si>
  <si>
    <t>info@web7.es</t>
  </si>
  <si>
    <t>Clos Elec Font S L</t>
  </si>
  <si>
    <t>Carrer Consell de Cent, 2, 08470 Sant Celoni, Barcelona</t>
  </si>
  <si>
    <t>Sant Celoni</t>
  </si>
  <si>
    <t>938 67 52 15</t>
  </si>
  <si>
    <t>Desatascos Verdú</t>
  </si>
  <si>
    <t>barcelonadesatascos.barcelona</t>
  </si>
  <si>
    <t>932 93 17 57</t>
  </si>
  <si>
    <t>info@barcelonadesatascos.barcelona</t>
  </si>
  <si>
    <t>Manuel Gómez González</t>
  </si>
  <si>
    <t>Carrer de Sant Joan, 74, 08295 Sant Vicenç de Castellet, Barcelona</t>
  </si>
  <si>
    <t>Lampistería MANEL RS</t>
  </si>
  <si>
    <t>Carrer del Riu Güell, 188, 17005 Girona</t>
  </si>
  <si>
    <t>872 21 95 51</t>
  </si>
  <si>
    <t>Instal·lacions Montilivi</t>
  </si>
  <si>
    <t>Carrer Joaquim Botet i Sisó, 16, 17003 Girona</t>
  </si>
  <si>
    <t>instalacionsmontilivi.com</t>
  </si>
  <si>
    <t>661 95 69 54</t>
  </si>
  <si>
    <t>info@instalmontilivi.com</t>
  </si>
  <si>
    <t>Saltoki Girona</t>
  </si>
  <si>
    <t>Plaza de Salt, s/n Polígono Mas Xirgú, 17005 Girona</t>
  </si>
  <si>
    <t>972 23 22 22</t>
  </si>
  <si>
    <t>Gersal, S.A.</t>
  </si>
  <si>
    <t>Carrer de Costabona, 40, 17006 Girona</t>
  </si>
  <si>
    <t>gersal.com</t>
  </si>
  <si>
    <t>972 40 15 52</t>
  </si>
  <si>
    <t>info@gersal.com</t>
  </si>
  <si>
    <t>Lampisteria Casellas Sl</t>
  </si>
  <si>
    <t>Carrer Dr. Antic Roca, 20, 17003 Girona</t>
  </si>
  <si>
    <t>lampisteriacasellas.com</t>
  </si>
  <si>
    <t>607 79 35 57</t>
  </si>
  <si>
    <t>INSTALSHOPS</t>
  </si>
  <si>
    <t>Plaça Tomàs Baraut i Obiols, 1, 17007 Girona</t>
  </si>
  <si>
    <t>instalshops.com</t>
  </si>
  <si>
    <t>972 28 28 58</t>
  </si>
  <si>
    <t>oficina@instalshops.com</t>
  </si>
  <si>
    <t>Fontanero electricista Girona 24 h Urgente</t>
  </si>
  <si>
    <t>Carrer del Montfalgars, 1, 17006 Girona</t>
  </si>
  <si>
    <t>934 47 39 59</t>
  </si>
  <si>
    <t>Albareda sc</t>
  </si>
  <si>
    <t>Carrer Cor de Maria, 3, Baixos, 17002 Girona</t>
  </si>
  <si>
    <t>605 79 03 65</t>
  </si>
  <si>
    <t>Lluis Reixach González</t>
  </si>
  <si>
    <t>Carrer Ibèria, 11, 17005 Girona</t>
  </si>
  <si>
    <t>972 22 16 23</t>
  </si>
  <si>
    <t>Lampistería Xifra C B</t>
  </si>
  <si>
    <t>Carrer Isabel la Catòlica, 12, 17004 Girona</t>
  </si>
  <si>
    <t>972 20 11 11</t>
  </si>
  <si>
    <t>Ramón Sais Ripoll</t>
  </si>
  <si>
    <t>Passeig de Sant Joan Bosco, 48, 17007 Girona</t>
  </si>
  <si>
    <t>Montajes Industriales Y Reparaciones Girona Sl</t>
  </si>
  <si>
    <t>Carrer del Montseny, 52, 17006 Girona</t>
  </si>
  <si>
    <t>972 24 90 44</t>
  </si>
  <si>
    <t>Instalacións y Reparacions</t>
  </si>
  <si>
    <t>Carrer de la Unió, 49, 17190 Salt, Girona</t>
  </si>
  <si>
    <t>Salt</t>
  </si>
  <si>
    <t>Asistencia 24 Horas</t>
  </si>
  <si>
    <t>Carrer Damià Estela i Molinet, 6, 17007 Girona</t>
  </si>
  <si>
    <t>972 11 00 51</t>
  </si>
  <si>
    <t>Instal·lacions Vito</t>
  </si>
  <si>
    <t>Carrer del President Francesc Macià, 63, 17190 Salt, Girona</t>
  </si>
  <si>
    <t>972 24 59 72</t>
  </si>
  <si>
    <t>Boserca</t>
  </si>
  <si>
    <t>Ramon Sambola, 12, 17190 Salt, Girona</t>
  </si>
  <si>
    <t>972 24 24 96</t>
  </si>
  <si>
    <t>Joaquín Planas Frigola</t>
  </si>
  <si>
    <t>Carrer de la Indústria, 36, 17190 Salt, Girona</t>
  </si>
  <si>
    <t>Confort A Casa</t>
  </si>
  <si>
    <t>Carrer de la Mare de Déu dels Àngels, 30, 17005 Girona</t>
  </si>
  <si>
    <t>633 20 30 60</t>
  </si>
  <si>
    <t>Instalaciones Helio S A</t>
  </si>
  <si>
    <t>Carrer Santander, 17, 17005 Girona</t>
  </si>
  <si>
    <t>972 23 96 61</t>
  </si>
  <si>
    <t>Joan Valeros Sl</t>
  </si>
  <si>
    <t>Passeig dels Països Catalans, 14, 17190 Girona</t>
  </si>
  <si>
    <t>José Comas Lladó</t>
  </si>
  <si>
    <t>Carrer Major de Sarrià, 146, 17840 Sarrià de Dalt, Girona</t>
  </si>
  <si>
    <t>Sarrià de Dalt</t>
  </si>
  <si>
    <t>972 17 02 52</t>
  </si>
  <si>
    <t>Miguel Bartomeu Pérez</t>
  </si>
  <si>
    <t>Carrer de la Farigola, 30, 17180 El Perelló, Girona</t>
  </si>
  <si>
    <t>Vilablareix</t>
  </si>
  <si>
    <t>972 24 33 35</t>
  </si>
  <si>
    <t>Fontanero girona urgencias</t>
  </si>
  <si>
    <t>Passeig dels Països Catalans, 136, 17190 Salt, Girona</t>
  </si>
  <si>
    <t>flodeo.com</t>
  </si>
  <si>
    <t>972 24 54 70</t>
  </si>
  <si>
    <t>Red Ofisat</t>
  </si>
  <si>
    <t>Carrer de la Maçana, 41, 17006 Girona</t>
  </si>
  <si>
    <t>Juan Antonio Martínez Ruano</t>
  </si>
  <si>
    <t>Carrer d&amp;apos;Ullastret, 9, 17003 Girona</t>
  </si>
  <si>
    <t>Fontanería Climatitzacio</t>
  </si>
  <si>
    <t>Carrer Mas Plentís, 14, 17458 Fornells de la Selva, Girona</t>
  </si>
  <si>
    <t>Fornells de la Selva</t>
  </si>
  <si>
    <t>Sauver Componentes De Fricción S L</t>
  </si>
  <si>
    <t>Carrer de Raset, 21, 17180 El Perelló, Girona</t>
  </si>
  <si>
    <t>669 29 99 33</t>
  </si>
  <si>
    <t>Abel Salvador Manzano</t>
  </si>
  <si>
    <t>Carrer de Migdia, 17, 17180 El Perelló, Girona</t>
  </si>
  <si>
    <t>Francisco Díaz del Cabo</t>
  </si>
  <si>
    <t>Carrer de Sant Medir, 12, 17007 Girona</t>
  </si>
  <si>
    <t>Jordi Nierga Bartrina</t>
  </si>
  <si>
    <t>Carrer de Salvat Papasseit, 33, 17190 Salt, Girona</t>
  </si>
  <si>
    <t>Juan Antonio Moyano Pajuelo</t>
  </si>
  <si>
    <t>Carrer de Narcís Roca i Farreras, 81, 17007 Girona</t>
  </si>
  <si>
    <t>972 21 66 65</t>
  </si>
  <si>
    <t>Mariano Tulsa Teixidor</t>
  </si>
  <si>
    <t>Carrer de Santa Afra, 15, 17190 Salt, Girona</t>
  </si>
  <si>
    <t>972 24 12 47</t>
  </si>
  <si>
    <t>Elec Fonservis</t>
  </si>
  <si>
    <t>Plaça de la Vila Romana, 1, 17840 Sarrià de Dalt, Girona</t>
  </si>
  <si>
    <t>Angel Casellas Moner</t>
  </si>
  <si>
    <t>Carrer mas Abric, 7, 17242 Quart, Girona</t>
  </si>
  <si>
    <t>Quart</t>
  </si>
  <si>
    <t>Lampisteria Serra S.L.</t>
  </si>
  <si>
    <t>Carrer Major, 23, 17410 Sils, Girona</t>
  </si>
  <si>
    <t>Sils</t>
  </si>
  <si>
    <t>972 85 30 33</t>
  </si>
  <si>
    <t>Instal·lacions Coll-Bonet</t>
  </si>
  <si>
    <t>Plaça Nova, 2, 17100 La Bisbal d&amp;apos;Empordà, Girona</t>
  </si>
  <si>
    <t>La Bisbal d&amp;apos;Empordà</t>
  </si>
  <si>
    <t>collbonet.com</t>
  </si>
  <si>
    <t>972 64 01 93</t>
  </si>
  <si>
    <t>info@collbonet.com</t>
  </si>
  <si>
    <t>HURPI</t>
  </si>
  <si>
    <t>11 Veïnat, 17244 Mont-roig del Camp, Girona</t>
  </si>
  <si>
    <t>desembussoshurpi.es</t>
  </si>
  <si>
    <t>972 46 13 63</t>
  </si>
  <si>
    <t>Installacions Jordi Vila</t>
  </si>
  <si>
    <t>Carrer de la Bisbal, 56, 17244 Cassà de la Selva, Girona</t>
  </si>
  <si>
    <t>609 35 60 50</t>
  </si>
  <si>
    <t>Instal·lacions Reparacions Mario</t>
  </si>
  <si>
    <t>Carrer Fajol, 43, 17800 Olot, Girona</t>
  </si>
  <si>
    <t>Olot</t>
  </si>
  <si>
    <t>lampisteriamario.com</t>
  </si>
  <si>
    <t>972 26 26 61</t>
  </si>
  <si>
    <t>info@lampisteriamario.com</t>
  </si>
  <si>
    <t>Irsa</t>
  </si>
  <si>
    <t>Carrer Sant Jordi, 4, 17457 Riudellots de la Selva, Girona</t>
  </si>
  <si>
    <t>Riudellots de la Selva</t>
  </si>
  <si>
    <t>irsa.cat</t>
  </si>
  <si>
    <t>972 47 70 80</t>
  </si>
  <si>
    <t>irsa@irsa.cat</t>
  </si>
  <si>
    <t>Lampistería Avinguda S.L.</t>
  </si>
  <si>
    <t>Napols 18 bxos, 17230 Sant Joan de Palamós, Girona</t>
  </si>
  <si>
    <t>San Juan de Palamós</t>
  </si>
  <si>
    <t>972 31 89 59</t>
  </si>
  <si>
    <t>Lampistería Casademont</t>
  </si>
  <si>
    <t>Carrer Creueta, 3, 17482 Medinyà, Girona</t>
  </si>
  <si>
    <t>Mediñá</t>
  </si>
  <si>
    <t>Mafonsa</t>
  </si>
  <si>
    <t>Carrer de la Indústria, 9, 17846 Porqueres, Girona</t>
  </si>
  <si>
    <t>Porqueras</t>
  </si>
  <si>
    <t>972 57 67 04</t>
  </si>
  <si>
    <t>Treballs Ferro i Inox, S.L</t>
  </si>
  <si>
    <t>C/ Garbí, 10, 17481 Girona</t>
  </si>
  <si>
    <t>treballsferroinox.com</t>
  </si>
  <si>
    <t>972 17 17 81</t>
  </si>
  <si>
    <t>info@treballsferroinox.com</t>
  </si>
  <si>
    <t>Alda</t>
  </si>
  <si>
    <t>Carrer Barcelona, 24, 17455 Caldes de Malavella, Girona</t>
  </si>
  <si>
    <t>Caldes de Malavella</t>
  </si>
  <si>
    <t>626 33 59 28</t>
  </si>
  <si>
    <t>CALYGAS S.L.</t>
  </si>
  <si>
    <t>Carrer de Ponent, nau 2, 17100 La Bisbal d&amp;apos;Empordà, Girona</t>
  </si>
  <si>
    <t>calygas.es</t>
  </si>
  <si>
    <t>972 64 35 45</t>
  </si>
  <si>
    <t>info@calygas.es</t>
  </si>
  <si>
    <t>Lampistería Robles</t>
  </si>
  <si>
    <t>Avinguda de les Alegries, 71, 17310 Lloret de Mar, Girona</t>
  </si>
  <si>
    <t>Lloret de Mar</t>
  </si>
  <si>
    <t>972 36 98 31</t>
  </si>
  <si>
    <t>Lampisteria Massallé</t>
  </si>
  <si>
    <t>Carrer de Santa Magdalena, 97, 17220 Sant Feliu de Guíxols, Girona</t>
  </si>
  <si>
    <t>606 44 24 48</t>
  </si>
  <si>
    <t>Instal·lacions J. Pallarols Sl</t>
  </si>
  <si>
    <t>Carrer Joan Serras, 9, 17403 Sant Hilari Sacalm, Girona</t>
  </si>
  <si>
    <t>Sant Hilari Sacalm</t>
  </si>
  <si>
    <t>972 86 81 64</t>
  </si>
  <si>
    <t>Lampisteria Albó Valls S.L</t>
  </si>
  <si>
    <t>Carrer Narcís Pagès i Prats, s/n, 17230 Palamós, Girona</t>
  </si>
  <si>
    <t>Palamós</t>
  </si>
  <si>
    <t>972 31 80 90</t>
  </si>
  <si>
    <t>José Antonio Moreno Moreno</t>
  </si>
  <si>
    <t>Av. del Gironès, 12, 17240 Llagostera, Girona</t>
  </si>
  <si>
    <t>Llagostera</t>
  </si>
  <si>
    <t>972 83 14 43</t>
  </si>
  <si>
    <t>Lampisteria Fàbrega</t>
  </si>
  <si>
    <t>Carrer de Sant Ramon, 22, 17200 Palafrugell, Girona</t>
  </si>
  <si>
    <t>Palafrugell</t>
  </si>
  <si>
    <t>972 30 26 46</t>
  </si>
  <si>
    <t>Instal.lacions Blanes</t>
  </si>
  <si>
    <t>Carrer d&amp;apos;Alberes, 64, 17300 Blanes, Girona</t>
  </si>
  <si>
    <t>Blanes</t>
  </si>
  <si>
    <t>jjinstalacionsblanes.com</t>
  </si>
  <si>
    <t>972 09 09 67</t>
  </si>
  <si>
    <t>Climatitzacio Fontanería Electricitat S.A.</t>
  </si>
  <si>
    <t>Avinguda Països Catalans, 121, 17820 Banyoles, Girona</t>
  </si>
  <si>
    <t>Banyoles</t>
  </si>
  <si>
    <t>Carrer Rafel Savalls, 1, 17230 Palamós, Girona</t>
  </si>
  <si>
    <t>972 31 64 25</t>
  </si>
  <si>
    <t>VALENTÍ SERVEIS I INSTAL·LACIONS S.L.</t>
  </si>
  <si>
    <t>Prolongació, Carrer Poeta Machado, 17244 Cassà de la Selva, Girona</t>
  </si>
  <si>
    <t>valenti.cat</t>
  </si>
  <si>
    <t>972 46 36 39</t>
  </si>
  <si>
    <t>info@valenti.cat</t>
  </si>
  <si>
    <t>Lluis Reig García</t>
  </si>
  <si>
    <t>Carrer de Guèmol, 37, 17820 Banyoles, Girona</t>
  </si>
  <si>
    <t>Pol. Ind. Empordà Internacional, Carrer del Mar, 30, 17469 Vilamalla, Girona</t>
  </si>
  <si>
    <t>Vilamalla</t>
  </si>
  <si>
    <t>972 52 51 50</t>
  </si>
  <si>
    <t>Miguel Morales Perea</t>
  </si>
  <si>
    <t>Carrer Juli Garreta, 7, 17160 Anglès, Girona</t>
  </si>
  <si>
    <t>Anglès</t>
  </si>
  <si>
    <t>Forma Instal-lacions</t>
  </si>
  <si>
    <t>Avinguda Catalunya, núm. 1, 17464 Cervià de Ter, Girona</t>
  </si>
  <si>
    <t>Cervià de Ter</t>
  </si>
  <si>
    <t>formainstalacions.com</t>
  </si>
  <si>
    <t>629 30 54 28</t>
  </si>
  <si>
    <t>Edu Lampista</t>
  </si>
  <si>
    <t>Carrer Pirineus, 19, 17469 El Pont del Príncep, Girona</t>
  </si>
  <si>
    <t>El Pont del Príncep</t>
  </si>
  <si>
    <t>620 09 55 73</t>
  </si>
  <si>
    <t>Francisco Pujadas Guino</t>
  </si>
  <si>
    <t>Passeig Romeu, 57, 17240 Llagostera, Girona</t>
  </si>
  <si>
    <t>Armindo Teixeira Crespo</t>
  </si>
  <si>
    <t>Carrer Ridaura, 34, 17246 Santa Cristina d&amp;apos;Aro, Girona</t>
  </si>
  <si>
    <t>Santa Cristina d&amp;apos;Aro</t>
  </si>
  <si>
    <t>Federico Lorenzo Muñoz</t>
  </si>
  <si>
    <t>Carrer Sant Jordi, 11, 17457 Riudellots de la Selva, Girona</t>
  </si>
  <si>
    <t>972 47 88 32</t>
  </si>
  <si>
    <t>Instalacións Paretas S.L.</t>
  </si>
  <si>
    <t>Carrer de la Rutlla, 15, 17133 Parlavà, Girona</t>
  </si>
  <si>
    <t>Parlavà</t>
  </si>
  <si>
    <t>Gironès i Rodés SL</t>
  </si>
  <si>
    <t>Carrer Jaume I, 70, 17300 Blanes, Girona</t>
  </si>
  <si>
    <t>gironesirodes.com</t>
  </si>
  <si>
    <t>972 33 06 60</t>
  </si>
  <si>
    <t>info@gironesirodes.com</t>
  </si>
  <si>
    <t>Carrer de Sant Adolf, 23, 17220 Sant Feliu de Guíxols, Girona</t>
  </si>
  <si>
    <t>972 32 75 02</t>
  </si>
  <si>
    <t>Doctor Desagüe</t>
  </si>
  <si>
    <t>Veinat Trullàs, 14, 17162 Bescanó, Girona</t>
  </si>
  <si>
    <t>Bescanó</t>
  </si>
  <si>
    <t>doctordesague.com</t>
  </si>
  <si>
    <t>606 95 91 11</t>
  </si>
  <si>
    <t>Av. de Vidreres, 17310 Lloret de Mar, Girona</t>
  </si>
  <si>
    <t>972 36 26 63</t>
  </si>
  <si>
    <t>Jordi Fa Cateura</t>
  </si>
  <si>
    <t>Passeig Pompeu Fabra, 49, 17240 Llagostera, Girona</t>
  </si>
  <si>
    <t>972 83 03 64</t>
  </si>
  <si>
    <t>Carrer Poeta Josep Carner, 15, 17310 Lloret de Mar, Girona</t>
  </si>
  <si>
    <t>hechamano.es</t>
  </si>
  <si>
    <t>620 53 04 54</t>
  </si>
  <si>
    <t>info@hechamano.es</t>
  </si>
  <si>
    <t>Accesorios Fontaneria Morales</t>
  </si>
  <si>
    <t>Carrer de la Provença, 9, 17220 Sant Feliu de Guíxols, Girona</t>
  </si>
  <si>
    <t>972 32 05 73</t>
  </si>
  <si>
    <t>Instalaciones Faustino Ruiz</t>
  </si>
  <si>
    <t>Calle Concepció Cruañas, 3, 17230 Sant Joan de Palamós, Girona</t>
  </si>
  <si>
    <t>Sumras 2010 Sl</t>
  </si>
  <si>
    <t>Carrer del Trefí, 12, 17200 Palafrugell, Girona</t>
  </si>
  <si>
    <t>sumras.es</t>
  </si>
  <si>
    <t>972 98 53 39</t>
  </si>
  <si>
    <t>sumras@sumras.es</t>
  </si>
  <si>
    <t>Saltoki Blanes</t>
  </si>
  <si>
    <t>Av. d&amp;apos;Europa, 43, naves 21-22, 17300 Blanes, Girona</t>
  </si>
  <si>
    <t>972 34 81 10</t>
  </si>
  <si>
    <t>Cortada Bascara S.L.</t>
  </si>
  <si>
    <t>Avinguda de l&amp;apos;Alt Empordà, 2, 17483 Bàscara, Girona</t>
  </si>
  <si>
    <t>Bàscara</t>
  </si>
  <si>
    <t>cortadabascara.com</t>
  </si>
  <si>
    <t>972 56 00 40</t>
  </si>
  <si>
    <t>cortadabascara@yahoo.es</t>
  </si>
  <si>
    <t>José Valentí Juanhuix</t>
  </si>
  <si>
    <t>Plaça Mestre Mas Ros, 16, 17455 Caldes de Malavella, Girona</t>
  </si>
  <si>
    <t>972 47 22 19</t>
  </si>
  <si>
    <t>Multiserveis Raimón</t>
  </si>
  <si>
    <t>Carrer Puig s&amp;apos;Agoita, 4, 17250 Platja d&amp;apos;Aro, Girona</t>
  </si>
  <si>
    <t>Platja d&amp;apos;Aro</t>
  </si>
  <si>
    <t>972 81 98 32</t>
  </si>
  <si>
    <t>Albert Parramón Colom</t>
  </si>
  <si>
    <t>Carrer del Nord, 5, 17160 Anglès, Girona</t>
  </si>
  <si>
    <t>636 10 67 40</t>
  </si>
  <si>
    <t>Gallego-instal</t>
  </si>
  <si>
    <t>Carrer Sardana, 21, 17600 Figueres, Girona</t>
  </si>
  <si>
    <t>Figueres</t>
  </si>
  <si>
    <t>676 23 82 66</t>
  </si>
  <si>
    <t>Instal·lacions Andreu</t>
  </si>
  <si>
    <t>Carrer Garrotxa, 28, 17230 Sant Joan de Palamós, Girona</t>
  </si>
  <si>
    <t>Lampistería Mada S.L.</t>
  </si>
  <si>
    <t>Carrer de València, 93, 17220 Sant Feliu de Guíxols, Girona</t>
  </si>
  <si>
    <t>Suministres De Climatitzacio I Fontaneries Pla De L&amp;apos;Estany S L</t>
  </si>
  <si>
    <t>Carrer Ramon Llull, 0, 17846 Porqueres, Girona</t>
  </si>
  <si>
    <t>Subministres L&amp;apos;Estany S.L.</t>
  </si>
  <si>
    <t>Calle Industria, 0 S/N (Z Ind Terri), 17846 Madà, Girona</t>
  </si>
  <si>
    <t>Electricitat Fontaneria Calefacció I Gas</t>
  </si>
  <si>
    <t>Avinguda de Can Ribalaigua, 17310 Lloret de Mar, Girona</t>
  </si>
  <si>
    <t>Calederes Estany S.L.</t>
  </si>
  <si>
    <t>Calle Sant Galderic, 0 S N ( Z Ind, 17833 Melianta, Girona</t>
  </si>
  <si>
    <t>Melianta</t>
  </si>
  <si>
    <t>Juan Mesas López</t>
  </si>
  <si>
    <t>Carrer Salvador Dalí, 15, 17250 Platja d&amp;apos;Aro, Girona</t>
  </si>
  <si>
    <t>972 81 96 52</t>
  </si>
  <si>
    <t>Sanitarios Feca</t>
  </si>
  <si>
    <t>Travessia Taronja, 21, 17455 Caldes de Malavella, Girona</t>
  </si>
  <si>
    <t>Lampistería Roca</t>
  </si>
  <si>
    <t>Carrer de Josep Anselm Clavé, 11, 17220 Sant Feliu de Guíxols, Girona</t>
  </si>
  <si>
    <t>Agullana</t>
  </si>
  <si>
    <t>972 32 02 39</t>
  </si>
  <si>
    <t>José Iglesias March</t>
  </si>
  <si>
    <t>Carrer d&amp;apos;Esponellà, 33, 17852 Serinyà, Girona</t>
  </si>
  <si>
    <t>Serinyà</t>
  </si>
  <si>
    <t>GiroServices: Electricidad y Fontaneria 24Horas</t>
  </si>
  <si>
    <t>giroservices.com</t>
  </si>
  <si>
    <t>657 08 68 80</t>
  </si>
  <si>
    <t>Inspa</t>
  </si>
  <si>
    <t>Carrer de la Generalitat, 3, 17464 Sant Jordi Desvalls, Girona</t>
  </si>
  <si>
    <t>Sant Jordi Desvalls</t>
  </si>
  <si>
    <t>Instal·lacions Rufí Restrudis</t>
  </si>
  <si>
    <t>Passeig Tomàs de A. Boada, 3, 17240 Llagostera, Girona</t>
  </si>
  <si>
    <t>gestronica.es</t>
  </si>
  <si>
    <t>972 83 11 76</t>
  </si>
  <si>
    <t>Carrer Montgó, 3, 17600 Figueres, Girona</t>
  </si>
  <si>
    <t>972 51 60 42</t>
  </si>
  <si>
    <t>Nova Ategi S.L.U.</t>
  </si>
  <si>
    <t>Carretera de Cors, 10, 17846 Mata, Girona</t>
  </si>
  <si>
    <t>José María Ferrer Casampera</t>
  </si>
  <si>
    <t>Carrer Generalitat de Catalunya, 20, 17100 La Bisbal d&amp;apos;Empordà, Girona</t>
  </si>
  <si>
    <t>972 64 11 69</t>
  </si>
  <si>
    <t>Insmator 2005 SL</t>
  </si>
  <si>
    <t>Carrer Francesc Moragas, 11, 17430 Santa Coloma de Farners, Girona</t>
  </si>
  <si>
    <t>Santa Coloma de Farners</t>
  </si>
  <si>
    <t>972 84 05 67</t>
  </si>
  <si>
    <t>Instalxevi - Lampista Calonge</t>
  </si>
  <si>
    <t>instalxevi.cat</t>
  </si>
  <si>
    <t>618 57 22 75</t>
  </si>
  <si>
    <t>Armando González Fernández</t>
  </si>
  <si>
    <t>Carrer Ter, 50, 17600 Figueres, Girona</t>
  </si>
  <si>
    <t>Saltoki Pineda de Mar</t>
  </si>
  <si>
    <t>Carrer Mèxic, 4, 08397 Pineda de Mar, Barcelona</t>
  </si>
  <si>
    <t>Pineda de Mar</t>
  </si>
  <si>
    <t>937 67 04 62</t>
  </si>
  <si>
    <t>Tomás Roselló Millet</t>
  </si>
  <si>
    <t>Carrer de les Manufactures del Suro, 93, 17200 Palafrugell, Girona</t>
  </si>
  <si>
    <t>972 61 03 79</t>
  </si>
  <si>
    <t>Joan Palau Bofill</t>
  </si>
  <si>
    <t>Carrer del Pintor Joan Massanet, 74, 17130 L&amp;apos;Escala, Girona</t>
  </si>
  <si>
    <t>L&amp;apos;Escala</t>
  </si>
  <si>
    <t>972 77 11 80</t>
  </si>
  <si>
    <t>Instalación J C</t>
  </si>
  <si>
    <t>Carrer dels Castanyers, 46, 17404 Riells i Viabrea, Girona</t>
  </si>
  <si>
    <t>Riells</t>
  </si>
  <si>
    <t>938 47 22 24</t>
  </si>
  <si>
    <t>Saltoki Vic</t>
  </si>
  <si>
    <t>Polígono Industrial Sot dels Pradals, Carrer de Sabadell, 21, 08500 Vic, Barcelona</t>
  </si>
  <si>
    <t>Vic</t>
  </si>
  <si>
    <t>938 86 90 80</t>
  </si>
  <si>
    <t>Plàstics Gasull, s.l.</t>
  </si>
  <si>
    <t>Carrer del Trefí, 26, 17200 Palafrugell, Girona</t>
  </si>
  <si>
    <t>plasticsgasull.com</t>
  </si>
  <si>
    <t>972 61 06 41</t>
  </si>
  <si>
    <t>info@plasticsgasull.com</t>
  </si>
  <si>
    <t>Josep Rodríguez Carmona</t>
  </si>
  <si>
    <t>l&amp;apos;Àngel, d&amp;apos;Hostoles, Carrer del Angel, 6, 17172 Les Planes d&amp;apos;Hostoles, Girona</t>
  </si>
  <si>
    <t>Les Planes d&amp;apos;Hostoles</t>
  </si>
  <si>
    <t>IXOS Conmasa Figueres</t>
  </si>
  <si>
    <t>Carrer de la Duana, 1-7, 17600 Figueres, Girona</t>
  </si>
  <si>
    <t>972 50 68 50</t>
  </si>
  <si>
    <t>Instalaciones Gabriel</t>
  </si>
  <si>
    <t>Avinguda del Nord, 81, 17480 Roses, Girona</t>
  </si>
  <si>
    <t>Roses</t>
  </si>
  <si>
    <t>Remei Campins Puigmal</t>
  </si>
  <si>
    <t>Carrer Ferrer Bàrbara, 16, 17867 Camprodon, Girona</t>
  </si>
  <si>
    <t>Camprodon</t>
  </si>
  <si>
    <t>Saltoki Granollers</t>
  </si>
  <si>
    <t>Centre Comercial El Nord, Carrer del Montseny, 7, 13, 08400, Barcelona</t>
  </si>
  <si>
    <t>Granollers</t>
  </si>
  <si>
    <t>938 40 52 00</t>
  </si>
  <si>
    <t>SENCOR distribuidor oficial EDILKAMIN</t>
  </si>
  <si>
    <t>Carrer Ripoll 14 - Polígono Industrial Mas Beuló, 08500 Vic, Barcelona</t>
  </si>
  <si>
    <t>938 89 28 42</t>
  </si>
  <si>
    <t>CORRAL FONTANERIA, CALEFACCIÓ I ELECTRICITAT</t>
  </si>
  <si>
    <t>Carrer Pont de Sant Martí, S/N, 17520 Puigcerdà, Girona</t>
  </si>
  <si>
    <t>Puigcerdà</t>
  </si>
  <si>
    <t>619 19 65 87</t>
  </si>
  <si>
    <t>Jordi Migales - Fontanería, Calefacción, Aire y Gas</t>
  </si>
  <si>
    <t>Restaurantes, Carrer Hostal de la Bordeta, 25, 25001 Lleida</t>
  </si>
  <si>
    <t>fontanerolleida.es</t>
  </si>
  <si>
    <t>696 40 50 05</t>
  </si>
  <si>
    <t>Fontaneria Cami</t>
  </si>
  <si>
    <t>Carrer Camp de Mart, 1, 25006 Lleida</t>
  </si>
  <si>
    <t>fontaneriacami.es</t>
  </si>
  <si>
    <t>973 28 09 52</t>
  </si>
  <si>
    <t>hola@miempresa.es</t>
  </si>
  <si>
    <t>Fontanería J. Carlos Fabra</t>
  </si>
  <si>
    <t>Carrer el Bages, nº3, 25005 Lleida</t>
  </si>
  <si>
    <t>630 90 20 29</t>
  </si>
  <si>
    <t>Buenaño Rodriguez. Fontanería, Instalación de Gas y Calefacción</t>
  </si>
  <si>
    <t>Carrer de les Valls d&amp;apos;Andorra, 17, 25005 Lleida</t>
  </si>
  <si>
    <t>buenanorodriguez.com</t>
  </si>
  <si>
    <t>677 51 94 05</t>
  </si>
  <si>
    <t>Reif2</t>
  </si>
  <si>
    <t>Carrer Salmeron, 20, 25004 Lleida</t>
  </si>
  <si>
    <t>reif2.com</t>
  </si>
  <si>
    <t>873 49 00 22</t>
  </si>
  <si>
    <t>Fontaneria R. Montañez S.L</t>
  </si>
  <si>
    <t>Carrer d&amp;apos;en Ramon Argilès, 18, 25005 Lleida</t>
  </si>
  <si>
    <t>619 26 63 99</t>
  </si>
  <si>
    <t>FONTANERIA MAP</t>
  </si>
  <si>
    <t>Abella de la Conca</t>
  </si>
  <si>
    <t>map3po.negocio.site</t>
  </si>
  <si>
    <t>670 85 80 99</t>
  </si>
  <si>
    <t>Instal·lacions Manel</t>
  </si>
  <si>
    <t>Carrer Tamarit de Llitera, 23, 25008 Lleida</t>
  </si>
  <si>
    <t>fontanerolleida.com</t>
  </si>
  <si>
    <t>615 66 26 65</t>
  </si>
  <si>
    <t>marketing@nexica.com</t>
  </si>
  <si>
    <t>Hidroclima López</t>
  </si>
  <si>
    <t>Carrer Palauet, 52, 25001 Lleida</t>
  </si>
  <si>
    <t>973 22 96 98</t>
  </si>
  <si>
    <t>SAUFER</t>
  </si>
  <si>
    <t>Pol. Ind. Mecanova, Carrer Ricard Calvet i Serra, 21 22, 25190 Lleida</t>
  </si>
  <si>
    <t>saufer.com</t>
  </si>
  <si>
    <t>973 20 80 60</t>
  </si>
  <si>
    <t>Fontanería Acosta S L</t>
  </si>
  <si>
    <t>Carrer de la Dra. Castells, 20, 25004 Lleida</t>
  </si>
  <si>
    <t>fontaneriaacosta.es</t>
  </si>
  <si>
    <t>973 21 00 00</t>
  </si>
  <si>
    <t>info@fontaneriaacosta.es</t>
  </si>
  <si>
    <t>Termical Subministraments</t>
  </si>
  <si>
    <t>25005 Lérida</t>
  </si>
  <si>
    <t>termical.es</t>
  </si>
  <si>
    <t>973 22 99 84</t>
  </si>
  <si>
    <t>jgimeno@termical.es</t>
  </si>
  <si>
    <t>SETO PONENT S.L.</t>
  </si>
  <si>
    <t>692 37 95 32</t>
  </si>
  <si>
    <t>TECNICGAS</t>
  </si>
  <si>
    <t>Carrer de Xavier Puig i Andreu, 16, 25005 Lleida</t>
  </si>
  <si>
    <t>973 80 16 26</t>
  </si>
  <si>
    <t>Hidroplast Lleida S.L</t>
  </si>
  <si>
    <t>Carrer de Roca Labrador, 19, 25003 Lleida</t>
  </si>
  <si>
    <t>linkedin.com</t>
  </si>
  <si>
    <t>973 28 20 93</t>
  </si>
  <si>
    <t>Pedro Padulles Sangrà</t>
  </si>
  <si>
    <t>Carrer Cardenal Cisneros, 30, 25003 Lleida</t>
  </si>
  <si>
    <t>973 26 11 51</t>
  </si>
  <si>
    <t>Fontaneria A.Huguet</t>
  </si>
  <si>
    <t>Carrer de les Roses, 34, 25001 Lleida</t>
  </si>
  <si>
    <t>625 57 47 17</t>
  </si>
  <si>
    <t>Gas Fellas Plumber Lleida</t>
  </si>
  <si>
    <t>Carrer Vallcalent, 41, 2D, 25006 Lleida</t>
  </si>
  <si>
    <t>Pere Godia Piedrafita</t>
  </si>
  <si>
    <t>Carrer del Vallès, 15, 25005 Lleida</t>
  </si>
  <si>
    <t>973 24 91 20</t>
  </si>
  <si>
    <t>Fongascal Viella 2004</t>
  </si>
  <si>
    <t>Carrer Ntra. Sra. del Mig Aran, 0, 25001 Lleida</t>
  </si>
  <si>
    <t>973 64 22 64</t>
  </si>
  <si>
    <t>Deac Lleida</t>
  </si>
  <si>
    <t>Carrer de les Valls d&amp;apos;Andorra, 51, 57, 25005 Lleida</t>
  </si>
  <si>
    <t>deac.mobi</t>
  </si>
  <si>
    <t>873 60 00 10</t>
  </si>
  <si>
    <t>suemail@ejemplo.com</t>
  </si>
  <si>
    <t>Anto Pérez</t>
  </si>
  <si>
    <t>Carrer Boters, 24, 25002 Lleida</t>
  </si>
  <si>
    <t>973 26 66 43</t>
  </si>
  <si>
    <t>Eduard Seguí Lleida</t>
  </si>
  <si>
    <t>Pol. Ind. Les Canals, Carrer Canals, 1, 25190 Lleida</t>
  </si>
  <si>
    <t>eduardsegui.com</t>
  </si>
  <si>
    <t>973 21 35 55</t>
  </si>
  <si>
    <t>elseuemail@exemple.com</t>
  </si>
  <si>
    <t>Albert Bacardí Balanya</t>
  </si>
  <si>
    <t>Av. de les Garrigues, 40, 25001 Lleida</t>
  </si>
  <si>
    <t>973 20 14 18</t>
  </si>
  <si>
    <t>Comfred Suministros S L</t>
  </si>
  <si>
    <t>Polígono Industrial Camí Dels Frares, 42 C Alcarrás 42 Parc 76 Polígono Industrial, 25001 Lleida</t>
  </si>
  <si>
    <t>973 22 11 15</t>
  </si>
  <si>
    <t>José Canut Fábregas</t>
  </si>
  <si>
    <t>Gran Passeig de Ronda, 49, 25006 Lleida</t>
  </si>
  <si>
    <t>973 26 58 18</t>
  </si>
  <si>
    <t>José Luis Lobo Pando</t>
  </si>
  <si>
    <t>Carrer de la Unió, 3, 25002 Lleida</t>
  </si>
  <si>
    <t>973 26 11 12</t>
  </si>
  <si>
    <t>Fontaneria Macarulla Lleida</t>
  </si>
  <si>
    <t>Carrer Gran, 50, 25195 Lleida</t>
  </si>
  <si>
    <t>macarullainstalacions.com</t>
  </si>
  <si>
    <t>973 22 57 67</t>
  </si>
  <si>
    <t>info@macarullainstalacions.com</t>
  </si>
  <si>
    <t>Manuel Peña Conejo</t>
  </si>
  <si>
    <t>Carrer de Xavier Puig i Andreu, 12, 25005 Lleida</t>
  </si>
  <si>
    <t>973 22 44 54</t>
  </si>
  <si>
    <t>Comercial Calefaccio Soldevila SL</t>
  </si>
  <si>
    <t>Carrer del Penedès, 89, 25005 Lleida</t>
  </si>
  <si>
    <t>Guillermo Pérez Benítez</t>
  </si>
  <si>
    <t>Carrer del Nord, 31, 25007 Lleida, Lérida</t>
  </si>
  <si>
    <t>Jaume Polo Sl.</t>
  </si>
  <si>
    <t>Carrer Aragó, 10, 25230 Mollerussa, Lleida</t>
  </si>
  <si>
    <t>Mollerussa</t>
  </si>
  <si>
    <t>973 60 05 17</t>
  </si>
  <si>
    <t>Serveis Bara</t>
  </si>
  <si>
    <t>Camí de Grenyana, 44, 25195 Lleida</t>
  </si>
  <si>
    <t>serveisbara.es</t>
  </si>
  <si>
    <t>973 21 27 75</t>
  </si>
  <si>
    <t>info@servibara.com</t>
  </si>
  <si>
    <t>MON intal·lacions reparacions</t>
  </si>
  <si>
    <t>Carrer de Fraga, 42, 25180 Alcarràs, Lleida</t>
  </si>
  <si>
    <t>Alcarràs</t>
  </si>
  <si>
    <t>600 77 38 01</t>
  </si>
  <si>
    <t>Sumfo</t>
  </si>
  <si>
    <t>Calle C, 0 S N ( Poligon Ind Ronda Ponent ), 25001 Lleida</t>
  </si>
  <si>
    <t>973 60 22 01</t>
  </si>
  <si>
    <t>José Luis García López</t>
  </si>
  <si>
    <t>Calle Patricio Redondo, 27, 25153 Puigverd de Lleida, Lleida</t>
  </si>
  <si>
    <t>Puigverd de Lleida</t>
  </si>
  <si>
    <t>973 16 80 48</t>
  </si>
  <si>
    <t>Vicente Pociello Justribo</t>
  </si>
  <si>
    <t>Carrer Portal, 36, 25125 Alguaire, Lleida</t>
  </si>
  <si>
    <t>Alguaire</t>
  </si>
  <si>
    <t>973 75 77 19</t>
  </si>
  <si>
    <t>Carrer d&amp;apos;Anselm Clavé, 3, 25230 Mollerussa, Lleida</t>
  </si>
  <si>
    <t>973 60 00 38</t>
  </si>
  <si>
    <t>Antonio Pérez López</t>
  </si>
  <si>
    <t>Carrer Generalitat, 25660 Alcoletge, Lleida</t>
  </si>
  <si>
    <t>Alcoletge</t>
  </si>
  <si>
    <t>973 19 60 39</t>
  </si>
  <si>
    <t>Fontaneria Eloi Sánchez</t>
  </si>
  <si>
    <t>Av. Madrid, 27 Baixos, 25500 La Pobla de Segur, Lleida, Lleida</t>
  </si>
  <si>
    <t>La Pobla de Segur</t>
  </si>
  <si>
    <t>973 68 13 39</t>
  </si>
  <si>
    <t>JR Instal·lacions</t>
  </si>
  <si>
    <t>Carrer del Sant Crist, 16, 25600 Balaguer, Lleida</t>
  </si>
  <si>
    <t>Balaguer</t>
  </si>
  <si>
    <t>instaljr.com</t>
  </si>
  <si>
    <t>973 82 80 83</t>
  </si>
  <si>
    <t>Joan Santaulari Surroca</t>
  </si>
  <si>
    <t>Carrer de Balaguer, 7, 25690 Térmens, Lleida</t>
  </si>
  <si>
    <t>Térmens</t>
  </si>
  <si>
    <t>973 19 00 05</t>
  </si>
  <si>
    <t>Juan José Gargallo Darza</t>
  </si>
  <si>
    <t>Carrer del Carme, 62, 25100 Almacelles, Lleida</t>
  </si>
  <si>
    <t>Almacelles</t>
  </si>
  <si>
    <t>Eduard Seguí Fontaneria - Tàrrega</t>
  </si>
  <si>
    <t>Pol. Ind. de Llevant, Carrer de la Noguera, 7, 25300 Tàrrega, Lleida</t>
  </si>
  <si>
    <t>Tàrrega</t>
  </si>
  <si>
    <t>973 31 45 53</t>
  </si>
  <si>
    <t>Novaeventos 963 S.L.U.</t>
  </si>
  <si>
    <t>Carrer d&amp;apos;Anna Minguell i Ortiz, 10, 25100 Almacelles, Lleida</t>
  </si>
  <si>
    <t>Fernando Adserias Puso</t>
  </si>
  <si>
    <t>Avinguda de Lleida, 53, 25120 Alfarràs, Lleida</t>
  </si>
  <si>
    <t>Alfarràs</t>
  </si>
  <si>
    <t>Viciana Instal·lacions Aerotermia Calefacció i Fontaneria</t>
  </si>
  <si>
    <t>Carrer d&amp;apos;Alonso Martínez, 8, 25300 Tàrrega, Lleida</t>
  </si>
  <si>
    <t>viciana.cat</t>
  </si>
  <si>
    <t>620 90 50 32</t>
  </si>
  <si>
    <t>info@viciana.cat</t>
  </si>
  <si>
    <t>Instal•lacionsPITO</t>
  </si>
  <si>
    <t>Carrer de les Adoberies, 7, 25620 Tremp, Lleida</t>
  </si>
  <si>
    <t>Tremp</t>
  </si>
  <si>
    <t>installacionspito.negocio.site</t>
  </si>
  <si>
    <t>973 65 14 85</t>
  </si>
  <si>
    <t>Deac Distribucions S L</t>
  </si>
  <si>
    <t>Calle Conca De Barberá, 4 ( Pol Ind Llevant, 25300 Tàrrega, Lleida</t>
  </si>
  <si>
    <t>973 31 42 42</t>
  </si>
  <si>
    <t>Miquel</t>
  </si>
  <si>
    <t>Carrer Sant Miquel, 85, 25245 Vila-sana, Lleida</t>
  </si>
  <si>
    <t>Vila-sana</t>
  </si>
  <si>
    <t>973 71 14 72</t>
  </si>
  <si>
    <t>MARCOS ARBONÉS JOVÉ (REGS ARBONÉS)</t>
  </si>
  <si>
    <t>Avinguda de Lleida, 34, 25185 La Granja d&amp;apos;Escarp, Lleida</t>
  </si>
  <si>
    <t>La Granja d&amp;apos;Escarp</t>
  </si>
  <si>
    <t>973 78 23 75</t>
  </si>
  <si>
    <t>Jordi Balcells Sanahuja</t>
  </si>
  <si>
    <t>Carrer Redemur, 0, 25410 L&amp;apos;Espluga Calba, Lleida</t>
  </si>
  <si>
    <t>L&amp;apos;Espluga Calba</t>
  </si>
  <si>
    <t>973 15 66 03</t>
  </si>
  <si>
    <t>Gilbert Bertrán Puigpinos</t>
  </si>
  <si>
    <t>Arrabal Puigverd, 80, 25310 Agramunt, Lleida</t>
  </si>
  <si>
    <t>Agramunt</t>
  </si>
  <si>
    <t>Pablo Miro Salvia</t>
  </si>
  <si>
    <t>Av. Catalunya, 65, 25245 Vila-sana, Lleida</t>
  </si>
  <si>
    <t>973 60 11 99</t>
  </si>
  <si>
    <t>José Rosell Auberni</t>
  </si>
  <si>
    <t>Carrer d&amp;apos;Alonso Martínez, 10, 25300 Tàrrega, Lleida</t>
  </si>
  <si>
    <t>973 50 11 53</t>
  </si>
  <si>
    <t>Antonio Boix Puyalto</t>
  </si>
  <si>
    <t>Carr. de Binéfar, 51, 22550 Tamarite de Litera, Huesca</t>
  </si>
  <si>
    <t>Tamarite de Litera</t>
  </si>
  <si>
    <t>José de Lamoga Oliva</t>
  </si>
  <si>
    <t>Carrer de Sols, 44, 25620 Tremp, Lleida</t>
  </si>
  <si>
    <t>Saltoki Valls</t>
  </si>
  <si>
    <t>Carretera del Pla, 241, 43800 Valls, Tarragona</t>
  </si>
  <si>
    <t>Valls</t>
  </si>
  <si>
    <t>977 60 91 19</t>
  </si>
  <si>
    <t>Saltoki Reus</t>
  </si>
  <si>
    <t>Carrer de la Unió Europea, 10, 43204 Reus, Tarragona</t>
  </si>
  <si>
    <t>Reus</t>
  </si>
  <si>
    <t>977 12 44 24</t>
  </si>
  <si>
    <t>Saltoki Tarragona</t>
  </si>
  <si>
    <t>P.I, Carrer del Sofre, 18, 43006 Tarragona</t>
  </si>
  <si>
    <t>977 20 64 38</t>
  </si>
  <si>
    <t>Desatascos Rapidos 24 Horas Tarragona</t>
  </si>
  <si>
    <t>desatascos-rapidos.es</t>
  </si>
  <si>
    <t>649 22 20 60</t>
  </si>
  <si>
    <t>Serrallers Lampistes Electricistes Tarragona</t>
  </si>
  <si>
    <t>Carrer dels Caputxins, 30, piso 2 puerta 2, 43001 Tarragona</t>
  </si>
  <si>
    <t>rapidtecnictarragona.esy.es</t>
  </si>
  <si>
    <t>Electrojavi</t>
  </si>
  <si>
    <t>Carrer d&amp;apos;Antoni Rovira i Virgili, 39, 43002 Tarragona</t>
  </si>
  <si>
    <t>Lampi Hogar S L</t>
  </si>
  <si>
    <t>Plaça dels Sedassos, 1, 43003 Tarragona</t>
  </si>
  <si>
    <t>comerciosyservicios.com</t>
  </si>
  <si>
    <t>977 23 77 31</t>
  </si>
  <si>
    <t>Desatascos y Fontaneros 24 Horas Calafat | Grupo SH</t>
  </si>
  <si>
    <t>Carrer d&amp;apos;Eduard Toda, 1, 43205 Tarragona</t>
  </si>
  <si>
    <t>676 56 12 35</t>
  </si>
  <si>
    <t>Desatascos Tarragona Aqua-limp</t>
  </si>
  <si>
    <t>aqua-limp.com</t>
  </si>
  <si>
    <t>Fontaneros Tarragona Aqua-limp</t>
  </si>
  <si>
    <t>Instalaciones Mantenimiento Electricidad Fontanería Sal Inst Mant</t>
  </si>
  <si>
    <t>Carrer Gran Canària, 1, 43006 Tarragona</t>
  </si>
  <si>
    <t>fontanero electricista cerrajero</t>
  </si>
  <si>
    <t>Carrer Deltebre, 19, 43006 Tarragona</t>
  </si>
  <si>
    <t>multiserviciohogar.com</t>
  </si>
  <si>
    <t>622 70 44 32</t>
  </si>
  <si>
    <t>roof@2x.png</t>
  </si>
  <si>
    <t>TecnicSolution: Fontaneros 24H</t>
  </si>
  <si>
    <t>tecnicsolution.es</t>
  </si>
  <si>
    <t>670 55 01 31</t>
  </si>
  <si>
    <t>info@tecnicsolution.es</t>
  </si>
  <si>
    <t>Raúl Inglés Pérez</t>
  </si>
  <si>
    <t>Carrer de Vidal i Barraquer, 50, 43005 Tarragona</t>
  </si>
  <si>
    <t>977 22 66 72</t>
  </si>
  <si>
    <t>Gabriel Butron Navarro</t>
  </si>
  <si>
    <t>Carrer Riu Fluvià, 17, 43006 Tarragona</t>
  </si>
  <si>
    <t>electrobutron.com</t>
  </si>
  <si>
    <t>977 55 51 96</t>
  </si>
  <si>
    <t>info@electrobutron.com</t>
  </si>
  <si>
    <t>ElectroFontBarna</t>
  </si>
  <si>
    <t>electrofontbarna.com</t>
  </si>
  <si>
    <t>616 53 76 00</t>
  </si>
  <si>
    <t>Multiservi</t>
  </si>
  <si>
    <t>688 22 73 71</t>
  </si>
  <si>
    <t>Dolores Luque Ortigosa</t>
  </si>
  <si>
    <t>Carrer Vuit, 31, 43100 Tarragona</t>
  </si>
  <si>
    <t>Desatascos Rapidos 24 Horas Salou</t>
  </si>
  <si>
    <t>Tècniques de Clima i Sanitari S L</t>
  </si>
  <si>
    <t>P.I. Francolí, parcela 3, Nave C y D, 43006, Tarragona</t>
  </si>
  <si>
    <t>977 55 11 58</t>
  </si>
  <si>
    <t>Ion Stan - Electricidad y Fontanería</t>
  </si>
  <si>
    <t>Carrer de València, 43850 Cambrils, Tarragona</t>
  </si>
  <si>
    <t>Cambrils</t>
  </si>
  <si>
    <t>635 68 19 12</t>
  </si>
  <si>
    <t>Pastrana</t>
  </si>
  <si>
    <t>Carrer de Sant Agustí, 21, 43003 Tarragona</t>
  </si>
  <si>
    <t>977 23 22 84</t>
  </si>
  <si>
    <t>Fontanería José Ortega</t>
  </si>
  <si>
    <t>Carrer de les Creus, 19, 43480 Vila-seca, Tarragona</t>
  </si>
  <si>
    <t>Vila-seca</t>
  </si>
  <si>
    <t>977 39 24 64</t>
  </si>
  <si>
    <t>Fontaneros y Desatascos Torredembarra | Grupo SH</t>
  </si>
  <si>
    <t>Carrer de Donya Guiomar, 4, 43830 Torredembarra, Tarragona</t>
  </si>
  <si>
    <t>Torredembarra</t>
  </si>
  <si>
    <t>977 64 00 10</t>
  </si>
  <si>
    <t>Desatascos reus 691039956 las 24 h camion chupona cuba desatasco</t>
  </si>
  <si>
    <t>Carrer d&amp;apos;Eduard Toda, Nº 8, 1 B, 43205 Reus, Tarragona</t>
  </si>
  <si>
    <t>multiserveis24h.com</t>
  </si>
  <si>
    <t>Sinfereus S L</t>
  </si>
  <si>
    <t>Carrer de Terrassa, 21, 43204 Reus, Tarragona</t>
  </si>
  <si>
    <t>977 30 17 07</t>
  </si>
  <si>
    <t>Desatascos Tarragona | Grupo SH</t>
  </si>
  <si>
    <t>Av. de les Puntes, 10, 43120 Constantí, Tarragona</t>
  </si>
  <si>
    <t>Constantí</t>
  </si>
  <si>
    <t>ahorayadesatascos.com</t>
  </si>
  <si>
    <t>977 08 63 30</t>
  </si>
  <si>
    <t>info@ahorayadesatascos.com</t>
  </si>
  <si>
    <t>Manuel Quesada Parra</t>
  </si>
  <si>
    <t>Carrer de la Verge de la Pineda, 56, 43480 Vila-seca, Tarragona</t>
  </si>
  <si>
    <t>977 39 21 21</t>
  </si>
  <si>
    <t>FONTANERO EN TARRAGONA</t>
  </si>
  <si>
    <t>Carrer de Puig i Ferrater, 7, 43205 Reus, Tarragona</t>
  </si>
  <si>
    <t>977 07 93 12</t>
  </si>
  <si>
    <t>Instal•lacions Josep Masip</t>
  </si>
  <si>
    <t>Carrer de Jujol, 5, 43151 Els Pallaresos, Tarragona</t>
  </si>
  <si>
    <t>Els Pallaresos</t>
  </si>
  <si>
    <t>639 72 38 42</t>
  </si>
  <si>
    <t>Fonti</t>
  </si>
  <si>
    <t>Plaça Federico García Lorca, 11, 43120 Constantí, Tarragona</t>
  </si>
  <si>
    <t>fonti.es</t>
  </si>
  <si>
    <t>658 86 41 39</t>
  </si>
  <si>
    <t>contacto@fonti.es</t>
  </si>
  <si>
    <t>Lampistería Angel García</t>
  </si>
  <si>
    <t>Avinguda de Barcelona, 229, 43881 Cunit, Tarragona</t>
  </si>
  <si>
    <t>Cunit</t>
  </si>
  <si>
    <t>instagarcia.com</t>
  </si>
  <si>
    <t>977 67 56 36</t>
  </si>
  <si>
    <t>Francisco Javier Roig Vela</t>
  </si>
  <si>
    <t>Avinguda Jaume I, 65, 43205 Reus, Tarragona</t>
  </si>
  <si>
    <t>977 75 22 78</t>
  </si>
  <si>
    <t>Electricitat Gas I Fontaneria</t>
  </si>
  <si>
    <t>EDIFICIO BARCELONA, Carrer del Nord, 1, 43840 Salou, Tarragona</t>
  </si>
  <si>
    <t>Salou</t>
  </si>
  <si>
    <t>Carrer del Francolí, 2, 43840 Salou, Tarragona</t>
  </si>
  <si>
    <t>Roberto Otero Andaluz</t>
  </si>
  <si>
    <t>Carrer Sol i Ortega, 4, 43204 Reus, Tarragona</t>
  </si>
  <si>
    <t>610 66 33 67</t>
  </si>
  <si>
    <t>Electricitat I Fontanería Salou</t>
  </si>
  <si>
    <t>977 38 48 22</t>
  </si>
  <si>
    <t>Luna Andreu</t>
  </si>
  <si>
    <t>Via Aurèlia, 17, 43840 Salou, Tarragona</t>
  </si>
  <si>
    <t>977 38 22 93</t>
  </si>
  <si>
    <t>Anja Instal·lacions SL</t>
  </si>
  <si>
    <t>pge el, Carrer del Molar, 8, nave C1 Pol, 43206 Agroreus, Tarragona</t>
  </si>
  <si>
    <t>977 33 20 24</t>
  </si>
  <si>
    <t>Lluis Castaño. S.L.</t>
  </si>
  <si>
    <t>Carrer del Pare Gil, nº 7, bajos B, 43202 Reus, Tarragona</t>
  </si>
  <si>
    <t>lluiscastano.com</t>
  </si>
  <si>
    <t>629 33 55 20</t>
  </si>
  <si>
    <t>MISERTEC S.L</t>
  </si>
  <si>
    <t>663 87 93 62</t>
  </si>
  <si>
    <t>Castro</t>
  </si>
  <si>
    <t>Carrer de l&amp;apos;Escultor Modest Gené, 28, 43204 Reus, Tarragona</t>
  </si>
  <si>
    <t>Instalaciones Klf</t>
  </si>
  <si>
    <t>Carrer de Pompeu Fabra, 6, 43850 Cambrils, Tarragona</t>
  </si>
  <si>
    <t>977 79 44 60</t>
  </si>
  <si>
    <t>Desatascos-rapidos</t>
  </si>
  <si>
    <t>Carrer de Guillem de Claramunt, 6, 43840 Salou, Tarragona</t>
  </si>
  <si>
    <t>Calderas Canellas Sl</t>
  </si>
  <si>
    <t>TV-7223 Km.2,5, 43470 La Selva del Camp, Tarragona</t>
  </si>
  <si>
    <t>La Selva del Camp</t>
  </si>
  <si>
    <t>977 54 36 98</t>
  </si>
  <si>
    <t>Electricidad Y Fontaneria Sebastián Sánchez</t>
  </si>
  <si>
    <t>Passatge Núm. 08, 5, 43850 Cambrils, Tarragona</t>
  </si>
  <si>
    <t>Saltoki El Vendrell</t>
  </si>
  <si>
    <t>Carrer de l&amp;apos;Abadessa Emma, 89, 43700 El Vendrell, Tarragona</t>
  </si>
  <si>
    <t>El Vendrell</t>
  </si>
  <si>
    <t>977 18 28 60</t>
  </si>
  <si>
    <t>Electricitat Ripoll, S.L Fontaneria</t>
  </si>
  <si>
    <t>Carretera de Valls, 26, 43141 Vilallonga del Camp, Tarragona</t>
  </si>
  <si>
    <t>Vilallonga del Camp</t>
  </si>
  <si>
    <t>Verocris</t>
  </si>
  <si>
    <t>Riera de l&amp;apos;Escorial, S/N, 43201 Reus, Tarragona</t>
  </si>
  <si>
    <t>977 77 33 77</t>
  </si>
  <si>
    <t>Grarlet Asistencia, S.L.</t>
  </si>
  <si>
    <t>Carrer de la Botànica, 5, 43470 La Selva del Camp, Tarragona</t>
  </si>
  <si>
    <t>877 60 00 27</t>
  </si>
  <si>
    <t>reformas angel lozano 2001</t>
  </si>
  <si>
    <t>Carrer de Mar, 63, 43700 El Vendrell, Tarragona</t>
  </si>
  <si>
    <t>reformasangellozano.es</t>
  </si>
  <si>
    <t>603 01 01 56</t>
  </si>
  <si>
    <t>Nousumape</t>
  </si>
  <si>
    <t>Carrer de Pròsper de Bofarull, 26, 43202 Reus, Tarragona</t>
  </si>
  <si>
    <t>977 31 66 79</t>
  </si>
  <si>
    <t>Electricidad i Fontaneria Nicanor S.L.</t>
  </si>
  <si>
    <t>Carrer Girona, 135, 43877 Sant Jaume d&amp;apos;Enveja, Tarragona</t>
  </si>
  <si>
    <t>Sant Jaume d&amp;apos;Enveja</t>
  </si>
  <si>
    <t>977 46 85 21</t>
  </si>
  <si>
    <t>Obras Hidráulicas y Terrestres</t>
  </si>
  <si>
    <t>Carrer Pau Casals, 25, 43860 L&amp;apos;Ametlla de Mar, Tarragona</t>
  </si>
  <si>
    <t>L&amp;apos;Ametlla de Mar</t>
  </si>
  <si>
    <t>Conductes Baix Ebre</t>
  </si>
  <si>
    <t>Carrer Sant Agustí, 2, 43520 Roquetes, Tarragona</t>
  </si>
  <si>
    <t>Roquetes</t>
  </si>
  <si>
    <t>977 50 21 83</t>
  </si>
  <si>
    <t>Fontanería Doncel S.L.</t>
  </si>
  <si>
    <t>Muelle de Poniente, 105, 51001 Ceuta</t>
  </si>
  <si>
    <t>Ceuta</t>
  </si>
  <si>
    <t>doncelonline.com</t>
  </si>
  <si>
    <t>956 52 26 60</t>
  </si>
  <si>
    <t>info@doncelonline.com</t>
  </si>
  <si>
    <t>Cohimas Ceuta</t>
  </si>
  <si>
    <t>Grupo Juan XXIII, 1Y, 51002 Ceuta</t>
  </si>
  <si>
    <t>956 52 12 73</t>
  </si>
  <si>
    <t>Fontaneria y climatización Ceuta.</t>
  </si>
  <si>
    <t>Calle Romero de Torres, 19, 51002 Ceuta</t>
  </si>
  <si>
    <t>695 71 99 26</t>
  </si>
  <si>
    <t>Fontaneria Recinto Sur Ceuta</t>
  </si>
  <si>
    <t>Ctra, Explanada Muelle De Poniente S/N C.P 51002, Ceuta</t>
  </si>
  <si>
    <t>676 56 21 63</t>
  </si>
  <si>
    <t>fontaneria 24horas</t>
  </si>
  <si>
    <t>Calle Zuloaga, 16, 51002 Ceuta</t>
  </si>
  <si>
    <t>Capote Y Alba Ceuta S L</t>
  </si>
  <si>
    <t>Av. de África, 11, 51002 Ceuta</t>
  </si>
  <si>
    <t>Servicios integrales ceuta</t>
  </si>
  <si>
    <t>Calle Romero de Torres, 19, 51001 Ceuta</t>
  </si>
  <si>
    <t>capote y alba</t>
  </si>
  <si>
    <t>Calle Rodríguez Berlanga, 51002 Ceuta</t>
  </si>
  <si>
    <t>Fontanería Séneca</t>
  </si>
  <si>
    <t>Calle Séneca, 1, 11202 Algeciras, Cádiz</t>
  </si>
  <si>
    <t>956 66 48 35</t>
  </si>
  <si>
    <t>Aquafont</t>
  </si>
  <si>
    <t>Av. Agua Marina, 6, 11203 Algeciras, Cádiz</t>
  </si>
  <si>
    <t>aquafont.net</t>
  </si>
  <si>
    <t>639 26 48 95</t>
  </si>
  <si>
    <t>info@aquafont.net</t>
  </si>
  <si>
    <t>Fontanería y Construcciones Campo de Gibraltar</t>
  </si>
  <si>
    <t>Ctra. al Cobre, 335, 11206 Algeciras, Cádiz</t>
  </si>
  <si>
    <t>Jorge Cádiz Campo</t>
  </si>
  <si>
    <t>Calle Almadraba, 0, 11380 Tarifa, Cádiz</t>
  </si>
  <si>
    <t>Tarifa</t>
  </si>
  <si>
    <t>606 60 96 95</t>
  </si>
  <si>
    <t>Fontanería, Electricidad. Sergio FS</t>
  </si>
  <si>
    <t>Calle La Tortola n°, 11205 Algeciras, Cádiz</t>
  </si>
  <si>
    <t>605 28 93 02</t>
  </si>
  <si>
    <t>bautista fontaneria</t>
  </si>
  <si>
    <t>606 05 46 93</t>
  </si>
  <si>
    <t>Instalaciones Hilario S C</t>
  </si>
  <si>
    <t>Calle Pintor Manuel Reine, 9, 11380 Tarifa, Cádiz</t>
  </si>
  <si>
    <t>956 68 42 79</t>
  </si>
  <si>
    <t>Saneamientos Javi</t>
  </si>
  <si>
    <t>Calle Granada, 24, 11300 La Línea de la Concepción, Cádiz</t>
  </si>
  <si>
    <t>La Línea de la Concepción</t>
  </si>
  <si>
    <t>956 76 28 23</t>
  </si>
  <si>
    <t>Fontanero general</t>
  </si>
  <si>
    <t>centre ville boite postale 901، Tetouan 93000, Marruecos</t>
  </si>
  <si>
    <t>Tetuán, Marruecos</t>
  </si>
  <si>
    <t>Marruecos</t>
  </si>
  <si>
    <t>+212 628-909614</t>
  </si>
  <si>
    <t>Plaza Mayor, S/N, 11311 Guadiaro, Cádiz</t>
  </si>
  <si>
    <t>Guadiaro</t>
  </si>
  <si>
    <t>956 79 41 23</t>
  </si>
  <si>
    <t>Antonio Joaquín Aldana Perea</t>
  </si>
  <si>
    <t>Calle Sancho IV el Bravo, 19, 11380 Tarifa, Cádiz</t>
  </si>
  <si>
    <t>Alonso Delgado Pérez</t>
  </si>
  <si>
    <t>Plaza Almoraima, 1, 11350 Castellar de la Frontera, Cádiz</t>
  </si>
  <si>
    <t>Castellar de la Frontera</t>
  </si>
  <si>
    <t>956 69 30 56</t>
  </si>
  <si>
    <t>El Fontanero</t>
  </si>
  <si>
    <t>Carmen Pastora 35, 11207 Algeciras, Cádiz</t>
  </si>
  <si>
    <t>956 92 73 02</t>
  </si>
  <si>
    <t>Aquared</t>
  </si>
  <si>
    <t>Urb. Jardines de Algetares, 29, 11207 Algeciras, Cádiz</t>
  </si>
  <si>
    <t>670 76 55 27</t>
  </si>
  <si>
    <t>Carr. a Cádiz, 11207 Algeciras, Cádiz</t>
  </si>
  <si>
    <t>676 10 92 15</t>
  </si>
  <si>
    <t>Antonio Ocaña Baena</t>
  </si>
  <si>
    <t>Calle Blas Infante, 21, 11368 San Roque, Cádiz</t>
  </si>
  <si>
    <t>San Roque</t>
  </si>
  <si>
    <t>607 48 12 35</t>
  </si>
  <si>
    <t>simac mantenimientos</t>
  </si>
  <si>
    <t>647 91 97 86</t>
  </si>
  <si>
    <t>Fontaneria Granado e Hijo S.L.</t>
  </si>
  <si>
    <t>Calle José Santacana, 18, 11201 Algeciras, Cádiz</t>
  </si>
  <si>
    <t>Instalaciones Y Proyectos Fontelec</t>
  </si>
  <si>
    <t>Calle Amanecer, 2, 11204 Algeciras, Cádiz</t>
  </si>
  <si>
    <t>670 01 88 36</t>
  </si>
  <si>
    <t>Desatascos Hermanos Llaves</t>
  </si>
  <si>
    <t>Calle Miguel Hernández, 7, 11207 Algeciras, Cádiz</t>
  </si>
  <si>
    <t>687 96 29 31</t>
  </si>
  <si>
    <t>Suministros de Fontaneria la Florida</t>
  </si>
  <si>
    <t>Calle de Casiopea, 2, 03006 Alicante</t>
  </si>
  <si>
    <t>965 04 29 42</t>
  </si>
  <si>
    <t>Ferresanitario Garcia Ruiz</t>
  </si>
  <si>
    <t>Av. Mare Nostrum, 11, BAJO, 03007 Alicante</t>
  </si>
  <si>
    <t>garciaruiz.es</t>
  </si>
  <si>
    <t>965 11 09 55</t>
  </si>
  <si>
    <t>Fontanero Urgente - Top 24 Reforma</t>
  </si>
  <si>
    <t>Calle Hermanos Soto Chápuli, 1, 03010 Alicante</t>
  </si>
  <si>
    <t>top24reforma.es</t>
  </si>
  <si>
    <t>620 55 37 23</t>
  </si>
  <si>
    <t>hola@aigestion.com</t>
  </si>
  <si>
    <t>Fontanería Estévanez Alicante</t>
  </si>
  <si>
    <t>Calle Mármol, 29 Polígono Industrial Garrachico, 03112 El Palamo, Alicante</t>
  </si>
  <si>
    <t>Villafranqueza</t>
  </si>
  <si>
    <t>fontaneriaestevanez.com</t>
  </si>
  <si>
    <t>965 59 95 80</t>
  </si>
  <si>
    <t>ingenieria@fontaneriaestevanez.com</t>
  </si>
  <si>
    <t>Fontanería Estévanez - Playa San Juan Alicante</t>
  </si>
  <si>
    <t>C. Trident, 17, Nº8, 03540 Alicante</t>
  </si>
  <si>
    <t>Fontaneria Fernández</t>
  </si>
  <si>
    <t>local92 140, Calle la Huerta, 03690 Sant Vicent del Raspeig, Alicante</t>
  </si>
  <si>
    <t>San Vicente del Raspeig</t>
  </si>
  <si>
    <t>609 69 00 76</t>
  </si>
  <si>
    <t>Fontaneria A. Sanz</t>
  </si>
  <si>
    <t>Calle de Haroldo Parres, 1, 03013 Alicante</t>
  </si>
  <si>
    <t>fontaneriaasanz.com</t>
  </si>
  <si>
    <t>966 10 10 12</t>
  </si>
  <si>
    <t>El Mundo Del Fontanero Alicante</t>
  </si>
  <si>
    <t>Calle de Rafael Asín, 25, 03010 Alicante</t>
  </si>
  <si>
    <t>965 25 06 82</t>
  </si>
  <si>
    <t>Desatascos Pedro Flores</t>
  </si>
  <si>
    <t>Calle Padre Recaredo de Los Rios, 21, 03005 Alicante</t>
  </si>
  <si>
    <t>634 85 71 48</t>
  </si>
  <si>
    <t>Desatascos Torregrosa</t>
  </si>
  <si>
    <t>Av. Conde de Lumiares, 35, 1ºD, 03010 Alicante</t>
  </si>
  <si>
    <t>torregrosadesatascos.com</t>
  </si>
  <si>
    <t>965 25 36 70</t>
  </si>
  <si>
    <t>info@torregrosadesatascos.com</t>
  </si>
  <si>
    <t>It Fontanería Instalaciones Tubolex. S.L.</t>
  </si>
  <si>
    <t>Av. de Alcoy, 34, 03010 Alicante</t>
  </si>
  <si>
    <t>693 21 76 11</t>
  </si>
  <si>
    <t>Desatascos Alicante ECONOMICOS</t>
  </si>
  <si>
    <t>desatascosalicante.es</t>
  </si>
  <si>
    <t>966 41 07 72</t>
  </si>
  <si>
    <t>Desatascos Alicante - Fontalite</t>
  </si>
  <si>
    <t>fontanerosdesatascos.com</t>
  </si>
  <si>
    <t>644 81 25 26</t>
  </si>
  <si>
    <t>leaflet@1.5.1</t>
  </si>
  <si>
    <t>Desatascos Alicante AC</t>
  </si>
  <si>
    <t>desatascosalicanteac.com</t>
  </si>
  <si>
    <t>865 62 14 47</t>
  </si>
  <si>
    <t>Alex The Plumber Man</t>
  </si>
  <si>
    <t>Plaza de San Cristobal, 03002 Alicante</t>
  </si>
  <si>
    <t>alextheplumberman.com</t>
  </si>
  <si>
    <t>611 62 04 43</t>
  </si>
  <si>
    <t>Fontanería Aguado</t>
  </si>
  <si>
    <t>Calle Dr. José Belmonte, 8, 03015 Alicante</t>
  </si>
  <si>
    <t>fontaneria-aguado.negocio.site</t>
  </si>
  <si>
    <t>675 76 13 42</t>
  </si>
  <si>
    <t>Eurocasa Babel</t>
  </si>
  <si>
    <t>Av. de Neptuno, 5, 03007 Alicante</t>
  </si>
  <si>
    <t>eurocasa.es</t>
  </si>
  <si>
    <t>965 17 46 42</t>
  </si>
  <si>
    <t>rgpd@eurocasa.es</t>
  </si>
  <si>
    <t>Desatascos Les Hortes</t>
  </si>
  <si>
    <t>Av. Alfonso El Sabio, 14, 03440 Alicante</t>
  </si>
  <si>
    <t>desatascosleshortes.com</t>
  </si>
  <si>
    <t>637 53 78 62</t>
  </si>
  <si>
    <t>Sanigrif Alicante - Avda. Novelda</t>
  </si>
  <si>
    <t>Avinguda Novelda, 118, 03010 Alacant, Alicante</t>
  </si>
  <si>
    <t>965 17 44 28</t>
  </si>
  <si>
    <t>Reparacion del Hogar 24 horas</t>
  </si>
  <si>
    <t>697 66 30 21</t>
  </si>
  <si>
    <t>Aguagas Fontaneria</t>
  </si>
  <si>
    <t>Calle Pérez Galdós, 13-17, 03690 Sant Vicent del Raspeig, Alicante</t>
  </si>
  <si>
    <t>965 66 40 26</t>
  </si>
  <si>
    <t>Hnos Garcia</t>
  </si>
  <si>
    <t>Avinguda de Jijona, 37, 03010 Alicante</t>
  </si>
  <si>
    <t>hermanosgarcia.org</t>
  </si>
  <si>
    <t>666 02 31 33</t>
  </si>
  <si>
    <t>Saneamientos Mare Nostrum</t>
  </si>
  <si>
    <t>Av. Mare Nostrum, 34, 03007 Alacant, Alicante</t>
  </si>
  <si>
    <t>saneamientosmarenostrum.com</t>
  </si>
  <si>
    <t>965 11 44 88</t>
  </si>
  <si>
    <t>info@saneamientosmarenostrum.com</t>
  </si>
  <si>
    <t>Fontanería J A Martínez</t>
  </si>
  <si>
    <t>Calle Ecuador, 5, 03008 Alicante</t>
  </si>
  <si>
    <t>626 30 44 52</t>
  </si>
  <si>
    <t>Neofont Fontanería y Calefacción Alicante</t>
  </si>
  <si>
    <t>Carrer de L´Herba Lluisa, nº41, 12, 03002 Mutxamel, Alicante</t>
  </si>
  <si>
    <t>neofont.net</t>
  </si>
  <si>
    <t>652 40 49 36</t>
  </si>
  <si>
    <t>info@neofont.net</t>
  </si>
  <si>
    <t>Saneamientos Arochoa SL</t>
  </si>
  <si>
    <t>Carrer Pintor Velazquez, 29, 03004 Alacant, Alicante</t>
  </si>
  <si>
    <t>965 21 92 17</t>
  </si>
  <si>
    <t>Soluciones Gonzalez</t>
  </si>
  <si>
    <t>Calle Pascual Orozco, No. 7, 1ºb, 03006 Alicante</t>
  </si>
  <si>
    <t>solucionesgonzalez.es</t>
  </si>
  <si>
    <t>659 05 90 59</t>
  </si>
  <si>
    <t>info@solucionesgonzalez.es</t>
  </si>
  <si>
    <t>Fontaneria Jubera</t>
  </si>
  <si>
    <t>Calle de la Bellea del Foc, 03015 Alicante</t>
  </si>
  <si>
    <t>fontaneria-jubera.negocio.site</t>
  </si>
  <si>
    <t>670 05 10 71</t>
  </si>
  <si>
    <t>FONTANEROS ALICANTE URGENTES ALBEDA</t>
  </si>
  <si>
    <t>alicantefontanero.com</t>
  </si>
  <si>
    <t>689 40 82 49</t>
  </si>
  <si>
    <t>info@alicantefontanero.com</t>
  </si>
  <si>
    <t>Fontanería Hurban House</t>
  </si>
  <si>
    <t>Calle del Capitán Segarra, 32, 03004 Alicante</t>
  </si>
  <si>
    <t>662 25 44 84</t>
  </si>
  <si>
    <t>Aranda Mantenimientos, S.L.</t>
  </si>
  <si>
    <t>Calle Carpinteros, 17, 03112 Pol. Ind., Alicante</t>
  </si>
  <si>
    <t>arandamantenimientos.com</t>
  </si>
  <si>
    <t>965 18 13 30</t>
  </si>
  <si>
    <t>oficina@arandamantenimientos.com</t>
  </si>
  <si>
    <t>Fontaneria I.Verdú</t>
  </si>
  <si>
    <t>Calle San Pablo, 42, 03012 Alicante</t>
  </si>
  <si>
    <t>965 24 00 82</t>
  </si>
  <si>
    <t>Fontanería Noubani</t>
  </si>
  <si>
    <t>Calle Reyes Católicos, 9-11, 03003 Alicante</t>
  </si>
  <si>
    <t>670 10 32 92</t>
  </si>
  <si>
    <t>Servicios levante</t>
  </si>
  <si>
    <t>695 34 83 37</t>
  </si>
  <si>
    <t>Fontaneria Dego Saneamientos</t>
  </si>
  <si>
    <t>Carrer Cronista Viravens, 17, 03012 Alacant, Alicante</t>
  </si>
  <si>
    <t>Alexandre Prada Sampedro</t>
  </si>
  <si>
    <t>Camino Colonia Romana, 13, 03016 Alicante</t>
  </si>
  <si>
    <t>Fontanero Eduardo Gomez</t>
  </si>
  <si>
    <t>Calle Facheca, 6, 03014 Alicante</t>
  </si>
  <si>
    <t>617 24 21 11</t>
  </si>
  <si>
    <t>Fontanería Martos</t>
  </si>
  <si>
    <t>Calle Vicente Savall Pascual, 1, 03690 Sant Vicent del Raspeig, Alicante</t>
  </si>
  <si>
    <t>fontaneriamartos.es</t>
  </si>
  <si>
    <t>654 16 00 08</t>
  </si>
  <si>
    <t>Verdú, José Carlos</t>
  </si>
  <si>
    <t>Calle San Mateo, 32, 03013 Alicante</t>
  </si>
  <si>
    <t>965 20 18 36</t>
  </si>
  <si>
    <t>Aquatur fontaneros</t>
  </si>
  <si>
    <t>C. Sant Bartomeu, 03560 El Campello, Alicante</t>
  </si>
  <si>
    <t>Campello</t>
  </si>
  <si>
    <t>647 90 45 39</t>
  </si>
  <si>
    <t>Fontaneria Pla,S.L.</t>
  </si>
  <si>
    <t>Carrer Poeta Carmelo Calvo, 19, 03004 Alacant, Alicante</t>
  </si>
  <si>
    <t>965 20 41 57</t>
  </si>
  <si>
    <t>Fontanería J.A. Martínez</t>
  </si>
  <si>
    <t>C/ Ecuador, 1, 03008 Alicante</t>
  </si>
  <si>
    <t>lafontaneria.com</t>
  </si>
  <si>
    <t>966 10 56 29</t>
  </si>
  <si>
    <t>Fontaneria Pla S.l.</t>
  </si>
  <si>
    <t>Plaza Gabriel Miró, 16, 03001 Alicante</t>
  </si>
  <si>
    <t>Av. Benidorm, 18, 03540 Alicante</t>
  </si>
  <si>
    <t>fontanero24.es</t>
  </si>
  <si>
    <t>602 63 96 49</t>
  </si>
  <si>
    <t>Emilio Bueno Hernández</t>
  </si>
  <si>
    <t>Avinguda de Creuetes, 31, 03550 Alacant, Alicante</t>
  </si>
  <si>
    <t>Plaza Magallanes, 14, 03007 Alicante</t>
  </si>
  <si>
    <t>687 57 97 49</t>
  </si>
  <si>
    <t>Fontanería Vargas</t>
  </si>
  <si>
    <t>fontaneria-vargas.negocio.site</t>
  </si>
  <si>
    <t>664 25 96 59</t>
  </si>
  <si>
    <t>JLS fontanería express</t>
  </si>
  <si>
    <t>Carrer Maestro Bonafonte, 03550 Sant Joan d&amp;apos;Alacant, Alicante</t>
  </si>
  <si>
    <t>San Juan de Alicante</t>
  </si>
  <si>
    <t>Fontanería Marco Oliver</t>
  </si>
  <si>
    <t>Calle Alcalde Suárez Llanos, 7, 03012 Alicante</t>
  </si>
  <si>
    <t>609 67 99 48</t>
  </si>
  <si>
    <t>Usero Fontanería</t>
  </si>
  <si>
    <t>Plaza Medico Antonio Barbero, 4, 2° PTA 1, 03015 Alicante</t>
  </si>
  <si>
    <t>usero.es</t>
  </si>
  <si>
    <t>661 31 75 47</t>
  </si>
  <si>
    <t>info@rafaeluserogomez.com</t>
  </si>
  <si>
    <t>Emilio Martínez Valero</t>
  </si>
  <si>
    <t>Calle Virgen del Puig, 19, 03009 Alicante</t>
  </si>
  <si>
    <t>Reformas Das Albañilería Y Fontaneria</t>
  </si>
  <si>
    <t>Carrer Jose Cabo Palomares, 6, 03008 Alacant, Alicante</t>
  </si>
  <si>
    <t>FONTANERIA SERVIKA</t>
  </si>
  <si>
    <t>AZORIN-44-BAJO IZQU, 03007 Alicante</t>
  </si>
  <si>
    <t>651 35 07 41</t>
  </si>
  <si>
    <t>Francisco Iglesias</t>
  </si>
  <si>
    <t>Calle Padre Recaredo de Los Rios, 27, 03005 Alicante</t>
  </si>
  <si>
    <t>647 97 48 43</t>
  </si>
  <si>
    <t>Fontgas C B</t>
  </si>
  <si>
    <t>Calle Medico Francisco Boix, 17, 03112 Alicante</t>
  </si>
  <si>
    <t>965 18 22 43</t>
  </si>
  <si>
    <t>Miguel Luis Baes Vives</t>
  </si>
  <si>
    <t>Calle Dr. Ángel Pascual Megía, 1, 03015 Alicante</t>
  </si>
  <si>
    <t>965 25 86 26</t>
  </si>
  <si>
    <t>Sanigrif Alicante - Atalayas</t>
  </si>
  <si>
    <t>Calle del Peso, Calle del Yen, esquina, 03114 Alicante</t>
  </si>
  <si>
    <t>965 10 61 10</t>
  </si>
  <si>
    <t>Fontaneria y manitas</t>
  </si>
  <si>
    <t>611 35 49 84</t>
  </si>
  <si>
    <t>Vicente Pardo Fontanería</t>
  </si>
  <si>
    <t>Calle Pardo Gimeno, 77, 03007 Alicante</t>
  </si>
  <si>
    <t>965 11 66 92</t>
  </si>
  <si>
    <t>Fontanería Dueñas S.L</t>
  </si>
  <si>
    <t>Calle Cefeo, 34, 03006 Alicante</t>
  </si>
  <si>
    <t>607 25 44 09</t>
  </si>
  <si>
    <t>Conca Fontanería</t>
  </si>
  <si>
    <t>Calle Maestro Gaztambide, 15, 03004 Alicante</t>
  </si>
  <si>
    <t>concamultiservicios.com</t>
  </si>
  <si>
    <t>630 43 18 24</t>
  </si>
  <si>
    <t>David Exposito Fontanero</t>
  </si>
  <si>
    <t>Carrer Riu Algar, 22, 4º H, 03690 Sant Vicent del Raspeig, Alicante</t>
  </si>
  <si>
    <t>647 75 57 71</t>
  </si>
  <si>
    <t>Avm Fontanería</t>
  </si>
  <si>
    <t>Calle Jaime Segarra, 13, 03010 Alicante</t>
  </si>
  <si>
    <t>667 61 11 88</t>
  </si>
  <si>
    <t>Pedro Martín Ríos</t>
  </si>
  <si>
    <t>Calle Almoradí, 7, 03010 Alicante</t>
  </si>
  <si>
    <t>965 17 14 59</t>
  </si>
  <si>
    <t>Fontanería Luis Expósito</t>
  </si>
  <si>
    <t>Carrer Vicari Samuel Riquelme, 4, 03560 El Campello, Alicante</t>
  </si>
  <si>
    <t>fontaneria-luisexposito.es</t>
  </si>
  <si>
    <t>607 79 19 13</t>
  </si>
  <si>
    <t>info@fontaneria-luisexposito.es</t>
  </si>
  <si>
    <t>Multifontaneria</t>
  </si>
  <si>
    <t>Carrer Vicente Alexandre, 17, 03011 Alacant, Alicante</t>
  </si>
  <si>
    <t>multifontanero.wixsite.com</t>
  </si>
  <si>
    <t>631 55 67 00</t>
  </si>
  <si>
    <t>Gas Fellas Plumber Alicante</t>
  </si>
  <si>
    <t>Calle Pelayo, 12, 03012 Alicante</t>
  </si>
  <si>
    <t>640 14 44 56</t>
  </si>
  <si>
    <t>F M Fontanería S C</t>
  </si>
  <si>
    <t>Calle San Pablo, 70, local 1, 03690 Sant Vicent del Raspeig, Alicante</t>
  </si>
  <si>
    <t>670 33 23 42</t>
  </si>
  <si>
    <t>FONTANERO-URGENCIAS 24H</t>
  </si>
  <si>
    <t>Calle Gral. Pintos, 28, 3b, 03010 Alicante</t>
  </si>
  <si>
    <t>677 30 22 30</t>
  </si>
  <si>
    <t>Fosamar</t>
  </si>
  <si>
    <t>Calle Ing. Canales, 14, 03013 Alicante</t>
  </si>
  <si>
    <t>Infocal S L</t>
  </si>
  <si>
    <t>Avinguda de la Costa Blanca, 160, 03540 Alacant, Alicante</t>
  </si>
  <si>
    <t>965 65 77 07</t>
  </si>
  <si>
    <t>Rivagua</t>
  </si>
  <si>
    <t>Calle Jávea, 35, 03009 Alicante</t>
  </si>
  <si>
    <t>rivagua.com</t>
  </si>
  <si>
    <t>619 51 48 04</t>
  </si>
  <si>
    <t>info@rivagua.com</t>
  </si>
  <si>
    <t>Fluid Stocks Alicante</t>
  </si>
  <si>
    <t>Carrer Rubens, 1, 03009 Alacant, Alicante</t>
  </si>
  <si>
    <t>968 92 90 10</t>
  </si>
  <si>
    <t>Fontaneria Cartagena</t>
  </si>
  <si>
    <t>Calle Capitán Hernández Mira, 7, 03004 Alicante</t>
  </si>
  <si>
    <t>Fontanería y Calef. ARACIL, S.L.</t>
  </si>
  <si>
    <t>Local, Calle de Pedro Cano Izquierdo, 42, 03110 Mutxamel, Alicante</t>
  </si>
  <si>
    <t>Mutxamel</t>
  </si>
  <si>
    <t>965 95 31 99</t>
  </si>
  <si>
    <t>Miguel Gras Tornero</t>
  </si>
  <si>
    <t>Calle del Marques de Molins, 22, 03004 Alicante</t>
  </si>
  <si>
    <t>965 21 69 05</t>
  </si>
  <si>
    <t>Infocal</t>
  </si>
  <si>
    <t>Carrer Rosello, 12, 03010 Alacant, Alicante</t>
  </si>
  <si>
    <t>infocalsl.com</t>
  </si>
  <si>
    <t>965 91 09 40</t>
  </si>
  <si>
    <t>info@infocalsl.com</t>
  </si>
  <si>
    <t>Grupo Sanear</t>
  </si>
  <si>
    <t>Carrer del Campello, 3, Bajo, 03005 Alicante</t>
  </si>
  <si>
    <t>965 18 14 23</t>
  </si>
  <si>
    <t>SYM Fontaneros</t>
  </si>
  <si>
    <t>Carrer Dr. Santaolalla, nº 4, 03005 Alacant, Alicante</t>
  </si>
  <si>
    <t>680 77 01 52</t>
  </si>
  <si>
    <t>Fontanería Aquamir</t>
  </si>
  <si>
    <t>Carrer Ausiàs March, 30, 03110 Mutxamel, Alicante</t>
  </si>
  <si>
    <t>Carrer de Alcalde Baeza Santamaria, 13, 03560 El Campello, Alicante</t>
  </si>
  <si>
    <t>Fontaexpress24h</t>
  </si>
  <si>
    <t>Olmos 12, 03550 San Juan, Alicante</t>
  </si>
  <si>
    <t>Instalaciones Y Servicios De Gas S L</t>
  </si>
  <si>
    <t>Carrer Barrella, 0, 03110 Mutxamel, Alicante</t>
  </si>
  <si>
    <t>965 95 11 92</t>
  </si>
  <si>
    <t>ASE OBRAS Y SERVICIOS SL</t>
  </si>
  <si>
    <t>CALDERÓN DE LA BARCA, 63 LOCAL 1, 03690 Sant Vicent del Raspeig, Alicante</t>
  </si>
  <si>
    <t>aseobrasyservicios.es</t>
  </si>
  <si>
    <t>865 64 43 27</t>
  </si>
  <si>
    <t>info@aseobrasyservicios.es</t>
  </si>
  <si>
    <t>Controles y Servicios del Duero Slne</t>
  </si>
  <si>
    <t>Calle Antonio Galdo Chápuli, 10, 03001 Alicante</t>
  </si>
  <si>
    <t>965 21 26 16</t>
  </si>
  <si>
    <t>Antonio Carbajal Espinosa</t>
  </si>
  <si>
    <t>Calle Samaniego, 28, 03009 Alicante</t>
  </si>
  <si>
    <t>965 17 60 45</t>
  </si>
  <si>
    <t>Fontaneria A.Cantó | Fontanero Novelda | Fontanero Alicante</t>
  </si>
  <si>
    <t>virgen de los desamparados N*5, 03660 Novelda, Alicante</t>
  </si>
  <si>
    <t>Novelda</t>
  </si>
  <si>
    <t>Pipe Obras e instalaciones</t>
  </si>
  <si>
    <t>Calle Cefeo, 81, Bajo, 03006 Alicante</t>
  </si>
  <si>
    <t>622 10 21 19</t>
  </si>
  <si>
    <t>Av. Ancha de Castelar, 149, 03690 Sant Vicent del Raspeig, Alicante</t>
  </si>
  <si>
    <t>Fontanería Salvador Altur</t>
  </si>
  <si>
    <t>Av. Xixona, 31, 03560 El Campello, Alicante</t>
  </si>
  <si>
    <t>965 63 33 91</t>
  </si>
  <si>
    <t>AV Servicio De Emergencias Sanitarias</t>
  </si>
  <si>
    <t>Calle Aaiun, 8, 03010 Alicante</t>
  </si>
  <si>
    <t>Esteso Servicios y Asistencia 24 Horas</t>
  </si>
  <si>
    <t>681 65 17 19</t>
  </si>
  <si>
    <t>Localización de Fugas de Agua en Alicante Machado Fontaneros</t>
  </si>
  <si>
    <t>Xorutella, 1, 03560 El Campello, Alicante</t>
  </si>
  <si>
    <t>machadofontaneros.es</t>
  </si>
  <si>
    <t>637 70 95 11</t>
  </si>
  <si>
    <t>machadofontaneros@yahoo.es</t>
  </si>
  <si>
    <t>ASC mantenimientos</t>
  </si>
  <si>
    <t>Carrer Nadadora Carmen Soto, 8, 03008 Alacant, Alicante</t>
  </si>
  <si>
    <t>658 27 63 06</t>
  </si>
  <si>
    <t>Grupo Rosan</t>
  </si>
  <si>
    <t>Carrer Capità Alfons Vives, 54, 03201 Elx, Alicante</t>
  </si>
  <si>
    <t>fontaneriarosan.com</t>
  </si>
  <si>
    <t>966 67 18 35</t>
  </si>
  <si>
    <t>LogoRosan2_190x@2x.png</t>
  </si>
  <si>
    <t>Pla</t>
  </si>
  <si>
    <t>Carrer Poeta Carmelo Calvo, 15, 03004 Alacant, Alicante</t>
  </si>
  <si>
    <t>965 20 44 15</t>
  </si>
  <si>
    <t>Fontanería El Zagal</t>
  </si>
  <si>
    <t>F, Urb. Finca Terol 145, 03001 Alicante</t>
  </si>
  <si>
    <t>633 13 74 02</t>
  </si>
  <si>
    <t>Fontanero económico Benidorm | Altea | La Nucía | Villajoyosa</t>
  </si>
  <si>
    <t>s/n, Av. de la Comunitat Valenciana, 03503 Benidorm, Alicante</t>
  </si>
  <si>
    <t>Benidorm</t>
  </si>
  <si>
    <t>604 21 29 05</t>
  </si>
  <si>
    <t>Hnos Gómez</t>
  </si>
  <si>
    <t>Calle Jijona, 9, 03690 Sant Vicent del Raspeig, Alicante</t>
  </si>
  <si>
    <t>Fontanería Gas y Calefacción Rodrigo</t>
  </si>
  <si>
    <t>Calle Jaime I el Conquistador, 119, 03440 Ibi, Alicante</t>
  </si>
  <si>
    <t>Ibi</t>
  </si>
  <si>
    <t>966 55 15 38</t>
  </si>
  <si>
    <t>Javier Pedraza Instalaciones S.L</t>
  </si>
  <si>
    <t>DEL N BAJO MUTXAMEL-Alicante, Calle Virgen Pilar, 5, 03110 Mutxamel, Alicante</t>
  </si>
  <si>
    <t>647 54 41 47</t>
  </si>
  <si>
    <t>CHFII</t>
  </si>
  <si>
    <t>Calle Elda, 44, 03013 Alicante</t>
  </si>
  <si>
    <t>600 00 00 00</t>
  </si>
  <si>
    <t>Aitana</t>
  </si>
  <si>
    <t>C. Avellaneda, 33, 03009 Alacant, Alicante</t>
  </si>
  <si>
    <t>633 50 16 16</t>
  </si>
  <si>
    <t>Fontaneria MINGO</t>
  </si>
  <si>
    <t>Calle Costa Azahar, 28 Polígono Ind, Los Barrios, 03170 Cdad. Quesada, Alicante</t>
  </si>
  <si>
    <t>Cdad. Quesada</t>
  </si>
  <si>
    <t>fontaneriamingo.com</t>
  </si>
  <si>
    <t>966 79 27 88</t>
  </si>
  <si>
    <t>info@fontaneriamingo.com</t>
  </si>
  <si>
    <t>Fontanería JM</t>
  </si>
  <si>
    <t>03006 Alicante (Alacant), Alicante</t>
  </si>
  <si>
    <t>SOS FONTANERO EN TORREVIEJA</t>
  </si>
  <si>
    <t>Calle Caballero de Rodas, 92a, 03182 Torrevieja, Alicante</t>
  </si>
  <si>
    <t>sosfontaneroyreformasentorrevieja.com</t>
  </si>
  <si>
    <t>643 17 14 08</t>
  </si>
  <si>
    <t>Vertiagua fontaneros, fontaneria aspe y alicante</t>
  </si>
  <si>
    <t>Calle Duero, 14, 03680 Aspe, Alicante</t>
  </si>
  <si>
    <t>Aspe</t>
  </si>
  <si>
    <t>653 16 11 00</t>
  </si>
  <si>
    <t>DesatascosAlacant</t>
  </si>
  <si>
    <t>C/ Novelda, 46, 03110 Mutxamel, Alicante</t>
  </si>
  <si>
    <t>691 20 73 33</t>
  </si>
  <si>
    <t>AQUAPRADA</t>
  </si>
  <si>
    <t>Carrer de Sant Ramon, 117, 03560 El Campello, Alicante</t>
  </si>
  <si>
    <t>aquaprada.es</t>
  </si>
  <si>
    <t>669 77 49 00</t>
  </si>
  <si>
    <t>popper.js@1.16.1</t>
  </si>
  <si>
    <t>Fontaneria Fontagua Elche</t>
  </si>
  <si>
    <t>Lugar Perleta Poligono 2, 99, 03294 Elche, Alicante</t>
  </si>
  <si>
    <t>Sanigrif Elche</t>
  </si>
  <si>
    <t>Carrer Concepción Arenal, 139, 03204 Elx, Alicante</t>
  </si>
  <si>
    <t>966 65 51 02</t>
  </si>
  <si>
    <t>Right Plumber</t>
  </si>
  <si>
    <t>Partida Benicolada, 7J, 03710 Calp, Alicante</t>
  </si>
  <si>
    <t>Calpe</t>
  </si>
  <si>
    <t>rightplumber.es</t>
  </si>
  <si>
    <t>965 83 21 89</t>
  </si>
  <si>
    <t>info@rightplumber.es</t>
  </si>
  <si>
    <t>Fontaneros en benidorm</t>
  </si>
  <si>
    <t>Avenida Periodista Y Escritor, Av. Emilio Romero, 5, 03503 Benidorm, Alicante</t>
  </si>
  <si>
    <t>625 21 25 86</t>
  </si>
  <si>
    <t>Plaza América, 1, 03610 Petrer, Alicante</t>
  </si>
  <si>
    <t>610 92 72 23</t>
  </si>
  <si>
    <t>Fontaneria Sánchez</t>
  </si>
  <si>
    <t>Carrer Lluís Vives, 03330 Crevillent, Alicante</t>
  </si>
  <si>
    <t>Crevillente</t>
  </si>
  <si>
    <t>611 43 66 31</t>
  </si>
  <si>
    <t>Maraves</t>
  </si>
  <si>
    <t>Av. Conde de Lumiares, 4, 03010 Alicante</t>
  </si>
  <si>
    <t>Hidro Jardin Ausina Piscinas Fontaneria Riegos</t>
  </si>
  <si>
    <t>03550 San Juan de Alicante, Alicante</t>
  </si>
  <si>
    <t>Fontaneria Alfocea, S.L.</t>
  </si>
  <si>
    <t>nº 13, Calle Turia, 03310 Jacarilla, Alicante</t>
  </si>
  <si>
    <t>Jacarilla</t>
  </si>
  <si>
    <t>965 35 05 06</t>
  </si>
  <si>
    <t>Venezia Relax</t>
  </si>
  <si>
    <t>Avenida Historiador Vicente Ramos, 0 S N ( Part Condomina ), 03001 Alicante</t>
  </si>
  <si>
    <t>venezia.es</t>
  </si>
  <si>
    <t>965 15 33 97</t>
  </si>
  <si>
    <t>Fontanero, Fontaneria y Calefacción en Aspe</t>
  </si>
  <si>
    <t>Calle Duero, nº14, 03680 Aspe, Alicante</t>
  </si>
  <si>
    <t>FONTANERÍA JOSÉ MANUEL MANZANARO - Fontaneros Torrevieja - Mamparas de Ducha y Baño - Urgencias Fontanería - Reformas de Baños</t>
  </si>
  <si>
    <t>Calle San Luis, 76, 03181 Torrevieja, Alicante</t>
  </si>
  <si>
    <t>fontaneriamanzanaro.es</t>
  </si>
  <si>
    <t>670 33 17 89</t>
  </si>
  <si>
    <t>info@fontaneriamanzanaro.es</t>
  </si>
  <si>
    <t>MultiFonta · Fontanería Y Servicios</t>
  </si>
  <si>
    <t>Carrer Dragonera, 10, 03610 Lloma Badada, Alicante</t>
  </si>
  <si>
    <t>Loma Bada</t>
  </si>
  <si>
    <t>multifonta.com</t>
  </si>
  <si>
    <t>655 96 27 76</t>
  </si>
  <si>
    <t>Empresas de Fontanería Vergar S.L.</t>
  </si>
  <si>
    <t>Calle Teneria, 20, 03600 Elda, Alicante</t>
  </si>
  <si>
    <t>Elda</t>
  </si>
  <si>
    <t>vergar.com</t>
  </si>
  <si>
    <t>965 39 09 35</t>
  </si>
  <si>
    <t>david@vergar.com</t>
  </si>
  <si>
    <t>Fontanería gomez</t>
  </si>
  <si>
    <t>Carrer Major, 2, 03194 Elx, Alicante</t>
  </si>
  <si>
    <t>Servidaya (Daya Nueva)</t>
  </si>
  <si>
    <t>Partida La Fábrica, 9 bis, 03159 Daya Nueva, Alicante</t>
  </si>
  <si>
    <t>Daya Nueva</t>
  </si>
  <si>
    <t>servidaya.es</t>
  </si>
  <si>
    <t>966 78 21 22</t>
  </si>
  <si>
    <t>info@servidaya.es</t>
  </si>
  <si>
    <t>Fontanero en Alicante</t>
  </si>
  <si>
    <t>605 47 29 62</t>
  </si>
  <si>
    <t>Fontanero en Torrevieja, Fontaneros en Torrevieja.</t>
  </si>
  <si>
    <t>Rambla Juan Mateo García, 115, 03180 Torrevieja, Alicante</t>
  </si>
  <si>
    <t>fontaneroentorrevieja.es</t>
  </si>
  <si>
    <t>610 44 59 04</t>
  </si>
  <si>
    <t>info@fontaneroentorrevieja.es</t>
  </si>
  <si>
    <t>Fontaneria Borja S.L.</t>
  </si>
  <si>
    <t>Local 4 Urbanización Villa Costa II, Calle Picos de Europa, 2, 03189 Orihuela, Alicante</t>
  </si>
  <si>
    <t>Orihuela</t>
  </si>
  <si>
    <t>fontaneriaborja.com</t>
  </si>
  <si>
    <t>965 32 22 24</t>
  </si>
  <si>
    <t>info@fontaneriaborja.com</t>
  </si>
  <si>
    <t>Eurofon</t>
  </si>
  <si>
    <t>Av. Rosa Mazón Valero, 40, 03183 Torrevieja, Alicante</t>
  </si>
  <si>
    <t>eurofon.es</t>
  </si>
  <si>
    <t>966 70 11 80</t>
  </si>
  <si>
    <t>info@eurofon.es</t>
  </si>
  <si>
    <t>Sanigrif Benidorm - La cala de Finestrat</t>
  </si>
  <si>
    <t>Carrer Cala Finestrat, 12, 03509 Finestrat, Alicante</t>
  </si>
  <si>
    <t>Finestrat</t>
  </si>
  <si>
    <t>965 86 34 11</t>
  </si>
  <si>
    <t>Calle Princesa, 16, 03600 Elda, Alicante</t>
  </si>
  <si>
    <t>965 39 66 11</t>
  </si>
  <si>
    <t>Diego</t>
  </si>
  <si>
    <t>Calle Roma, 29, 03190 Torre de la Horadada, Alicante</t>
  </si>
  <si>
    <t>Torre de la Horadada</t>
  </si>
  <si>
    <t>fontaneria-diego.negocio.site</t>
  </si>
  <si>
    <t>667 50 38 34</t>
  </si>
  <si>
    <t>Fontanero Cartagena</t>
  </si>
  <si>
    <t>Paseo Delicias, 19, 3ºA, 30202 Cartagena, Murcia</t>
  </si>
  <si>
    <t>Cartagena</t>
  </si>
  <si>
    <t>626 90 74 11</t>
  </si>
  <si>
    <t>Saltoki Alcoi</t>
  </si>
  <si>
    <t>Av. d&amp;apos;Alacant, 73, 03829 Cocentaina, Alicante</t>
  </si>
  <si>
    <t>Cocentaina</t>
  </si>
  <si>
    <t>965 59 52 26</t>
  </si>
  <si>
    <t>Fontanería Novarecal Denia</t>
  </si>
  <si>
    <t>Av. d&amp;apos;Alcoi, 1, 03700 Dénia, Alicante</t>
  </si>
  <si>
    <t>novarecal.com</t>
  </si>
  <si>
    <t>965 78 60 34</t>
  </si>
  <si>
    <t>novarecal@novarecal.com</t>
  </si>
  <si>
    <t>Fontaneria Antonio A. Gomez Rebollo</t>
  </si>
  <si>
    <t>Calle Amparo Quiles, 26, Almoradí, Alicante</t>
  </si>
  <si>
    <t>Almoradí</t>
  </si>
  <si>
    <t>669 24 77 68</t>
  </si>
  <si>
    <t>Fontanería Bornay S.l.</t>
  </si>
  <si>
    <t>Calle Mariana Pineda, 45, 03440 Ibi, Alicante</t>
  </si>
  <si>
    <t>615 82 25 18</t>
  </si>
  <si>
    <t>Fontanería Rafi</t>
  </si>
  <si>
    <t>Polígono Industrial los Barrios, 22, 03170 Rojales, Alicante</t>
  </si>
  <si>
    <t>Rojales</t>
  </si>
  <si>
    <t>966 79 24 62</t>
  </si>
  <si>
    <t>Miguel Galiano Fontanería</t>
  </si>
  <si>
    <t>Calle Ronda Colón, 12, 03730 Xàbia, Alicante</t>
  </si>
  <si>
    <t>Jávea</t>
  </si>
  <si>
    <t>658 46 90 37</t>
  </si>
  <si>
    <t>Fontanero Sokol</t>
  </si>
  <si>
    <t>Calle Vicente Blasco Ibáñez, 56, 03181 Torrevieja, Alicante</t>
  </si>
  <si>
    <t>688 25 67 01</t>
  </si>
  <si>
    <t>J Y D Pascual</t>
  </si>
  <si>
    <t>Calle Sax, 28, 03206 Santa Pola, Alicante</t>
  </si>
  <si>
    <t>Santa Pola</t>
  </si>
  <si>
    <t>jydpascual.com</t>
  </si>
  <si>
    <t>966 66 55 38</t>
  </si>
  <si>
    <t>info@jydpascual.com</t>
  </si>
  <si>
    <t>Fontanería Reza</t>
  </si>
  <si>
    <t>Carrer Sant Jaume, 77, 03760 Ondara, Alicante</t>
  </si>
  <si>
    <t>Ondara</t>
  </si>
  <si>
    <t>679 98 01 74</t>
  </si>
  <si>
    <t>Fontanería Dénia</t>
  </si>
  <si>
    <t>Carrer Pintor Llorens, 16, 03700 Dénia, Alicante</t>
  </si>
  <si>
    <t>620 38 06 46</t>
  </si>
  <si>
    <t>AhorroFont.com</t>
  </si>
  <si>
    <t>Tienda Online 24 h/día. Tienda física: Camino Cementerio de Benipeix, 13, 46727 El Real de Gandia, Valencia</t>
  </si>
  <si>
    <t>Real de Gandía</t>
  </si>
  <si>
    <t>ahorrofont.com</t>
  </si>
  <si>
    <t>962 96 10 97</t>
  </si>
  <si>
    <t>info@ahorrofont.com</t>
  </si>
  <si>
    <t>MDP Fontanería &amp;amp; Servicios</t>
  </si>
  <si>
    <t>Partida Benimaquia, 17, BC 410, 03709 La Xara, Alicante</t>
  </si>
  <si>
    <t>La Xara</t>
  </si>
  <si>
    <t>606 91 03 02</t>
  </si>
  <si>
    <t>FONTANEROS GRAO DE CASTELLÓN</t>
  </si>
  <si>
    <t>Carrer de Canalejas, 89, 12100 El Grao de Castellón, Castellón</t>
  </si>
  <si>
    <t>elgraodecastellon.com</t>
  </si>
  <si>
    <t>659 91 04 43</t>
  </si>
  <si>
    <t>Fontanero Castellón - Fontaneria en Castellón de la Plana</t>
  </si>
  <si>
    <t>Carrer de d Antonio Barceló, 4, 12100 El Grao de Castellón, Castelló</t>
  </si>
  <si>
    <t>Fontaneria Clemente, S.L.</t>
  </si>
  <si>
    <t>Carrer de Ciutadella, 7, 12100 El Grao de Castellón, Castelló</t>
  </si>
  <si>
    <t>616 26 38 04</t>
  </si>
  <si>
    <t>Gabriel Pitarch Pons</t>
  </si>
  <si>
    <t>Carrer d&amp;apos;Alcossebre, 10, 12100 El Grao de Castellón, Castelló</t>
  </si>
  <si>
    <t>964 28 44 20</t>
  </si>
  <si>
    <t>Servirep</t>
  </si>
  <si>
    <t>Carrer de Carcaixent, 37, 12005 Castelló de la Plana, Castelló</t>
  </si>
  <si>
    <t>servirep.es</t>
  </si>
  <si>
    <t>696 80 58 94</t>
  </si>
  <si>
    <t>info@servirep.es</t>
  </si>
  <si>
    <t>FONTANEROS CASTELLON</t>
  </si>
  <si>
    <t>Av. de València, 98, 12005 Castelló de la Plana, Castelló</t>
  </si>
  <si>
    <t>fontaneria-24h.negocio.site</t>
  </si>
  <si>
    <t>637 35 77 48</t>
  </si>
  <si>
    <t>Fontanería Vicente Gumbau</t>
  </si>
  <si>
    <t>Carrer del Riu Túria, 9, BAJO, 12006 Castellón de la Plana, Castellón</t>
  </si>
  <si>
    <t>vicentegumbau.com</t>
  </si>
  <si>
    <t>964 20 48 64</t>
  </si>
  <si>
    <t>info@vicentegumbau.com</t>
  </si>
  <si>
    <t>Rafael Fuentes Cortés</t>
  </si>
  <si>
    <t>Carrer d&amp;apos;Alcossebre, 41, 12100 El Grao de Castellón, Castelló</t>
  </si>
  <si>
    <t>964 28 27 22</t>
  </si>
  <si>
    <t>Luis Sos, slu</t>
  </si>
  <si>
    <t>Carrer de l&amp;apos;Alcalde Tàrrega, 73, 12004 Castelló de la Plana, Castelló</t>
  </si>
  <si>
    <t>luis-sos-slu.negocio.site</t>
  </si>
  <si>
    <t>669 48 71 41</t>
  </si>
  <si>
    <t>COMERCIAL DE FONTANERIA BBC</t>
  </si>
  <si>
    <t>C/ ITALIA, NAVE 209 - CIUDAD DEL TRANSPORTE, 12006 CASTELLON, Castellón</t>
  </si>
  <si>
    <t>comercialbbc.com</t>
  </si>
  <si>
    <t>964 10 10 31</t>
  </si>
  <si>
    <t>info@comercialbbc.com</t>
  </si>
  <si>
    <t>Fontaneria Pedro Esteban Gil Belles</t>
  </si>
  <si>
    <t>Carrer del Pintor López, 6, 12004 Castelló de la Plana, Castelló</t>
  </si>
  <si>
    <t>656 99 38 89</t>
  </si>
  <si>
    <t>Fontanería García Irles</t>
  </si>
  <si>
    <t>Calle de la Virgen de Gracia, 197, 12550 Almassora, Castellón</t>
  </si>
  <si>
    <t>Almazora</t>
  </si>
  <si>
    <t>fontaneria-garcia-irles.com</t>
  </si>
  <si>
    <t>964 56 05 04</t>
  </si>
  <si>
    <t>SANEAMIENTOS HERBELCA CASTELLON</t>
  </si>
  <si>
    <t>Polg. Los Cipreses, Calle Mar Negro, 33, 12006 Castellón de la Plana, Castellón</t>
  </si>
  <si>
    <t>herbelca.com</t>
  </si>
  <si>
    <t>964 86 62 26</t>
  </si>
  <si>
    <t>administracion@herbelca.com</t>
  </si>
  <si>
    <t>FONT-REAL</t>
  </si>
  <si>
    <t>Carrer Carinyena, 20, 12540 Vila-real, Castelló</t>
  </si>
  <si>
    <t>font-real.negocio.site</t>
  </si>
  <si>
    <t>652 81 34 36</t>
  </si>
  <si>
    <t>Instalaciones y Mantenimientos Beltrán S.L.</t>
  </si>
  <si>
    <t>Carrer de la Mare de Déu del Pilar, 80, 12500 Vinaròs, Castelló</t>
  </si>
  <si>
    <t>Vinaroz</t>
  </si>
  <si>
    <t>instalacionesbeltran.com</t>
  </si>
  <si>
    <t>964 45 07 27</t>
  </si>
  <si>
    <t>beltran@instalacionesbeltran.com</t>
  </si>
  <si>
    <t>Fontaneria J. García</t>
  </si>
  <si>
    <t>Carrer Barranquet, 93, 12594 Orpesa, Castelló</t>
  </si>
  <si>
    <t>Oropesa</t>
  </si>
  <si>
    <t>637 51 78 88</t>
  </si>
  <si>
    <t>Fontaneria Danpi</t>
  </si>
  <si>
    <t>Carrer del Pou, 10, 12580 Benicarló, Castelló</t>
  </si>
  <si>
    <t>fontaneriadanpi.es</t>
  </si>
  <si>
    <t>687 81 58 29</t>
  </si>
  <si>
    <t>quicklink@1.0.1</t>
  </si>
  <si>
    <t>Sequiol</t>
  </si>
  <si>
    <t>Calle Els Ports, 4, 12005 Castellón de la Plana, Castellón</t>
  </si>
  <si>
    <t>sumiseq.es</t>
  </si>
  <si>
    <t>964 34 05 73</t>
  </si>
  <si>
    <t>Lopez Colonques Fontaneros</t>
  </si>
  <si>
    <t>Av. França, 101, 12540 Vila-real, Castelló</t>
  </si>
  <si>
    <t>964 83 77 17</t>
  </si>
  <si>
    <t>Fontanería, Gas y Calefacción - Orofont -</t>
  </si>
  <si>
    <t>Carrer de Navarra, 11, 12594 Orpesa, Castelló</t>
  </si>
  <si>
    <t>667 22 67 49</t>
  </si>
  <si>
    <t>Desatascos Turia Valencia y Castellón</t>
  </si>
  <si>
    <t>Carrer d&amp;apos;Alaquàs, 10, 46960 Aldaia, Valencia</t>
  </si>
  <si>
    <t>desatascosturiavalencia.es</t>
  </si>
  <si>
    <t>601 71 77 36</t>
  </si>
  <si>
    <t>Fontanería Ramón</t>
  </si>
  <si>
    <t>Calle la Rambla, 17, 12600 la Vall d&amp;apos;Uixó, Castellón</t>
  </si>
  <si>
    <t>964 69 01 94</t>
  </si>
  <si>
    <t>Marin - Fontaneros Oropesa del Mar y Marina Dor</t>
  </si>
  <si>
    <t>Carrer de la Pinada, 14, 12594 Orpesa, Castelló</t>
  </si>
  <si>
    <t>oropesadelmarservicios.es</t>
  </si>
  <si>
    <t>Servicios Muñoz</t>
  </si>
  <si>
    <t>Calle Sta. Rita, 45, 12200 Onda, Castellón</t>
  </si>
  <si>
    <t>serviciosmuñoz.com</t>
  </si>
  <si>
    <t>964 60 39 46</t>
  </si>
  <si>
    <t>Fontaplic</t>
  </si>
  <si>
    <t>Carrer Torrehermosa, 50, 12540 Vila-real, Castelló</t>
  </si>
  <si>
    <t>964 53 86 16</t>
  </si>
  <si>
    <t>FONTANERIA LAVERNIA-Mamparas de baño-Fontanero Oropesa-Instalacion,reparacion aire acondicionado</t>
  </si>
  <si>
    <t>Aín</t>
  </si>
  <si>
    <t>fontanerialavernia.es</t>
  </si>
  <si>
    <t>646 94 07 86</t>
  </si>
  <si>
    <t>info@fontanerialavernia.es</t>
  </si>
  <si>
    <t>Instalaciones Fonmevi, S.L.</t>
  </si>
  <si>
    <t>Avinguda Sant Josep Obrer, 47, 12549 Betxí, Castelló</t>
  </si>
  <si>
    <t>Bechí</t>
  </si>
  <si>
    <t>657 82 04 31</t>
  </si>
  <si>
    <t>Guinot fontaneros y reformas de baño</t>
  </si>
  <si>
    <t>Carrer del Mestre Caballero, 37, bajo izquierda, 12004 Castelló de la Plana, Castelló</t>
  </si>
  <si>
    <t>615 65 06 49</t>
  </si>
  <si>
    <t>Fontaneria Alfonso</t>
  </si>
  <si>
    <t>Avinguda Nules, 47, 12530 Borriana, Castellón</t>
  </si>
  <si>
    <t>610 47 37 00</t>
  </si>
  <si>
    <t>Onda Hidro, sl</t>
  </si>
  <si>
    <t>Ingeniero, Carrer Ingeniero Echegaray, 15, 12200 Onda, Castellón</t>
  </si>
  <si>
    <t>ondahidro.com</t>
  </si>
  <si>
    <t>964 77 21 73</t>
  </si>
  <si>
    <t>info@ondahidro.com</t>
  </si>
  <si>
    <t>Fontanería Vilar</t>
  </si>
  <si>
    <t>Carrer Vàzquez Mella, 37, 12006 Castelló de la Plana, Castelló</t>
  </si>
  <si>
    <t>964 21 17 48</t>
  </si>
  <si>
    <t>Fontanería Gascón</t>
  </si>
  <si>
    <t>Calle Molinas, 6, 12190 Borriol, Castellón</t>
  </si>
  <si>
    <t>Borriol</t>
  </si>
  <si>
    <t>fontaneriagascon.com</t>
  </si>
  <si>
    <t>699 45 64 55</t>
  </si>
  <si>
    <t>info@fontaneriagascon.com</t>
  </si>
  <si>
    <t>M.C.D( fontaneria y electricidad)</t>
  </si>
  <si>
    <t>Carrer de Sant Ferran, 7, 12500 Vinaròs, Castelló</t>
  </si>
  <si>
    <t>667 38 16 16</t>
  </si>
  <si>
    <t>Fontanería Manuel Vicente Blasco Moliner</t>
  </si>
  <si>
    <t>Carrer de Sant Miquel, 35, 12004 Castelló de la Plana, Castelló</t>
  </si>
  <si>
    <t>964 21 11 86</t>
  </si>
  <si>
    <t>Fontvercas</t>
  </si>
  <si>
    <t>Carrer de Llucena, 32, 12006 Castelló de la Plana, Castelló</t>
  </si>
  <si>
    <t>fontvercas.es</t>
  </si>
  <si>
    <t>649 12 06 75</t>
  </si>
  <si>
    <t>bootstrap@4.5.3</t>
  </si>
  <si>
    <t>FONTANEROS OROPESA DEL MAR</t>
  </si>
  <si>
    <t>Avinguda de València, 18, 2l, 12594 Orpesa, Castelló</t>
  </si>
  <si>
    <t>600 84 34 04</t>
  </si>
  <si>
    <t>Desatascos Castellón</t>
  </si>
  <si>
    <t>Carrer de les Carotes, 71, 12550 Almassora, Castelló</t>
  </si>
  <si>
    <t>600 04 55 83</t>
  </si>
  <si>
    <t>Fontaneros BENICASSIM</t>
  </si>
  <si>
    <t>Instalaciones Mulet</t>
  </si>
  <si>
    <t>Plaça del País Valencià, 8, 12005 Castelló de la Plana, Castelló</t>
  </si>
  <si>
    <t>instalacionesmulet.es</t>
  </si>
  <si>
    <t>615 62 71 82</t>
  </si>
  <si>
    <t>Urge 24h</t>
  </si>
  <si>
    <t>Carrer dels Almogàvers, 1, 12550 Castelló de la Plana, Castelló</t>
  </si>
  <si>
    <t>urge24h.es</t>
  </si>
  <si>
    <t>info@urge24h.es</t>
  </si>
  <si>
    <t>idáñez Fontaneros</t>
  </si>
  <si>
    <t>Carrer Santa Helena, 40, 12530 Borriana, Castelló</t>
  </si>
  <si>
    <t>636 16 20 68</t>
  </si>
  <si>
    <t>urbabany s.l.</t>
  </si>
  <si>
    <t>Carrer de Botànic Cavanilles, 12, BAJO, 12006 Castelló de la Plana, Castelló</t>
  </si>
  <si>
    <t>Instalaciones Inder C.B.</t>
  </si>
  <si>
    <t>Carrer de Peníscola, 64, 12580 Benicarló, Castelló</t>
  </si>
  <si>
    <t>609 66 19 84</t>
  </si>
  <si>
    <t>Aquafer</t>
  </si>
  <si>
    <t>Carrer Assumpció, 1, BAJO, 12540 Vila-real, Castelló</t>
  </si>
  <si>
    <t>fontaneriaaquafer.com</t>
  </si>
  <si>
    <t>964 53 51 49</t>
  </si>
  <si>
    <t>informacion@aquafer-fontaneria.com</t>
  </si>
  <si>
    <t>Fontanería José Miguel Beltrán</t>
  </si>
  <si>
    <t>Carrer de Miquel Beltran, 2, 12360 Xert, Castelló</t>
  </si>
  <si>
    <t>Chert</t>
  </si>
  <si>
    <t>Fontanería Esteban Castell</t>
  </si>
  <si>
    <t>Carrer del Cervol, 16, 12500 Vinaròs, Castelló</t>
  </si>
  <si>
    <t>fontaneriaestebancastell.com</t>
  </si>
  <si>
    <t>964 45 14 67</t>
  </si>
  <si>
    <t>Instalaciones Industriales Fontasal Sociedad Limitada</t>
  </si>
  <si>
    <t>Ctra. Onda, 17, 12540 Villarreal, Castellón</t>
  </si>
  <si>
    <t>964 53 72 98</t>
  </si>
  <si>
    <t>Fontanería Joaquín Sorribes</t>
  </si>
  <si>
    <t>Carrer Sant Vicent, 55, 12330 Traiguera, Castelló</t>
  </si>
  <si>
    <t>Traiguera</t>
  </si>
  <si>
    <t>Fontanería Rodado</t>
  </si>
  <si>
    <t>Carrer d&amp;apos;Alacant, 11, 12004 Castelló de la Plana, Castelló</t>
  </si>
  <si>
    <t>964 22 46 87</t>
  </si>
  <si>
    <t>FONTANERIA FONSA</t>
  </si>
  <si>
    <t>Carrer Pobla Tornesa, 87, 12540 Vila-real, Castelló</t>
  </si>
  <si>
    <t>695 58 92 72</t>
  </si>
  <si>
    <t>AIGUA LLUM</t>
  </si>
  <si>
    <t>Avinguda de Pius XII, 16, Bajos, 12500 Vinaròs, Castelló</t>
  </si>
  <si>
    <t>964 40 06 62</t>
  </si>
  <si>
    <t>Miguel Andreu Fontanería</t>
  </si>
  <si>
    <t>Carrer la Balma, 39, 12190 Borriol, Castelló</t>
  </si>
  <si>
    <t>Arnau Instalaciones</t>
  </si>
  <si>
    <t>Ctra. Alcossebre, 10A, 12579 Alcossebre, Castelló</t>
  </si>
  <si>
    <t>Alcocéber</t>
  </si>
  <si>
    <t>964 41 40 82</t>
  </si>
  <si>
    <t>H2O Fontaneros SL.</t>
  </si>
  <si>
    <t>Avenida Nules 109, Nave 5, 12530 Burriana / Borriana, Castellón</t>
  </si>
  <si>
    <t>672 04 13 62</t>
  </si>
  <si>
    <t>Instalaciones de Fontanería Antonio Crespo</t>
  </si>
  <si>
    <t>Calle de Nuestra Señora Virgen de la Paciencia, 61, 12594 Orpesa</t>
  </si>
  <si>
    <t>Orpesa</t>
  </si>
  <si>
    <t>964 31 03 57</t>
  </si>
  <si>
    <t>Fontanería Ventura</t>
  </si>
  <si>
    <t>12540 Villarreal, Castellón</t>
  </si>
  <si>
    <t>964 53 00 02</t>
  </si>
  <si>
    <t>Carlos Villaroya Conejos</t>
  </si>
  <si>
    <t>Ctra. Villavieja, 12, 12520 Nules, Castellón</t>
  </si>
  <si>
    <t>Nules</t>
  </si>
  <si>
    <t>646 95 04 03</t>
  </si>
  <si>
    <t>MULTISERVICIOS LEO</t>
  </si>
  <si>
    <t>Carrer de Cabanes, 7, 12594 Orpesa, Castelló</t>
  </si>
  <si>
    <t>661 21 70 55</t>
  </si>
  <si>
    <t>Vilarealense Fontanería S L</t>
  </si>
  <si>
    <t>Carrer Torrehermosa, 60, 12540 Vila-real, Castelló</t>
  </si>
  <si>
    <t>964 52 22 69</t>
  </si>
  <si>
    <t>Fontanería Galiano</t>
  </si>
  <si>
    <t>Carrer de José Zorrilla, 1, 12004 Castelló de la Plana, Castelló</t>
  </si>
  <si>
    <t>964 20 22 60</t>
  </si>
  <si>
    <t>Fontaneria y Calefacción Manuel Gil</t>
  </si>
  <si>
    <t>Carrer del General Cucala, 27, 12570 Alcalà de Xivert, Castelló</t>
  </si>
  <si>
    <t>Alcalá de Chivert</t>
  </si>
  <si>
    <t>659 93 68 82</t>
  </si>
  <si>
    <t>Ernesto Sorribes Fontanería</t>
  </si>
  <si>
    <t>Lugar Grupo San Juan Bautista, 19, 12006 Castellón de la Plana</t>
  </si>
  <si>
    <t>964 51 57 87</t>
  </si>
  <si>
    <t>Fontanería El Pilar</t>
  </si>
  <si>
    <t>Carrer Rosell, 12, 12001 Castelló de la Plana, Castelló</t>
  </si>
  <si>
    <t>964 03 31 96</t>
  </si>
  <si>
    <t>Carrer de Rafalafena, 25, 12003 Castelló de la Plana, Castelló</t>
  </si>
  <si>
    <t>Fontaneros oropesa</t>
  </si>
  <si>
    <t>Avinguda de València, 31, 12594 Orpesa, Castelló</t>
  </si>
  <si>
    <t>FONTANERIA ISERTE</t>
  </si>
  <si>
    <t>Carrer Sant Salvador, Nº 37, Bajo, 12110 L&amp;apos;Alcora, Castellón</t>
  </si>
  <si>
    <t>fontaneria-iserte.negocio.site</t>
  </si>
  <si>
    <t>658 86 04 56</t>
  </si>
  <si>
    <t>La Fontanería</t>
  </si>
  <si>
    <t>Carrer dels Sants Just i Pastor, 133, 46022 València, Valencia</t>
  </si>
  <si>
    <t>617 42 24 33</t>
  </si>
  <si>
    <t>Fontanero Ricardo Mulet - Fontanero urgente-Desatascos-Mamparas de baño</t>
  </si>
  <si>
    <t>Instalaciones Roca Lizondo</t>
  </si>
  <si>
    <t>Calle Umbría, 5, 12440 Caudiel, Castellón</t>
  </si>
  <si>
    <t>Caudiel</t>
  </si>
  <si>
    <t>964 14 44 21</t>
  </si>
  <si>
    <t>Fontanería y Calefacción Falomir</t>
  </si>
  <si>
    <t>Carrer Botalaria, 33, 12190 Borriol, Castelló</t>
  </si>
  <si>
    <t>Fontanería Qualgic</t>
  </si>
  <si>
    <t>Av. Itàlia, 12540 Vila-real, Castelló</t>
  </si>
  <si>
    <t>Fontaneros Almazora</t>
  </si>
  <si>
    <t>Fontaneria-Albañileria Ortiz C.S</t>
  </si>
  <si>
    <t>Carrer Antonio Maura, 23, 12001 Castelló de la Plana, Castelló</t>
  </si>
  <si>
    <t>Fontaneros Sanjuan</t>
  </si>
  <si>
    <t>Carrer de Bernat Artola, 16, B, 12004 Castellón de la Plana, Castellón</t>
  </si>
  <si>
    <t>617 66 60 92</t>
  </si>
  <si>
    <t>Multiservicios Molinero</t>
  </si>
  <si>
    <t>Carrer Catalunya, 5, 12540 Vila-real, Castelló</t>
  </si>
  <si>
    <t>652 62 88 32</t>
  </si>
  <si>
    <t>Fontanería de la Cruz Pallarés S.L.</t>
  </si>
  <si>
    <t>Calle de la Virgen de Gracia, 121, 12550 Almassora, Castellón</t>
  </si>
  <si>
    <t>661 63 64 50</t>
  </si>
  <si>
    <t>Fontasal Fontaneria Calefaccion Gas Y Baños</t>
  </si>
  <si>
    <t>Carrer Sant Joaquim, 4, 12540 Vila-real, Castelló</t>
  </si>
  <si>
    <t>AE Suministros</t>
  </si>
  <si>
    <t>Polígono Industrial Estadio, 60, 12004 Castellón de la Plana, Castellón</t>
  </si>
  <si>
    <t>Empresa Multiservicio Provincia Castellón y Tarragona</t>
  </si>
  <si>
    <t>Calle Don Antonio Pascual, 56, 12598 Peniscola</t>
  </si>
  <si>
    <t>Peñíscola</t>
  </si>
  <si>
    <t>Peniscola</t>
  </si>
  <si>
    <t>651 67 14 23</t>
  </si>
  <si>
    <t>Casfont</t>
  </si>
  <si>
    <t>Carrer de Museros, 11, 12005 Castelló de la Plana, Castelló</t>
  </si>
  <si>
    <t>699 90 44 33</t>
  </si>
  <si>
    <t>Falomir</t>
  </si>
  <si>
    <t>Carrer del Mestre Llorens, 22, 12004 Castelló de la Plana, Castelló</t>
  </si>
  <si>
    <t>964 21 11 98</t>
  </si>
  <si>
    <t>Fontanería Guinot</t>
  </si>
  <si>
    <t>Carrer de Maria Cases, 6, 12200 Onda, Castelló</t>
  </si>
  <si>
    <t>964 60 00 73</t>
  </si>
  <si>
    <t>Instalaciones Gracià - Vinaròs</t>
  </si>
  <si>
    <t>Calle Murcia, 3, 12500 Vinaròs, Castellón</t>
  </si>
  <si>
    <t>instalacionesgracia.com</t>
  </si>
  <si>
    <t>633 65 59 24</t>
  </si>
  <si>
    <t>administracion@instalacionesgracia.com</t>
  </si>
  <si>
    <t>Quadra Saboner, 41, 12006 Castelló de la Plana, Castelló</t>
  </si>
  <si>
    <t>964 20 52 82</t>
  </si>
  <si>
    <t>Juanjo Bellido Instalaciones SL</t>
  </si>
  <si>
    <t>Carrer Bayer, 53, 12560 Benicàssim, Castelló</t>
  </si>
  <si>
    <t>Benicasim</t>
  </si>
  <si>
    <t>Tecno Fontanería</t>
  </si>
  <si>
    <t>Carrer el Toro, 108, 12005 Castelló de la Plana, Castelló</t>
  </si>
  <si>
    <t>decoryreformas.com</t>
  </si>
  <si>
    <t>622 95 41 85</t>
  </si>
  <si>
    <t>info@decoryreformas.com</t>
  </si>
  <si>
    <t>Construcciones, Electricidad y Fontanería Modesto Zapater S.L</t>
  </si>
  <si>
    <t>Ctra. Castellón, 14, 12300 Morella, Castellón, Castellón</t>
  </si>
  <si>
    <t>Morella</t>
  </si>
  <si>
    <t>964 16 10 92</t>
  </si>
  <si>
    <t>Fontanero Alquerias E. Sorribes</t>
  </si>
  <si>
    <t>Carrer Sant Joan, 19, 12539 Les Alqueries, Castelló</t>
  </si>
  <si>
    <t>Alquerías del Niño Perdido</t>
  </si>
  <si>
    <t>667 47 14 29</t>
  </si>
  <si>
    <t>Fonbelton</t>
  </si>
  <si>
    <t>Avinguda de Vicent Sos Baynat, 25, 12006 Castelló de la Plana, Castelló</t>
  </si>
  <si>
    <t>Antonio Guinot Sanchís</t>
  </si>
  <si>
    <t>Carrer del Mestre Caballero, 37, 12004 Castelló de la Plana, Castelló</t>
  </si>
  <si>
    <t>964 03 88 68</t>
  </si>
  <si>
    <t>Fonbadi</t>
  </si>
  <si>
    <t>Carrer del Cronista Muntaner, 3, 12006 Castelló de la Plana, Castelló</t>
  </si>
  <si>
    <t>Carrer de la Mare de Déu del Carme, 7, 12500 Vinaròs, Castelló</t>
  </si>
  <si>
    <t>Bolinches Hermanos</t>
  </si>
  <si>
    <t>Av. Suroeste, 37, 12600 la Vall d&amp;apos;Uixó, Castellón</t>
  </si>
  <si>
    <t>Instalaciones Jorpi</t>
  </si>
  <si>
    <t>Carrer de Salvador Guinot, 53, 12006 Castelló de la Plana, Castelló</t>
  </si>
  <si>
    <t>964 25 09 62</t>
  </si>
  <si>
    <t>Fontanería Vilaigua</t>
  </si>
  <si>
    <t>Carrer Ecce - Homo, 37, 12540 Vila-real, Castelló</t>
  </si>
  <si>
    <t>vilaigua.com</t>
  </si>
  <si>
    <t>686 77 13 86</t>
  </si>
  <si>
    <t>Fontanería Adrián Rubio Jiménez</t>
  </si>
  <si>
    <t>Carrer Roberto Roselló Gasch, 5, 12530 Borriana, Castelló</t>
  </si>
  <si>
    <t>628 11 70 21</t>
  </si>
  <si>
    <t>Fontanería Perís Hermanos S L</t>
  </si>
  <si>
    <t>Carrer Marí, 5, 12530 Borriana, Castelló</t>
  </si>
  <si>
    <t>Gas Fellas Plumber Castellon De La Plana</t>
  </si>
  <si>
    <t>Carrer de Jordi Juan, 23, 12006 Castelló de la Plana, Castelló</t>
  </si>
  <si>
    <t>Suministros de Fontanería Vilarreal Slu</t>
  </si>
  <si>
    <t>Carrer Borriol, 84, 12540 Vila-real, Castelló</t>
  </si>
  <si>
    <t>964 63 61 11</t>
  </si>
  <si>
    <t>Fontanería Francisco Monfort</t>
  </si>
  <si>
    <t>Carrer del Finello, 42, 12530 Borriana, Castelló</t>
  </si>
  <si>
    <t>Fontacom global slu.</t>
  </si>
  <si>
    <t>Carrer Bonavista, 10 Bis, 12520 Nules, Castelló</t>
  </si>
  <si>
    <t>fontacom.com</t>
  </si>
  <si>
    <t>670 33 00 32</t>
  </si>
  <si>
    <t>info@fontacom.com</t>
  </si>
  <si>
    <t>Pedro Gómez Fontanería</t>
  </si>
  <si>
    <t>Av. España, 43, 12400 Segorbe, Castellón</t>
  </si>
  <si>
    <t>Segorbe</t>
  </si>
  <si>
    <t>618 81 49 01</t>
  </si>
  <si>
    <t>Fontanería de la Cruz e Hijos</t>
  </si>
  <si>
    <t>Carrer Music Fulgenci Badal, 16, 12600 La Vall d&amp;apos;Uixó, Castelló</t>
  </si>
  <si>
    <t>659 54 93 58</t>
  </si>
  <si>
    <t>Banys Sebastián Quixal - Electricitat i Fontaneria</t>
  </si>
  <si>
    <t>Av. de la Llibertat, 4, 12500 Vinaròs, Castelló</t>
  </si>
  <si>
    <t>964 45 17 46</t>
  </si>
  <si>
    <t>IDROPOL</t>
  </si>
  <si>
    <t>IND. PULLMAN, Calle Hungria, 9, 11 POL, 12006 CASTELLON, Castellón</t>
  </si>
  <si>
    <t>alfatiles.com</t>
  </si>
  <si>
    <t>964 34 02 34</t>
  </si>
  <si>
    <t>info@alfatiles.com</t>
  </si>
  <si>
    <t>Fontaneria S Baselca</t>
  </si>
  <si>
    <t>Carrer de Jordi Juan, 55, 12006 Castelló de la Plana, Castelló</t>
  </si>
  <si>
    <t>Instalaciones Solgas</t>
  </si>
  <si>
    <t>Carrer de la Coscolla, 63, 12600 La Vall d&amp;apos;Uixó, Castelló</t>
  </si>
  <si>
    <t>964 66 66 88</t>
  </si>
  <si>
    <t>Instalaciones de Fontanería Amador Palacios</t>
  </si>
  <si>
    <t>Carrer de Canet lo Roig, 29, 12006 Castelló de la Plana, Castelló</t>
  </si>
  <si>
    <t>964 20 86 65</t>
  </si>
  <si>
    <t>Pedro Musat Moreno</t>
  </si>
  <si>
    <t>Carrer de Betxí, 7, 12600 La Vall d&amp;apos;Uixó, Castelló</t>
  </si>
  <si>
    <t>C.M.B. fontaneria S.L.</t>
  </si>
  <si>
    <t>Carrer de Saragossa, 21, 12596 Torreblanca, Castelló</t>
  </si>
  <si>
    <t>Torreblanca</t>
  </si>
  <si>
    <t>639 50 07 70</t>
  </si>
  <si>
    <t>Juan Vicente Clemente Pradas</t>
  </si>
  <si>
    <t>Av. del Santo, 3, 12430 Bejís, Castellón</t>
  </si>
  <si>
    <t>Bejís</t>
  </si>
  <si>
    <t>Fontenería Barrué</t>
  </si>
  <si>
    <t>Carrer Josep Ramón Batalla, 82, 12540 Vila-real, Castelló</t>
  </si>
  <si>
    <t>fontaneriabarrue.com</t>
  </si>
  <si>
    <t>964 53 70 41</t>
  </si>
  <si>
    <t>info@fontaneriabarrue.com</t>
  </si>
  <si>
    <t>LA FONTANERIA 2.0</t>
  </si>
  <si>
    <t>Av. de Madrid, 8, 12594 Oropesa del Mar, Castellón</t>
  </si>
  <si>
    <t>lafontaneria20.negocio.site</t>
  </si>
  <si>
    <t>647 57 89 14</t>
  </si>
  <si>
    <t>Jaime Muñoz García</t>
  </si>
  <si>
    <t>Carrer de la Serra de Campanetes, 2, 12006 Castelló de la Plana, Castelló</t>
  </si>
  <si>
    <t>Fontanerias 24H</t>
  </si>
  <si>
    <t>Carrer Segle XXI, 12194 la Vall d&amp;apos;Alba, Castelló</t>
  </si>
  <si>
    <t>Vall d&amp;apos;Alba</t>
  </si>
  <si>
    <t>612 57 45 56</t>
  </si>
  <si>
    <t>Sales Jorge</t>
  </si>
  <si>
    <t>Carrer de Santa Caterina, 22, 12500 Vinaròs, Castelló</t>
  </si>
  <si>
    <t>Manuel Tadeo Llorach Ávila</t>
  </si>
  <si>
    <t>Carrer de la Companyia del Port, 5, 12580 Benicarló, Castelló</t>
  </si>
  <si>
    <t>964 47 15 48</t>
  </si>
  <si>
    <t>Fontanería Jomervi S.L.</t>
  </si>
  <si>
    <t>Carrer de la Bosca, 14, 12530 Borriana, Castelló</t>
  </si>
  <si>
    <t>964 51 75 07</t>
  </si>
  <si>
    <t>INSTALACIONES VICENTE ROIG S.L</t>
  </si>
  <si>
    <t>Calle Ricardo Portales, 8, 12600 la Vall d&amp;apos;Uixó, Castellón</t>
  </si>
  <si>
    <t>vicenteroig.wixsite.com</t>
  </si>
  <si>
    <t>964 66 23 11</t>
  </si>
  <si>
    <t>José Serrat Aicart</t>
  </si>
  <si>
    <t>Carrer del Doctor Ferrer, 36, 12580 Benicarló, Castelló</t>
  </si>
  <si>
    <t>Juan Manuel Pitarch Usó</t>
  </si>
  <si>
    <t>Carrer Jaume Roig, 10, 12540 Vila-real, Castelló</t>
  </si>
  <si>
    <t>669 49 61 51</t>
  </si>
  <si>
    <t>José Turlo Siurana</t>
  </si>
  <si>
    <t>Carrer les Eres, 13, 12180 Cabanes, Castellón</t>
  </si>
  <si>
    <t>Cabanes</t>
  </si>
  <si>
    <t>Fontanería R A Enguídanos</t>
  </si>
  <si>
    <t>Carrer Serves de Jesús, 19, 12530 Borriana, Castelló</t>
  </si>
  <si>
    <t>Tecnoinst, S.L.</t>
  </si>
  <si>
    <t>Carrer dels Germans Quintero, 6, 12006 Castelló de la Plana, Castelló</t>
  </si>
  <si>
    <t>663 35 74 43</t>
  </si>
  <si>
    <t>Fontanería Alfieri C B</t>
  </si>
  <si>
    <t>Carrer Reverendo Francisco Paús Ortiz, 5, 12110 L&amp;apos;Alcora, Castelló</t>
  </si>
  <si>
    <t>627 90 73 47</t>
  </si>
  <si>
    <t>FONTANERIA PEDRO ESPINOSA PONCE</t>
  </si>
  <si>
    <t>Carrer de l&amp;apos;Alcalde Tàrrega, 68, 12004 Castelló de la Plana, Castelló</t>
  </si>
  <si>
    <t>607 35 08 15</t>
  </si>
  <si>
    <t>José Enrique Moratalla Martínez</t>
  </si>
  <si>
    <t>Carrer de Goya, 97, 12594 Orpesa, Castelló</t>
  </si>
  <si>
    <t>630 32 33 11</t>
  </si>
  <si>
    <t>Fuente Rafael</t>
  </si>
  <si>
    <t>Carrer Guitarrista Tárrega, 2, 12560 Benicàssim, Castelló</t>
  </si>
  <si>
    <t>964 30 22 87</t>
  </si>
  <si>
    <t>Goyca</t>
  </si>
  <si>
    <t>Carrer del Doctor Federico Michavila Paús, 0 S/N, 12110 L&amp;apos;Alcora, Castelló</t>
  </si>
  <si>
    <t>605 96 57 76</t>
  </si>
  <si>
    <t>Fontanería Navajas</t>
  </si>
  <si>
    <t>Calle San José, 44, 12470 Navajas, Castellón</t>
  </si>
  <si>
    <t>Navajas</t>
  </si>
  <si>
    <t>Fontanería Vall D&amp;apos;alba</t>
  </si>
  <si>
    <t>Plaça de la Llum, 5, 1º, 12194 Vall d&amp;apos;Alba, Castellón</t>
  </si>
  <si>
    <t>964 32 01 52</t>
  </si>
  <si>
    <t>Fontaneria Paco León</t>
  </si>
  <si>
    <t>Carrer de Ausiàs March, 65, 12530 Borriana, Castelló</t>
  </si>
  <si>
    <t>Top Construcciones y Reformas S.L.</t>
  </si>
  <si>
    <t>Carrer d&amp;apos;Herrero, 66, 12005 Castelló de la Plana, Castelló</t>
  </si>
  <si>
    <t>964 06 86 06</t>
  </si>
  <si>
    <t>María Dolores Sifre Miralles</t>
  </si>
  <si>
    <t>Carrer de Castelló, 17, 12185 Les Coves de Vinromà, Castelló</t>
  </si>
  <si>
    <t>Cuevas de Vinromá</t>
  </si>
  <si>
    <t>Miguel Sifre Llorens</t>
  </si>
  <si>
    <t>12003 Castellón de la Plana, Castellón</t>
  </si>
  <si>
    <t>964 51 38 95</t>
  </si>
  <si>
    <t>Fontanería Lazaro S.L.</t>
  </si>
  <si>
    <t>Camino Azagador de la Torreta, 12110 L&amp;apos;Alcora, Castellón</t>
  </si>
  <si>
    <t>Manuel Cargo Puig</t>
  </si>
  <si>
    <t>Calle Consolación, 2, 12310 Forcall, Castellón</t>
  </si>
  <si>
    <t>Forcall</t>
  </si>
  <si>
    <t>964 17 11 16</t>
  </si>
  <si>
    <t>FONTANERÍA Y REFORMAS ALHAMBRA</t>
  </si>
  <si>
    <t>Carrer de Motilla del Palancar, 5, 46019 València, Valencia</t>
  </si>
  <si>
    <t>reformasalhambra.com</t>
  </si>
  <si>
    <t>963 66 58 61</t>
  </si>
  <si>
    <t>Fontanería guzmán</t>
  </si>
  <si>
    <t>Carrer Andrés Piles Ibars, 22, 46025 València, Valencia</t>
  </si>
  <si>
    <t>fontaneríaguzmán.com</t>
  </si>
  <si>
    <t>601 35 48 55</t>
  </si>
  <si>
    <t>FONTANEROS VALENCIA CAPITAL</t>
  </si>
  <si>
    <t>611 18 87 11</t>
  </si>
  <si>
    <t>FONTANEROS ECONOMICOS EN VALENCIA CAPITAL</t>
  </si>
  <si>
    <t>644 30 51 17</t>
  </si>
  <si>
    <t>FONTANEROS 24H VALENCIA CAPITAL</t>
  </si>
  <si>
    <t>Av. de les Tres Creus, 67, 46014 València, Valencia</t>
  </si>
  <si>
    <t>695 60 90 49</t>
  </si>
  <si>
    <t>FONTANEROS VALENCIA RAPIDOS</t>
  </si>
  <si>
    <t>Av. de les Balears, 54, 46022 València, Valencia</t>
  </si>
  <si>
    <t>680 70 05 04</t>
  </si>
  <si>
    <t>Fontaneria Valencia Fontnova Fontaneros Valencia (Instalaciones y Reformas)</t>
  </si>
  <si>
    <t>Calle del Maestro Atanasio Garcia Zapater, nº 32, b, 46910 Benetússer, Valencia</t>
  </si>
  <si>
    <t>Benetúser</t>
  </si>
  <si>
    <t>fontnova.es</t>
  </si>
  <si>
    <t>649 34 89 74</t>
  </si>
  <si>
    <t>informacion@fontnova.es</t>
  </si>
  <si>
    <t>FONTANERIA GAS Y CALEFACCION TEBAR S.L</t>
  </si>
  <si>
    <t>Carrer del Litògraf Pascual i Abad, 14, 46017 València, Valencia</t>
  </si>
  <si>
    <t>instalacionestebarvalencia.com</t>
  </si>
  <si>
    <t>960 91 11 89</t>
  </si>
  <si>
    <t>info@instalacionestebar.com</t>
  </si>
  <si>
    <t>FONTANEROS VALENCIA ✅ TOT REPARA</t>
  </si>
  <si>
    <t>Carrer de Fontanars dels Alforins, 82, 46018 València, Valencia</t>
  </si>
  <si>
    <t>valenciafontaneros.com</t>
  </si>
  <si>
    <t>963 17 33 29</t>
  </si>
  <si>
    <t>Fontaneria y Gas</t>
  </si>
  <si>
    <t>Carrer de Felip Rinaldi, 21, 46019 València, Valencia</t>
  </si>
  <si>
    <t>fontaneriaygas.es</t>
  </si>
  <si>
    <t>960 00 10 58</t>
  </si>
  <si>
    <t>info@fontaneriaygas.es</t>
  </si>
  <si>
    <t>Perez&amp;amp;colomer Técnicos Fontaneros</t>
  </si>
  <si>
    <t>Carrer del Dos d&amp;apos;Abril, 3, bajo, 46006 València, Valencia</t>
  </si>
  <si>
    <t>tecnicosfontaneros.es</t>
  </si>
  <si>
    <t>606 74 01 72</t>
  </si>
  <si>
    <t>contacto@tecnicosfontaneros.es</t>
  </si>
  <si>
    <t>C/ del Poeta Mas I Ros, 72, 46022 València, Valencia</t>
  </si>
  <si>
    <t>963 72 32 03</t>
  </si>
  <si>
    <t>Fontanería J.L. López</t>
  </si>
  <si>
    <t>Carrer de Mistral, 3, 46020 València, Valencia</t>
  </si>
  <si>
    <t>963 69 43 69</t>
  </si>
  <si>
    <t>Almacen de Fontaneria</t>
  </si>
  <si>
    <t>Carrer d&amp;apos;Emili Baró, 62, 46020 València, Valencia</t>
  </si>
  <si>
    <t>961 33 73 97</t>
  </si>
  <si>
    <t>Fontanería Ximo (Percy Vargas M.)</t>
  </si>
  <si>
    <t>Camí Vell de Sant Lluís, 11, 46013 València, Valencia</t>
  </si>
  <si>
    <t>630 00 30 08</t>
  </si>
  <si>
    <t>Fontanería Rodrigo Garrido</t>
  </si>
  <si>
    <t>Carrer d&amp;apos;En Blanch, 11, 46003 València, Valencia</t>
  </si>
  <si>
    <t>963 91 59 80</t>
  </si>
  <si>
    <t>Suministros Generales Fontanería Y Saneamiento Gesa S L</t>
  </si>
  <si>
    <t>Carrer del Riu Bidasoa, 58, 46025 València, Valencia</t>
  </si>
  <si>
    <t>963 65 76 90</t>
  </si>
  <si>
    <t>Fontanería Giner</t>
  </si>
  <si>
    <t>Carrer De Lleida, 24, 46009 València, Valencia</t>
  </si>
  <si>
    <t>963 47 43 22</t>
  </si>
  <si>
    <t>Fontaneria Caballero Sl</t>
  </si>
  <si>
    <t>Carrer de Peníscola, 19, BAJO, 46019 Valencia</t>
  </si>
  <si>
    <t>fontaneriacaballero.es</t>
  </si>
  <si>
    <t>630 92 50 60</t>
  </si>
  <si>
    <t>info@fontaneriacaballero.es</t>
  </si>
  <si>
    <t>Robledillo Fontanería</t>
  </si>
  <si>
    <t>Carrer de València, 58, 46910 Sedaví, Valencia</t>
  </si>
  <si>
    <t>Sedaví</t>
  </si>
  <si>
    <t>robledillo.co</t>
  </si>
  <si>
    <t>963 75 06 06</t>
  </si>
  <si>
    <t>robledillo@robledillo.co</t>
  </si>
  <si>
    <t>Fontanería Aurelio</t>
  </si>
  <si>
    <t>Carrer d&amp;apos;Emili Baró, 3, 46020 València, Valencia</t>
  </si>
  <si>
    <t>aurelioexpress.com</t>
  </si>
  <si>
    <t>601 39 81 77</t>
  </si>
  <si>
    <t>Edoras Ilimitado</t>
  </si>
  <si>
    <t>Fontanería Boj</t>
  </si>
  <si>
    <t>Carrer de Vilafermosa, 22, Bajo, 46006 Valencia</t>
  </si>
  <si>
    <t>fontaneriaboj.es</t>
  </si>
  <si>
    <t>607 30 05 24</t>
  </si>
  <si>
    <t>Instalaciones Borpa</t>
  </si>
  <si>
    <t>Carrer Albufera, 6, bajo, 46200 Paiporta, Valencia</t>
  </si>
  <si>
    <t>Paiporta</t>
  </si>
  <si>
    <t>instalacionesborpa.es</t>
  </si>
  <si>
    <t>961 95 00 66</t>
  </si>
  <si>
    <t>info@instalacionesborpa.es</t>
  </si>
  <si>
    <t>Aquísoluciones (VLC)</t>
  </si>
  <si>
    <t>Carrer de José María Haro, 61, 46022 València, Valencia</t>
  </si>
  <si>
    <t>aquisoluciones.com</t>
  </si>
  <si>
    <t>670 38 94 73</t>
  </si>
  <si>
    <t>info@aquisoluciones.com</t>
  </si>
  <si>
    <t>Tuberplas S. A. C/ Totana Valencia</t>
  </si>
  <si>
    <t>Carrer de Totana, 14, 46018 València, Valencia</t>
  </si>
  <si>
    <t>tuberplas.com</t>
  </si>
  <si>
    <t>963 84 32 00</t>
  </si>
  <si>
    <t>n.marti@tuberplas.com</t>
  </si>
  <si>
    <t>Ndiaye Fontanería</t>
  </si>
  <si>
    <t>Ctra. d&amp;apos;Escrivà, 18, 46007 València, Valencia</t>
  </si>
  <si>
    <t>ndiayefontaneria.negocio.site</t>
  </si>
  <si>
    <t>667 19 06 28</t>
  </si>
  <si>
    <t>Suministros Coplasa S.L.</t>
  </si>
  <si>
    <t>Carrer de Domènec Gómez, 23, 46025 València, Valencia</t>
  </si>
  <si>
    <t>suministroscoplasa.com</t>
  </si>
  <si>
    <t>963 47 15 73</t>
  </si>
  <si>
    <t>administracion@suministroscoplasa.com</t>
  </si>
  <si>
    <t>Suministros Ruicom S.L.</t>
  </si>
  <si>
    <t>Av. de Burjassot, 143, 46015 València, Valencia</t>
  </si>
  <si>
    <t>ruicom.es</t>
  </si>
  <si>
    <t>963 47 83 83</t>
  </si>
  <si>
    <t>Fontanería S. Pascual</t>
  </si>
  <si>
    <t>Carrer de Jerónima Galés, 19, Bajo, 46017 Valencia</t>
  </si>
  <si>
    <t>963 77 49 81</t>
  </si>
  <si>
    <t>Fontaneria Logar</t>
  </si>
  <si>
    <t>C/ de Pintor Stolz, 51, 46018 València, Valencia</t>
  </si>
  <si>
    <t>963 59 09 63</t>
  </si>
  <si>
    <t>Platos de Ducha TratoBarato.Com. Mamparas y Columnas de ducha</t>
  </si>
  <si>
    <t>CL Santos Justo y Pastor 67 Bajo Der, 46022 Valencia</t>
  </si>
  <si>
    <t>tratobarato.com</t>
  </si>
  <si>
    <t>961 12 02 79</t>
  </si>
  <si>
    <t>López Sánchez Fontaneros, S.L.</t>
  </si>
  <si>
    <t>Carrer de Lepanto, 9-bajo, 46950 Xirivella, Valencia</t>
  </si>
  <si>
    <t>lopezsanchezfontaneros.com</t>
  </si>
  <si>
    <t>963 81 71 31</t>
  </si>
  <si>
    <t>Fontanero Oliver</t>
  </si>
  <si>
    <t>trabajoautonomos.com</t>
  </si>
  <si>
    <t>960 00 18 97</t>
  </si>
  <si>
    <t>Mann Suministros S.L.</t>
  </si>
  <si>
    <t>C. de Sant Vicent Màrtir, 165, 46007 València, Valencia</t>
  </si>
  <si>
    <t>mannsuministros.com</t>
  </si>
  <si>
    <t>961 14 35 59</t>
  </si>
  <si>
    <t>mislata@mannsuministros.com</t>
  </si>
  <si>
    <t>Fontanería Ivan Medina</t>
  </si>
  <si>
    <t>Plaza Habana Vieja, 9, 46950 Xirivella, Valencia</t>
  </si>
  <si>
    <t>961 01 13 00</t>
  </si>
  <si>
    <t>Fontaneria XIMET</t>
  </si>
  <si>
    <t>Carrer del Mestre Alberto Luz, 23, 46035 València, Valencia</t>
  </si>
  <si>
    <t>963 63 38 06</t>
  </si>
  <si>
    <t>Sanchez Suministros</t>
  </si>
  <si>
    <t>Av. de Sant Josep de la Muntanya, 16, 46008 València, Valencia</t>
  </si>
  <si>
    <t>963 82 01 29</t>
  </si>
  <si>
    <t>Fontanería Andrés S.L.</t>
  </si>
  <si>
    <t>Carrer el Palleter, 12, bajo, 46910 Benetússer, Valencia</t>
  </si>
  <si>
    <t>963 75 76 89</t>
  </si>
  <si>
    <t>fontaneria valencia - doleval -</t>
  </si>
  <si>
    <t>Carrer Regatxo, 10, 46920 Mislata, Valencia</t>
  </si>
  <si>
    <t>Mislata</t>
  </si>
  <si>
    <t>629 67 94 11</t>
  </si>
  <si>
    <t>Fontaneria Rafael López | 650479192</t>
  </si>
  <si>
    <t>Carrer del Consolat del Mar, 5, 46006 València, Valencia</t>
  </si>
  <si>
    <t>fontaneriarafaellopez.com</t>
  </si>
  <si>
    <t>650 47 91 92</t>
  </si>
  <si>
    <t>Fontanería Lar</t>
  </si>
  <si>
    <t>C/ de Conca, 42, 46007 València, Valencia</t>
  </si>
  <si>
    <t>622 02 56 58</t>
  </si>
  <si>
    <t>Tu Fontanería</t>
  </si>
  <si>
    <t>Carrer de Gómez Ferrer, 3, Bajo, 46920 Mislata, Valencia</t>
  </si>
  <si>
    <t>649 85 48 01</t>
  </si>
  <si>
    <t>FONTANERIA JOSE OLMOS SANCHIS</t>
  </si>
  <si>
    <t>Calle José María Morales, 7B, PUERTA 5, 46910 Alfafar, Valencia</t>
  </si>
  <si>
    <t>Alfafar</t>
  </si>
  <si>
    <t>627 87 96 79</t>
  </si>
  <si>
    <t>Fontanería Seni</t>
  </si>
  <si>
    <t>Carrer de Jacomart, 22, 46019 València, Valencia</t>
  </si>
  <si>
    <t>649 60 55 11</t>
  </si>
  <si>
    <t>FONTANERIA CAMPANAR, J. F. RAMIREZ REPARACION DE CALENTADORES</t>
  </si>
  <si>
    <t>C/ de la Virgen del Tremedal, 4, 46015 Valencia</t>
  </si>
  <si>
    <t>696 58 06 22</t>
  </si>
  <si>
    <t>Hermanos Verdejo Fontanero</t>
  </si>
  <si>
    <t>Carrer de Goya, 4, 46018 València, Valencia</t>
  </si>
  <si>
    <t>desatascosnet.com</t>
  </si>
  <si>
    <t>619 03 90 93</t>
  </si>
  <si>
    <t>Fontanería Ortiz</t>
  </si>
  <si>
    <t>C. dels Carters, 60, 46017 València, Valencia</t>
  </si>
  <si>
    <t>963 57 54 57</t>
  </si>
  <si>
    <t>Carolina Fuertes López-Selección Cabañal</t>
  </si>
  <si>
    <t>Carrer de Lluís Despuig, 9, 46011 València, Valencia</t>
  </si>
  <si>
    <t>653 90 90 67</t>
  </si>
  <si>
    <t>AVELINO NAVARRO FONTANERIA</t>
  </si>
  <si>
    <t>Carrer del Bisbe Jaume Pérez, 9, bajo, 46006 Valencia</t>
  </si>
  <si>
    <t>609 62 45 20</t>
  </si>
  <si>
    <t>Fontanería Oscar Ortiz</t>
  </si>
  <si>
    <t>Carrer de Borrull, 12, Bajo, 46008 València, Valencia</t>
  </si>
  <si>
    <t>606 15 50 52</t>
  </si>
  <si>
    <t>Av. Gregorio Gea, 87, 46920 Mislata, Valencia</t>
  </si>
  <si>
    <t>960 06 96 14</t>
  </si>
  <si>
    <t>Gomez Fontayal Fontaneria</t>
  </si>
  <si>
    <t>Carrer de Vicente la Roda, 39, 46011 València, Valencia</t>
  </si>
  <si>
    <t>609 88 74 50</t>
  </si>
  <si>
    <t>Fontanería J Sánchez</t>
  </si>
  <si>
    <t>Carrer de Calixt III, 32, 46008 València, Valencia</t>
  </si>
  <si>
    <t>fontaneriaenvalencia.es</t>
  </si>
  <si>
    <t>963 84 52 60</t>
  </si>
  <si>
    <t>fonta_jesanchez@yahoo.es</t>
  </si>
  <si>
    <t>Fontanería Fran Marco</t>
  </si>
  <si>
    <t>Carrer de Bèlgica, 24, puerta 40, 46021 Valencia</t>
  </si>
  <si>
    <t>fontanerovalencia.biz</t>
  </si>
  <si>
    <t>627 98 81 99</t>
  </si>
  <si>
    <t>Desatascos urgentes Valencia (90€)</t>
  </si>
  <si>
    <t>Calle Alcalde Juan B Company, 6, 46910 Benetússer, Valencia</t>
  </si>
  <si>
    <t>empresadesatascosvalencia.com</t>
  </si>
  <si>
    <t>687 49 66 45</t>
  </si>
  <si>
    <t>Fontanero Valencia Mislata</t>
  </si>
  <si>
    <t>Regacho 15 bajo, izq, 2do., 46920 Mislata, Valencia</t>
  </si>
  <si>
    <t>sat-valencia.ml</t>
  </si>
  <si>
    <t>668 67 82 05</t>
  </si>
  <si>
    <t>VIAVAL | Instalaciones &amp;amp; Mantenimientos | FONTANERIA - GAS - CALEFACCION</t>
  </si>
  <si>
    <t>Av. del General Avilés, 84, bajo, 46015 Valencia</t>
  </si>
  <si>
    <t>652 43 65 25</t>
  </si>
  <si>
    <t>PRP REFORMAS INTEGRALES</t>
  </si>
  <si>
    <t>Carrer de Yecla, 2, 46021 València, Valencia</t>
  </si>
  <si>
    <t>652 99 16 21</t>
  </si>
  <si>
    <t>Fontaneria Ibañez</t>
  </si>
  <si>
    <t>Carrer d&amp;apos;Ausiàs March, 12, 46980 Paterna, Valencia</t>
  </si>
  <si>
    <t>Paterna</t>
  </si>
  <si>
    <t>fontaneriaibanez.com</t>
  </si>
  <si>
    <t>961 38 45 67</t>
  </si>
  <si>
    <t>info@fontaneriaibanez.com</t>
  </si>
  <si>
    <t>fontanero</t>
  </si>
  <si>
    <t>Carrer Sant Ramon, 34, 46200 Paiporta, Valencia</t>
  </si>
  <si>
    <t>639 23 66 42</t>
  </si>
  <si>
    <t>Gimeno Fontanería</t>
  </si>
  <si>
    <t>Carrer de l&amp;apos;Historiador Diago, 26, 46007 València, Valencia</t>
  </si>
  <si>
    <t>963 84 18 47</t>
  </si>
  <si>
    <t>Espaval</t>
  </si>
  <si>
    <t>C. de l&amp;apos;Uruguai, 1, 46007 València, Valencia</t>
  </si>
  <si>
    <t>fontaneriaespaval.com</t>
  </si>
  <si>
    <t>665 32 77 90</t>
  </si>
  <si>
    <t>Fontanería Y Saneamiento José Renovell</t>
  </si>
  <si>
    <t>Carrer de Fra Juníper Serra, 51, 46014 València, Valencia</t>
  </si>
  <si>
    <t>639 24 35 28</t>
  </si>
  <si>
    <t>Fontaneria Carlos Tello</t>
  </si>
  <si>
    <t>Carrer de l&amp;apos;Ermita, 19, 46007 València, Valencia</t>
  </si>
  <si>
    <t>963 42 38 42</t>
  </si>
  <si>
    <t>Fontanero Pro ~ Valencia Plumber</t>
  </si>
  <si>
    <t>Carrer dels Sants Just i Pastor, 141, puerta 2, 46022 València, Valencia</t>
  </si>
  <si>
    <t>skyslimitbiz.wixsite.com</t>
  </si>
  <si>
    <t>681 68 68 51</t>
  </si>
  <si>
    <t>Fontanería Sergio Ibáñez</t>
  </si>
  <si>
    <t>Carrer de la Mare de Déu de Montiel, 5, 46980 Paterna, Valencia</t>
  </si>
  <si>
    <t>fontaneriasergioibanez.es</t>
  </si>
  <si>
    <t>636 21 97 21</t>
  </si>
  <si>
    <t>Electroagua Instalaciones de Electricidad y Fontanería,S.L.</t>
  </si>
  <si>
    <t>Carrer de Trafalgar, 14, 46023 València, Valencia</t>
  </si>
  <si>
    <t>963 31 28 21</t>
  </si>
  <si>
    <t>FONTANERO</t>
  </si>
  <si>
    <t>Carrer del Poeta Andrés Cabrelles, 25, 46022 València, Valencia</t>
  </si>
  <si>
    <t>631 33 27 56</t>
  </si>
  <si>
    <t>Fontaneros Valencia Alboraya (AS)</t>
  </si>
  <si>
    <t>Avenida Blasco Ibañez nº5 bloque 8 escalera 3 pta 26, 46120 Alboraya, Valencia</t>
  </si>
  <si>
    <t>Alboraya</t>
  </si>
  <si>
    <t>aquifontaneros.es</t>
  </si>
  <si>
    <t>info@aquifontaneros.es</t>
  </si>
  <si>
    <t>Fontaneros Valencia</t>
  </si>
  <si>
    <t>Carrer del Músic Cabanilles, nº21, 46017 València, Valencia</t>
  </si>
  <si>
    <t>681 64 31 28</t>
  </si>
  <si>
    <t>Romaib Fontaneros</t>
  </si>
  <si>
    <t>Carrer dels Molins, 25, 46980 Paterna, Valencia</t>
  </si>
  <si>
    <t>606 37 54 43</t>
  </si>
  <si>
    <t>Carrer del Teide, 10, 46011 València, Valencia</t>
  </si>
  <si>
    <t>666 96 33 25</t>
  </si>
  <si>
    <t>INSTALACIONES SANCHEZ /FONTANERIA /GAS NATURAL/CALEFACCION /AIRE ACONDICONADO</t>
  </si>
  <si>
    <t>Passseig d&amp;apos;Aragó, 62, 46120 Alboraia, Valencia</t>
  </si>
  <si>
    <t>669 79 44 73</t>
  </si>
  <si>
    <t>Fontanerias Alfredo</t>
  </si>
  <si>
    <t>Carrer de Buenos Aires, 29, 46006 València, Valencia</t>
  </si>
  <si>
    <t>Desatascos Valencia</t>
  </si>
  <si>
    <t>Jativa nº10 B, Calle, 10, 46002 Valencia</t>
  </si>
  <si>
    <t>644 87 74 09</t>
  </si>
  <si>
    <t>Levante Instalaciones Fontaneria Y Gas, S.L.</t>
  </si>
  <si>
    <t>Carrer dels Carreters, 12, 46950 Xirivella, Valencia</t>
  </si>
  <si>
    <t>Instalaciones Fontanería Quart SL</t>
  </si>
  <si>
    <t>Carrer Jaume Balmes, 17, 46930 Quart de Poblet, Valencia</t>
  </si>
  <si>
    <t>Cuart de Poblet</t>
  </si>
  <si>
    <t>665 53 33 31</t>
  </si>
  <si>
    <t>Fontaneria Solo Urgencias</t>
  </si>
  <si>
    <t>fontaneriaurgente.com</t>
  </si>
  <si>
    <t>620 57 21 34</t>
  </si>
  <si>
    <t>Fontaneria Rodriguez e hijos, S.L.</t>
  </si>
  <si>
    <t>Carrer de José Andreu Alabarta, 15, 46014 València, Valencia</t>
  </si>
  <si>
    <t>606 33 86 05</t>
  </si>
  <si>
    <t>Francisco Hidalgo</t>
  </si>
  <si>
    <t>Carrer de Loriguilla, 5, 46025 València, Valencia</t>
  </si>
  <si>
    <t>fontaneriahidalgo.negocio.site</t>
  </si>
  <si>
    <t>963 40 40 25</t>
  </si>
  <si>
    <t>Fontaneros Electricistas Cerrajeros</t>
  </si>
  <si>
    <t>603 90 86 03</t>
  </si>
  <si>
    <t>Angel Ghiara Robles</t>
  </si>
  <si>
    <t>Carrer de la Reina, 276, 46011 València, Valencia</t>
  </si>
  <si>
    <t>963 71 96 38</t>
  </si>
  <si>
    <t>Calefacción, Calderas, Radiadores, Gas y Fontanería - Fon2 Multiservicios</t>
  </si>
  <si>
    <t>C/Río Bidasoa, Patio 22, Piso 1, Puerta 1, 46019 Valencia</t>
  </si>
  <si>
    <t>Fontaneria Hnos Sanchez</t>
  </si>
  <si>
    <t>Avinguda del Cardenal Benlloch, 52, 46021 València, Valencia</t>
  </si>
  <si>
    <t>686 03 49 84</t>
  </si>
  <si>
    <t>FONTANERÍA FRANCISCO MONTERDE</t>
  </si>
  <si>
    <t>Avinguda al Vedat, 139a, 46900 Torrent, Valencia</t>
  </si>
  <si>
    <t>fontaneriafranciscomonterde.com</t>
  </si>
  <si>
    <t>639 19 82 19</t>
  </si>
  <si>
    <t>info@fontaneriafranciscomonterde.com</t>
  </si>
  <si>
    <t>Instalaciones de Fez</t>
  </si>
  <si>
    <t>Carrer de Montevideo, 2, 46950 Xirivella, Valencia</t>
  </si>
  <si>
    <t>658 51 80 10</t>
  </si>
  <si>
    <t>Fontanería J.Martín, REPARACIÓN DE CALENTADORES</t>
  </si>
  <si>
    <t>616 60 78 85</t>
  </si>
  <si>
    <t>INSTALACIONES DE FONTANERIA , GAS Y CALEFACCION</t>
  </si>
  <si>
    <t>Carrer de Peris Brell, Nº 35, BJ, 46022 Valencia</t>
  </si>
  <si>
    <t>670 38 62 75</t>
  </si>
  <si>
    <t>Fontanería Arenas S.L.</t>
  </si>
  <si>
    <t>Carrer de l&amp;apos;Enginyer Dicenta, 7, 46035 Benimamet, Valencia</t>
  </si>
  <si>
    <t>963 40 14 48</t>
  </si>
  <si>
    <t>Fontaneria-Calefaccion Reparaciones A Domicilio Gomez Y Jarque Sl</t>
  </si>
  <si>
    <t>Av. del Cid, 34, 46018 València, Valencia</t>
  </si>
  <si>
    <t>Arregla2</t>
  </si>
  <si>
    <t>arregla2.com</t>
  </si>
  <si>
    <t>628 36 07 44</t>
  </si>
  <si>
    <t>Av. Juan Ramón Jiménez, 11, 13, 46930 Quart de Poblet, Valencia</t>
  </si>
  <si>
    <t>961 54 89 62</t>
  </si>
  <si>
    <t>FONTANERIA GAS CALEFACCION ESTEBAN</t>
  </si>
  <si>
    <t>Carrer de Santiago Lope, 46035 Valencia</t>
  </si>
  <si>
    <t>636 02 01 23</t>
  </si>
  <si>
    <t>High Quality Fontaneria</t>
  </si>
  <si>
    <t>655 52 27 28</t>
  </si>
  <si>
    <t>Avinguda de Peris i Valero, 170, 46006 València, Valencia</t>
  </si>
  <si>
    <t>960 62 51 37</t>
  </si>
  <si>
    <t>Fontaneria Pedro Y Jose S.L</t>
  </si>
  <si>
    <t>Carrer Lluís Vives, 3, 46470 Catarroja, Valencia</t>
  </si>
  <si>
    <t>961 26 87 57</t>
  </si>
  <si>
    <t>Almacén De Suministros Sociedad Gallega Cinco Mas Tres</t>
  </si>
  <si>
    <t>Miguel Arroyo Caravaca</t>
  </si>
  <si>
    <t>Carrer de Sant Pius X, 29, 46017 València, Valencia</t>
  </si>
  <si>
    <t>FR24h Servicios del Hogar</t>
  </si>
  <si>
    <t>Avinguda de les Corts Valencianes, 26, 46015 València, Valencia</t>
  </si>
  <si>
    <t>640 01 06 71</t>
  </si>
  <si>
    <t>desembozadores valencia</t>
  </si>
  <si>
    <t>Carrer de Mirasol, 5, 46015 València, Valencia</t>
  </si>
  <si>
    <t>963 40 52 27</t>
  </si>
  <si>
    <t>Instalaciones y reparaciones David villalba</t>
  </si>
  <si>
    <t>Av. de Blasco Ibáñez, 113, 36a, 46022 Valencia</t>
  </si>
  <si>
    <t>670 56 77 84</t>
  </si>
  <si>
    <t>Valmi</t>
  </si>
  <si>
    <t>Carrer d&amp;apos;Alacant, 2, 46900 Torrent, Valencia</t>
  </si>
  <si>
    <t>suministrosvalmi.com</t>
  </si>
  <si>
    <t>961 56 26 00</t>
  </si>
  <si>
    <t>info@suministrosvalmi.com</t>
  </si>
  <si>
    <t>Miguel Asensio León</t>
  </si>
  <si>
    <t>Carrer de Torrent, 30, 46014 València, Valencia</t>
  </si>
  <si>
    <t>610 24 74 62</t>
  </si>
  <si>
    <t>FONTANERO ECONOMICO SALT</t>
  </si>
  <si>
    <t>Carrer Alacant, 2, bajo derecha horno, 46940 Manises, Valencia</t>
  </si>
  <si>
    <t>Manises</t>
  </si>
  <si>
    <t>698 97 80 94</t>
  </si>
  <si>
    <t>Valenciafontaneros</t>
  </si>
  <si>
    <t>Carrer de Planas, 24, 46006 València, Valencia</t>
  </si>
  <si>
    <t>653 96 05 13</t>
  </si>
  <si>
    <t>Folgado Fontaneros</t>
  </si>
  <si>
    <t>Carrer Manuel Broseta, 1, Bajo 8, 46960 Aldaia, Valencia</t>
  </si>
  <si>
    <t>folgadofontaneros.com</t>
  </si>
  <si>
    <t>961 57 81 57</t>
  </si>
  <si>
    <t>contacto@folgadofontaneros.com</t>
  </si>
  <si>
    <t>Emifonr S/L Fontaneria Gas Calefaccion</t>
  </si>
  <si>
    <t>Av. del Túria, 2, 46950 Xirivella, Valencia</t>
  </si>
  <si>
    <t>Sequia Faitanar, 27, 46200 Paiporta, Valencia</t>
  </si>
  <si>
    <t>961 26 24 93</t>
  </si>
  <si>
    <t>JMR Fontanero Electricista Valencia</t>
  </si>
  <si>
    <t>Carrer dels Granerers, 11, Piso 3 Puerta 6, 46900 Torrent, Valencia</t>
  </si>
  <si>
    <t>641 86 95 24</t>
  </si>
  <si>
    <t>FONTANERIA SORISOLER SL</t>
  </si>
  <si>
    <t>Carrer Ausiàs March, 55, 46910 Benetússer, Valencia</t>
  </si>
  <si>
    <t>sorisoler.es</t>
  </si>
  <si>
    <t>656 78 52 25</t>
  </si>
  <si>
    <t>Tresoctavos</t>
  </si>
  <si>
    <t>tresoctavos.es</t>
  </si>
  <si>
    <t>960 09 71 96</t>
  </si>
  <si>
    <t>tresoctavos@tresoctavos.es</t>
  </si>
  <si>
    <t>La Soleta</t>
  </si>
  <si>
    <t>Carrer García Lorca, 8, 46970 Alaquàs, Valencia</t>
  </si>
  <si>
    <t>Alacuás</t>
  </si>
  <si>
    <t>960 23 06 95</t>
  </si>
  <si>
    <t>Saneamiento Y Fontaneria Marino</t>
  </si>
  <si>
    <t>C/ Mestre Serrano, 9, 46960 Aldaia, Valencia</t>
  </si>
  <si>
    <t>Fontanería Raúl Tomás</t>
  </si>
  <si>
    <t>C. de Cervantes, 8, 46910 Alfafar, Valencia</t>
  </si>
  <si>
    <t>666 50 30 34</t>
  </si>
  <si>
    <t>Fontaneria Manises Saul</t>
  </si>
  <si>
    <t>Av. Blasco Ibáñez, 33, 46940 Manises, Valencia</t>
  </si>
  <si>
    <t>610 69 14 58</t>
  </si>
  <si>
    <t>SGM fontaneria</t>
  </si>
  <si>
    <t>Av. Náquera, Nº 38, Bajo, 46130 Massamagrell, Valencia</t>
  </si>
  <si>
    <t>Masamagrell</t>
  </si>
  <si>
    <t>sgmfontaneria.com</t>
  </si>
  <si>
    <t>666 74 77 55</t>
  </si>
  <si>
    <t>FONTANERIA COBEL</t>
  </si>
  <si>
    <t>Calle del Dr. José Peris, 5B, 46910 Benetússer, Valencia</t>
  </si>
  <si>
    <t>653 53 90 84</t>
  </si>
  <si>
    <t>Manuel Coronado Rodríguez</t>
  </si>
  <si>
    <t>Plaza Nicolás Ferrer I Julve ( Rector ), 2, 46006 Valencia</t>
  </si>
  <si>
    <t>632 63 26 32</t>
  </si>
  <si>
    <t>Fontanería Gil</t>
  </si>
  <si>
    <t>Carrer Francesc Baixaulí, 9, 46910 Alfafar, Valencia</t>
  </si>
  <si>
    <t>SUMINISTROS TUCALFONT,SL</t>
  </si>
  <si>
    <t>Carrer d&amp;apos;Ovidi Montllor, 23, 46960 Aldaia, Valencia</t>
  </si>
  <si>
    <t>tucalfont.es</t>
  </si>
  <si>
    <t>961 19 66 24</t>
  </si>
  <si>
    <t>Fontanería Jóse Aznar</t>
  </si>
  <si>
    <t>Calle Acequia &amp;quot;La Fila&amp;quot;, 4, 46910 Alfafar, Valencia</t>
  </si>
  <si>
    <t>963 75 69 61</t>
  </si>
  <si>
    <t>Fontaneria Jose Luis Gil Perpiña</t>
  </si>
  <si>
    <t>Carrer del Sol, 67D, 46910 Alfafar, Valencia</t>
  </si>
  <si>
    <t>Fontanería Hermanos Parreño</t>
  </si>
  <si>
    <t>Carrer de l&amp;apos;Horta, 1, 46900 Torrent, Valencia</t>
  </si>
  <si>
    <t>961 55 38 14</t>
  </si>
  <si>
    <t>Fontnuñez</t>
  </si>
  <si>
    <t>Carrer de Vicent Andrés Estellés, 15, 46970 Alaquàs, Valencia</t>
  </si>
  <si>
    <t>empresafontaneria.com</t>
  </si>
  <si>
    <t>620 85 00 64</t>
  </si>
  <si>
    <t>info@empresafontaneria.com</t>
  </si>
  <si>
    <t>Instalaciones Alba, S.L.U</t>
  </si>
  <si>
    <t>Pol. Ind. MAsia del Juez, C/ del Cinqué Centenari, 24, 46900 Torrent, Valencia</t>
  </si>
  <si>
    <t>instalacionesalba.es</t>
  </si>
  <si>
    <t>972 90 54 45</t>
  </si>
  <si>
    <t>Fontanería Botet</t>
  </si>
  <si>
    <t>Calle de Santa Florentina, 17, 46940 Manises, Valencia</t>
  </si>
  <si>
    <t>Carrer dels Sants Just i Pastor, 62, 46940 Manises, Valencia</t>
  </si>
  <si>
    <t>Fontaneros Manises Urgencias</t>
  </si>
  <si>
    <t>Carrer Pilaret, 19, Pta 6, 46940 Manises, Valencia</t>
  </si>
  <si>
    <t>627 52 36 85</t>
  </si>
  <si>
    <t>Carrer Pujadeta del Sord, 14, 46960 Aldaia, Valencia</t>
  </si>
  <si>
    <t>961 50 03 92</t>
  </si>
  <si>
    <t>Hydragim Suministres S.L.U.</t>
  </si>
  <si>
    <t>Polígono Industrial Fuente del Jarro, Carrer Vila de Madrid, 32, 46988 Paterna, Valencia</t>
  </si>
  <si>
    <t>hydragim.es</t>
  </si>
  <si>
    <t>961 34 48 69</t>
  </si>
  <si>
    <t>info@hydragim.es</t>
  </si>
  <si>
    <t>Fontanería Crespo</t>
  </si>
  <si>
    <t>Calle San Juan de Ribera, 29, 46900 Torrent, Valencia</t>
  </si>
  <si>
    <t>Fontanería General</t>
  </si>
  <si>
    <t>Calle Maestro Serrano, 16, 46183 L&amp;apos;Eliana, Valencia</t>
  </si>
  <si>
    <t>La Eliana</t>
  </si>
  <si>
    <t>652 57 67 17</t>
  </si>
  <si>
    <t>Fontanería Martínez</t>
  </si>
  <si>
    <t>Carrer d&amp;apos;Ademús, 9, 46940 Manises, Valencia</t>
  </si>
  <si>
    <t>961 54 66 74</t>
  </si>
  <si>
    <t>Rick-instalaciones</t>
  </si>
  <si>
    <t>C. de Borriana, 11, Bajo, 46460 Silla, Valencia</t>
  </si>
  <si>
    <t>Silla</t>
  </si>
  <si>
    <t>rickinstalaciones.com</t>
  </si>
  <si>
    <t>675 66 20 65</t>
  </si>
  <si>
    <t>info@rick-instalaciones.com</t>
  </si>
  <si>
    <t>ParaeLbarriO</t>
  </si>
  <si>
    <t>Carrer del Guardacostes, 3, 46009 València, Valencia</t>
  </si>
  <si>
    <t>963 47 98 00</t>
  </si>
  <si>
    <t>Jerónimo López Pardo</t>
  </si>
  <si>
    <t>Calle Alcoy, 32, 46910 Alfafar, Valencia</t>
  </si>
  <si>
    <t>961 17 33 82</t>
  </si>
  <si>
    <t>Fontaneria Melero, Instalaciones Y Suministros</t>
  </si>
  <si>
    <t>Carrer Molí de la Llum, 4, 46940 Manises, Valencia</t>
  </si>
  <si>
    <t>622 10 06 50</t>
  </si>
  <si>
    <t>Nacho Chilet fontaneros</t>
  </si>
  <si>
    <t>Carrer Senyera, 1, 46470 Albal, Valencia</t>
  </si>
  <si>
    <t>chilet.net</t>
  </si>
  <si>
    <t>600 69 07 89</t>
  </si>
  <si>
    <t>admin@chilet.net</t>
  </si>
  <si>
    <t>Fontanería y Saneamientos Martín Donat S.L.</t>
  </si>
  <si>
    <t>Av. de l&amp;apos;Om, 6, bajo izq, 46220 Picassent, Valencia</t>
  </si>
  <si>
    <t>Picasent</t>
  </si>
  <si>
    <t>961 24 26 02</t>
  </si>
  <si>
    <t>Fontanería Milán</t>
  </si>
  <si>
    <t>Carrer Beniparrell, 33, 46470 Albal, Valencia</t>
  </si>
  <si>
    <t>678 09 87 61</t>
  </si>
  <si>
    <t>Almacen Fontaneria</t>
  </si>
  <si>
    <t>Carrer Pintor Renau, 29, 46900 Torrent, Valencia</t>
  </si>
  <si>
    <t>Fontaneria Anticrisis</t>
  </si>
  <si>
    <t>Av. Dr. Gomez Ferrer, 55, 46470 Catarroja, Valencia</t>
  </si>
  <si>
    <t>607 65 16 89</t>
  </si>
  <si>
    <t>Verdejo Segura S.L</t>
  </si>
  <si>
    <t>Carrer de Moscú, 46185 La Pobla de Vallbona, Valencia</t>
  </si>
  <si>
    <t>Puebla de Vallbona</t>
  </si>
  <si>
    <t>verdejosegura.negocio.site</t>
  </si>
  <si>
    <t>961 66 33 02</t>
  </si>
  <si>
    <t>Fontaneria Munoz</t>
  </si>
  <si>
    <t>fontaneria-munoz.negocio.site</t>
  </si>
  <si>
    <t>607 30 81 19</t>
  </si>
  <si>
    <t>Fontanería Albert</t>
  </si>
  <si>
    <t>Calle Sta. Teresa, 26, BAJO 2, 46220 Picassent, Valencia</t>
  </si>
  <si>
    <t>fontanerialbert.com</t>
  </si>
  <si>
    <t>606 62 93 50</t>
  </si>
  <si>
    <t>Fontanería Salvador Lladosa S L</t>
  </si>
  <si>
    <t>Carrer Major, 48, 46440 Almussafes, Valencia</t>
  </si>
  <si>
    <t>Almusafes</t>
  </si>
  <si>
    <t>961 78 38 49</t>
  </si>
  <si>
    <t>Saneamientos Zafón</t>
  </si>
  <si>
    <t>Antic Carrer de Mossen Sicra, 8, 46900 Torrent, Valencia</t>
  </si>
  <si>
    <t>Fontaneria Valero</t>
  </si>
  <si>
    <t>Carrer de Quevedo, 3, 46460 Silla, Valencia</t>
  </si>
  <si>
    <t>695 22 65 84</t>
  </si>
  <si>
    <t>Fontanería Manetes</t>
  </si>
  <si>
    <t>Carrer de Sant Valerià, 16, 46900 Torrent, Valencia</t>
  </si>
  <si>
    <t>961 56 21 55</t>
  </si>
  <si>
    <t>Fontanería, Electricidad, Reparaciones</t>
  </si>
  <si>
    <t>46185 La Pobla de Vallbona, Valencia</t>
  </si>
  <si>
    <t>termosvalencia.com</t>
  </si>
  <si>
    <t>601 75 20 29</t>
  </si>
  <si>
    <t>fontaneria Carañana</t>
  </si>
  <si>
    <t>Carrer Dionís Chanza, 3, 2º BAJO DERECHA, 46290 Valencia</t>
  </si>
  <si>
    <t>652 85 96 94</t>
  </si>
  <si>
    <t>Gamón S.L.</t>
  </si>
  <si>
    <t>Carrer Santander, 6, 46470 Catarroja, Valencia</t>
  </si>
  <si>
    <t>Lis Asensi Fontaneros</t>
  </si>
  <si>
    <t>Carrer de Alcubles, 52, 46160 Llíria, Valencia</t>
  </si>
  <si>
    <t>Liria</t>
  </si>
  <si>
    <t>962 79 31 14</t>
  </si>
  <si>
    <t>Naher</t>
  </si>
  <si>
    <t>Carrer del Metge Nicolás Alonso Ferrer, 18, 46111 Rocafort, Valencia</t>
  </si>
  <si>
    <t>Rocafort</t>
  </si>
  <si>
    <t>Fontanería Javier Guillén</t>
  </si>
  <si>
    <t>Carrer Primer Desmunt, 16, 46220 Picassent, Valencia</t>
  </si>
  <si>
    <t>649 63 99 09</t>
  </si>
  <si>
    <t>Fontiba</t>
  </si>
  <si>
    <t>Carrer Diputació, 15, 46220 Picassent, Valencia</t>
  </si>
  <si>
    <t>fontiba.es</t>
  </si>
  <si>
    <t>657 08 66 06</t>
  </si>
  <si>
    <t>FONTANERIA ERMA</t>
  </si>
  <si>
    <t>Carrer de L&amp;apos;Estació, 13A, BAJO DERECHA, 46220 Picassent, Valencia</t>
  </si>
  <si>
    <t>Fontaneria Perea Montero</t>
  </si>
  <si>
    <t>Carrer Favareta, 59, 46600 Alzira, Valencia</t>
  </si>
  <si>
    <t>Alcira</t>
  </si>
  <si>
    <t>962 40 00 02</t>
  </si>
  <si>
    <t>Fontanería Baldo</t>
  </si>
  <si>
    <t>Av. de València, 66, Bajo, 46701 Gandia, Valencia</t>
  </si>
  <si>
    <t>Gandía</t>
  </si>
  <si>
    <t>fontanerosgandia.com</t>
  </si>
  <si>
    <t>962 95 12 18</t>
  </si>
  <si>
    <t>Fontanero Low Cost</t>
  </si>
  <si>
    <t>Carrer Major, 40, 46183 L&amp;apos;Eliana, Valencia</t>
  </si>
  <si>
    <t>961 04 21 27</t>
  </si>
  <si>
    <t>Fontaneria ERMA</t>
  </si>
  <si>
    <t>Urbanización el Pinar, 46220 Picassent, Valencia</t>
  </si>
  <si>
    <t>639 67 03 73</t>
  </si>
  <si>
    <t>Fluid Stocks Valencia</t>
  </si>
  <si>
    <t>Calle Pista de Silla, 16, 46470 Beniparrell, Valencia</t>
  </si>
  <si>
    <t>Beniparrell</t>
  </si>
  <si>
    <t>Fontanería Manuela Cano</t>
  </si>
  <si>
    <t>Carrer Colon, 11, 46600 Alzira, Valencia</t>
  </si>
  <si>
    <t>Saltoki Alzira</t>
  </si>
  <si>
    <t>Avda. de la Dignidad Humana, 3, bajo, 46600 Alzira, Valencia</t>
  </si>
  <si>
    <t>961 62 41 01</t>
  </si>
  <si>
    <t>Ricardo Marín e Hijos</t>
  </si>
  <si>
    <t>Carrer Sant Joan, 78, 46220 Picassent, Valencia</t>
  </si>
  <si>
    <t>678 92 05 72</t>
  </si>
  <si>
    <t>Ibáñez Fontaneros S.L.</t>
  </si>
  <si>
    <t>Carrer Gil de Atrosillo, 2, 46119 Nàquera, Valencia</t>
  </si>
  <si>
    <t>Náquera</t>
  </si>
  <si>
    <t>Suministros Fontanería</t>
  </si>
  <si>
    <t>C. Alcalá Galiano, 8, 46520 Port de Sagunt, Valencia</t>
  </si>
  <si>
    <t>Puerto de Sagunto</t>
  </si>
  <si>
    <t>962 67 77 17</t>
  </si>
  <si>
    <t>665 13 81 73</t>
  </si>
  <si>
    <t>Guadassuar De Fontanería S L</t>
  </si>
  <si>
    <t>Carrer de l&amp;apos;Alcúdia, 10, 46610 Guadassuar, Valencia</t>
  </si>
  <si>
    <t>Guadasuar</t>
  </si>
  <si>
    <t>639 62 61 85</t>
  </si>
  <si>
    <t>Michel Fontanero</t>
  </si>
  <si>
    <t>Avinguda 3 d&amp;apos;Abril, 22, 46520 Port de Sagunt, Valencia</t>
  </si>
  <si>
    <t>LaTiendadeFontaneria.com</t>
  </si>
  <si>
    <t>Calle Pitágoras, 111, 46520 Sagunto, Valencia</t>
  </si>
  <si>
    <t>Sagunto</t>
  </si>
  <si>
    <t>latiendadefontaneria.com</t>
  </si>
  <si>
    <t>Fontanería Tolosa S.L.</t>
  </si>
  <si>
    <t>Calle el Maciz, 28, 46367 Yátova, Valencia</t>
  </si>
  <si>
    <t>Yátova</t>
  </si>
  <si>
    <t>Fontanería CasaFont Carcaixent</t>
  </si>
  <si>
    <t>46740 Carcaixent, Valencia</t>
  </si>
  <si>
    <t>Carcagente</t>
  </si>
  <si>
    <t>671 46 06 55</t>
  </si>
  <si>
    <t>Calefacción y Fontanería Camacho</t>
  </si>
  <si>
    <t>Calle D&amp;apos;Ausiàs March, 24, 46780 Oliva, Valencia</t>
  </si>
  <si>
    <t>Oliva</t>
  </si>
  <si>
    <t>625 10 67 55</t>
  </si>
  <si>
    <t>Fontanería Water Tratment</t>
  </si>
  <si>
    <t>Ctra. Silla-Turís Cc.3322, 32, 46389 Turís, Valencia</t>
  </si>
  <si>
    <t>Turís</t>
  </si>
  <si>
    <t>Suministros Fontanería J O S</t>
  </si>
  <si>
    <t>Av. Blasco Ibáñez, 34, 46650 Canals, Valencia</t>
  </si>
  <si>
    <t>Canals</t>
  </si>
  <si>
    <t>962 24 40 83</t>
  </si>
  <si>
    <t>Alsafont</t>
  </si>
  <si>
    <t>Carrer Antic Regne de Valencia, 22, 46814 Llanera de Ranes, Valencia</t>
  </si>
  <si>
    <t>Llanera de Ranes</t>
  </si>
  <si>
    <t>637 58 35 14</t>
  </si>
  <si>
    <t>Rocher</t>
  </si>
  <si>
    <t>Calle Azorín, 15, 46720 Villalonga, Valencia</t>
  </si>
  <si>
    <t>Villalonga</t>
  </si>
  <si>
    <t>669 36 76 21</t>
  </si>
  <si>
    <t>Máxim Sánchez Fontaneria</t>
  </si>
  <si>
    <t>46650 Canals, Valencia</t>
  </si>
  <si>
    <t>Fontaneria Valencia, S.L.</t>
  </si>
  <si>
    <t>Poligono Talluntxe Calle B, 37, 3110, 31110 Noáin, Navarra</t>
  </si>
  <si>
    <t>Noáin</t>
  </si>
  <si>
    <t>948 14 57 88</t>
  </si>
  <si>
    <t>FONTANERIA PAJUELO -FONTANEROS DESDE SIEMPRE</t>
  </si>
  <si>
    <t>Av. Juan Sebastián Elcano, 45, 06004 Badajoz</t>
  </si>
  <si>
    <t>650 83 40 97</t>
  </si>
  <si>
    <t>Desafon desatascos y fontanería Badajoz</t>
  </si>
  <si>
    <t>Travesia Estadium, 2b, 06003 Badajoz</t>
  </si>
  <si>
    <t>666 43 55 75</t>
  </si>
  <si>
    <t>DESATASCOS URGENTES BADAJOZ</t>
  </si>
  <si>
    <t>Acedera</t>
  </si>
  <si>
    <t>924 93 54 74</t>
  </si>
  <si>
    <t>Foncalma</t>
  </si>
  <si>
    <t>Calle González Serrano, Polígono Industrial el Nervero, nave 3A, 06006 Badajoz</t>
  </si>
  <si>
    <t>foncalma.com</t>
  </si>
  <si>
    <t>924 27 00 73</t>
  </si>
  <si>
    <t>pedidos@foncalma.com</t>
  </si>
  <si>
    <t>DESATASCOS CAMPAÑÓN</t>
  </si>
  <si>
    <t>C/presidente General Carracedo nº10-B, 06003 Badajoz</t>
  </si>
  <si>
    <t>664 16 66 62</t>
  </si>
  <si>
    <t>DML Servicios - Empresa de Limpieza y Desatasco en Badajoz</t>
  </si>
  <si>
    <t>Av. Joaquín Sánchez Valverde, nº 29, Nave 1, 06006 Badajoz</t>
  </si>
  <si>
    <t>dml-servicios.com</t>
  </si>
  <si>
    <t>924 01 67 71</t>
  </si>
  <si>
    <t>Fontaneria Guadiana Badajoz.Calentadores y Desatascos</t>
  </si>
  <si>
    <t>Av. Manuel Rojas Torres, 80, Portal 5 , Bajo B, 06008 Badajoz</t>
  </si>
  <si>
    <t>679 90 90 89</t>
  </si>
  <si>
    <t>Fontanería ,Desatascos ,Fontaneros.Badajoz.</t>
  </si>
  <si>
    <t>Calle Clavellinas, 06010 Badajoz</t>
  </si>
  <si>
    <t>619 03 26 52</t>
  </si>
  <si>
    <t>Fontaneria Guadiana</t>
  </si>
  <si>
    <t>Av. Sinforiano Madroñero, 39, 06011 Badajoz</t>
  </si>
  <si>
    <t>627 24 56 39</t>
  </si>
  <si>
    <t>Fontanería HLC</t>
  </si>
  <si>
    <t>Av. Juan Sebastián Elcano, 33, Bajo B, 06003 Badajoz</t>
  </si>
  <si>
    <t>fontaneriahlc.es</t>
  </si>
  <si>
    <t>924 47 96 00</t>
  </si>
  <si>
    <t>Barroso Servicios Instaladores Autorizados</t>
  </si>
  <si>
    <t>Calle Trasera, 35480 Badajoz</t>
  </si>
  <si>
    <t>629 49 30 42</t>
  </si>
  <si>
    <t>fontanería sin obras badajoz</t>
  </si>
  <si>
    <t>Grupo Pdte. Gral. Carracedo, nº10, B, 06003 Badajoz</t>
  </si>
  <si>
    <t>Fontanería Guadiana</t>
  </si>
  <si>
    <t>c/Sinforiano Madroñero 39, 06011 Badajoz</t>
  </si>
  <si>
    <t>Fontanería A.J.</t>
  </si>
  <si>
    <t>Calle Villaviciosa, 4, 06007 Badajoz</t>
  </si>
  <si>
    <t>671 32 46 49</t>
  </si>
  <si>
    <t>A J Fontanería Albañilería</t>
  </si>
  <si>
    <t>Cardenal Cisneros, 28, 06007 Badajoz</t>
  </si>
  <si>
    <t>672 09 22 34</t>
  </si>
  <si>
    <t>A Fontanería Calefacción Y Mantenimiento Chamizo</t>
  </si>
  <si>
    <t>Plaza Padre López, 3, 06003 Badajoz</t>
  </si>
  <si>
    <t>667 46 22 51</t>
  </si>
  <si>
    <t>Reparaciones Aldana</t>
  </si>
  <si>
    <t>Calle la Maya, 10, 06003 Badajoz</t>
  </si>
  <si>
    <t>reparaciones.aldana.me</t>
  </si>
  <si>
    <t>Luis Miguel Gómez Silva</t>
  </si>
  <si>
    <t>Calle República Chile, 1, 06011 Badajoz</t>
  </si>
  <si>
    <t>609 18 48 48</t>
  </si>
  <si>
    <t>Instalaciones Javier y Galán</t>
  </si>
  <si>
    <t>Calle la Golondrina, 3, 06008 Badajoz</t>
  </si>
  <si>
    <t>Climatizaciones y calefacción Badajoz</t>
  </si>
  <si>
    <t>C. Estadium, 06004 Badajoz</t>
  </si>
  <si>
    <t>Manuel López Carrasco</t>
  </si>
  <si>
    <t>Calle Cocotero, 31, 06011 Badajoz</t>
  </si>
  <si>
    <t>924 23 12 69</t>
  </si>
  <si>
    <t>Desatascos Aqualimp Badajoz</t>
  </si>
  <si>
    <t>Ctra. Valverde, km 2,600, nave 2, 06010 Badajoz</t>
  </si>
  <si>
    <t>924 26 75 42</t>
  </si>
  <si>
    <t>Climatizaciones, Calefacción, Fontanería y Energía Solar Termica Ferrera</t>
  </si>
  <si>
    <t>C. Estadium, 06003 Badajoz</t>
  </si>
  <si>
    <t>620 58 79 72</t>
  </si>
  <si>
    <t>José Benavides Martín</t>
  </si>
  <si>
    <t>Del Atarfe, 23, 06011 Badajoz</t>
  </si>
  <si>
    <t>Obrelusercon</t>
  </si>
  <si>
    <t>Calle Hermanos Salesianos, 1, 06011 Badajoz</t>
  </si>
  <si>
    <t>obrelusercon.com</t>
  </si>
  <si>
    <t>info@obrelusercon.com</t>
  </si>
  <si>
    <t>Alfonso Rivero Martínez</t>
  </si>
  <si>
    <t>Paseo Fluvial, 10, 06011 Badajoz</t>
  </si>
  <si>
    <t>Antonio Sardiña Fernández</t>
  </si>
  <si>
    <t>Calle de José Macón, 46, 06008 Badajoz</t>
  </si>
  <si>
    <t>924 24 33 34</t>
  </si>
  <si>
    <t>Fontanería Rasero . Fontaneros badajoz. Fontaneros baratos Badajoz</t>
  </si>
  <si>
    <t>Av. de la Independencia, 10, 06009 Badajoz</t>
  </si>
  <si>
    <t>Bernardino Sevilla Salgado</t>
  </si>
  <si>
    <t>C. Toledo, 2, 06008 Badajoz</t>
  </si>
  <si>
    <t>924 25 33 68</t>
  </si>
  <si>
    <t>Desatascos Campañon 24H</t>
  </si>
  <si>
    <t>Urbanización los Almendros n 1, 06140 Talavera la Real, Badajoz</t>
  </si>
  <si>
    <t>Talavera la Real</t>
  </si>
  <si>
    <t>Instalaciones y Ferreteria Ruiz</t>
  </si>
  <si>
    <t>Ronda Saliente, 15, 06185 Valdelacalzada, Badajoz</t>
  </si>
  <si>
    <t>Valdelacalzada</t>
  </si>
  <si>
    <t>924 44 60 76</t>
  </si>
  <si>
    <t>DELICA2 Instalaciones</t>
  </si>
  <si>
    <t>Poligono cuatro caminos, Calle Carpinteros, 26A, 06130 Valverde de Leganés, Badajoz</t>
  </si>
  <si>
    <t>Valverde de Leganés</t>
  </si>
  <si>
    <t>delica2.com</t>
  </si>
  <si>
    <t>677 52 06 52</t>
  </si>
  <si>
    <t>Font Ruano</t>
  </si>
  <si>
    <t>Calle Ntra. Sra. de Perales, 55, 06850 Arroyo de San Serván, Badajoz</t>
  </si>
  <si>
    <t>Arroyo de San Serván</t>
  </si>
  <si>
    <t>924 34 33 04</t>
  </si>
  <si>
    <t>Instalaciones Corzo</t>
  </si>
  <si>
    <t>Ronda Nte., 38, 06185 Valdelacalzada, Badajoz</t>
  </si>
  <si>
    <t>924 45 66 18</t>
  </si>
  <si>
    <t>VENTA INSTALACIÓN REPARACIÓN DE CALDERAS EN MERIDA JUANMA FONTANERÍA</t>
  </si>
  <si>
    <t>Calle Veracruz, 3, 06800 Mérida, Badajoz</t>
  </si>
  <si>
    <t>Mérida</t>
  </si>
  <si>
    <t>606 35 33 55</t>
  </si>
  <si>
    <t>Fontanería E Instalaciones De Gas Jaro</t>
  </si>
  <si>
    <t>Calle Madrid, 4, 06800 Mérida, Badajoz</t>
  </si>
  <si>
    <t>fontaneriajaro.es</t>
  </si>
  <si>
    <t>608 92 18 04</t>
  </si>
  <si>
    <t>Fontanería Luis Miguel Blázquez</t>
  </si>
  <si>
    <t>Calle Orden de la Mesta, 2, 06800 Mérida, Badajoz</t>
  </si>
  <si>
    <t>fontanerosmerida.com</t>
  </si>
  <si>
    <t>626 23 92 17</t>
  </si>
  <si>
    <t>Fontanería Muñoz</t>
  </si>
  <si>
    <t>Calle Jacinto Benavente Y Martinez, 2, 06800 Mérida, Badajoz</t>
  </si>
  <si>
    <t>625 84 31 86</t>
  </si>
  <si>
    <t>Serfoncal Mérida</t>
  </si>
  <si>
    <t>Travesía Princesa Sofía, 1, 06800 Mérida, Badajoz</t>
  </si>
  <si>
    <t>serfoncal.com</t>
  </si>
  <si>
    <t>617 38 88 25</t>
  </si>
  <si>
    <t>serfoncal@serfoncal.com</t>
  </si>
  <si>
    <t>Fontaneria y Desatascos El Temple</t>
  </si>
  <si>
    <t>Calle Molinos de Viento, 1B, 06380 Jerez de los Caballeros, Badajoz</t>
  </si>
  <si>
    <t>Jerez de los Caballeros</t>
  </si>
  <si>
    <t>fontaneriadeltemple.com</t>
  </si>
  <si>
    <t>661 13 74 41</t>
  </si>
  <si>
    <t>Fontanero Angel Guerrero Muñoz</t>
  </si>
  <si>
    <t>Calle Sierra de Tentudía, 78, 06800 Mérida, Badajoz</t>
  </si>
  <si>
    <t>630 11 27 32</t>
  </si>
  <si>
    <t>Fontanería David Sánchez</t>
  </si>
  <si>
    <t>Calle San Pedro, 35, 06800 Mérida, Badajoz</t>
  </si>
  <si>
    <t>657 85 15 63</t>
  </si>
  <si>
    <t>Instalaciones Liquisol</t>
  </si>
  <si>
    <t>Plaza Juan Carlos I, 3, 06490 Puebla de la Calzada, Badajoz</t>
  </si>
  <si>
    <t>Puebla de la Calzada</t>
  </si>
  <si>
    <t>691 56 50 90</t>
  </si>
  <si>
    <t>Reparaciones Dayca S.L.</t>
  </si>
  <si>
    <t>Calle José García Ventura, 9 Polígono Muncicipal, 06300 Zafra, Badajoz</t>
  </si>
  <si>
    <t>Zafra</t>
  </si>
  <si>
    <t>649 37 77 93</t>
  </si>
  <si>
    <t>Fontanería Martínez Sánchez</t>
  </si>
  <si>
    <t>Calle Arzobispo Fernando de Vera, 6, 06800 Mérida, Badajoz</t>
  </si>
  <si>
    <t>650 46 77 81</t>
  </si>
  <si>
    <t>Centro Agua</t>
  </si>
  <si>
    <t>Av. Presidente Juan Carlos Rodríguez Ibarra, 62, 06200 Almendralejo, Badajoz</t>
  </si>
  <si>
    <t>924 66 12 86</t>
  </si>
  <si>
    <t>INSTALACIONES MORICHE S. L.</t>
  </si>
  <si>
    <t>Calle Fernando Moreno Márquez, 28, 06300 Zafra, Badajoz</t>
  </si>
  <si>
    <t>924 55 17 17</t>
  </si>
  <si>
    <t>Calle Italia, 3, 06800 Mérida, Badajoz</t>
  </si>
  <si>
    <t>687 74 27 98</t>
  </si>
  <si>
    <t>Fontaneria SSS</t>
  </si>
  <si>
    <t>Cortijo Ramapallas Pebela, 392, 06100 Olivenza, Badajoz</t>
  </si>
  <si>
    <t>Olivenza</t>
  </si>
  <si>
    <t>FONTANERO URGENTE</t>
  </si>
  <si>
    <t>Calle Monsalud, 26, l, 06200 Almendralejo, Badajoz</t>
  </si>
  <si>
    <t>722 31 84 28</t>
  </si>
  <si>
    <t>Fontaneria y Desatascos del Temple</t>
  </si>
  <si>
    <t>Calle Molinos de Viento, 1, 06380 Jerez de los Caballeros, Badajoz</t>
  </si>
  <si>
    <t>635 42 35 38</t>
  </si>
  <si>
    <t>Fontanería José Sánchez</t>
  </si>
  <si>
    <t>Calle Venezuela, 14, 06892 Trujillanos, Badajoz</t>
  </si>
  <si>
    <t>Trujillanos</t>
  </si>
  <si>
    <t>687 74 22 79</t>
  </si>
  <si>
    <t>Instalaciones MSK. Fontanería en Mérida</t>
  </si>
  <si>
    <t>Av. Reina Sofia, 24, p1, 3A, 06800 Mérida, Badajoz</t>
  </si>
  <si>
    <t>mantenimientosyservicioskanales.com</t>
  </si>
  <si>
    <t>615 09 09 15</t>
  </si>
  <si>
    <t>Fontanería Saneamientos Cuño</t>
  </si>
  <si>
    <t>Av. Ntra. Sra. de Fátima, 6, 06500 San Vicente de Alcántara, Badajoz</t>
  </si>
  <si>
    <t>San Vicente de Alcántara</t>
  </si>
  <si>
    <t>Fontanería Juan González</t>
  </si>
  <si>
    <t>Calle San Cristóbal, 75, 06800 Mérida, Badajoz</t>
  </si>
  <si>
    <t>924 31 59 21</t>
  </si>
  <si>
    <t>Difon S.L.</t>
  </si>
  <si>
    <t>Calle Zafrillas, 30, 06400 Don Benito, Badajoz</t>
  </si>
  <si>
    <t>Don Benito</t>
  </si>
  <si>
    <t>difon.es</t>
  </si>
  <si>
    <t>616 37 64 91</t>
  </si>
  <si>
    <t>difon@bme.es</t>
  </si>
  <si>
    <t>Antonio Rangel Rodríguez</t>
  </si>
  <si>
    <t>Calle Zugasti, 17, 06200 Almendralejo, Badajoz</t>
  </si>
  <si>
    <t>924 43 57 90</t>
  </si>
  <si>
    <t>José Fernando García Calderón</t>
  </si>
  <si>
    <t>Calle Santiago, 25, 06220 Villafranca de los Barros, Badajoz</t>
  </si>
  <si>
    <t>924 52 44 31</t>
  </si>
  <si>
    <t>Nº1, Calle San Bartolomé, 06700 Villanueva de la Serena, Badajoz</t>
  </si>
  <si>
    <t>Villanueva de la Serena</t>
  </si>
  <si>
    <t>626 76 52 06</t>
  </si>
  <si>
    <t>Instalaciones Sancho Gil</t>
  </si>
  <si>
    <t>Calle Mesilla, 5, 06840 Alange, Badajoz</t>
  </si>
  <si>
    <t>Alange</t>
  </si>
  <si>
    <t>instalacionessanchogil.es</t>
  </si>
  <si>
    <t>615 42 49 90</t>
  </si>
  <si>
    <t>info@instalacionessanchogil.es</t>
  </si>
  <si>
    <t>Juan Menayo Campos</t>
  </si>
  <si>
    <t>Calle Gral. Golfín, 22, 06200 Almendralejo, Badajoz</t>
  </si>
  <si>
    <t>924 67 06 94</t>
  </si>
  <si>
    <t>Canalones Extremadura - MBG Fontanería</t>
  </si>
  <si>
    <t>Polígono Industrial, Av. de Badajoz, 5, 06400 Don Benito, Badajoz</t>
  </si>
  <si>
    <t>canalonesextremadura.com</t>
  </si>
  <si>
    <t>633 39 55 10</t>
  </si>
  <si>
    <t>info@mbgfontaneria.com</t>
  </si>
  <si>
    <t>fontanería-gas calefacción Fco Vaca</t>
  </si>
  <si>
    <t>la sierra, 18, 06850 Arroyo de San Serván, Badajoz</t>
  </si>
  <si>
    <t>Saneamientos Cobos</t>
  </si>
  <si>
    <t>Calle Linares, 2, 10001 Cáceres</t>
  </si>
  <si>
    <t>927 22 11 59</t>
  </si>
  <si>
    <t>Collado Llano J M</t>
  </si>
  <si>
    <t>Calle San Pedro Mérida, 17, 06800 Mérida, Badajoz</t>
  </si>
  <si>
    <t>924 31 88 70</t>
  </si>
  <si>
    <t>Luis Domingo Hernández Borrego</t>
  </si>
  <si>
    <t>Calle Don Francisco Montero, 20, 06175 Salvatierra de los Barros, Badajoz</t>
  </si>
  <si>
    <t>Salvatierra de los Barros</t>
  </si>
  <si>
    <t>Saneamiento Y Fontanería García S.L</t>
  </si>
  <si>
    <t>Calle Santiago Ramón Y Cajal, 13, 06810 Calamonte, Badajoz</t>
  </si>
  <si>
    <t>Calamonte</t>
  </si>
  <si>
    <t>924 32 34 97</t>
  </si>
  <si>
    <t>Saneamientos Bravo Zafra</t>
  </si>
  <si>
    <t>Poligono los caños 8, Calle Guadiana 8, 06300 Zafra, Badajoz</t>
  </si>
  <si>
    <t>saneamientosbravo.es</t>
  </si>
  <si>
    <t>924 55 05 43</t>
  </si>
  <si>
    <t>Fontaneria Garcia</t>
  </si>
  <si>
    <t>Av. Constitución, 13, 06225 Ribera del Fresno, Badajoz</t>
  </si>
  <si>
    <t>Ribera del Fresno</t>
  </si>
  <si>
    <t>Víctor Moreno Macías</t>
  </si>
  <si>
    <t>Av. de Mérida, 12, 06810 Calamonte, Badajoz</t>
  </si>
  <si>
    <t>653 98 88 85</t>
  </si>
  <si>
    <t>Tusaex S L</t>
  </si>
  <si>
    <t>Calle Sta. Eulalia, 36, 06220 Villafranca de los Barros, Badajoz</t>
  </si>
  <si>
    <t>tusaex.com</t>
  </si>
  <si>
    <t>info@tusaex.com</t>
  </si>
  <si>
    <t>Gasoluex</t>
  </si>
  <si>
    <t>Ctra. Gijón-Sevilla, 0, 06220 Villafranca de los Barros, Badajoz</t>
  </si>
  <si>
    <t>Fontanería Duque</t>
  </si>
  <si>
    <t>Av. de la Estación, 44, 06300 Zafra, Badajoz</t>
  </si>
  <si>
    <t>924 55 10 05</t>
  </si>
  <si>
    <t>Fontanería Álava</t>
  </si>
  <si>
    <t>Ctra. Estación, 4, 06250 Bienvenida, Badajoz</t>
  </si>
  <si>
    <t>Bienvenida</t>
  </si>
  <si>
    <t>Fontanería Extremeña Gómez Lozano</t>
  </si>
  <si>
    <t>Calle Fuente los Barros, 55, BAJO;LOC 3, 06400 Don Benito, Badajoz</t>
  </si>
  <si>
    <t>626 64 13 09</t>
  </si>
  <si>
    <t>Núñez y Severino S.L.</t>
  </si>
  <si>
    <t>Calle Vasco Díaz Tanco, 1, 06340 Fregenal de la Sierra, Badajoz</t>
  </si>
  <si>
    <t>Fregenal de la Sierra</t>
  </si>
  <si>
    <t>SUMINISTROS DE FONTANERÍA,CALEFACCIÓN Y GAS EN ALMENDRALEJO COFOYCA</t>
  </si>
  <si>
    <t>Calle Ebro, Nº 5, 06200 Almendralejo, Badajoz</t>
  </si>
  <si>
    <t>extremaduradavida.com</t>
  </si>
  <si>
    <t>609 94 07 06</t>
  </si>
  <si>
    <t>Silbaño</t>
  </si>
  <si>
    <t>Av. Nicaragua, 6, A, 06100 Olivenza, Badajoz</t>
  </si>
  <si>
    <t>924 49 11 26</t>
  </si>
  <si>
    <t>Fontanería I Mendoza</t>
  </si>
  <si>
    <t>Calle Mengabril, 17, 06400 Don Benito, Badajoz</t>
  </si>
  <si>
    <t>924 80 22 60</t>
  </si>
  <si>
    <t>Electrificaciones y Fontanería El Cano, S.L.</t>
  </si>
  <si>
    <t>Calle Remedios, 2, 06270 Segura de León, Badajoz</t>
  </si>
  <si>
    <t>Segura de León</t>
  </si>
  <si>
    <t>FONTANERÍA CÁCERES - Miguel Ángel Pérez Granado</t>
  </si>
  <si>
    <t>Calle San Roque, 7, 10003 Cáceres</t>
  </si>
  <si>
    <t>fontaneriacaceres.es</t>
  </si>
  <si>
    <t>927 21 50 80</t>
  </si>
  <si>
    <t>Fontanería Saneamientos Cortés</t>
  </si>
  <si>
    <t>Calle Berna, 5, 10005 Cáceres</t>
  </si>
  <si>
    <t>927 23 85 93</t>
  </si>
  <si>
    <t>ASTRAL Multitrabajos</t>
  </si>
  <si>
    <t>Calle Marrakech, 21. Portal 1. planta 5. letra C, 10005 Cáceres</t>
  </si>
  <si>
    <t>astralmultitrabajos.es</t>
  </si>
  <si>
    <t>675 37 59 08</t>
  </si>
  <si>
    <t>Suministros Izard S.A.</t>
  </si>
  <si>
    <t>Polígono las Capellanias, 10001 Cáceres</t>
  </si>
  <si>
    <t>927 21 15 70</t>
  </si>
  <si>
    <t>Comercial Cobos CC, S.L.</t>
  </si>
  <si>
    <t>Calle de García Plata de Osma, 28, 10001 Cáceres</t>
  </si>
  <si>
    <t>comercialcobos.com</t>
  </si>
  <si>
    <t>927 24 53 14</t>
  </si>
  <si>
    <t>Puerto Casares S L</t>
  </si>
  <si>
    <t>Calle Salamanca, 2, 10002 Cáceres</t>
  </si>
  <si>
    <t>puertocasares.com</t>
  </si>
  <si>
    <t>927 21 60 32</t>
  </si>
  <si>
    <t>info@puertocasares.com</t>
  </si>
  <si>
    <t>F.M. Servicios Fontaneria</t>
  </si>
  <si>
    <t>Poligono GANADERO, 134, 10004 Cáceres</t>
  </si>
  <si>
    <t>fmserviciosfontaneria.com</t>
  </si>
  <si>
    <t>658 14 40 46</t>
  </si>
  <si>
    <t>info@fmserviciosfontaneria.com</t>
  </si>
  <si>
    <t>Serfoncal Cáceres</t>
  </si>
  <si>
    <t>Av. de Alemania, 10, 10001 Cáceres</t>
  </si>
  <si>
    <t>617 38 08 60</t>
  </si>
  <si>
    <t>Instalaciones Pedro Guerra</t>
  </si>
  <si>
    <t>Av. Isabel de Moctezuma, 11, 10005 Cáceres</t>
  </si>
  <si>
    <t>615 96 62 03</t>
  </si>
  <si>
    <t>Exfoncal</t>
  </si>
  <si>
    <t>Calle Mar Caspio, 26, 10005 Cáceres</t>
  </si>
  <si>
    <t>927 23 50 10</t>
  </si>
  <si>
    <t>Fontaneria Madruga</t>
  </si>
  <si>
    <t>Av. de Hernán Cortés, 48, 10004 Cáceres</t>
  </si>
  <si>
    <t>Alberto Caro Burgos</t>
  </si>
  <si>
    <t>Calle Gómez Becerra, 14, 10001 Cáceres</t>
  </si>
  <si>
    <t>927 22 14 37</t>
  </si>
  <si>
    <t>Domingo Canales</t>
  </si>
  <si>
    <t>Calle Mar Mediterráneo, 16, BAJO, 10005 Cáceres</t>
  </si>
  <si>
    <t>637 45 30 39</t>
  </si>
  <si>
    <t>Instalaciones J M</t>
  </si>
  <si>
    <t>Av. de la Constitución, 32, 10195 Cáceres</t>
  </si>
  <si>
    <t>Severiano Díaz Jiménez</t>
  </si>
  <si>
    <t>Av. de la Bondad, 43, 10005 Cáceres</t>
  </si>
  <si>
    <t>Agustín Villalba Flores</t>
  </si>
  <si>
    <t>Calle Colón, 3, 10002 Cáceres</t>
  </si>
  <si>
    <t>927 21 51 23</t>
  </si>
  <si>
    <t>Francisco Caballero Pajares</t>
  </si>
  <si>
    <t>Calle Sta. Rosa de Lima, 11, 10004 Cáceres</t>
  </si>
  <si>
    <t>Fontanería Cristian Simon</t>
  </si>
  <si>
    <t>Calle los Alimoches, 54, 10004 Cáceres</t>
  </si>
  <si>
    <t>655 72 40 08</t>
  </si>
  <si>
    <t>Instalaciones Técnicas San Jorge S.L.</t>
  </si>
  <si>
    <t>Polígono Industrial Ganadero, 0 S/N, 10004 Cáceres</t>
  </si>
  <si>
    <t>649 24 55 50</t>
  </si>
  <si>
    <t>Daniel Jover Pina</t>
  </si>
  <si>
    <t>Calle Nápoles, 1, 10001 Cáceres</t>
  </si>
  <si>
    <t>Calle Hojalateros, 339, 10005 Cáceres</t>
  </si>
  <si>
    <t>JJ.Espadero</t>
  </si>
  <si>
    <t>Abadía</t>
  </si>
  <si>
    <t>fontanerocaceres.net</t>
  </si>
  <si>
    <t>902 49 03 03</t>
  </si>
  <si>
    <t>Espacio Baño Cb</t>
  </si>
  <si>
    <t>Lugar Barrio Nuevo, 68, 10920 Cáceres</t>
  </si>
  <si>
    <t>927 18 00 48</t>
  </si>
  <si>
    <t>Fontaneria C.Luna</t>
  </si>
  <si>
    <t>10003 Cáceres</t>
  </si>
  <si>
    <t>Fontanero Cáceres</t>
  </si>
  <si>
    <t>Calle Juan Carlos I, 41, 10182 Torreorgaz, Cáceres</t>
  </si>
  <si>
    <t>Torreorgaz</t>
  </si>
  <si>
    <t>fontaneria fran lazaro</t>
  </si>
  <si>
    <t>Calle Egido de los Santos Mártires, 9, 10190 Cáceres</t>
  </si>
  <si>
    <t>620 72 84 81</t>
  </si>
  <si>
    <t>José Antonio Talavera Martín</t>
  </si>
  <si>
    <t>Calle Carlos Barriga, 10, 10900 Arroyo de la Luz, Cáceres</t>
  </si>
  <si>
    <t>Arroyo de la Luz</t>
  </si>
  <si>
    <t>650 71 48 72</t>
  </si>
  <si>
    <t>EUROFONCAL Fontaneros Plasencia</t>
  </si>
  <si>
    <t>Calle Castilla, 2, 10600 Plasencia, Cáceres</t>
  </si>
  <si>
    <t>fontaneroplasencia.es</t>
  </si>
  <si>
    <t>649 62 97 21</t>
  </si>
  <si>
    <t>info@fontaneroplasencia.es</t>
  </si>
  <si>
    <t>Fontanería Nano S L</t>
  </si>
  <si>
    <t>Calle 7 de Abril, 4, 10900 Arroyo de la Luz, Cáceres</t>
  </si>
  <si>
    <t>600 59 56 44</t>
  </si>
  <si>
    <t>FONTANERÍA CALEFACCIÓN CÁCERES SANTOS- ARROYO DE LA LUZ</t>
  </si>
  <si>
    <t>Calle San Sebastián, Nº 17, 10900 Arroyo de la Luz, Cáceres</t>
  </si>
  <si>
    <t>670 63 08 89</t>
  </si>
  <si>
    <t>Calle Mártires, 9, 10170 Montánchez, Cáceres</t>
  </si>
  <si>
    <t>Montánchez</t>
  </si>
  <si>
    <t>FONTANERÍA FERNANDO</t>
  </si>
  <si>
    <t>Calle de Manuel García Matos, 3, 10600 Plasencia, Cáceres</t>
  </si>
  <si>
    <t>qdqplus.es</t>
  </si>
  <si>
    <t>676 30 39 39</t>
  </si>
  <si>
    <t>fontanería Andrés</t>
  </si>
  <si>
    <t>Calle Doña Urraca, 5, 10161 Arroyomolinos, Cáceres</t>
  </si>
  <si>
    <t>Arroyomolinos</t>
  </si>
  <si>
    <t>645 83 46 79</t>
  </si>
  <si>
    <t>Calle San Pedro de Alcántara, 38, 10900 Arroyo de la Luz, Cáceres</t>
  </si>
  <si>
    <t>juliogl1092.wix.com</t>
  </si>
  <si>
    <t>Instalaciones y Fontanería Bernal, S.L.</t>
  </si>
  <si>
    <t>Av. Monfragüe, 57, 10200 Trujillo, Cáceres</t>
  </si>
  <si>
    <t>Trujillo</t>
  </si>
  <si>
    <t>927 32 29 10</t>
  </si>
  <si>
    <t>FONTANERO EN CACERES TRUJILLO FONTANERÍA CHEMA</t>
  </si>
  <si>
    <t>C/Tesoro S/N, 10200 Trujillo, Cáceres</t>
  </si>
  <si>
    <t>648 05 14 51</t>
  </si>
  <si>
    <t>José Velasco Hernández</t>
  </si>
  <si>
    <t>Calle Pozo de Hambre, 2, 10900 Arroyo de la Luz, Cáceres</t>
  </si>
  <si>
    <t>Fontaneria CARRASCO</t>
  </si>
  <si>
    <t>Calle Puerto Rico, 1, local, 10800 Coria, Cáceres</t>
  </si>
  <si>
    <t>Coria</t>
  </si>
  <si>
    <t>927 50 13 60</t>
  </si>
  <si>
    <t>FONTANERIA LLANOS, S.L.</t>
  </si>
  <si>
    <t>Pg. Ind, Calle Herradores, nº 6, 10100 Miajadas, Cáceres</t>
  </si>
  <si>
    <t>Miajadas</t>
  </si>
  <si>
    <t>fontaneriallanos.com</t>
  </si>
  <si>
    <t>927 34 77 26</t>
  </si>
  <si>
    <t>info@fontaneriallanos.com</t>
  </si>
  <si>
    <t>Peña Huertas J L</t>
  </si>
  <si>
    <t>Lugar Casas Del Marqués, 5, 10194 Monroy, Cáceres</t>
  </si>
  <si>
    <t>Monroy</t>
  </si>
  <si>
    <t>927 24 44 05</t>
  </si>
  <si>
    <t>Hierros Plasencia SL</t>
  </si>
  <si>
    <t>Av. Ambroz, 8, 10600 Plasencia, Cáceres</t>
  </si>
  <si>
    <t>hierrosplasencia.es</t>
  </si>
  <si>
    <t>927 41 16 42</t>
  </si>
  <si>
    <t>escobero fontaneria</t>
  </si>
  <si>
    <t>Calle Doña María la Brava, 4, Local, 10600 Plasencia, Cáceres</t>
  </si>
  <si>
    <t>658 80 86 79</t>
  </si>
  <si>
    <t>Fontaneria Bote</t>
  </si>
  <si>
    <t>Calle 6 de Diciembre, n18, 10100 Miajadas, Cáceres</t>
  </si>
  <si>
    <t>606 54 49 15</t>
  </si>
  <si>
    <t>Fontanería Terrón</t>
  </si>
  <si>
    <t>Calle Dr. Rodríguez de la Fuente, Nº6, 10600 Plasencia, Cáceres</t>
  </si>
  <si>
    <t>fontaneriaterron.es</t>
  </si>
  <si>
    <t>927 41 08 87</t>
  </si>
  <si>
    <t>Miguel Guillén Rodríguez</t>
  </si>
  <si>
    <t>Calle Maestro Angel Hernández, 7, 10180 Valdefuentes, Cáceres</t>
  </si>
  <si>
    <t>Fontanería y Cerrajería Darío Glez</t>
  </si>
  <si>
    <t>Calle Eras Viejas, 4, 10817 Calzadilla, Cáceres</t>
  </si>
  <si>
    <t>Calzadilla</t>
  </si>
  <si>
    <t>676 82 84 08</t>
  </si>
  <si>
    <t>Fontanería y calefacción Carlos Isidro Solis</t>
  </si>
  <si>
    <t>Calle el Regajo, 13, 10290 Huertas de Animas, Cáceres</t>
  </si>
  <si>
    <t>Huertas de Animas</t>
  </si>
  <si>
    <t>faceboork.com</t>
  </si>
  <si>
    <t>685 84 33 98</t>
  </si>
  <si>
    <t>Fontanería Gonzalo Díaz Tejeda</t>
  </si>
  <si>
    <t>Av. Ciudad de Plasencia, 52, 10680 Malpartida de Plasencia, Cáceres</t>
  </si>
  <si>
    <t>Malpartida de Plasencia</t>
  </si>
  <si>
    <t>616 17 08 41</t>
  </si>
  <si>
    <t>Fontanería Moreno</t>
  </si>
  <si>
    <t>10192 Hinojal, Cáceres</t>
  </si>
  <si>
    <t>Hinojal</t>
  </si>
  <si>
    <t>Grupo Talavera</t>
  </si>
  <si>
    <t>Calle 8 de Marzo, 10900 Arroyo de la Luz, Cáceres</t>
  </si>
  <si>
    <t>grupotalavera.com</t>
  </si>
  <si>
    <t>927 27 17 62</t>
  </si>
  <si>
    <t>r_energy@mail.co</t>
  </si>
  <si>
    <t>Extremeña de Calefacción</t>
  </si>
  <si>
    <t>Av. Martín Palomino, 70, 10600 Plasencia, Cáceres</t>
  </si>
  <si>
    <t>extremenadecalefaccion.com</t>
  </si>
  <si>
    <t>927 41 73 70</t>
  </si>
  <si>
    <t>info@extremenadecalefaccion.com</t>
  </si>
  <si>
    <t>Ildefonso Pérez Ruiz</t>
  </si>
  <si>
    <t>Calle Real, 2, 10261 Puerto de Santa Cruz, Cáceres</t>
  </si>
  <si>
    <t>Puerto de Santa Cruz</t>
  </si>
  <si>
    <t>927 34 20 26</t>
  </si>
  <si>
    <t>Fontanería Picapiedra</t>
  </si>
  <si>
    <t>Av. del Matadero, 28, 10400 Jaraíz de la Vera, Cáceres</t>
  </si>
  <si>
    <t>Jaraíz de la Vera</t>
  </si>
  <si>
    <t>Teodoro Llanos Pizarro</t>
  </si>
  <si>
    <t>C/ Herradores, 6 - Pg. Industrial, 10100 Miajadas, Cáceres</t>
  </si>
  <si>
    <t>927 34 86 39</t>
  </si>
  <si>
    <t>Fontanería y Canalones Albalá</t>
  </si>
  <si>
    <t>Polígono Industrial 1 de Mayo, 0 S/N, 10100 Miajadas, Cáceres</t>
  </si>
  <si>
    <t>659 31 46 45</t>
  </si>
  <si>
    <t>Fontanería Terrón S.L.U.</t>
  </si>
  <si>
    <t>Calle Doctor Félix Rodríguez, 6, 10600 Plasencia, Cáceres</t>
  </si>
  <si>
    <t>Fontanería Sánchez Canelo</t>
  </si>
  <si>
    <t>Av. de la Constitución, 12, 10680 Malpartida de Plasencia, Cáceres</t>
  </si>
  <si>
    <t>Limpiezas Industriales Reyes</t>
  </si>
  <si>
    <t>Pol ind.Las Pozas, Nº9, Malpartida de Plasencia, Cáceres</t>
  </si>
  <si>
    <t>limpiezasindustrialesreyes.com</t>
  </si>
  <si>
    <t>685 96 76 43</t>
  </si>
  <si>
    <t>info@limpiezasindustrialesreyes.com</t>
  </si>
  <si>
    <t>Instalaciones Moraleja</t>
  </si>
  <si>
    <t>Av. de Venecia, 9, 10840 Moraleja, Cáceres</t>
  </si>
  <si>
    <t>618 75 94 05</t>
  </si>
  <si>
    <t>Fontanería Y Calefacción Guillen SL</t>
  </si>
  <si>
    <t>Calle Ronda del Salvador, 83, 10600 Plasencia, Cáceres</t>
  </si>
  <si>
    <t>927 41 06 67</t>
  </si>
  <si>
    <t>Fontanería Plasencia Sl</t>
  </si>
  <si>
    <t>Calle Sor Valentina Mirón, 41, 10600 Plasencia, Cáceres</t>
  </si>
  <si>
    <t>927 42 33 28</t>
  </si>
  <si>
    <t>Samuel Hernández Izquierdo</t>
  </si>
  <si>
    <t>Calle Muñoz Grande, 52, 10840 Moraleja, Cáceres</t>
  </si>
  <si>
    <t>Fontanería Augusto Hernández (RONCHE)</t>
  </si>
  <si>
    <t>645 81 15 17</t>
  </si>
  <si>
    <t>Limpiezas industriales reyes</t>
  </si>
  <si>
    <t>Calle García Lorca, 28, 10680 Malpartida de Plasencia, Cáceres</t>
  </si>
  <si>
    <t>Instalaciones Cacereñas De Gas</t>
  </si>
  <si>
    <t>Av. de España, 38, 10600 Plasencia, Cáceres</t>
  </si>
  <si>
    <t>calefaccionplasencia.es</t>
  </si>
  <si>
    <t>927 41 24 96</t>
  </si>
  <si>
    <t>Glomar</t>
  </si>
  <si>
    <t>Travesía Rocandelario, 8, 10620 Caminomorisco, Cáceres</t>
  </si>
  <si>
    <t>Caminomorisco</t>
  </si>
  <si>
    <t>927 43 52 39</t>
  </si>
  <si>
    <t>Ricardo Alonso Izquierdo</t>
  </si>
  <si>
    <t>Calle Rosal, 10617 El Torno, Cáceres</t>
  </si>
  <si>
    <t>Fontanería Jose Luis Gonzalez</t>
  </si>
  <si>
    <t>Calle Manuel Mas, 67, 10310 Talayuela, Cáceres</t>
  </si>
  <si>
    <t>927 57 85 85</t>
  </si>
  <si>
    <t>CERRAJERIA FONTANERIA HNOS</t>
  </si>
  <si>
    <t>HOLLY, C / La Osa, s / n 10857, Cáceres</t>
  </si>
  <si>
    <t>cerrajeriasierradegata.es</t>
  </si>
  <si>
    <t>646 17 30 96</t>
  </si>
  <si>
    <t>José Antonio Gómez Hernández</t>
  </si>
  <si>
    <t>Calle Calvario, 82, 10859 Santibáñez el Alto, Cáceres</t>
  </si>
  <si>
    <t>Santibáñez el Alto</t>
  </si>
  <si>
    <t>927 44 14 03</t>
  </si>
  <si>
    <t>Jl Hinojal</t>
  </si>
  <si>
    <t>10600 Plasencia, Cáceres</t>
  </si>
  <si>
    <t>jl-hinojal.negocio.site</t>
  </si>
  <si>
    <t>605 08 37 05</t>
  </si>
  <si>
    <t>Instalaciones Sánchez Alfonso</t>
  </si>
  <si>
    <t>Calle Pontecilla, 25, 10860 Gata, Cáceres</t>
  </si>
  <si>
    <t>Gata</t>
  </si>
  <si>
    <t>profiles.google.com</t>
  </si>
  <si>
    <t>690 84 59 71</t>
  </si>
  <si>
    <t>Lorenzo Rodríguez Sierra</t>
  </si>
  <si>
    <t>Calle San Bartolome, 17, 10140 Guadalupe, Cáceres</t>
  </si>
  <si>
    <t>Guadalupe</t>
  </si>
  <si>
    <t>ESCOBAR CLIMA</t>
  </si>
  <si>
    <t>Calle Luis Vélez de Guevara, nº 57, Bajo 2, 10600 Plasencia, Cáceres</t>
  </si>
  <si>
    <t>927 42 38 34</t>
  </si>
  <si>
    <t>Fontaneria Escobar</t>
  </si>
  <si>
    <t>10600, Cáceres</t>
  </si>
  <si>
    <t>Climafont Bibiano S L</t>
  </si>
  <si>
    <t>Calle Velázquez, 3, 10613 Navaconcejo, Cáceres</t>
  </si>
  <si>
    <t>Navaconcejo</t>
  </si>
  <si>
    <t>927 17 32 80</t>
  </si>
  <si>
    <t>Fontanería Cáceres</t>
  </si>
  <si>
    <t>Calle Dr. Fleming, 25, 30880 Águilas, Murcia</t>
  </si>
  <si>
    <t>Águilas</t>
  </si>
  <si>
    <t>619 30 82 60</t>
  </si>
  <si>
    <t>Fontanería Suso Valín</t>
  </si>
  <si>
    <t>Rúa Pomar, 47, 27004 Lugo</t>
  </si>
  <si>
    <t>fontaneriasusovalin.com</t>
  </si>
  <si>
    <t>639 28 28 02</t>
  </si>
  <si>
    <t>FONTANERIA ROIS C.B.</t>
  </si>
  <si>
    <t>Rúa Monte Faro, 173, 27003 Lugo</t>
  </si>
  <si>
    <t>roiscb.es</t>
  </si>
  <si>
    <t>982 20 04 63</t>
  </si>
  <si>
    <t>JBC, Fontaneria y reformas</t>
  </si>
  <si>
    <t>Rúa do Camiño Real, 162, 27004 Lugo</t>
  </si>
  <si>
    <t>664 48 19 33</t>
  </si>
  <si>
    <t>Fontalban</t>
  </si>
  <si>
    <t>Av. de A Coruña, 201, 27297 Lugo</t>
  </si>
  <si>
    <t>Suministros Maferca SL</t>
  </si>
  <si>
    <t>Rúa Lamas de Prado, 160, 27004 Lugo</t>
  </si>
  <si>
    <t>maferca.es</t>
  </si>
  <si>
    <t>982 20 12 50</t>
  </si>
  <si>
    <t>info@maferca.es</t>
  </si>
  <si>
    <t>Fontanería Antonio Santos, reparación de calderas</t>
  </si>
  <si>
    <t>Rúa Trapero Pardo, 3, 3ºA, 27004 Lugo</t>
  </si>
  <si>
    <t>618 40 56 73</t>
  </si>
  <si>
    <t>Núñez &amp;amp; Vázquez</t>
  </si>
  <si>
    <t>Av. Marqués de Ombreiro, 76, 27004 Lugo</t>
  </si>
  <si>
    <t>calefacciongasyfontaneriaenlugo.es</t>
  </si>
  <si>
    <t>689 83 75 58</t>
  </si>
  <si>
    <t>Jose Manuel Rodriguez Buide</t>
  </si>
  <si>
    <t>Av. Breogán, 19, 5-A, 27004 Lugo</t>
  </si>
  <si>
    <t>659 98 55 68</t>
  </si>
  <si>
    <t>Instalaciónes cabarcos</t>
  </si>
  <si>
    <t>Abadín</t>
  </si>
  <si>
    <t>616 23 80 14</t>
  </si>
  <si>
    <t>Jesús Fernández Lugilde</t>
  </si>
  <si>
    <t>Rúa Angelo Colocci, 2, 27003 Lugo</t>
  </si>
  <si>
    <t>Calefón Lugo SL</t>
  </si>
  <si>
    <t>Avenida Benigno Rivera, 9, 27003 Lugo</t>
  </si>
  <si>
    <t>982 20 97 26</t>
  </si>
  <si>
    <t>Felipe leon montaje, mantenimiento y reparación</t>
  </si>
  <si>
    <t>622 48 25 40</t>
  </si>
  <si>
    <t>Instalaciones Perez Rio</t>
  </si>
  <si>
    <t>Praza Fonte dos Ranchos, 15, 27004 Lugo</t>
  </si>
  <si>
    <t>instalacionesperezrio.com</t>
  </si>
  <si>
    <t>686 38 19 79</t>
  </si>
  <si>
    <t>info@instalacionesperezrio.com</t>
  </si>
  <si>
    <t>Instalaciones Rodriguez</t>
  </si>
  <si>
    <t>Rúa Carril das Flores, 21, 27002 Lugo</t>
  </si>
  <si>
    <t>982 25 34 62</t>
  </si>
  <si>
    <t>Alvaro Marcelino Rivas Rivas</t>
  </si>
  <si>
    <t>Praza de Ferrol, 1, 27001 Lugo</t>
  </si>
  <si>
    <t>982 56 00 65</t>
  </si>
  <si>
    <t>Saneamientos Sarria</t>
  </si>
  <si>
    <t>Carretera Lugo, C-546, Km 22, bajo, 27600 Sarria, Lugo</t>
  </si>
  <si>
    <t>Sarria</t>
  </si>
  <si>
    <t>982 53 31 50</t>
  </si>
  <si>
    <t>Saneamientos Riga, S.L.</t>
  </si>
  <si>
    <t>27297, Lugo</t>
  </si>
  <si>
    <t>Castiñeira</t>
  </si>
  <si>
    <t>Aldea FONTEFRIA, 11, 27205 Fontefría, Lugo</t>
  </si>
  <si>
    <t>Fontefría</t>
  </si>
  <si>
    <t>608 75 31 82</t>
  </si>
  <si>
    <t>Almacenes Fórneas S.L.</t>
  </si>
  <si>
    <t>Rua SAN PAIO, 10, Bajo, 27142 San Paio, Lugo</t>
  </si>
  <si>
    <t>San Paio</t>
  </si>
  <si>
    <t>forneassampayo.com</t>
  </si>
  <si>
    <t>982 31 21 91</t>
  </si>
  <si>
    <t>Eusebio Quintans Sendón</t>
  </si>
  <si>
    <t>Pr. de Castelao, 15, 27370 Rábade, Lugo</t>
  </si>
  <si>
    <t>Rábade</t>
  </si>
  <si>
    <t>982 39 00 65</t>
  </si>
  <si>
    <t>Carlos Parga Novo</t>
  </si>
  <si>
    <t>Calle Xesto, 20, 27250 Castro de Rei, Lugo</t>
  </si>
  <si>
    <t>Castro de Rey</t>
  </si>
  <si>
    <t>982 31 44 46</t>
  </si>
  <si>
    <t>FONTANERÍA O FARO</t>
  </si>
  <si>
    <t>Rúa de Rosalía de Castro, 69, bajo, 27880 Burela, Lugo</t>
  </si>
  <si>
    <t>Burela</t>
  </si>
  <si>
    <t>982 58 51 50</t>
  </si>
  <si>
    <t>Ascón Fontanería</t>
  </si>
  <si>
    <t>Calle Meigas, 27600 Sarria, Lugo</t>
  </si>
  <si>
    <t>696 92 88 85</t>
  </si>
  <si>
    <t>Fontaneria Baloo</t>
  </si>
  <si>
    <t>Av. Lugo, 63, 15800 Melide, A Coruña</t>
  </si>
  <si>
    <t>Mellid</t>
  </si>
  <si>
    <t>619 90 46 95</t>
  </si>
  <si>
    <t>Ecoclima Burela</t>
  </si>
  <si>
    <t>Rúa Pardo Bazán, 11, Bajo, 27880 Burela, Lugo</t>
  </si>
  <si>
    <t>ecoclimaburela.es</t>
  </si>
  <si>
    <t>982 88 84 13</t>
  </si>
  <si>
    <t>info@ecoclimaburela.es</t>
  </si>
  <si>
    <t>Fontanería Y Calefacción Sll</t>
  </si>
  <si>
    <t>Calle Orense, 83, 27400 Monforte de Lemos, Lugo</t>
  </si>
  <si>
    <t>982 40 45 89</t>
  </si>
  <si>
    <t>Instalaciones Vega</t>
  </si>
  <si>
    <t>Camiño do Monte, 27170 Portomarín, Lugo</t>
  </si>
  <si>
    <t>Puertomarín</t>
  </si>
  <si>
    <t>669 55 84 24</t>
  </si>
  <si>
    <t>Angel Lamas Morandeira</t>
  </si>
  <si>
    <t>Rúa Rosalía de Castro, 10, 27220 Friol, Lugo</t>
  </si>
  <si>
    <t>Friol</t>
  </si>
  <si>
    <t>Comercial Rivas</t>
  </si>
  <si>
    <t>Rúa Benigno Quiroga, 40, 27360, Lugo</t>
  </si>
  <si>
    <t>685 84 03 10</t>
  </si>
  <si>
    <t>Fmás Fontanería</t>
  </si>
  <si>
    <t>646 63 77 55</t>
  </si>
  <si>
    <t>Inmagas Gayoso S L</t>
  </si>
  <si>
    <t>Paseo dos Sete Muíños, 6, 27300 Guitiriz, Lugo</t>
  </si>
  <si>
    <t>Guitiriz</t>
  </si>
  <si>
    <t>982 37 00 45</t>
  </si>
  <si>
    <t>Calefacciones Pipo</t>
  </si>
  <si>
    <t>S N, Calle Valiña, 0, 27600 Sarria, Lugo</t>
  </si>
  <si>
    <t>Progasca</t>
  </si>
  <si>
    <t>La Grela-Bens, Rúa Pasteur, 6, 8 Pol, 15008 A Coruña</t>
  </si>
  <si>
    <t>La Coruña</t>
  </si>
  <si>
    <t>progasca.com</t>
  </si>
  <si>
    <t>981 27 61 01</t>
  </si>
  <si>
    <t>info@progasca.com</t>
  </si>
  <si>
    <t>Fontanería Teixeiro</t>
  </si>
  <si>
    <t>Av. Lugo, 15, 161, 15310 Teixeiro, A Coruña</t>
  </si>
  <si>
    <t>Teijeiro</t>
  </si>
  <si>
    <t>981 78 91 24</t>
  </si>
  <si>
    <t>Fontanería e Electrodomésticos Roberto</t>
  </si>
  <si>
    <t>R. do Xistral, 6, 27770 O Valadouro, Lugo</t>
  </si>
  <si>
    <t>Valle de Oro</t>
  </si>
  <si>
    <t>610 42 81 62</t>
  </si>
  <si>
    <t>Fonca Viveiro S.L.</t>
  </si>
  <si>
    <t>Rúa da Capela, 40, 27850 Viveiro, Lugo</t>
  </si>
  <si>
    <t>Vivero</t>
  </si>
  <si>
    <t>982 55 16 99</t>
  </si>
  <si>
    <t>Jesús Carnero Otero</t>
  </si>
  <si>
    <t>Lugar Barrio Satrexas, 21, 27560 Monterroso, Lugo</t>
  </si>
  <si>
    <t>Monterroso</t>
  </si>
  <si>
    <t>982 37 70 65</t>
  </si>
  <si>
    <t>Fontanería José Timiraos</t>
  </si>
  <si>
    <t>Rúa Grande, 92, 27863 Viveiro, Lugo</t>
  </si>
  <si>
    <t>José Antonio López Fernández</t>
  </si>
  <si>
    <t>Rúa da Capela, 0, 27850, Lugo</t>
  </si>
  <si>
    <t>982 56 23 69</t>
  </si>
  <si>
    <t>Francisco Antonio Lestegas Alonso</t>
  </si>
  <si>
    <t>Av. Breogán, 5, 27780 Foz, Lugo</t>
  </si>
  <si>
    <t>Foz</t>
  </si>
  <si>
    <t>982 14 17 72</t>
  </si>
  <si>
    <t>Fontanería Santiago Pelaz</t>
  </si>
  <si>
    <t>Rúa Lavandeiras, 86, 27863 Celeiro, Lugo</t>
  </si>
  <si>
    <t>Cillero</t>
  </si>
  <si>
    <t>Cedrón Canal</t>
  </si>
  <si>
    <t>Rúa Ánxel Fole, 8, 27347 A Cruz de Incio, Lugo</t>
  </si>
  <si>
    <t>A Cruz do Incio</t>
  </si>
  <si>
    <t>instalacioncanaloneslugo.es</t>
  </si>
  <si>
    <t>638 23 17 35</t>
  </si>
  <si>
    <t>Fontaneria Xeneri S.l.</t>
  </si>
  <si>
    <t>Av. Castelao, 4, 15510 Neda, A Coruña</t>
  </si>
  <si>
    <t>Neda</t>
  </si>
  <si>
    <t>Saltoki Ourense</t>
  </si>
  <si>
    <t>Carretera N-120, km. 574 Ourense ES, 32001 Outariz</t>
  </si>
  <si>
    <t>Outariz</t>
  </si>
  <si>
    <t>988 31 66 97</t>
  </si>
  <si>
    <t>Saltoki (A Coruña)</t>
  </si>
  <si>
    <t>15190 Polígono de Pocomaco, A Coruña</t>
  </si>
  <si>
    <t>Mesoiro</t>
  </si>
  <si>
    <t>981 17 55 11</t>
  </si>
  <si>
    <t>Lugar Coiros De Ariba, 28, 15316 Coirós, A Coruña</t>
  </si>
  <si>
    <t>Coirós</t>
  </si>
  <si>
    <t>981 79 66 02</t>
  </si>
  <si>
    <t>José González Fontanería</t>
  </si>
  <si>
    <t>Av. de Buenos Aires, 81, 32004 Ourense, Province of Ourense</t>
  </si>
  <si>
    <t>josegonzalezfontaneria.es</t>
  </si>
  <si>
    <t>988 22 35 80</t>
  </si>
  <si>
    <t>Trigo Nóvoa Fontanería</t>
  </si>
  <si>
    <t>Rúa Quintián, 21, 32001 Ourense</t>
  </si>
  <si>
    <t>988 21 36 92</t>
  </si>
  <si>
    <t>Alfocasa S.L.</t>
  </si>
  <si>
    <t>Av. Portugal, 122, 32002 Ourense, Province of Ourense</t>
  </si>
  <si>
    <t>alfocasasl.com</t>
  </si>
  <si>
    <t>988 23 67 50</t>
  </si>
  <si>
    <t>Fontanería Calefacción Gas Bayón S.L.</t>
  </si>
  <si>
    <t>Rúa Quintián, 39, 32001 Ourense</t>
  </si>
  <si>
    <t>988 37 27 04</t>
  </si>
  <si>
    <t>Fontaneria-Calefacción</t>
  </si>
  <si>
    <t>Rúa Ervedelo, 66, 32002 Ourense</t>
  </si>
  <si>
    <t>Foncalver Ourense</t>
  </si>
  <si>
    <t>Travesía de, Travesía Portocarreiro B, nº 4 Bajo, 32003 Ourense</t>
  </si>
  <si>
    <t>988 54 93 80</t>
  </si>
  <si>
    <t>Fontanería Valiñas</t>
  </si>
  <si>
    <t>Rúa Antonio Jaunsaras, 4, BAJO, 32002 Ourense, Province of Ourense</t>
  </si>
  <si>
    <t>988 24 44 43</t>
  </si>
  <si>
    <t>Fontanería R Vázquez</t>
  </si>
  <si>
    <t>Av. de Santiago, 21, 32001 Ourense, Province of Ourense</t>
  </si>
  <si>
    <t>988 37 11 11</t>
  </si>
  <si>
    <t>Fontanería y Calefacción Ribao</t>
  </si>
  <si>
    <t>Rúa Monte Penama, 5, 32005 Ourense</t>
  </si>
  <si>
    <t>988 22 32 59</t>
  </si>
  <si>
    <t>MAX SOLUCIONES</t>
  </si>
  <si>
    <t>Allariz</t>
  </si>
  <si>
    <t>686 33 55 49</t>
  </si>
  <si>
    <t>Morales. S. L. Fontaneria Calefaccion Aire Acondicionado</t>
  </si>
  <si>
    <t>Rúa Rodríguez de la Passera, 11, 32005 Ourense, Province of Ourense</t>
  </si>
  <si>
    <t>Foncalver Sc</t>
  </si>
  <si>
    <t>Rúa Marcelo Macías, 103, bajo, 32002 Ourense</t>
  </si>
  <si>
    <t>Andrés Cachaldora Alvarez</t>
  </si>
  <si>
    <t>Rúa Pero Meogo, 2, 32004 Ourense</t>
  </si>
  <si>
    <t>Reparaciones y mantenimientos Alonso</t>
  </si>
  <si>
    <t>reparacionesymantenimientosalonso.com</t>
  </si>
  <si>
    <t>629 87 23 90</t>
  </si>
  <si>
    <t>CARLOS ALVAREZ. FONTANERIA</t>
  </si>
  <si>
    <t>30, Cumial Industrial, 28, Ourense</t>
  </si>
  <si>
    <t>carlosalvarezobras.es</t>
  </si>
  <si>
    <t>988 61 35 76</t>
  </si>
  <si>
    <t>info@carlosalvarezobras.es</t>
  </si>
  <si>
    <t>Aefo Asociación Empresarial de Fontanería de Ourense</t>
  </si>
  <si>
    <t>Rúa de Salgueiriños, 7, 32002 Valenza (A), Ourense</t>
  </si>
  <si>
    <t>A Valenza</t>
  </si>
  <si>
    <t>988 22 66 68</t>
  </si>
  <si>
    <t>Ricardo Fernández Martínez</t>
  </si>
  <si>
    <t>Rúa Xesús Pousa Rodríguez, 3, 32001 Ourense</t>
  </si>
  <si>
    <t>Canal Couto</t>
  </si>
  <si>
    <t>R. Velázquez, 18, BAJO, 32002 Ourense, Province of Ourense</t>
  </si>
  <si>
    <t>669 57 74 71</t>
  </si>
  <si>
    <t>✅ Fycal | Fontanería, Calefacción, Climatización Ourense</t>
  </si>
  <si>
    <t>Carretera Nacional 120 KM 575 , 71, 32001 Ourense</t>
  </si>
  <si>
    <t>988 31 62 51</t>
  </si>
  <si>
    <t>Alfredo Fábrica De Cocinas Y Baños</t>
  </si>
  <si>
    <t>Rúa do Progreso, 91, 32003 Ourense</t>
  </si>
  <si>
    <t>988 24 99 67</t>
  </si>
  <si>
    <t>Diaz Silva, S.L.</t>
  </si>
  <si>
    <t>32001 Orense, Ourense</t>
  </si>
  <si>
    <t>Alfocasa, S.L.</t>
  </si>
  <si>
    <t>Calle SEIS, Nº20 - Polígono San Cibrao, 32901 San Cibrao das Viñas, Province of Ourense</t>
  </si>
  <si>
    <t>San Ciprián de Viñas</t>
  </si>
  <si>
    <t>988 25 16 53</t>
  </si>
  <si>
    <t>José Manuel Pérez Gago</t>
  </si>
  <si>
    <t>Barro Requeixo, 3, 32930 O Piñeiro, Ourense</t>
  </si>
  <si>
    <t>O Piñeiro</t>
  </si>
  <si>
    <t>988 38 22 26</t>
  </si>
  <si>
    <t>Lamas Y Lamas</t>
  </si>
  <si>
    <t>Rúa do Cumial, 24, 32970 Seixalbo, Ourense</t>
  </si>
  <si>
    <t>Seixalbo</t>
  </si>
  <si>
    <t>988 23 44 46</t>
  </si>
  <si>
    <t>Clinoil S. L.</t>
  </si>
  <si>
    <t>Rúa, Noalla de Arriba, 22, Province of Ourense</t>
  </si>
  <si>
    <t>Noalla</t>
  </si>
  <si>
    <t>clinoil.com</t>
  </si>
  <si>
    <t>988 23 51 43</t>
  </si>
  <si>
    <t>info@clinoil.com</t>
  </si>
  <si>
    <t>AISLAPOL</t>
  </si>
  <si>
    <t>Carretera Celanova, Km 6,2, 32890 Barbadás, Ourense</t>
  </si>
  <si>
    <t>Barbadás</t>
  </si>
  <si>
    <t>aislapol.net</t>
  </si>
  <si>
    <t>659 24 05 19</t>
  </si>
  <si>
    <t>aislapolcanalum@gmail.com</t>
  </si>
  <si>
    <t>Fontanería Montero S.L.</t>
  </si>
  <si>
    <t>Rúa Manuel Lezon, 67, 32817 Celanova, Ourense</t>
  </si>
  <si>
    <t>Celanova</t>
  </si>
  <si>
    <t>988 43 17 86</t>
  </si>
  <si>
    <t>Páez Rodríguez</t>
  </si>
  <si>
    <t>Camino de Santiago, 0, 32950 Coles, Province of Ourense</t>
  </si>
  <si>
    <t>Coles</t>
  </si>
  <si>
    <t>988 20 55 61</t>
  </si>
  <si>
    <t>Carrete O Carballiño Instalaciones De Frío Calor</t>
  </si>
  <si>
    <t>Rúa Circunvalación, 1, 32500 O Carballiño, Ourense</t>
  </si>
  <si>
    <t>Carballino</t>
  </si>
  <si>
    <t>988 27 40 77</t>
  </si>
  <si>
    <t>Fontacal</t>
  </si>
  <si>
    <t>Rúa de Ribadavia, 50, 32500 O Carballiño, Ourense</t>
  </si>
  <si>
    <t>solofontacal.es</t>
  </si>
  <si>
    <t>988 27 48 08</t>
  </si>
  <si>
    <t>Celso Gómez García</t>
  </si>
  <si>
    <t>Rúa do Toural, 0, 32703 Maceda, Ourense, Province of Ourense</t>
  </si>
  <si>
    <t>Maceda</t>
  </si>
  <si>
    <t>Fontanería A. Villar</t>
  </si>
  <si>
    <t>Camino Señorín-Flores, 90, 32500 O Carballiño, Province of Ourense</t>
  </si>
  <si>
    <t>988 27 25 38</t>
  </si>
  <si>
    <t>Instalaciones Francisco González y González</t>
  </si>
  <si>
    <t>Rúa Carballiño, 33, 32400 Ribadavia, Ourense</t>
  </si>
  <si>
    <t>Ribadavia</t>
  </si>
  <si>
    <t>Instalaciones Bolaño Grande S.l.</t>
  </si>
  <si>
    <t>Rúa as Laxas, 37 E, 32664 Allariz, Ourense</t>
  </si>
  <si>
    <t>670 53 57 48</t>
  </si>
  <si>
    <t>Fontanería Ferco Mixos SL</t>
  </si>
  <si>
    <t>Rúa de Elle, 47, 32600 Verín, Ourense</t>
  </si>
  <si>
    <t>Verín</t>
  </si>
  <si>
    <t>988 41 02 60</t>
  </si>
  <si>
    <t>RUBÉN Fontanería y Calefacción</t>
  </si>
  <si>
    <t>660 40 42 69</t>
  </si>
  <si>
    <t>Fontaneria Carrera Sl</t>
  </si>
  <si>
    <t>Rúa Sarxento Rodríguez, 4, 32630 Xinzo de Limia, Ourense</t>
  </si>
  <si>
    <t>Ginzo de Limia</t>
  </si>
  <si>
    <t>Del Rio Calefaccion Fontaneria Carbones</t>
  </si>
  <si>
    <t>Porto Alto, 27, 32631 Porto Alto, Ourense</t>
  </si>
  <si>
    <t>Porto Alto</t>
  </si>
  <si>
    <t>Fontanería Seoane</t>
  </si>
  <si>
    <t>Calle Quizanes, 8, 32600 Verín, Province of Ourense</t>
  </si>
  <si>
    <t>Fontanería y Calefacción Vima Sl</t>
  </si>
  <si>
    <t>Rúa Ruíz de Padrón, 11, 32340 Vilamartín de Valdeorras, Ourense</t>
  </si>
  <si>
    <t>Villamartín de Valdeorras</t>
  </si>
  <si>
    <t>Fontanería Faelca</t>
  </si>
  <si>
    <t>Av. de Elena Quiroga, 22, 32315 Viloira, Province of Ourense</t>
  </si>
  <si>
    <t>Viloira</t>
  </si>
  <si>
    <t>Fontaneria P.Parada</t>
  </si>
  <si>
    <t>Rua San Felix, 11, 32627 Verín, Ourense</t>
  </si>
  <si>
    <t>Soyro</t>
  </si>
  <si>
    <t>Calle Santiago Apostol, 1, 32600 Verín, Ourense</t>
  </si>
  <si>
    <t>Luis Alvarez Canto</t>
  </si>
  <si>
    <t>Maior, 44 -A Xironda, 32688 Cualedro, Province of Ourense</t>
  </si>
  <si>
    <t>Cualedro</t>
  </si>
  <si>
    <t>988 42 45 80</t>
  </si>
  <si>
    <t>Fontaneria Guerra</t>
  </si>
  <si>
    <t>Rúa San Bartolomé, 7, 32780 A Pobra de Trives, Ourense</t>
  </si>
  <si>
    <t>Puebla de Trives</t>
  </si>
  <si>
    <t>Bramaraf S L</t>
  </si>
  <si>
    <t>S-N, Carretera N-525, 0, 32540 A Gudiña, Province of Ourense</t>
  </si>
  <si>
    <t>La Gudiña</t>
  </si>
  <si>
    <t>988 42 11 50</t>
  </si>
  <si>
    <t>Hisemar, S.L.</t>
  </si>
  <si>
    <t>Puente Filgueira, s/n - Bértola, 36141</t>
  </si>
  <si>
    <t>Balteiro</t>
  </si>
  <si>
    <t>36141</t>
  </si>
  <si>
    <t>986 67 90 24</t>
  </si>
  <si>
    <t>Saltoki Vigo</t>
  </si>
  <si>
    <t>Estrada Camposancos, 141, 36213 Vigo, Pontevedra</t>
  </si>
  <si>
    <t>986 54 74 24</t>
  </si>
  <si>
    <t>Instalaciones JFilgueira</t>
  </si>
  <si>
    <t>Rúa Javier Puig Llamas, 9, 36002 Pontevedra</t>
  </si>
  <si>
    <t>jfilgueira.com</t>
  </si>
  <si>
    <t>679 98 82 72</t>
  </si>
  <si>
    <t>C Esgon S L</t>
  </si>
  <si>
    <t>Rúa Campo Santo, 7, 36004 Pontevedra</t>
  </si>
  <si>
    <t>esgon.es</t>
  </si>
  <si>
    <t>986 85 77 55</t>
  </si>
  <si>
    <t>Eladio Sabaris e Hijos, S.L.</t>
  </si>
  <si>
    <t>Av. A Barca, 16, 36163 Poio, Pontevedra</t>
  </si>
  <si>
    <t>Poyo</t>
  </si>
  <si>
    <t>616 20 30 58</t>
  </si>
  <si>
    <t>Fontanería Victor Freijeiro</t>
  </si>
  <si>
    <t>604 03 83 66</t>
  </si>
  <si>
    <t>Instalaciones Adan</t>
  </si>
  <si>
    <t>Rúa Leandro del Río Carnota, 5, 36005 Pontevedra</t>
  </si>
  <si>
    <t>instalacionesadan.com</t>
  </si>
  <si>
    <t>699 53 06 39</t>
  </si>
  <si>
    <t>Instalaciones Montecelo S.L.</t>
  </si>
  <si>
    <t>Calle Mourente, 5, 36164 Pontevedra</t>
  </si>
  <si>
    <t>Calefacción y Fontanería Tamar, S.L.</t>
  </si>
  <si>
    <t>Calle Das Devesas, 1 , Arcade, 36004 Pontevedra</t>
  </si>
  <si>
    <t>986 70 56 05</t>
  </si>
  <si>
    <t>Talleres Tajes</t>
  </si>
  <si>
    <t>Calle Campo de la Torre, 30, 36002 Pontevedra</t>
  </si>
  <si>
    <t>986 85 21 80</t>
  </si>
  <si>
    <t>Clisa, S.L.</t>
  </si>
  <si>
    <t>R. Juan Bautista Andrade, 20, 36005 Pontevedra</t>
  </si>
  <si>
    <t>Técnicos en Reparaciones del Hogar</t>
  </si>
  <si>
    <t>Rúa San Antoniño, Nº28, 6ºD, 36002 Pontevedra</t>
  </si>
  <si>
    <t>tecrephogar.wixsite.com</t>
  </si>
  <si>
    <t>604 03 58 31</t>
  </si>
  <si>
    <t>Hijos de Adonis Pérez S.L.</t>
  </si>
  <si>
    <t>bajo 36993,, Av. Chancelas, 8, 36993 Combarro, Pontevedra</t>
  </si>
  <si>
    <t>Combarro</t>
  </si>
  <si>
    <t>986 77 00 14</t>
  </si>
  <si>
    <t>Fontaneria Doval</t>
  </si>
  <si>
    <t>Lugar Sabaris Campaño 37, 36157 Pontevedra</t>
  </si>
  <si>
    <t>659 13 26 07</t>
  </si>
  <si>
    <t>Fontanería Socastro</t>
  </si>
  <si>
    <t>Rúa da Gándara, 2, 36005 Pontevedra</t>
  </si>
  <si>
    <t>620 98 44 01</t>
  </si>
  <si>
    <t>ACUAPLAS</t>
  </si>
  <si>
    <t>Rúa Concepción Arenal, 109, Bajo B, 36900 Marín, Pontevedra</t>
  </si>
  <si>
    <t>acuaplas.es</t>
  </si>
  <si>
    <t>607 81 37 50</t>
  </si>
  <si>
    <t>Fontanería Galar Pontevedra</t>
  </si>
  <si>
    <t>643 05 61 72</t>
  </si>
  <si>
    <t>Fontanería Foncasio</t>
  </si>
  <si>
    <t>Camiño Castro, 20, 0, 36005 Pontevedra</t>
  </si>
  <si>
    <t>649 69 44 18</t>
  </si>
  <si>
    <t>Roberto Agulla Piedras</t>
  </si>
  <si>
    <t>Barrio Favarizas, 28, 36915 Marín, Pontevedra</t>
  </si>
  <si>
    <t>686 89 88 65</t>
  </si>
  <si>
    <t>Fontanería Sito</t>
  </si>
  <si>
    <t>sótano, Bajada Pontillón, 35, 36210 Vigo, Pontevedra</t>
  </si>
  <si>
    <t>fontaneriasito.com</t>
  </si>
  <si>
    <t>986 47 20 78</t>
  </si>
  <si>
    <t>Desatascos Total</t>
  </si>
  <si>
    <t>36202, Rúa de García Barbón, s/n, 36202 Vigo, Pontevedra</t>
  </si>
  <si>
    <t>desatascostotal.com</t>
  </si>
  <si>
    <t>650 73 70 11</t>
  </si>
  <si>
    <t>Fontanería AQUAINSTAL VIGO</t>
  </si>
  <si>
    <t>Rúa Fotógrafos Irmáns Sarabia, 8, 36209 Vigo, Pontevedra</t>
  </si>
  <si>
    <t>aquainstal.es</t>
  </si>
  <si>
    <t>634 51 51 73</t>
  </si>
  <si>
    <t>info@aquainstal.es</t>
  </si>
  <si>
    <t>montajes y mantenimientos otero,sl</t>
  </si>
  <si>
    <t>36910 Pontevedra</t>
  </si>
  <si>
    <t>685 82 88 81</t>
  </si>
  <si>
    <t>Suministros Fontana, S.L.</t>
  </si>
  <si>
    <t>Verdeal, 77-A. Domaio, 36957 Moaña, Pontevedra</t>
  </si>
  <si>
    <t>Moaña</t>
  </si>
  <si>
    <t>suministrosfontana.com</t>
  </si>
  <si>
    <t>986 32 71 31</t>
  </si>
  <si>
    <t>info@suministrosfontana.com</t>
  </si>
  <si>
    <t>Emcaycer C.B.</t>
  </si>
  <si>
    <t>Lugar a Almuiña, 4, 36143 Pontevedra</t>
  </si>
  <si>
    <t>Energal Distribución De Biocarburantes</t>
  </si>
  <si>
    <t>Rúa Estrada, 0, 36001 Pontevedra</t>
  </si>
  <si>
    <t>986 59 11 62</t>
  </si>
  <si>
    <t>Vipaso</t>
  </si>
  <si>
    <t>Rúa Alcalde Ezequiel Massoni, 55, Bajo, 36900 Marín, Pontevedra</t>
  </si>
  <si>
    <t>680 46 21 15</t>
  </si>
  <si>
    <t>Fontaneros-Vigo</t>
  </si>
  <si>
    <t>FONTANERÍA HERMIDA</t>
  </si>
  <si>
    <t>673 23 80 78</t>
  </si>
  <si>
    <t>Internort S.L.</t>
  </si>
  <si>
    <t>Lugar Porrans, 1, 36191 Barro, Pontevedra</t>
  </si>
  <si>
    <t>Barro</t>
  </si>
  <si>
    <t>internort.com</t>
  </si>
  <si>
    <t>986 71 15 87</t>
  </si>
  <si>
    <t>info@internort.com</t>
  </si>
  <si>
    <t>I.M.G. Instalaciones y Montajes Galicia</t>
  </si>
  <si>
    <t>Calle Costa, 3, 36658, Pontevedra</t>
  </si>
  <si>
    <t>Bacelo</t>
  </si>
  <si>
    <t>608 08 80 88</t>
  </si>
  <si>
    <t>Fontanería Portonovo, S.L.</t>
  </si>
  <si>
    <t>Lugar A Torre, s/n, 36970 Portonovo, Pontevedra</t>
  </si>
  <si>
    <t>Portonovo</t>
  </si>
  <si>
    <t>986 72 70 83</t>
  </si>
  <si>
    <t>A Casteló</t>
  </si>
  <si>
    <t>Rúa Sardiña, 36001 Pontevedra</t>
  </si>
  <si>
    <t>986 67 22 52</t>
  </si>
  <si>
    <t>Carburantes Acibro</t>
  </si>
  <si>
    <t>Avenida Foxo, 0 S N, Rubín ( Santa María P )</t>
  </si>
  <si>
    <t>Rubín ( Santa María P )</t>
  </si>
  <si>
    <t>986 59 11 60</t>
  </si>
  <si>
    <t>Fontanería Barallon S L</t>
  </si>
  <si>
    <t>Calle Carballal, 1 bordones, 36960 Sanxenxo, Pontevedra</t>
  </si>
  <si>
    <t>Sanjenjo</t>
  </si>
  <si>
    <t>986 72 06 65</t>
  </si>
  <si>
    <t>Fontaneria Raffy</t>
  </si>
  <si>
    <t>Frieiro22 36151, Pontevedra</t>
  </si>
  <si>
    <t>Frieiro</t>
  </si>
  <si>
    <t>626 26 59 35</t>
  </si>
  <si>
    <t>Laguardia &amp;amp; Moreira S.A.</t>
  </si>
  <si>
    <t>Av. Pontevedra, 34, 36600 Vilagarcía de Arousa, Pontevedra</t>
  </si>
  <si>
    <t>Villagarcía de Arosa</t>
  </si>
  <si>
    <t>laguardia-moreira.com</t>
  </si>
  <si>
    <t>986 56 50 90</t>
  </si>
  <si>
    <t>info@laguardia-moreira.com</t>
  </si>
  <si>
    <t>ControlVigo</t>
  </si>
  <si>
    <t>Rúa Médico José Fiaño Señor, 7, Bajo, 36205 Vigo, Pontevedra</t>
  </si>
  <si>
    <t>controlvigo.com</t>
  </si>
  <si>
    <t>986 27 93 32</t>
  </si>
  <si>
    <t>Fontanería Cid</t>
  </si>
  <si>
    <t>Camiño dos Olmos, 14, 36320 Chapela, Pontevedra</t>
  </si>
  <si>
    <t>Chapela</t>
  </si>
  <si>
    <t>654 30 78 88</t>
  </si>
  <si>
    <t>Fontaneria Santi</t>
  </si>
  <si>
    <t>Rúa de Eduardo Cabello, 33, 36208 Vigo, Pontevedra</t>
  </si>
  <si>
    <t>986 24 62 82</t>
  </si>
  <si>
    <t>Comercial Antonio Costas Fernández</t>
  </si>
  <si>
    <t>Rúa Tomás A. Alonso, 14, 36208 Vigo, Pontevedra</t>
  </si>
  <si>
    <t>986 23 01 01</t>
  </si>
  <si>
    <t>Omavi S L</t>
  </si>
  <si>
    <t>Calle Reguengo, 43, 36650 Pontevedra</t>
  </si>
  <si>
    <t>O Reguengo</t>
  </si>
  <si>
    <t>986 50 78 97</t>
  </si>
  <si>
    <t>Fontanería Carlos García</t>
  </si>
  <si>
    <t>Rúa de Pi y Margall interior, 3, 36202 Vigo, Pontevedra</t>
  </si>
  <si>
    <t>986 43 55 17</t>
  </si>
  <si>
    <t>Fontanería Antonio Guimil</t>
  </si>
  <si>
    <t>Calle Bretoña, 90, 36191 Barro, Pontevedra</t>
  </si>
  <si>
    <t>Climarousa, S.L.</t>
  </si>
  <si>
    <t>Rúa Viña Grande, 8, 36619 Vilagarcía de Arousa, Pontevedra</t>
  </si>
  <si>
    <t>986 50 02 40</t>
  </si>
  <si>
    <t>Galifon Fontaneros</t>
  </si>
  <si>
    <t>Estrada Ponte Segade-Sárdoma, 63, 36214 Vigo, Pontevedra</t>
  </si>
  <si>
    <t>605 79 09 41</t>
  </si>
  <si>
    <t>Antonio López Fernández</t>
  </si>
  <si>
    <t>Calle Moledo, 65, 36900 Marín, Pontevedra</t>
  </si>
  <si>
    <t>986 70 26 35</t>
  </si>
  <si>
    <t>Lafogasca S.L.</t>
  </si>
  <si>
    <t>Avenida Vigo, 10, 36940 Cangas, Pontevedra</t>
  </si>
  <si>
    <t>Cangas</t>
  </si>
  <si>
    <t>986 30 35 06</t>
  </si>
  <si>
    <t>Fontaneria Adolfo Regueira S. L</t>
  </si>
  <si>
    <t>Camiño da Bruxa, nº 20, 36320 Chapela, Pontevedra</t>
  </si>
  <si>
    <t>667 40 42 76</t>
  </si>
  <si>
    <t>FOCAPRA</t>
  </si>
  <si>
    <t>Rúa de Sanjurjo Badía, 9, 36207 Vigo, Pontevedra</t>
  </si>
  <si>
    <t>focapra.com</t>
  </si>
  <si>
    <t>986 37 71 41</t>
  </si>
  <si>
    <t>info@focapra.com</t>
  </si>
  <si>
    <t>Aerotermic</t>
  </si>
  <si>
    <t>36954 Moaña, Pontevedra</t>
  </si>
  <si>
    <t>aerotermic.negocio.site</t>
  </si>
  <si>
    <t>672 36 11 49</t>
  </si>
  <si>
    <t>CAMIÑA - Fontanería y Calefacción</t>
  </si>
  <si>
    <t>C, Camiño da Fonte, nº2, 36992 Samieira, Pontevedra</t>
  </si>
  <si>
    <t>Samieira</t>
  </si>
  <si>
    <t>670 74 86 91</t>
  </si>
  <si>
    <t>Instalaciones Saborido</t>
  </si>
  <si>
    <t>Rúa as Quintáns, 36630 Cambados, Pontevedra</t>
  </si>
  <si>
    <t>639 21 00 41</t>
  </si>
  <si>
    <t>Fontaneria FoncaExpress</t>
  </si>
  <si>
    <t>Avd Pereiras, Casal 77 36416, Pontevedra</t>
  </si>
  <si>
    <t>Casalmorto</t>
  </si>
  <si>
    <t>986 33 19 98</t>
  </si>
  <si>
    <t>Fontanería Las Traviesas</t>
  </si>
  <si>
    <t>Calle de Manolo Martínez, 4, 36210 Vigo, Pontevedra</t>
  </si>
  <si>
    <t>986 23 64 84</t>
  </si>
  <si>
    <t>Ielsab Instalaciones</t>
  </si>
  <si>
    <t>Calle Outeiriño, 2, 36658, Pontevedra</t>
  </si>
  <si>
    <t>A Seca</t>
  </si>
  <si>
    <t>667 58 99 83</t>
  </si>
  <si>
    <t>Luis Hernandez Alvarez,S.L.</t>
  </si>
  <si>
    <t>Balea,As Pontes, 36940 Cangas, Pontevedra</t>
  </si>
  <si>
    <t>luishernandez.es</t>
  </si>
  <si>
    <t>986 30 41 84</t>
  </si>
  <si>
    <t>Fontanería José Antonio S.L.</t>
  </si>
  <si>
    <t>Rúa San Vicente, 13, 36860 Ponteareas, Pontevedra</t>
  </si>
  <si>
    <t>Puenteareas</t>
  </si>
  <si>
    <t>679 84 40 16</t>
  </si>
  <si>
    <t>Fontanería Instalfont Vigo</t>
  </si>
  <si>
    <t>Av. de Balaídos, 26, 36210 Vigo, Pontevedra</t>
  </si>
  <si>
    <t>633 72 92 73</t>
  </si>
  <si>
    <t>Fontanería, Calefacción, Reformas Manolo S.L.</t>
  </si>
  <si>
    <t>fontaneriamanolo.com</t>
  </si>
  <si>
    <t>986 54 35 61</t>
  </si>
  <si>
    <t>info@fontaneriamanolo.com</t>
  </si>
  <si>
    <t>Intuplast</t>
  </si>
  <si>
    <t>Rúa Colón, 36940 Cangas, Pontevedra</t>
  </si>
  <si>
    <t>607 96 71 86</t>
  </si>
  <si>
    <t>Fontanería Dileo</t>
  </si>
  <si>
    <t>Calle Pazos Fontenla, 67, 36930 Bueu, Pontevedra</t>
  </si>
  <si>
    <t>Bueu</t>
  </si>
  <si>
    <t>986 32 06 51</t>
  </si>
  <si>
    <t>Manuel Gómez Torres</t>
  </si>
  <si>
    <t>Av. Laño, 53, 36992 O Covelo, Pontevedra</t>
  </si>
  <si>
    <t>O Covelo</t>
  </si>
  <si>
    <t>MONTAJES</t>
  </si>
  <si>
    <t>Carretera Barrantes, 34, 36637, Pontevedra</t>
  </si>
  <si>
    <t>Rial</t>
  </si>
  <si>
    <t>636 80 74 27</t>
  </si>
  <si>
    <t>Fontanería Celso Figueroa</t>
  </si>
  <si>
    <t>Estrada Garrida-Valadares, 159, 36315 Vigo, Pontevedra</t>
  </si>
  <si>
    <t>celsofigueroa.es</t>
  </si>
  <si>
    <t>650 06 60 13</t>
  </si>
  <si>
    <t>Petropesca</t>
  </si>
  <si>
    <t>Av. de la Cañota, 64, 36900 Marín, Pontevedra</t>
  </si>
  <si>
    <t>986 88 00 50</t>
  </si>
  <si>
    <t>José Manuel Domínguez Martínez</t>
  </si>
  <si>
    <t>Calle Do Hospital, 3, 36800 Redondela, Pontevedra</t>
  </si>
  <si>
    <t>Redondela</t>
  </si>
  <si>
    <t>661 33 40 67</t>
  </si>
  <si>
    <t>Manuel Soto García</t>
  </si>
  <si>
    <t>Rúa San Xoán de Arcal, 31, 36800 Redondela, Pontevedra</t>
  </si>
  <si>
    <t>986 40 07 12</t>
  </si>
  <si>
    <t>Fontanería Alvaro</t>
  </si>
  <si>
    <t>Calle Areiro - Sampaio, 72, 36215 Vigo, Pontevedra</t>
  </si>
  <si>
    <t>Fontanería Ferga S.L.</t>
  </si>
  <si>
    <t>Rúa do Río, 3, 36500 Lalín, Pontevedra</t>
  </si>
  <si>
    <t>Lalín</t>
  </si>
  <si>
    <t>fontaneriaferga.com</t>
  </si>
  <si>
    <t>986 78 11 26</t>
  </si>
  <si>
    <t>info@fontaneriaferga.com</t>
  </si>
  <si>
    <t>Aleymar</t>
  </si>
  <si>
    <t>Av. Porteliña, 97, 36005 Poio, Pontevedra</t>
  </si>
  <si>
    <t>aleymar.com</t>
  </si>
  <si>
    <t>986 33 62 98</t>
  </si>
  <si>
    <t>info@aleymar.com</t>
  </si>
  <si>
    <t>José Carlos Freiria Maceira</t>
  </si>
  <si>
    <t>Carr. Portal-Valadares, 157, 36314 Vigo, Pontevedra</t>
  </si>
  <si>
    <t>Fontanería Chamorro</t>
  </si>
  <si>
    <t>Rúa dos Tranviarios, 9, 36210 Vigo, Pontevedra</t>
  </si>
  <si>
    <t>670 61 52 14</t>
  </si>
  <si>
    <t>Fontanería Jumar</t>
  </si>
  <si>
    <t>Calle Casteló, 25, 36470 Salceda de Caselas, Pontevedra</t>
  </si>
  <si>
    <t>Salceda de Caselas</t>
  </si>
  <si>
    <t>986 34 75 52</t>
  </si>
  <si>
    <t>Gestecon Instalaciones S.L.</t>
  </si>
  <si>
    <t>Estrada da Lamosa, 8, 36320 Chapela, Pontevedra</t>
  </si>
  <si>
    <t>655 62 62 32</t>
  </si>
  <si>
    <t>Manuel Domínguez Domínguez</t>
  </si>
  <si>
    <t>Calle Ores, 11, 36968 Meaño, Pontevedra</t>
  </si>
  <si>
    <t>Fontaneros Vigo - Reparaciones Urgentes 24h || Servicio inmediato: noche, día, domingos y festivos || Reparaciones, instalaciones, averías, fugas de agua, revisión de cisternas, grifos, tuberías, etc. Vigo y alrededores.</t>
  </si>
  <si>
    <t>695 50 02 70</t>
  </si>
  <si>
    <t>Geinselec S.L.</t>
  </si>
  <si>
    <t>Av. Benito Vigo, 78, 36680 A Estrada, Pontevedra</t>
  </si>
  <si>
    <t>La Estrada</t>
  </si>
  <si>
    <t>986 57 34 74</t>
  </si>
  <si>
    <t>Fontaneros Santiago</t>
  </si>
  <si>
    <t>H20 DETECT</t>
  </si>
  <si>
    <t>As Laxes, 16, 36634 Cambados, Pontevedra</t>
  </si>
  <si>
    <t>Cambados</t>
  </si>
  <si>
    <t>h2odetect.es</t>
  </si>
  <si>
    <t>600 22 30 47</t>
  </si>
  <si>
    <t>info@h2odetect.es</t>
  </si>
  <si>
    <t>Manitas</t>
  </si>
  <si>
    <t>Rúa de Urzaiz, 63, 36201 Vigo, Pontevedra</t>
  </si>
  <si>
    <t>625 95 00 74</t>
  </si>
  <si>
    <t>Comercial Bastos</t>
  </si>
  <si>
    <t>Av. da Concordia, 85, 36700 Tui, Pontevedra</t>
  </si>
  <si>
    <t>Tuy</t>
  </si>
  <si>
    <t>comercialbastos.com</t>
  </si>
  <si>
    <t>986 91 82 63</t>
  </si>
  <si>
    <t>webmaster@comercialbastos.com</t>
  </si>
  <si>
    <t>Fontaneria y Calefaccion Brandariz SLU</t>
  </si>
  <si>
    <t>Rúa do Rodo, 39, 36500 Lalín, Pontevedra</t>
  </si>
  <si>
    <t>brandariz.es</t>
  </si>
  <si>
    <t>659 98 24 06</t>
  </si>
  <si>
    <t>info@brandariz.es</t>
  </si>
  <si>
    <t>K2 Goalex S.L</t>
  </si>
  <si>
    <t>Camiño dos Pazos, 2, 36202 Vigo, Pontevedra</t>
  </si>
  <si>
    <t>986 23 87 95</t>
  </si>
  <si>
    <t>Hermanos Riopa</t>
  </si>
  <si>
    <t>Calle Lameiro, 39, 36110 Campo Lameiro, Pontevedra</t>
  </si>
  <si>
    <t>Campo Lameiro</t>
  </si>
  <si>
    <t>Cumbre Canalón</t>
  </si>
  <si>
    <t>Rua, 1, C, 36637 O Porrelo, Pontevedra</t>
  </si>
  <si>
    <t>O Porrelo</t>
  </si>
  <si>
    <t>cumbrecanalon.com</t>
  </si>
  <si>
    <t>649 82 09 05</t>
  </si>
  <si>
    <t>info@cumbrecanalon.com</t>
  </si>
  <si>
    <t>Rúa Pablo Picasso, 21, 36611 Vilaxoan, Pontevedra</t>
  </si>
  <si>
    <t>Villajuan</t>
  </si>
  <si>
    <t>986 90 06 07</t>
  </si>
  <si>
    <t>Fontanería Yago Figueroa</t>
  </si>
  <si>
    <t>Rúa de Vigo, 36470 Salceda de Caselas, Pontevedra</t>
  </si>
  <si>
    <t>645 14 27 94</t>
  </si>
  <si>
    <t>Distribuciones Diéguez S.A.</t>
  </si>
  <si>
    <t>Rúa do Gandarón, 99, 36214 Vigo, Pontevedra</t>
  </si>
  <si>
    <t>986 26 14 83</t>
  </si>
  <si>
    <t>Moreira &amp;amp; Cía</t>
  </si>
  <si>
    <t>Rúa do Conde de Torrecedeira, 14, 36202 Vigo, Pontevedra</t>
  </si>
  <si>
    <t>986 44 14 11</t>
  </si>
  <si>
    <t>Instalaciones Reifer S L</t>
  </si>
  <si>
    <t>Calle Gondar De Abaixo, 36, Noalla ( San Esteban P )</t>
  </si>
  <si>
    <t>Noalla ( San Esteban P )</t>
  </si>
  <si>
    <t>986 74 55 37</t>
  </si>
  <si>
    <t>Combrey S L</t>
  </si>
  <si>
    <t>Rúa Pedroso, 0, 36618 Casal ( O ), Pontevedra</t>
  </si>
  <si>
    <t>O Nogueirido</t>
  </si>
  <si>
    <t>986 51 00 99</t>
  </si>
  <si>
    <t>Fernando Barros Bascoy</t>
  </si>
  <si>
    <t>Rúa Alta, 22, 36202 Vigo, Pontevedra</t>
  </si>
  <si>
    <t>Heber</t>
  </si>
  <si>
    <t>Estrada Beirán, 11, 36213 Vigo, Pontevedra</t>
  </si>
  <si>
    <t>Canalones Ramilu - Reyba</t>
  </si>
  <si>
    <t>Cño. Miraflores, 17, 36693 Redondela, Pontevedra</t>
  </si>
  <si>
    <t>canalonesramilu.com</t>
  </si>
  <si>
    <t>986 40 02 12</t>
  </si>
  <si>
    <t>info@canalonesramilu.com</t>
  </si>
  <si>
    <t>Fontanero en Pontevedra</t>
  </si>
  <si>
    <t>Praza Augusto García Sánchez, 12, 36003 Pontevedra</t>
  </si>
  <si>
    <t>607 45 09 72</t>
  </si>
  <si>
    <t>Arqueta Desatascos - Empresa de desatascos urgentes 24 horas en La Rioja</t>
  </si>
  <si>
    <t>608 57 10 42</t>
  </si>
  <si>
    <t>Fontanería Godoy</t>
  </si>
  <si>
    <t>Calle Trinidad, 1, 26005 Logroño, La Rioja</t>
  </si>
  <si>
    <t>fontaneria-godoy.com</t>
  </si>
  <si>
    <t>658 85 83 89</t>
  </si>
  <si>
    <t>info@fontaneria-godoy.com</t>
  </si>
  <si>
    <t>Saneamientos Amatriain</t>
  </si>
  <si>
    <t>Calle Gral. Iriarte, 6, 26500 Calahorra, La Rioja</t>
  </si>
  <si>
    <t>saneamientosamatriain.es</t>
  </si>
  <si>
    <t>941 13 45 24</t>
  </si>
  <si>
    <t>Zorzano Fontanería</t>
  </si>
  <si>
    <t>Calle San Isidro, 3, bajo, 26142 Villamediana de Iregua, La Rioja</t>
  </si>
  <si>
    <t>609 96 59 41</t>
  </si>
  <si>
    <t>Fontanería Bustillo Aranda</t>
  </si>
  <si>
    <t>Calle la Alameda, 3, 26250 Santo Domingo de la Calzada, La Rioja</t>
  </si>
  <si>
    <t>Santo Domingo de la Calzada</t>
  </si>
  <si>
    <t>fontaneriabustilloaranda.com</t>
  </si>
  <si>
    <t>636 80 30 11</t>
  </si>
  <si>
    <t>#Fontanero @Miguel (Reparaciones en General)</t>
  </si>
  <si>
    <t>Plaza Castañares de Rioja, 3, 26200 Haro, La Rioja</t>
  </si>
  <si>
    <t>Haro</t>
  </si>
  <si>
    <t>677 38 57 34</t>
  </si>
  <si>
    <t>Termonorte Rioja SA</t>
  </si>
  <si>
    <t>Calle Circunde, 30, 26006 Logroño, La Rioja</t>
  </si>
  <si>
    <t>termonorterioja.com</t>
  </si>
  <si>
    <t>941 44 53 48</t>
  </si>
  <si>
    <t>info@termonorterioja.com</t>
  </si>
  <si>
    <t>Saneamientos Soriano S L</t>
  </si>
  <si>
    <t>Calle Arrabal la Estrella, 28, 26300 Nájera, La Rioja</t>
  </si>
  <si>
    <t>Nájera</t>
  </si>
  <si>
    <t>941 36 21 20</t>
  </si>
  <si>
    <t>Zabaleta</t>
  </si>
  <si>
    <t>Calle Alcalde Emilio Francés, 19, 23, 26004 Logroño, La Rioja</t>
  </si>
  <si>
    <t>zabaleta.center</t>
  </si>
  <si>
    <t>941 24 81 99</t>
  </si>
  <si>
    <t>Heras Gutiérrez</t>
  </si>
  <si>
    <t>Calle Gral. Iriarte, 30, 26500 Calahorra, La Rioja</t>
  </si>
  <si>
    <t>herasgutierrez.com</t>
  </si>
  <si>
    <t>941 13 45 97</t>
  </si>
  <si>
    <t>hg@herasgutierrez.com</t>
  </si>
  <si>
    <t>Mazo Servicios (Saneamientos Mazo)</t>
  </si>
  <si>
    <t>Calle Hermano Lino Martínez, 2, 26580 Arnedo, La Rioja</t>
  </si>
  <si>
    <t>941 38 09 59</t>
  </si>
  <si>
    <t>Instalaciones Enrique Pérez,S.L.</t>
  </si>
  <si>
    <t>Av. de Zaragoza, 12, 26540 Alfaro, La Rioja</t>
  </si>
  <si>
    <t>Alfaro</t>
  </si>
  <si>
    <t>geotermiasolar.net</t>
  </si>
  <si>
    <t>941 18 16 60</t>
  </si>
  <si>
    <t>info@geotermiasolar.net</t>
  </si>
  <si>
    <t>Instalaciones Tirón</t>
  </si>
  <si>
    <t>Av. Logroño, 9, 26200 Haro, La Rioja</t>
  </si>
  <si>
    <t>itiron.es</t>
  </si>
  <si>
    <t>941 31 09 82</t>
  </si>
  <si>
    <t>itiron@itiron.es</t>
  </si>
  <si>
    <t>Martin Fontanería</t>
  </si>
  <si>
    <t>Calle Duques de Nájera, 72, BAJO, 26005 Logroño, La Rioja</t>
  </si>
  <si>
    <t>941 20 46 99</t>
  </si>
  <si>
    <t>Fontaneria Murillo</t>
  </si>
  <si>
    <t>Venta de la Estrella Kalea, 6, pab. 112, 01006 Vitoria-Gasteiz, Álava</t>
  </si>
  <si>
    <t>Álava</t>
  </si>
  <si>
    <t>646 41 86 45</t>
  </si>
  <si>
    <t>Zabaleta - Logroño (Almacén Regulador Central)</t>
  </si>
  <si>
    <t>Calle Las Cañas, 83, 26009 Logroño, La Rioja</t>
  </si>
  <si>
    <t>Fontanería RESA</t>
  </si>
  <si>
    <t>Voluntaria Entrega Kalea, 35, 01010 Gasteiz, Araba</t>
  </si>
  <si>
    <t>945 27 81 38</t>
  </si>
  <si>
    <t>Fontaneria Sangar Logroño. La Rioja</t>
  </si>
  <si>
    <t>Calle Barrera, 16, 26005 Logroño, La Rioja</t>
  </si>
  <si>
    <t>atencionweb.es</t>
  </si>
  <si>
    <t>941 47 02 63</t>
  </si>
  <si>
    <t>FONTANERÍA RECIO - FONTANERO EN LANCIEGO - FONTANERIA EN LANCIEGO</t>
  </si>
  <si>
    <t>Hoyanco Kalea, 26, 01308 Lantziego, Araba</t>
  </si>
  <si>
    <t>Lanciego</t>
  </si>
  <si>
    <t>659 93 19 80</t>
  </si>
  <si>
    <t>Valvuleria del Norte</t>
  </si>
  <si>
    <t>Calle Lardero, 45, 26002 Logroño, La Rioja</t>
  </si>
  <si>
    <t>941 24 10 60</t>
  </si>
  <si>
    <t>Fontanero- calefactor- J.M ( La Rioja )</t>
  </si>
  <si>
    <t>Av. Juan Carlos I, n20, 2a, 26200 Haro, La Rioja</t>
  </si>
  <si>
    <t>Avi Fontanería</t>
  </si>
  <si>
    <t>Julian de Apraiz Kalea, 9, 01012 Gasteiz, Araba</t>
  </si>
  <si>
    <t>avifontaneria.com</t>
  </si>
  <si>
    <t>945 22 02 88</t>
  </si>
  <si>
    <t>info@avifontaneria.com</t>
  </si>
  <si>
    <t>Márquez Fontanería</t>
  </si>
  <si>
    <t>Plaza Martínez Flamarique, 1, 26004 Logroño, La Rioja</t>
  </si>
  <si>
    <t>marquezfontaneria.com</t>
  </si>
  <si>
    <t>607 92 23 66</t>
  </si>
  <si>
    <t>Fontanería Calefacción Sabando</t>
  </si>
  <si>
    <t>Calle Linares Rivas, 32, 26200 Haro, La Rioja</t>
  </si>
  <si>
    <t>941 31 21 12</t>
  </si>
  <si>
    <t>Fontanero 24 Horas Pamplona - Onura</t>
  </si>
  <si>
    <t>Calle Remiro de Goñi, 31010 Pamplona, Navarra</t>
  </si>
  <si>
    <t>676 87 05 82</t>
  </si>
  <si>
    <t>Félix Jesús Alonso Aguero</t>
  </si>
  <si>
    <t>Calle Duques de Nájera, 6, 26002 Logroño, La Rioja</t>
  </si>
  <si>
    <t>941 25 53 56</t>
  </si>
  <si>
    <t>Fontanería la Moderna</t>
  </si>
  <si>
    <t>Calle Duquesa de la Victoria, 75, 26004 Logroño, La Rioja</t>
  </si>
  <si>
    <t>941 25 13 17</t>
  </si>
  <si>
    <t>Fontaneria Uztarroz S.l.</t>
  </si>
  <si>
    <t>Calle Monasterio de Belate, 5, 31011 Pamplona, Navarra</t>
  </si>
  <si>
    <t>fontaneriauztarroz.es</t>
  </si>
  <si>
    <t>948 17 55 27</t>
  </si>
  <si>
    <t>Pedro Vitoria Moreno</t>
  </si>
  <si>
    <t>Calle García Lorca, 11, 26500 Calahorra, La Rioja</t>
  </si>
  <si>
    <t>941 13 20 41</t>
  </si>
  <si>
    <t>Systemas y Fluidos Rioja S.L.</t>
  </si>
  <si>
    <t>Poligono la Yasa, 9, 26120 Albelda de Iregua, La Rioja</t>
  </si>
  <si>
    <t>Albelda de Iregua</t>
  </si>
  <si>
    <t>sistemasyfluidos.es</t>
  </si>
  <si>
    <t>941 44 33 32</t>
  </si>
  <si>
    <t>Fontanería Briel S.L.L.</t>
  </si>
  <si>
    <t>Calle Cipriano Olaso, 2, 31004 Pamplona, Navarra</t>
  </si>
  <si>
    <t>fontaneriabriel.com</t>
  </si>
  <si>
    <t>948 23 13 84</t>
  </si>
  <si>
    <t>info@fontaneriabriel.com</t>
  </si>
  <si>
    <t>Fontanería Y Calefacción Hnas Díez De Esteban S L</t>
  </si>
  <si>
    <t>Camino Calvario, 3, 31252 Berbinzana, Navarra</t>
  </si>
  <si>
    <t>Berbinzana</t>
  </si>
  <si>
    <t>948 72 22 22</t>
  </si>
  <si>
    <t>Fontanería Urederra</t>
  </si>
  <si>
    <t>Calle de Ororbia, 8, 31015 Pamplona, Navarra</t>
  </si>
  <si>
    <t>fontaneriaurederra.es</t>
  </si>
  <si>
    <t>666 61 83 93</t>
  </si>
  <si>
    <t>fontaneria dominguez instaladores autorizados</t>
  </si>
  <si>
    <t>Calle Mayor, 32, 26300 Nájera, La Rioja</t>
  </si>
  <si>
    <t>941 41 08 38</t>
  </si>
  <si>
    <t>Saneamientos Arnedo</t>
  </si>
  <si>
    <t>Calle pio Xll, 26580 Arnedo, La Rioja</t>
  </si>
  <si>
    <t>680 33 30 52</t>
  </si>
  <si>
    <t>Fontanería Martelo S C</t>
  </si>
  <si>
    <t>San Roque Kalea, 3, 01170 Legutio, Araba</t>
  </si>
  <si>
    <t>fontaneriamartelo.com</t>
  </si>
  <si>
    <t>945 45 50 16</t>
  </si>
  <si>
    <t>martelo.fonta@yahoo.es</t>
  </si>
  <si>
    <t>Fontanería Calefacción Gas E Instalacciones Petroliferas Michel S L</t>
  </si>
  <si>
    <t>30 trasera, Av. de la Baja Navarra, 31004 Pamplona, Navarra</t>
  </si>
  <si>
    <t>948 23 14 66</t>
  </si>
  <si>
    <t>Fontanería Y Calefacción Pedro Daroca Padilla</t>
  </si>
  <si>
    <t>Calle Barrio las Bodegas, 120, 2, 26375 Entrena, La Rioja</t>
  </si>
  <si>
    <t>Entrena</t>
  </si>
  <si>
    <t>941 44 62 39</t>
  </si>
  <si>
    <t>Fontanería Royber</t>
  </si>
  <si>
    <t>Paraguay Kalea, 19, BJ, 01012 Vitoria-Gasteiz, Álava</t>
  </si>
  <si>
    <t>royber.es</t>
  </si>
  <si>
    <t>945 28 47 33</t>
  </si>
  <si>
    <t>Fontaneria Berrio</t>
  </si>
  <si>
    <t>Plaza Mendikur, 3, 31160 Orcoyen, Navarra</t>
  </si>
  <si>
    <t>Orcoyen</t>
  </si>
  <si>
    <t>647 96 26 41</t>
  </si>
  <si>
    <t>Fontanería Guti</t>
  </si>
  <si>
    <t>20320 Legazpi (Legazpia), Gipuzkoa</t>
  </si>
  <si>
    <t>Legazpi (Legazpia)</t>
  </si>
  <si>
    <t>943 73 13 37</t>
  </si>
  <si>
    <t>Fontitur Fontanería</t>
  </si>
  <si>
    <t>San Clemente Kalea, 11, 01330 Labastida, Araba</t>
  </si>
  <si>
    <t>Bastida</t>
  </si>
  <si>
    <t>945 33 13 94</t>
  </si>
  <si>
    <t>Fontanería Paúl</t>
  </si>
  <si>
    <t>Av. Navarra, 13, 26550 Rincón de Soto, La Rioja</t>
  </si>
  <si>
    <t>Rincón de Soto</t>
  </si>
  <si>
    <t>615 59 85 54</t>
  </si>
  <si>
    <t>AGUALÓN</t>
  </si>
  <si>
    <t>Calle Juan Boscán, 18, 26006 Logroño, La Rioja</t>
  </si>
  <si>
    <t>670 95 82 39</t>
  </si>
  <si>
    <t>Instalaciones Llaría</t>
  </si>
  <si>
    <t>Calle Oscar Sáenz de Sta. María, 78, 26312 Tricio, La Rioja</t>
  </si>
  <si>
    <t>Tricio</t>
  </si>
  <si>
    <t>650 42 12 83</t>
  </si>
  <si>
    <t>Fontanería y Calefacción Hijos de Juan García S.L.</t>
  </si>
  <si>
    <t>Calle Fray Diego de Estella, 40, 31200 Estella, Navarra</t>
  </si>
  <si>
    <t>hijosdejuangarcia.com</t>
  </si>
  <si>
    <t>Fontanería Daniel Azofra</t>
  </si>
  <si>
    <t>Calle Gonzalo de Berceo, 5, 26300 Nájera, La Rioja</t>
  </si>
  <si>
    <t>941 36 00 84</t>
  </si>
  <si>
    <t>Alme</t>
  </si>
  <si>
    <t>Calle San Fernando, 75, 26300 Nájera, La Rioja</t>
  </si>
  <si>
    <t>941 36 22 00</t>
  </si>
  <si>
    <t>Fontanería Saneamientos OCHOA</t>
  </si>
  <si>
    <t>Calle León Gentico, 11, bajo, 26580 Arnedo, La Rioja</t>
  </si>
  <si>
    <t>609 87 17 66</t>
  </si>
  <si>
    <t>Fontanería López Cb</t>
  </si>
  <si>
    <t>Calle Cantabria, 8, 26004 Logroño, La Rioja</t>
  </si>
  <si>
    <t>941 23 44 08</t>
  </si>
  <si>
    <t>Fontanero Logroño Desatascos. Pequeñas reparaciones de fontanería</t>
  </si>
  <si>
    <t>Calle Río Ebro, 12, Portal 1 1ºA, 26140 Lardero, La Rioja</t>
  </si>
  <si>
    <t>Lardero</t>
  </si>
  <si>
    <t>633 38 81 31</t>
  </si>
  <si>
    <t>Desatascos Anselmo G.</t>
  </si>
  <si>
    <t>Calle Estambrera, 7, BAJO, 26006 Logroño, La Rioja</t>
  </si>
  <si>
    <t>desatascosanselmo.com</t>
  </si>
  <si>
    <t>670 28 28 79</t>
  </si>
  <si>
    <t>info@desatascosanselmo.com</t>
  </si>
  <si>
    <t>Hermanos Izura</t>
  </si>
  <si>
    <t>Calle Beire, 7, 31392 Pitillas, Navarra</t>
  </si>
  <si>
    <t>Pitillas</t>
  </si>
  <si>
    <t>izura.es</t>
  </si>
  <si>
    <t>948 74 51 08</t>
  </si>
  <si>
    <t>izura@izura.es</t>
  </si>
  <si>
    <t>SANEAMIENTOS CALAHORRA S.L.</t>
  </si>
  <si>
    <t>Rioja, la ES, Calle Algarrada, 2, 26500 Calahorra, La Rioja</t>
  </si>
  <si>
    <t>600 73 69 19</t>
  </si>
  <si>
    <t>jaher instalador fontaneria</t>
  </si>
  <si>
    <t>Calle Extremadura, 3, 2, 26570 Quel, La Rioja</t>
  </si>
  <si>
    <t>Quel</t>
  </si>
  <si>
    <t>941 39 23 25</t>
  </si>
  <si>
    <t>Fontanería Manuel Bustillo</t>
  </si>
  <si>
    <t>Calle Sor María de Leiva, 6, 26250 Santo Domingo de la Calzada, La Rioja</t>
  </si>
  <si>
    <t>manuelbustillo.com</t>
  </si>
  <si>
    <t>667 46 00 89</t>
  </si>
  <si>
    <t>info@manuelbustillos.com</t>
  </si>
  <si>
    <t>Fontanería Fernando Sáiz Padrones S L</t>
  </si>
  <si>
    <t>Av. Pamplona, 6, 31200 Estella, Navarra</t>
  </si>
  <si>
    <t>948 55 10 94</t>
  </si>
  <si>
    <t>Marín Fontanería</t>
  </si>
  <si>
    <t>Av. de Entrena, 15, 26140 Lardero, La Rioja</t>
  </si>
  <si>
    <t>marinfontaneria.es</t>
  </si>
  <si>
    <t>687 52 45 09</t>
  </si>
  <si>
    <t>//info@marinfontaneria.es</t>
  </si>
  <si>
    <t>Mena</t>
  </si>
  <si>
    <t>Calle A, 8 ( Poblado Ángeles ), 09200 Miranda de Ebro, Burgos</t>
  </si>
  <si>
    <t>947 31 11 85</t>
  </si>
  <si>
    <t>Miguel Urquiaga Ríos</t>
  </si>
  <si>
    <t>Calle Linares Rivas, 66, 26200 Haro, La Rioja</t>
  </si>
  <si>
    <t>941 31 26 10</t>
  </si>
  <si>
    <t>Fontanería Chuchi</t>
  </si>
  <si>
    <t>Calle de, Av. Manuel de Falla, 47, 5º-A, 26007 Logroño, La Rioja</t>
  </si>
  <si>
    <t>649 41 20 49</t>
  </si>
  <si>
    <t>Fontanería Y Gas Tafonca</t>
  </si>
  <si>
    <t>Calle Falces, 1, 31300 Tafalla, Navarra</t>
  </si>
  <si>
    <t>Tafalla</t>
  </si>
  <si>
    <t>948 70 08 72</t>
  </si>
  <si>
    <t>Hidrorioja S.C.</t>
  </si>
  <si>
    <t>Calle Quintiliano, 1, 26004 Logroño, La Rioja</t>
  </si>
  <si>
    <t>941 25 52 66</t>
  </si>
  <si>
    <t>Fontanería Sáinz</t>
  </si>
  <si>
    <t>Obispo Ballester Kalea, 50, 01002 Gasteiz, Araba</t>
  </si>
  <si>
    <t>José Luis Merino Cuevas</t>
  </si>
  <si>
    <t>Calle Dr. Remón, 5, 26560 Autol, La Rioja</t>
  </si>
  <si>
    <t>Autol</t>
  </si>
  <si>
    <t>Fontaneria Reinares S.L.</t>
  </si>
  <si>
    <t>Calle Duques de Nájera, 26002 Logroño, La Rioja</t>
  </si>
  <si>
    <t>Tecnosgas</t>
  </si>
  <si>
    <t>Calle Santiago, 5, 26001 Logroño, La Rioja</t>
  </si>
  <si>
    <t>tecnosgas.es</t>
  </si>
  <si>
    <t>649 89 91 79</t>
  </si>
  <si>
    <t>Saneamientos Merino S L</t>
  </si>
  <si>
    <t>Calle Sastres, 5, 26560 Autol, La Rioja</t>
  </si>
  <si>
    <t>639 70 58 03</t>
  </si>
  <si>
    <t>Félix León Fontaneria</t>
  </si>
  <si>
    <t>Calle Los Alamos, 4, 26300 Nájera, La Rioja</t>
  </si>
  <si>
    <t>Vitoria Fontaneros</t>
  </si>
  <si>
    <t>Pedro de Asua Kalea, 69, 01008 Gasteiz, Araba</t>
  </si>
  <si>
    <t>vitoriafontaneros.com</t>
  </si>
  <si>
    <t>945 03 90 02</t>
  </si>
  <si>
    <t>Fontaneria Mazo Calefaccion</t>
  </si>
  <si>
    <t>Av. Logroño, 26580 Arnedo, La Rioja</t>
  </si>
  <si>
    <t>Saneamientos Escalona</t>
  </si>
  <si>
    <t>Calle Ramón Subirán, 7, 26500 Calahorra, La Rioja</t>
  </si>
  <si>
    <t>escalona.negocio.site</t>
  </si>
  <si>
    <t>627 41 79 91</t>
  </si>
  <si>
    <t>Fontaneria Ros</t>
  </si>
  <si>
    <t>Calle Cerco Viejo, 16, 31100 Puente la Reina, Navarra</t>
  </si>
  <si>
    <t>Fontanería Y Calefacción Roncal</t>
  </si>
  <si>
    <t>Arriagako Atea Kalea, 33, BAJO, 01012 Vitoria-Gasteiz, Álava</t>
  </si>
  <si>
    <t>fontaneria-roncal.es</t>
  </si>
  <si>
    <t>945 22 32 86</t>
  </si>
  <si>
    <t>info@fontaneria-roncal.es</t>
  </si>
  <si>
    <t>Saneamientos Mazo</t>
  </si>
  <si>
    <t>Calle San Francisco de Asís, 0, 26580 Arnedo, La Rioja</t>
  </si>
  <si>
    <t>941 38 00 95</t>
  </si>
  <si>
    <t>Fontanería Tirapu</t>
  </si>
  <si>
    <t>Calle de Artica, 18, BAJO, 31014 Pamplona, Navarra</t>
  </si>
  <si>
    <t>solucionesamedida.com</t>
  </si>
  <si>
    <t>848 88 00 48</t>
  </si>
  <si>
    <t>Pedro González Reinares</t>
  </si>
  <si>
    <t>Calle Nueva, 4, 26130 Ribafrecha, La Rioja</t>
  </si>
  <si>
    <t>Ribafrecha</t>
  </si>
  <si>
    <t>Barsan Sa</t>
  </si>
  <si>
    <t>Calle Rey Pastor, 4, 26005 Logroño, La Rioja</t>
  </si>
  <si>
    <t>941 20 43 65</t>
  </si>
  <si>
    <t>Fontanero Económico</t>
  </si>
  <si>
    <t>Calle Monasterio Viejo de San Pedro, 7, Bajo, 31014 Pamplona, Navarra</t>
  </si>
  <si>
    <t>636 13 34 26</t>
  </si>
  <si>
    <t>Fontanería Álvarez</t>
  </si>
  <si>
    <t>Av de Benidorm, 31, 26580 Arnedo, La Rioja</t>
  </si>
  <si>
    <t>YGRA INSTALACIONES Y MANTENIMIENTOS SL</t>
  </si>
  <si>
    <t>Calle Circunde, 42, 26006 Logroño, La Rioja</t>
  </si>
  <si>
    <t>941 05 16 35</t>
  </si>
  <si>
    <t>Calle Mayor, 3, 09540 Trespaderne, Burgos</t>
  </si>
  <si>
    <t>Trespaderne</t>
  </si>
  <si>
    <t>Aclim Rioja</t>
  </si>
  <si>
    <t>Calle Baltasar Gracián, 10, 3ºC, 26006 Logroño, La Rioja</t>
  </si>
  <si>
    <t>658 20 18 64</t>
  </si>
  <si>
    <t>Fontanería Baquero S.L.</t>
  </si>
  <si>
    <t>Calle Justo Zoco, 36, 50600 Ejea de los Caballeros, Zaragoza</t>
  </si>
  <si>
    <t>Ejea de los Caballeros</t>
  </si>
  <si>
    <t>fontaneriabaquero.com</t>
  </si>
  <si>
    <t>976 66 00 92</t>
  </si>
  <si>
    <t>fontanería marín</t>
  </si>
  <si>
    <t>Plaza San Miguel, Nº 1, bajo dcha, 31110 Noáin, Navarra</t>
  </si>
  <si>
    <t>fontaneriamarin.com</t>
  </si>
  <si>
    <t>689 70 11 04</t>
  </si>
  <si>
    <t>Fontanería Sueskun</t>
  </si>
  <si>
    <t>Poligono Berriainz, 31195 Berrioplano, Navarra</t>
  </si>
  <si>
    <t>Berrioplano</t>
  </si>
  <si>
    <t>fontaneriasueskun.es</t>
  </si>
  <si>
    <t>619 60 23 46</t>
  </si>
  <si>
    <t>i.sueskun@fontaneriasueskun.es</t>
  </si>
  <si>
    <t>Fontanería Gilmar</t>
  </si>
  <si>
    <t>Camino Viejo, 4, 26292 Villalba de Rioja, La Rioja</t>
  </si>
  <si>
    <t>Villalba de Rioja</t>
  </si>
  <si>
    <t>fontaneria-gilmar.negocio.site</t>
  </si>
  <si>
    <t>629 57 69 68</t>
  </si>
  <si>
    <t>Sapemar</t>
  </si>
  <si>
    <t>Calle Padre Marín, 25, 26004 Logroño, La Rioja</t>
  </si>
  <si>
    <t>Aisa Fontanería Y Calefacción</t>
  </si>
  <si>
    <t>Calle Fuente Vieja, 4, 31240 Ayegui, Navarra</t>
  </si>
  <si>
    <t>Ayegui</t>
  </si>
  <si>
    <t>Fontanería Etayo</t>
  </si>
  <si>
    <t>Calle Escalzos, 46, 31293 Sesma, Navarra</t>
  </si>
  <si>
    <t>Sesma</t>
  </si>
  <si>
    <t>948 69 83 73</t>
  </si>
  <si>
    <t>Servirioja Proyectos Instalaciones S L</t>
  </si>
  <si>
    <t>Calle Tenerías, 6, 26200 Haro, La Rioja</t>
  </si>
  <si>
    <t>servirioja.40.ylos.com</t>
  </si>
  <si>
    <t>941 31 10 80</t>
  </si>
  <si>
    <t>Electricidad Y Fontaneria Alvarez Instaladores Autorizados</t>
  </si>
  <si>
    <t>Calle Ángel Beriáin, 26580 Arnedo, La Rioja</t>
  </si>
  <si>
    <t>Fontaneria Michel</t>
  </si>
  <si>
    <t>Unnamed Road, 31016, 31016, Navarra</t>
  </si>
  <si>
    <t>FONTANEROS VITORIA REPARAR24</t>
  </si>
  <si>
    <t>Calle del Duque de Wellington, 26, 01010 Gasteiz, Araba</t>
  </si>
  <si>
    <t>reparar24.com</t>
  </si>
  <si>
    <t>629 98 71 14</t>
  </si>
  <si>
    <t>Reparar2424@gmail.com</t>
  </si>
  <si>
    <t>Fontanería Industrial Goicasol S.L.</t>
  </si>
  <si>
    <t>Polígono Fuente del Rey, Nave 7, 31300 Tafalla, Navarra</t>
  </si>
  <si>
    <t>fontaneriaindustrial.com</t>
  </si>
  <si>
    <t>948 70 02 95</t>
  </si>
  <si>
    <t>Zumaran Instalaciones Y Mantenimiento S L</t>
  </si>
  <si>
    <t>Camino las Bodegas, 1, 26141 Alberite, La Rioja</t>
  </si>
  <si>
    <t>Alberite</t>
  </si>
  <si>
    <t>941 43 66 34</t>
  </si>
  <si>
    <t>Fontanería Rubén Álava</t>
  </si>
  <si>
    <t>fontanerotudela.es</t>
  </si>
  <si>
    <t>629 00 90 33</t>
  </si>
  <si>
    <t>Suministros Urbasa Sl</t>
  </si>
  <si>
    <t>Calle Mercatondoa Kalea, 20, 31200 Estella, Navarra</t>
  </si>
  <si>
    <t>suministrosurbasa.es</t>
  </si>
  <si>
    <t>948 54 67 75</t>
  </si>
  <si>
    <t>info@suministrosurbasa.es</t>
  </si>
  <si>
    <t>Fontanería Alonso</t>
  </si>
  <si>
    <t>Travesía Ave María, 9, 31014 Pamplona, Navarra</t>
  </si>
  <si>
    <t>fontaneriaalonso.com</t>
  </si>
  <si>
    <t>696 97 99 56</t>
  </si>
  <si>
    <t>info@fontaneriaalonso.com</t>
  </si>
  <si>
    <t>Iñigo Fontanería</t>
  </si>
  <si>
    <t>Calle Ventilla, 41, 26200 Haro, La Rioja</t>
  </si>
  <si>
    <t>Fontanería Koldo Esteban S.L.</t>
  </si>
  <si>
    <t>Madrid Kalea, 8, 01002 Gasteiz, Araba</t>
  </si>
  <si>
    <t>Fontaneria Ales</t>
  </si>
  <si>
    <t>Calle Campana, 5, Bajo, 31001 Pamplona, Navarra</t>
  </si>
  <si>
    <t>626 00 17 77</t>
  </si>
  <si>
    <t>Aguas Velilla S L</t>
  </si>
  <si>
    <t>Plaza Roturo, 0, 26511 Villar De Arnedo ( El ), La Rioja</t>
  </si>
  <si>
    <t>El Villar de Arnedo</t>
  </si>
  <si>
    <t>941 15 99 27</t>
  </si>
  <si>
    <t>Fonroca</t>
  </si>
  <si>
    <t>Av. de la Santa Cruz, 5, 26570 Quel, La Rioja</t>
  </si>
  <si>
    <t>Fontanería Pablo</t>
  </si>
  <si>
    <t>Calle Guipúzcoa, 4, 31800 Alsasua – Altsasu, Navarra</t>
  </si>
  <si>
    <t>Alsasua</t>
  </si>
  <si>
    <t>948 56 34 64</t>
  </si>
  <si>
    <t>Fontanería Manasor s.l.</t>
  </si>
  <si>
    <t>manasor.net</t>
  </si>
  <si>
    <t>Fontanería y calefacción Salas</t>
  </si>
  <si>
    <t>Calle Ramón Salazar, 3, 26250 Santo Domingo de la Calzada, La Rioja</t>
  </si>
  <si>
    <t>615 40 22 01</t>
  </si>
  <si>
    <t>YERMO Fontanería, Calefacción, Climatización, Gas y Aire Acondicionado</t>
  </si>
  <si>
    <t>Bajo, 31013, Calle Lekoartea, 16, bajo, 31013 Berriozar, Navarra</t>
  </si>
  <si>
    <t>Berriozar</t>
  </si>
  <si>
    <t>848 88 00 25</t>
  </si>
  <si>
    <t>Saltoki Pamplona</t>
  </si>
  <si>
    <t>Polígono Industrial Landaben, Calle A, S/N, 31012 Pamplona, Navarra</t>
  </si>
  <si>
    <t>948 18 90 18</t>
  </si>
  <si>
    <t>INBESA</t>
  </si>
  <si>
    <t>Calle San Fernando, 130, Nave 1A, 26300 Nájera, La Rioja</t>
  </si>
  <si>
    <t>inbesa.es</t>
  </si>
  <si>
    <t>607 27 35 10</t>
  </si>
  <si>
    <t>info@inbesa.es</t>
  </si>
  <si>
    <t>Fontanería Balenciaga</t>
  </si>
  <si>
    <t>Aralar Kalea, 47, 31870 Lekunberri, Navarre</t>
  </si>
  <si>
    <t>Lekunberri</t>
  </si>
  <si>
    <t>Navarre</t>
  </si>
  <si>
    <t>629 45 28 27</t>
  </si>
  <si>
    <t>Lorenzo Villanueva Hoyuelos</t>
  </si>
  <si>
    <t>Calle San Lázaro, 11, 26280 Ezcaray, La Rioja</t>
  </si>
  <si>
    <t>Ezcaray</t>
  </si>
  <si>
    <t>941 35 43 48</t>
  </si>
  <si>
    <t>Fontanería Ros S.L.</t>
  </si>
  <si>
    <t>Calle Zabaltzagain, 10, 31100 Puente la Reina, Navarra</t>
  </si>
  <si>
    <t>Amutio</t>
  </si>
  <si>
    <t>Calle Mayor, 25, 26324 Alesanco, La Rioja</t>
  </si>
  <si>
    <t>Alesanco</t>
  </si>
  <si>
    <t>Fontanería Hnos. Serrano</t>
  </si>
  <si>
    <t>Av. Pérez Galdós, 78, 26005 Logroño, La Rioja</t>
  </si>
  <si>
    <t>626 63 73 93</t>
  </si>
  <si>
    <t>Daniel Ambrosi Cordón</t>
  </si>
  <si>
    <t>Calle Fuente, 23, 26510 Pradejón, La Rioja</t>
  </si>
  <si>
    <t>Pradejón</t>
  </si>
  <si>
    <t>Fonairgas S.L.</t>
  </si>
  <si>
    <t>Calle Rey Pastor, 31, 26005 Logroño, La Rioja</t>
  </si>
  <si>
    <t>941 20 43 32</t>
  </si>
  <si>
    <t>Av. Pío XII, 4, 26580 Arnedo, La Rioja</t>
  </si>
  <si>
    <t>Fontanería La Perla S L</t>
  </si>
  <si>
    <t>S N, Polígono Industrial Kaltzadako, 0, 01470 Amurrio, Álava</t>
  </si>
  <si>
    <t>German Iturgintza Fontanería</t>
  </si>
  <si>
    <t>Goierri Kalea, 20240 Ordizia, Gipuzkoa</t>
  </si>
  <si>
    <t>Villafranca de Ordicia</t>
  </si>
  <si>
    <t>Jesús Mozo Fontanería</t>
  </si>
  <si>
    <t>San Anton Kalea, 41, 31830 Lakuntza, Navarre</t>
  </si>
  <si>
    <t>Lacunza</t>
  </si>
  <si>
    <t>689 70 29 50</t>
  </si>
  <si>
    <t>Fontanería Miranda</t>
  </si>
  <si>
    <t>Baron de Benasque Kalea, 12, 01212 Urizaharra, Araba</t>
  </si>
  <si>
    <t>Peñacerrada</t>
  </si>
  <si>
    <t>655 81 41 48</t>
  </si>
  <si>
    <t>TERMAS Instalaciomes Termicas</t>
  </si>
  <si>
    <t>Ctra. de Murillo, 6b, 26500 Calahorra, La Rioja</t>
  </si>
  <si>
    <t>941 13 52 48</t>
  </si>
  <si>
    <t>Fontaneria Y Climatizacion Navarra Sl</t>
  </si>
  <si>
    <t>Calle Tajonar, 5, 31192 Pamplona, Navarra</t>
  </si>
  <si>
    <t>Carlos Planes García</t>
  </si>
  <si>
    <t>Calle León, 14, 26540 Alfaro, La Rioja</t>
  </si>
  <si>
    <t>941 18 41 74</t>
  </si>
  <si>
    <t>Fontaneria-Calefaccion Jose Miguel Muñoz Parra</t>
  </si>
  <si>
    <t>Calle Amistad, 37, 31570 San Adrián, Navarra</t>
  </si>
  <si>
    <t>San Adrián</t>
  </si>
  <si>
    <t>675 76 50 51</t>
  </si>
  <si>
    <t>Bienvenido Bustillo Viela Y Dos S.C.</t>
  </si>
  <si>
    <t>Calle Mayor, 52, 26250 Santo Domingo de la Calzada, La Rioja</t>
  </si>
  <si>
    <t>941 34 11 55</t>
  </si>
  <si>
    <t>Fontanería Alotza</t>
  </si>
  <si>
    <t>Bista Alai Kalea, 1, 20200 Beasain, Gipuzkoa</t>
  </si>
  <si>
    <t>Beasain</t>
  </si>
  <si>
    <t>943 88 66 61</t>
  </si>
  <si>
    <t>Fontanería Roberto Hernández S L</t>
  </si>
  <si>
    <t>Plaza la Fruta, 1, 31210 Los Arcos, Navarra</t>
  </si>
  <si>
    <t>Los Arcos</t>
  </si>
  <si>
    <t>Fontanería Y Calefacciones Hnos Tojal S L</t>
  </si>
  <si>
    <t>Jose Uruñuela Kalea, 3, 01006 Gasteiz, Araba</t>
  </si>
  <si>
    <t>Fontanería Caudal S. Microcooperativa</t>
  </si>
  <si>
    <t>Travesía Ave María, 25, 31014 Pamplona, Navarra</t>
  </si>
  <si>
    <t>fontaneriacaudal.es</t>
  </si>
  <si>
    <t>646 86 34 03</t>
  </si>
  <si>
    <t>cropped-logo-nav@2x-32x32.png</t>
  </si>
  <si>
    <t>JF Servicios | Fontaneros en Madrid</t>
  </si>
  <si>
    <t>Cl. de Ayala, 11, 28001 Madrid</t>
  </si>
  <si>
    <t>fontanerodeguardia.com</t>
  </si>
  <si>
    <t>911 79 61 37</t>
  </si>
  <si>
    <t>Fontaneros Express | Desatascos en Madrid</t>
  </si>
  <si>
    <t>Calle Pedro Campos, 22, 28019 Madrid</t>
  </si>
  <si>
    <t>fontanerosexpress.com</t>
  </si>
  <si>
    <t>info@fontanerosexpress.com</t>
  </si>
  <si>
    <t>Fontanería y Reformas Miguel</t>
  </si>
  <si>
    <t>Calle Pechuán, 12, 28002 Madrid</t>
  </si>
  <si>
    <t>reformasmiguel.com</t>
  </si>
  <si>
    <t>915 64 29 59</t>
  </si>
  <si>
    <t>Fontanería Fernando Tagle S.L</t>
  </si>
  <si>
    <t>Calle de Ricardo Ortiz, 14, 28017 Madrid</t>
  </si>
  <si>
    <t>fontaneriatagle.es</t>
  </si>
  <si>
    <t>639 88 10 99</t>
  </si>
  <si>
    <t>info@fontaneriatagle.es</t>
  </si>
  <si>
    <t>Fontaneria y Saneamientos TABEGA S.L</t>
  </si>
  <si>
    <t>Calle Sagrados Corazones, 17, 28011 Madrid</t>
  </si>
  <si>
    <t>fontaneriaysaneamientostabega.es</t>
  </si>
  <si>
    <t>914 79 12 02</t>
  </si>
  <si>
    <t>info@fontaneriaysaneamientostabega.es</t>
  </si>
  <si>
    <t>Reparacion de Calderas y Aire Acondicionado Fontanero Madrid Centro Roberto</t>
  </si>
  <si>
    <t>Calle Recesvinto, 28019 Madrid</t>
  </si>
  <si>
    <t>623 23 53 55</t>
  </si>
  <si>
    <t>Fontaneros Madrid Raul</t>
  </si>
  <si>
    <t>Acebeda, La</t>
  </si>
  <si>
    <t>fontanerosmadrid24horas.net</t>
  </si>
  <si>
    <t>Fontaneria Urgente Barrios</t>
  </si>
  <si>
    <t>fontaneriaurgentebarrios.es</t>
  </si>
  <si>
    <t>666 89 14 01</t>
  </si>
  <si>
    <t>info@fontaneriaurgentebarrios.es</t>
  </si>
  <si>
    <t>TODOTECNICOS24H S.L.</t>
  </si>
  <si>
    <t>Calle de Embajadores, 190, 28045 Madrid</t>
  </si>
  <si>
    <t>todotecnicos24h.com</t>
  </si>
  <si>
    <t>655 12 46 71</t>
  </si>
  <si>
    <t>FONTANEROS 24 HORAS MADRID</t>
  </si>
  <si>
    <t>Calle del Lucero, 12, Local D, 28047 Madrid</t>
  </si>
  <si>
    <t>fontaneros24horasmadrid.es</t>
  </si>
  <si>
    <t>652 66 18 46</t>
  </si>
  <si>
    <t>info@fontaneros24horasmadrid.es</t>
  </si>
  <si>
    <t>H2o Fontaneros - Empresa de fontanería en Alcorcon</t>
  </si>
  <si>
    <t>Calle Porto Colón, 6, posterios, locales 7-8, 28924 Alcorcón, Madrid</t>
  </si>
  <si>
    <t>h2ofontaneros.com</t>
  </si>
  <si>
    <t>607 41 57 32</t>
  </si>
  <si>
    <t>info@h2ofontaneros.com</t>
  </si>
  <si>
    <t>fontanero y desatascos</t>
  </si>
  <si>
    <t>C. de las Higuera, 84, 28047 Madrid</t>
  </si>
  <si>
    <t>609 17 75 88</t>
  </si>
  <si>
    <t>Fontanero en Madrid | Global Fontaneros</t>
  </si>
  <si>
    <t>Calle de Enrique Larreta, 4º, 28036 Madrid</t>
  </si>
  <si>
    <t>910 25 94 27</t>
  </si>
  <si>
    <t>Servicios Generales Naleo S.L.</t>
  </si>
  <si>
    <t>C. Cisneros, 25, 28921 Alcorcón, Madrid</t>
  </si>
  <si>
    <t>naleo.es</t>
  </si>
  <si>
    <t>655 04 71 76</t>
  </si>
  <si>
    <t>info@naleo.es</t>
  </si>
  <si>
    <t>Fontaneros Lavapies Economicos</t>
  </si>
  <si>
    <t>Calle del Amparo, 83, 28012 Madrid</t>
  </si>
  <si>
    <t>fontaneroslavapies.com</t>
  </si>
  <si>
    <t>644 68 57 97</t>
  </si>
  <si>
    <t>Instalaciones Máiquez S.l.</t>
  </si>
  <si>
    <t>Calle de Colombia, 11, BAJO(LOCAL2, 28016 Madrid</t>
  </si>
  <si>
    <t>914 57 32 43</t>
  </si>
  <si>
    <t>Calle de Gandía, 8, 28007 Madrid</t>
  </si>
  <si>
    <t>madridaverias.es</t>
  </si>
  <si>
    <t>653 00 79 01</t>
  </si>
  <si>
    <t>Fontanería Alejandro González 7</t>
  </si>
  <si>
    <t>Alejandro González, 7, 28028 Madrid</t>
  </si>
  <si>
    <t>fontaneromadrid.negocio.site</t>
  </si>
  <si>
    <t>634 20 90 93</t>
  </si>
  <si>
    <t>ELITE DESATRANCOS</t>
  </si>
  <si>
    <t>Calle de Ocaña, 203, 28047 Madrid</t>
  </si>
  <si>
    <t>elitedesatrancos.es</t>
  </si>
  <si>
    <t>646 75 07 00</t>
  </si>
  <si>
    <t>info@elitedesatrancos.es</t>
  </si>
  <si>
    <t>Fontaneros Chamartin 💦</t>
  </si>
  <si>
    <t>Av. de Alberto de Alcocer, 22, 28036 Madrid</t>
  </si>
  <si>
    <t>fontaneroschamartin.com.es</t>
  </si>
  <si>
    <t>644 30 21 39</t>
  </si>
  <si>
    <t>Fontaneros Usera</t>
  </si>
  <si>
    <t>fontanerosusera.es</t>
  </si>
  <si>
    <t>Fontaneros Hnos, Blanco</t>
  </si>
  <si>
    <t>Av. de Juan Andrés, 58, 28035 Madrid</t>
  </si>
  <si>
    <t>916 04 19 07</t>
  </si>
  <si>
    <t>Fontaneros San Blas Canillejas</t>
  </si>
  <si>
    <t>Calle Fernando VII, 5, 28037 Madrid</t>
  </si>
  <si>
    <t>fontanerossanblas.com.es</t>
  </si>
  <si>
    <t>Desatascos Madrid Económicos</t>
  </si>
  <si>
    <t>Cl. de la Hacienda de Pavones, 28030 Madrid</t>
  </si>
  <si>
    <t>desatascosmadridbaratos.es</t>
  </si>
  <si>
    <t>634 59 35 55</t>
  </si>
  <si>
    <t>Ahchagua S.L.</t>
  </si>
  <si>
    <t>Calle de Valderribas, 8, 28007 Madrid</t>
  </si>
  <si>
    <t>fontaneros-ahchagua-madrid.com</t>
  </si>
  <si>
    <t>915 51 13 89</t>
  </si>
  <si>
    <t>Fontaneria F. Garcia</t>
  </si>
  <si>
    <t>Costanilla de los Desamparados, 5, 28014 Madrid</t>
  </si>
  <si>
    <t>profesionalesbaratos.com</t>
  </si>
  <si>
    <t>667 37 55 22</t>
  </si>
  <si>
    <t>Fontaneros en Hortaleza - M.A.</t>
  </si>
  <si>
    <t>Calle Torregrosa, 25, 28043 Madrid</t>
  </si>
  <si>
    <t>691 85 69 35</t>
  </si>
  <si>
    <t>FONTANERIA VALIA - FONTANEROS MADRID</t>
  </si>
  <si>
    <t>Calle Alconera, 9, 28037 Madrid</t>
  </si>
  <si>
    <t>fontaneriavalia.es</t>
  </si>
  <si>
    <t>913 20 59 36</t>
  </si>
  <si>
    <t>Esteban Martinez. Fontaneria y desatascos</t>
  </si>
  <si>
    <t>C. de Ntra. Sra. de la Luz, 30, local, 28025 Madrid</t>
  </si>
  <si>
    <t>914 49 58 77</t>
  </si>
  <si>
    <t>Fontaneros Moratalaz Urgentes</t>
  </si>
  <si>
    <t>Calle Valdebernardo, 23, 28030 Madrid</t>
  </si>
  <si>
    <t>fontanerosmoratalaz.net</t>
  </si>
  <si>
    <t>Fontaneros Madrid Don Aviso</t>
  </si>
  <si>
    <t>donaviso.es</t>
  </si>
  <si>
    <t>910 32 72 13</t>
  </si>
  <si>
    <t>info@donaviso.es</t>
  </si>
  <si>
    <t>Saneamientos Gallardo</t>
  </si>
  <si>
    <t>Calle de Emilio Martín Encinas, 8, 28821 Coslada, Madrid</t>
  </si>
  <si>
    <t>Coslada</t>
  </si>
  <si>
    <t>916 71 28 96</t>
  </si>
  <si>
    <t>Fontaneros Manzano Hermanos</t>
  </si>
  <si>
    <t>Calle de Marceliano Santa María, 5, 28036 Madrid</t>
  </si>
  <si>
    <t>916 04 09 33</t>
  </si>
  <si>
    <t>Fontaneria Gas Instalaciones</t>
  </si>
  <si>
    <t>Calle del Mesón de Paredes, 77, 28012 Madrid</t>
  </si>
  <si>
    <t>Fontaneros Hortaleza</t>
  </si>
  <si>
    <t>Calle Pedro Alonso, 6, 28043 Madrid</t>
  </si>
  <si>
    <t>fontaneroshortaleza.net</t>
  </si>
  <si>
    <t>Fontaneros Madrid AM</t>
  </si>
  <si>
    <t>Calle Mariano Serrano, nº16, bajo, 28029 Madrid</t>
  </si>
  <si>
    <t>681 62 97 15</t>
  </si>
  <si>
    <t>MT Servicio fontaneria</t>
  </si>
  <si>
    <t>Calle Diamante, 4, 28224 Pozuelo de Alarcón, Madrid</t>
  </si>
  <si>
    <t>Pozuelo de Alarcón</t>
  </si>
  <si>
    <t>fontanerospozuelo.es</t>
  </si>
  <si>
    <t>FONTANERIA MALAQUIAS</t>
  </si>
  <si>
    <t>Calle Pico de los Artilleros, 7, 28030 Madrid</t>
  </si>
  <si>
    <t>913 71 31 30</t>
  </si>
  <si>
    <t>Instalaciones Rogui</t>
  </si>
  <si>
    <t>Calle de Blasa Pérez, 8, 28019 Madrid</t>
  </si>
  <si>
    <t>rogui.com</t>
  </si>
  <si>
    <t>914 71 21 37</t>
  </si>
  <si>
    <t>info@rogui.com</t>
  </si>
  <si>
    <t>NIU Fontaneria-Instalaciones-Reformas</t>
  </si>
  <si>
    <t>Calle del Capitán Blanco Argibay, 11, 28029 Madrid</t>
  </si>
  <si>
    <t>915 15 78 32</t>
  </si>
  <si>
    <t>C. de San Bernabé, 20, 28005 Madrid</t>
  </si>
  <si>
    <t>910 60 50 68</t>
  </si>
  <si>
    <t>Fontanería, Calefacción, Gas, Reformas, Pintura, Electricidad Comunidades y Avisos de Urgencia 691079961</t>
  </si>
  <si>
    <t>Calle Sallaberry, 44, 28019 Madrid</t>
  </si>
  <si>
    <t>691 07 99 61</t>
  </si>
  <si>
    <t>Fontanería Cifuentes</t>
  </si>
  <si>
    <t>Calle de Joaquín Lorenzo, 68, 28035 Madrid</t>
  </si>
  <si>
    <t>913 16 25 89</t>
  </si>
  <si>
    <t>Fontanería Ignacio S.L.</t>
  </si>
  <si>
    <t>Calle de Ercilla, 12, 28005 Madrid</t>
  </si>
  <si>
    <t>Fontaneros Vicalvaro ECONOMICOS</t>
  </si>
  <si>
    <t>Calle de Prat, 55, 28032 Madrid</t>
  </si>
  <si>
    <t>fontanerosvicalvaro.es</t>
  </si>
  <si>
    <t>644 83 28 69</t>
  </si>
  <si>
    <t>Fontanería Gas Calefacción TIP Carrasco</t>
  </si>
  <si>
    <t>Calle del General Cabrera, 13, 28020 Madrid</t>
  </si>
  <si>
    <t>915 79 16 62</t>
  </si>
  <si>
    <t>Fontanero en madrid 24 horas emergencias desatascos 24 horas</t>
  </si>
  <si>
    <t>Calle de Sta. Cruz de Marcenado, 31 7mo puer1616 17, 28015 Madrid</t>
  </si>
  <si>
    <t>659 76 25 49</t>
  </si>
  <si>
    <t>Mis Fontaneros</t>
  </si>
  <si>
    <t>Virgen de los Reyes,4 Madrid 28027, 28027 Madrid</t>
  </si>
  <si>
    <t>misfontaneros.com</t>
  </si>
  <si>
    <t>914 09 35 05</t>
  </si>
  <si>
    <t>info@arishandyman.com</t>
  </si>
  <si>
    <t>BOMBAS ELEVADORAS DE AGUA EN MADRID</t>
  </si>
  <si>
    <t>Travesía Cano, 4, 28023 Madrid</t>
  </si>
  <si>
    <t>610 28 42 09</t>
  </si>
  <si>
    <t>REYFESA SANEAMIENTOS</t>
  </si>
  <si>
    <t>Av. de la Virgen del Carmen, 59, 28033 Madrid</t>
  </si>
  <si>
    <t>670 40 61 58</t>
  </si>
  <si>
    <t>Fontaneros Barajas</t>
  </si>
  <si>
    <t>Calle Playa de San Juan, 3, 28042 Madrid</t>
  </si>
  <si>
    <t>fontanerosbarajas.es</t>
  </si>
  <si>
    <t>Fontaneros Urgentes Igor García</t>
  </si>
  <si>
    <t>Calle Amargura, 2, 3C, 28011 Madrid</t>
  </si>
  <si>
    <t>642 95 73 80</t>
  </si>
  <si>
    <t>Desatascos y Desatrancos | Madrid | Álvaro Fontaneros</t>
  </si>
  <si>
    <t>28025 Madrid</t>
  </si>
  <si>
    <t>alvarofontaneros.com</t>
  </si>
  <si>
    <t>info@alvarofontaneros.com</t>
  </si>
  <si>
    <t>Fontaneria Y Calefaccion Ricardo Martin</t>
  </si>
  <si>
    <t>Calle Buendía, 66, 28053 Madrid</t>
  </si>
  <si>
    <t>639 40 91 65</t>
  </si>
  <si>
    <t>Fontanero Calderas Aire Acondicionado Paracuellos</t>
  </si>
  <si>
    <t>Camino de la Granja, 28860 Paracuellos de Jarama, Madrid</t>
  </si>
  <si>
    <t>Paracuellos de Jarama</t>
  </si>
  <si>
    <t>623 25 20 15</t>
  </si>
  <si>
    <t>Fontanería Villén</t>
  </si>
  <si>
    <t>Calle de Juan de Olías, 30, 28020 Madrid</t>
  </si>
  <si>
    <t>610 54 40 79</t>
  </si>
  <si>
    <t>Fontanería V. Martín</t>
  </si>
  <si>
    <t>Calle de Doña Berenguela, 39, 28011 Madrid</t>
  </si>
  <si>
    <t>FONTANERIA RICARDO</t>
  </si>
  <si>
    <t>Calle del Chimbo, 15, 2º A, 28025 Madrid</t>
  </si>
  <si>
    <t>606 15 15 53</t>
  </si>
  <si>
    <t>Instalaciones de Fontaneria Reparaqua</t>
  </si>
  <si>
    <t>C/ del Áncora, 9, 28045 Madrid</t>
  </si>
  <si>
    <t>630 03 62 67</t>
  </si>
  <si>
    <t>Avenida de las Industrias 4 (Edificio 0 Oficina 1, c, 28108 Alcobendas, Madrid</t>
  </si>
  <si>
    <t>Saneamientos M.Angel</t>
  </si>
  <si>
    <t>Calle Mariano Vela, 20, 22, 28026 Madrid</t>
  </si>
  <si>
    <t>saneamientosmangel.net</t>
  </si>
  <si>
    <t>915 60 95 96</t>
  </si>
  <si>
    <t>Reformas y Fontanería Ventura-C, SL</t>
  </si>
  <si>
    <t>Cl. de Don Quijote, 41, 28020 Madrid</t>
  </si>
  <si>
    <t>915 33 41 95</t>
  </si>
  <si>
    <t>Fontaneros 24h Chamberí</t>
  </si>
  <si>
    <t>Glorieta de Quevedo, 9, 5ªplanta, 28015 Madrid</t>
  </si>
  <si>
    <t>Instalaciones Génova</t>
  </si>
  <si>
    <t>C/ Valle De Tobalina, 52, 28021 Madrid</t>
  </si>
  <si>
    <t>instalacionesgenova.es</t>
  </si>
  <si>
    <t>917 97 59 86</t>
  </si>
  <si>
    <t>administracion@instalacionesgenova.es</t>
  </si>
  <si>
    <t>Jt Saneamientos Juma S L</t>
  </si>
  <si>
    <t>Calle de Ntra. Sra. de Valverde, 21, 28034 Madrid</t>
  </si>
  <si>
    <t>917 34 25 93</t>
  </si>
  <si>
    <t>Rubio Segura</t>
  </si>
  <si>
    <t>Calle de Eugenio Sellés, 4, 28045 Madrid</t>
  </si>
  <si>
    <t>fontaneriarubiosegura.com</t>
  </si>
  <si>
    <t>696 86 46 15</t>
  </si>
  <si>
    <t>Aconinsa Construcciones En General Fontaneria -Ebanisteria</t>
  </si>
  <si>
    <t>Calle de Sta. Lucía, 14, 28004 Madrid</t>
  </si>
  <si>
    <t>910 91 31 85</t>
  </si>
  <si>
    <t>SMediterraneo Fontaneros instalaciones Aire Acondicionado Cargas de Gas Calefacción Calderas Gas en Madrid</t>
  </si>
  <si>
    <t>Av. de Fermina Sevillano, 21, 28022 Madrid</t>
  </si>
  <si>
    <t>smediterraneo.es</t>
  </si>
  <si>
    <t>680 54 64 31</t>
  </si>
  <si>
    <t>Fugas Express 24</t>
  </si>
  <si>
    <t>Calle Bruno Ayllón, 12, bajo nº9, 28020 Madrid</t>
  </si>
  <si>
    <t>fugasexpress24.es</t>
  </si>
  <si>
    <t>912 04 81 29</t>
  </si>
  <si>
    <t>info@fugasexpress24.es</t>
  </si>
  <si>
    <t>Saneamientos Ht S L</t>
  </si>
  <si>
    <t>Calle de Embajadores, 143, 28045 Madrid</t>
  </si>
  <si>
    <t>915 39 61 27</t>
  </si>
  <si>
    <t>Fontaneros Hortaleza Madrid</t>
  </si>
  <si>
    <t>Calle de las Pedroñeras, 17, 28043 Madrid</t>
  </si>
  <si>
    <t>Elfontanerourgente.com</t>
  </si>
  <si>
    <t>Calle Galileo, 3, nave 27 B, 28914 Leganés, Madrid</t>
  </si>
  <si>
    <t>elfontanerourgente.com</t>
  </si>
  <si>
    <t>649 62 36 57</t>
  </si>
  <si>
    <t>036contacto@elfontanerourgente.com</t>
  </si>
  <si>
    <t>Fontaneria Padilla 61</t>
  </si>
  <si>
    <t>Calle de Padilla, 61, 28006 Madrid</t>
  </si>
  <si>
    <t>676 67 25 01</t>
  </si>
  <si>
    <t>Fontaneros Madrid Fontaneros Cerca</t>
  </si>
  <si>
    <t>Calle del Mediodía Chica, 10, 28005 Madrid</t>
  </si>
  <si>
    <t>697 84 62 13</t>
  </si>
  <si>
    <t>Fontaneria Barrio Salamanca</t>
  </si>
  <si>
    <t>madridfunciona.com</t>
  </si>
  <si>
    <t>Fontaneros Chamberi - M.A.</t>
  </si>
  <si>
    <t>Calle de José Abascal, 44, 4ª, 28003 Madrid</t>
  </si>
  <si>
    <t>Fontanería Y Gas Collado SL</t>
  </si>
  <si>
    <t>Calle de Lope de Rueda, 28, 28009 Madrid</t>
  </si>
  <si>
    <t>914 31 34 26</t>
  </si>
  <si>
    <t>Fontanero Walter servicio fontanería urgente, Reparaciones 24 horas.</t>
  </si>
  <si>
    <t>Calle de San Claudio, 34, 28038 Madrid</t>
  </si>
  <si>
    <t>631 78 29 07</t>
  </si>
  <si>
    <t>Miguel Fontaneros</t>
  </si>
  <si>
    <t>Calle Valle-Inclan, 103, 28044 Madrid</t>
  </si>
  <si>
    <t>619 74 88 43</t>
  </si>
  <si>
    <t>FONTANERO MADRID</t>
  </si>
  <si>
    <t>Calle de Villalobos, 28018 Madrid</t>
  </si>
  <si>
    <t>fontanerotudy.negocio.site</t>
  </si>
  <si>
    <t>641 68 34 50</t>
  </si>
  <si>
    <t>Reparaciones24horas.es</t>
  </si>
  <si>
    <t>Calle de Luciente, 7, 28005 Madrid</t>
  </si>
  <si>
    <t>reparaciones24horas.es</t>
  </si>
  <si>
    <t>650 43 53 18</t>
  </si>
  <si>
    <t>info@reparaciones24horas.es</t>
  </si>
  <si>
    <t>ePIPE - Fontanería Sin Obras</t>
  </si>
  <si>
    <t>28002, C. del Segre, 27, 28002 Madrid</t>
  </si>
  <si>
    <t>epipe.es</t>
  </si>
  <si>
    <t>914 11 43 25</t>
  </si>
  <si>
    <t>Acevedo Fontaneria</t>
  </si>
  <si>
    <t>Calle Pico de los Artilleros, 25, 28030 Madrid</t>
  </si>
  <si>
    <t>917 73 42 89</t>
  </si>
  <si>
    <t>Paser2</t>
  </si>
  <si>
    <t>Calle de los Hermanos Gascón, 4, 28055 Madrid</t>
  </si>
  <si>
    <t>paser2.es</t>
  </si>
  <si>
    <t>618 28 62 61</t>
  </si>
  <si>
    <t>info@paser2.es</t>
  </si>
  <si>
    <t>Tu fontanero en Madrid</t>
  </si>
  <si>
    <t>Calle de la Golondrina, 28023 Madrid</t>
  </si>
  <si>
    <t>636 23 47 63</t>
  </si>
  <si>
    <t>FONTANERIA ELVIRA REFORMAS EN GENERAL</t>
  </si>
  <si>
    <t>Calle de Elvira, 2, 28028 Madrid</t>
  </si>
  <si>
    <t>649 18 30 10</t>
  </si>
  <si>
    <t>Fontanería y reformas Osyra</t>
  </si>
  <si>
    <t>Calle de Manuel Cortina, 7, 28010 Madrid</t>
  </si>
  <si>
    <t>914 47 90 35</t>
  </si>
  <si>
    <t>Fontanero rapido</t>
  </si>
  <si>
    <t>fontanero-ya.negocio.site</t>
  </si>
  <si>
    <t>691 92 39 56</t>
  </si>
  <si>
    <t>Sami Pascual Fontanero</t>
  </si>
  <si>
    <t>Plaza Ricla, 5, 28047 Madrid</t>
  </si>
  <si>
    <t>649 67 85 91</t>
  </si>
  <si>
    <t>Fontaneros Aluche Madrid</t>
  </si>
  <si>
    <t>Av. de Las Águilas, 125, 28044 Madrid</t>
  </si>
  <si>
    <t>644 83 39 09</t>
  </si>
  <si>
    <t>Saneamientos Farez</t>
  </si>
  <si>
    <t>Calle de Galileo, 55, 28015 Madrid</t>
  </si>
  <si>
    <t>Av Instalaciones</t>
  </si>
  <si>
    <t>Calle Dolores, 4, 28039 Madrid</t>
  </si>
  <si>
    <t>Reformas Fontanería</t>
  </si>
  <si>
    <t>Calle de Embajadores, 28045 Madrid</t>
  </si>
  <si>
    <t>El fontanero Molina</t>
  </si>
  <si>
    <t>Calle Arroyo de las Pilillas, 22, 28030 Madrid</t>
  </si>
  <si>
    <t>657 92 70 00</t>
  </si>
  <si>
    <t>Sabino Román Rodríguez</t>
  </si>
  <si>
    <t>Plaza Conde de Toreno, 2, 28015 Madrid</t>
  </si>
  <si>
    <t>915 47 65 27</t>
  </si>
  <si>
    <t>FONTANERO Y CALEFACCION GONZALEZ&amp;amp;D</t>
  </si>
  <si>
    <t>Calle de Bravo Murillo, 122, interior 113, 28020 Madrid</t>
  </si>
  <si>
    <t>Fontanero Especialista ~ Calefacción Madrid ~ Foncales</t>
  </si>
  <si>
    <t>Calle Humanes, 51, 28038 Madrid</t>
  </si>
  <si>
    <t>fontaneríaycalefacción.es</t>
  </si>
  <si>
    <t>659 21 41 99</t>
  </si>
  <si>
    <t>Calle de Mauricio Legendre, 15, 28046 Madrid</t>
  </si>
  <si>
    <t>652 93 59 64</t>
  </si>
  <si>
    <t>Saneamientos Martín</t>
  </si>
  <si>
    <t>Calle de Ramos Carrión, 3, 28002 Madrid</t>
  </si>
  <si>
    <t>914 15 54 89</t>
  </si>
  <si>
    <t>Virtual Data SLU</t>
  </si>
  <si>
    <t>Desatascos Madrid Tudela</t>
  </si>
  <si>
    <t>Calle Hermosila nº81 b, 28001 Madrid</t>
  </si>
  <si>
    <t>611 02 21 09</t>
  </si>
  <si>
    <t>Fontaneros Nolo Carabanchel</t>
  </si>
  <si>
    <t>fontaneroscarabanchel.com.es</t>
  </si>
  <si>
    <t>Pau Fontaneros</t>
  </si>
  <si>
    <t>Calle Villavendimio, 11, B, 28021 Madrid</t>
  </si>
  <si>
    <t>pau-fontaneros.negocio.site</t>
  </si>
  <si>
    <t>711 71 40 22</t>
  </si>
  <si>
    <t>MANU INSTALACIONES FONTANERO MADRID</t>
  </si>
  <si>
    <t>629 34 91 22</t>
  </si>
  <si>
    <t>fontaneria y albanileria exp</t>
  </si>
  <si>
    <t>Calle de la Duquesa de Tamames, 41, 28044 Madrid</t>
  </si>
  <si>
    <t>911 43 54 63</t>
  </si>
  <si>
    <t>FONTANERIA MADRID</t>
  </si>
  <si>
    <t>629 23 54 33</t>
  </si>
  <si>
    <t>SIRKUS MADRID</t>
  </si>
  <si>
    <t>C/ del Dr. Gómez Ulla, 18, 28028 Madrid</t>
  </si>
  <si>
    <t>sirkus.es</t>
  </si>
  <si>
    <t>615 28 71 44</t>
  </si>
  <si>
    <t>Saneamientos Orcasitas</t>
  </si>
  <si>
    <t>Plaza Memoria Vinculante, 10, local 1, 28041 Madrid</t>
  </si>
  <si>
    <t>910 18 51 23</t>
  </si>
  <si>
    <t>Fontaneros JM</t>
  </si>
  <si>
    <t>Calle Ramón Azorín, 14, B, 28047 Madrid</t>
  </si>
  <si>
    <t>678 24 21 47</t>
  </si>
  <si>
    <t>FONTANERÍA BARCELÓ</t>
  </si>
  <si>
    <t>915 62 57 99</t>
  </si>
  <si>
    <t>Fontanero felix</t>
  </si>
  <si>
    <t>Calle Quinto, 28043 Madrid</t>
  </si>
  <si>
    <t>cminstalacionescb.es</t>
  </si>
  <si>
    <t>669 46 39 60</t>
  </si>
  <si>
    <t>cminstalacionescb@gmail.com</t>
  </si>
  <si>
    <t>Olivan</t>
  </si>
  <si>
    <t>Calle Antonio Pérez, 17, 28002 Madrid</t>
  </si>
  <si>
    <t>915 61 72 52</t>
  </si>
  <si>
    <t>Fontaneros Madrid JP</t>
  </si>
  <si>
    <t>fontanerosmadrid-jp.es</t>
  </si>
  <si>
    <t>910 29 95 89</t>
  </si>
  <si>
    <t>Servicio fontanería</t>
  </si>
  <si>
    <t>Calle de Albox, 35, bajo d, 28025 Madrid</t>
  </si>
  <si>
    <t>climassin.com</t>
  </si>
  <si>
    <t>643 60 43 62</t>
  </si>
  <si>
    <t>Tu fontanero urgente</t>
  </si>
  <si>
    <t>Calle de Cebreros, 28011 Madrid</t>
  </si>
  <si>
    <t>tufontanerourgente.es</t>
  </si>
  <si>
    <t>683 18 20 97</t>
  </si>
  <si>
    <t>info@tufontanerourgente.es</t>
  </si>
  <si>
    <t>fontaneros casa de campo</t>
  </si>
  <si>
    <t>Paseo de la Puerta del Ángel, 1, 28011 Madrid</t>
  </si>
  <si>
    <t>fontaneroscasadecampo.com</t>
  </si>
  <si>
    <t>Fontanería GV</t>
  </si>
  <si>
    <t>Plaza de Puerto de la Cruz, 2, B, 28029 Madrid</t>
  </si>
  <si>
    <t>fontaneria-gv.negocio.site</t>
  </si>
  <si>
    <t>664 64 01 10</t>
  </si>
  <si>
    <t>Fontaneros - reparaciones - instalaciones Torrientes</t>
  </si>
  <si>
    <t>Calle de Santiago Ramón y Cajal, 139, 28939 Arroyomolinos, Madrid</t>
  </si>
  <si>
    <t>instalaciones-fontaneria.com</t>
  </si>
  <si>
    <t>916 41 89 74</t>
  </si>
  <si>
    <t>reparacionestorrientessl@yahoo.es</t>
  </si>
  <si>
    <t>Albeda Reparaciones Y Servicios SL</t>
  </si>
  <si>
    <t>630 44 36 60</t>
  </si>
  <si>
    <t>Suministros Mallorca</t>
  </si>
  <si>
    <t>Calle Castillejos, 3, 28039 Madrid</t>
  </si>
  <si>
    <t>914 50 99 12</t>
  </si>
  <si>
    <t>Conductos Sanitarios Cosan SL</t>
  </si>
  <si>
    <t>Calle del Abedul, 32, 28942 Fuenlabrada, Madrid</t>
  </si>
  <si>
    <t>cosansl.es</t>
  </si>
  <si>
    <t>916 15 66 72</t>
  </si>
  <si>
    <t>admin@cosansl.es</t>
  </si>
  <si>
    <t>Fontanería Los Chicos</t>
  </si>
  <si>
    <t>Calle Roma, 3, LOCAL A, 28850 Torrejón de Ardoz, Madrid</t>
  </si>
  <si>
    <t>Torrejón de Ardoz</t>
  </si>
  <si>
    <t>fontanerialoschicos.com</t>
  </si>
  <si>
    <t>916 77 80 10</t>
  </si>
  <si>
    <t>saneamientos@fontanerialoschicos.com</t>
  </si>
  <si>
    <t>Fontanería H y C</t>
  </si>
  <si>
    <t>Calle de Castellón de la Plana, 28, 28939 Arroyomolinos, Madrid</t>
  </si>
  <si>
    <t>fontaneria-h-y-c.negocio.site</t>
  </si>
  <si>
    <t>699 07 51 22</t>
  </si>
  <si>
    <t>Instalaciones Fontanería Moreiz SL</t>
  </si>
  <si>
    <t>Av. de Madrid, 25, Edificio C5 Oficina 7, 28500 Arganda del Rey, Madrid</t>
  </si>
  <si>
    <t>Arganda del Rey</t>
  </si>
  <si>
    <t>616 32 17 42</t>
  </si>
  <si>
    <t>Bonifacio Díaz Póstigo</t>
  </si>
  <si>
    <t>Calle de Anselmo Lorenzo, 25, 28044 Madrid</t>
  </si>
  <si>
    <t>P V G España</t>
  </si>
  <si>
    <t>Av. de Manoteras, 32, edificio c 1º, 28050 Madrid</t>
  </si>
  <si>
    <t>qlima.es</t>
  </si>
  <si>
    <t>916 11 31 13</t>
  </si>
  <si>
    <t>pvgspain@pvg.eu</t>
  </si>
  <si>
    <t>Fontaneria y Reformas</t>
  </si>
  <si>
    <t>Calle la Isla de Tabarca, 48, 28035 Madrid</t>
  </si>
  <si>
    <t>645 20 60 04</t>
  </si>
  <si>
    <t>Fontanería Merino</t>
  </si>
  <si>
    <t>Calle Lisboa, 17, 28850 Torrejón de Ardoz, Madrid</t>
  </si>
  <si>
    <t>fontaneriamerino.es</t>
  </si>
  <si>
    <t>639 33 90 03</t>
  </si>
  <si>
    <t>info@fontaneriamerino.es</t>
  </si>
  <si>
    <t>Hermanos Blanco</t>
  </si>
  <si>
    <t>Paseo de Madrid, 6, 28660 Boadilla del Monte, Madrid</t>
  </si>
  <si>
    <t>Boadilla del Monte</t>
  </si>
  <si>
    <t>hblanco.com</t>
  </si>
  <si>
    <t>Fontanero Madrid Parla</t>
  </si>
  <si>
    <t>Calle Carabanchel, 1Bis, 4D, 28981 Parla, Madrid</t>
  </si>
  <si>
    <t>Parla</t>
  </si>
  <si>
    <t>fontaneromadridparla.com</t>
  </si>
  <si>
    <t>652 14 44 81</t>
  </si>
  <si>
    <t>hector.aguero@fontaneroag.es</t>
  </si>
  <si>
    <t>Fontaneros Las Rozas</t>
  </si>
  <si>
    <t>Calle Camino Real, 6, 28230 Las Rozas de Madrid, Madrid</t>
  </si>
  <si>
    <t>Las Rozas de Madrid</t>
  </si>
  <si>
    <t>fontaneroslasrozas.es</t>
  </si>
  <si>
    <t>Fontaneros Fuenlabrada Becargas</t>
  </si>
  <si>
    <t>Paseo del Olimpo, 12, Piso 5 C, 28943 Fuenlabrada, Madrid</t>
  </si>
  <si>
    <t>serviciosfontaneriamadrid.com</t>
  </si>
  <si>
    <t>619 30 31 91</t>
  </si>
  <si>
    <t>Fontaneros las rozas</t>
  </si>
  <si>
    <t>C / San Cristobal, 7, 28290 Las Rozas de Madrid, Madrid</t>
  </si>
  <si>
    <t>638 68 76 84</t>
  </si>
  <si>
    <t>Hidalgo Fontanería</t>
  </si>
  <si>
    <t>Calle Islas Columbretes, 3, 28970 Humanes de Madrid, Madrid</t>
  </si>
  <si>
    <t>Humanes de Madrid</t>
  </si>
  <si>
    <t>661 40 89 94</t>
  </si>
  <si>
    <t>Tavera Fontaneria y Calefaccion, S.L.</t>
  </si>
  <si>
    <t>Camino de Navalcarnero, Nave 2, 28690 Brunete, Madrid</t>
  </si>
  <si>
    <t>Brunete</t>
  </si>
  <si>
    <t>918 15 83 69</t>
  </si>
  <si>
    <t>Fontanería Y Calefacción Gismero Sl</t>
  </si>
  <si>
    <t>Calle San Lorenzo, 29, 28890 Loeches, Madrid</t>
  </si>
  <si>
    <t>Loeches</t>
  </si>
  <si>
    <t>918 85 14 96</t>
  </si>
  <si>
    <t>Rolofont Torres de la Alameda</t>
  </si>
  <si>
    <t>Calle Madrid, 18, 28813 Torres de la Alameda, Madrid</t>
  </si>
  <si>
    <t>Torres de la Alameda</t>
  </si>
  <si>
    <t>918 85 87 54</t>
  </si>
  <si>
    <t>Francar Instalaciones</t>
  </si>
  <si>
    <t>Carr. de Galapagar, 1, 28270 Colmenarejo, Madrid</t>
  </si>
  <si>
    <t>Colmenarejo</t>
  </si>
  <si>
    <t>francarinstalaciones.es</t>
  </si>
  <si>
    <t>918 58 94 40</t>
  </si>
  <si>
    <t>info@francarinstalaciones.es</t>
  </si>
  <si>
    <t>Fontaneria Martin SL</t>
  </si>
  <si>
    <t>Glorieta del Tamarindo, 3, 28300 Aranjuez, Madrid</t>
  </si>
  <si>
    <t>Aranjuez</t>
  </si>
  <si>
    <t>918 91 64 00</t>
  </si>
  <si>
    <t>Fontanería Ferretería Farid C.B.</t>
  </si>
  <si>
    <t>Calle Gral. Pintos, 30, 52005 Melilla</t>
  </si>
  <si>
    <t>952 67 19 07</t>
  </si>
  <si>
    <t>Fontanería La Nueva</t>
  </si>
  <si>
    <t>Calle Cataluña, 58, 52006 Melilla</t>
  </si>
  <si>
    <t>fontanerialanueva.es</t>
  </si>
  <si>
    <t>952 67 26 60</t>
  </si>
  <si>
    <t>info@gilsansl.com</t>
  </si>
  <si>
    <t>Fontanería Fonsán</t>
  </si>
  <si>
    <t>Av. Reyes Católicos, 38, 52003 Melilla</t>
  </si>
  <si>
    <t>952 68 05 13</t>
  </si>
  <si>
    <t>Mohamed Oumahmadi El Baregragui</t>
  </si>
  <si>
    <t>609 88 15 66</t>
  </si>
  <si>
    <t>Enrique Ramos Valiente</t>
  </si>
  <si>
    <t>Calle Alicante, 4, 52001 Melilla</t>
  </si>
  <si>
    <t>Pronor Cuatro Caminos, S.L. (Bazán)</t>
  </si>
  <si>
    <t>Calle Álvaro de Bazán, 21, 52006 Melilla</t>
  </si>
  <si>
    <t>pronorsl.es</t>
  </si>
  <si>
    <t>952 67 98 33</t>
  </si>
  <si>
    <t>Pronor Cuatro Caminos S.L. (Sepes)</t>
  </si>
  <si>
    <t>P.I. Sepes Calle Jazmin Naves 13, 14, 15, 52006 Melilla</t>
  </si>
  <si>
    <t>952 67 83 69</t>
  </si>
  <si>
    <t>Fontaneria la nueva</t>
  </si>
  <si>
    <t>Calle Gral. Astilleros, 6, 52006 Melilla</t>
  </si>
  <si>
    <t>Montajes Eléctricos Fontanería Santana, S.L.</t>
  </si>
  <si>
    <t>Calle Ledesma, 3, 52001 Melilla</t>
  </si>
  <si>
    <t>Fontanero Melilla</t>
  </si>
  <si>
    <t>Calle Espaldas de Montes Tirados, 3</t>
  </si>
  <si>
    <t>3</t>
  </si>
  <si>
    <t>609 14 21 88</t>
  </si>
  <si>
    <t>Fonelec - Fontaneria</t>
  </si>
  <si>
    <t>Ctra. Hidum, 3, 52003 Melilla</t>
  </si>
  <si>
    <t>Fontaneria Pericón</t>
  </si>
  <si>
    <t>Calle Melilla, 13, 11140 Conil de la Frontera, Cádiz</t>
  </si>
  <si>
    <t>611 46 32 14</t>
  </si>
  <si>
    <t>Fontanero Reparacion de Calderas y Aire Acondicionado Torrejon de Ardoz</t>
  </si>
  <si>
    <t>Calle Melilla, 28850 Torrejón de Ardoz, Madrid</t>
  </si>
  <si>
    <t>633 76 58 44</t>
  </si>
  <si>
    <t>Lugar, Calle Casas Parra, 8, 30010 Murcia</t>
  </si>
  <si>
    <t>fontaneria-lopez.negocio.site</t>
  </si>
  <si>
    <t>622 28 22 20</t>
  </si>
  <si>
    <t>Fontanería Javier</t>
  </si>
  <si>
    <t>Bajo, Calle San Antón, 18C, 30009 Murcia</t>
  </si>
  <si>
    <t>676 54 85 48</t>
  </si>
  <si>
    <t>Ambar Fontanería</t>
  </si>
  <si>
    <t>Plaza Circular, 4, 30008 Murcia</t>
  </si>
  <si>
    <t>FONTANERO MURCIA</t>
  </si>
  <si>
    <t>Calle Pío Tejera, 10, 3a, 30005 Murcia</t>
  </si>
  <si>
    <t>fontaneromurcia.es</t>
  </si>
  <si>
    <t>679 47 97 07</t>
  </si>
  <si>
    <t>Desatascos Murcia Economicos</t>
  </si>
  <si>
    <t>Abanilla</t>
  </si>
  <si>
    <t>desatascosmurcia.org</t>
  </si>
  <si>
    <t>644 85 56 42</t>
  </si>
  <si>
    <t>Sanchez Saneamiento S.L.</t>
  </si>
  <si>
    <t>Av. de los Pinos, 33, 30009 Murcia</t>
  </si>
  <si>
    <t>fontamax.com</t>
  </si>
  <si>
    <t>968 28 01 37</t>
  </si>
  <si>
    <t>info@fontamax.com</t>
  </si>
  <si>
    <t>Saneamientos Parra</t>
  </si>
  <si>
    <t>Av. Ciudad de Almería, 187, 30010 Murcia</t>
  </si>
  <si>
    <t>saneamientosparra.es</t>
  </si>
  <si>
    <t>968 35 25 25</t>
  </si>
  <si>
    <t>FONKASA</t>
  </si>
  <si>
    <t>Calle Don Quijote, nº 7, 30151 Murcia</t>
  </si>
  <si>
    <t>fonkasa.es</t>
  </si>
  <si>
    <t>617 50 22 51</t>
  </si>
  <si>
    <t>FONTARREMUR</t>
  </si>
  <si>
    <t>Calle Cartagena, 25, 30002 Murcia</t>
  </si>
  <si>
    <t>868 91 52 68</t>
  </si>
  <si>
    <t>Empresa de fontaneria en murcia, Fugas de Agua en Murcia</t>
  </si>
  <si>
    <t>Calle Periodista Leopoldo Ayuso, N7, 1a, 30009 Murcia</t>
  </si>
  <si>
    <t>662 96 02 52</t>
  </si>
  <si>
    <t>Desatascos Ballesta</t>
  </si>
  <si>
    <t>Av. de la Fama, 11, 30003 Murcia</t>
  </si>
  <si>
    <t>desatascosballesta.com</t>
  </si>
  <si>
    <t>629 68 01 09</t>
  </si>
  <si>
    <t>A Sánchez Materiales De Fontaneria</t>
  </si>
  <si>
    <t>Calle Álvarez Quintero, nº 10, bajo del edificio, 30002 Murcia</t>
  </si>
  <si>
    <t>968 25 57 43</t>
  </si>
  <si>
    <t>Juan Francisco Ruiz Navarro Fontaneros</t>
  </si>
  <si>
    <t>Camino Pedriñanes, 48, 30168 Murcia</t>
  </si>
  <si>
    <t>647 48 84 12</t>
  </si>
  <si>
    <t>Fontaneros el Ranero empresas de fontanería en murcia</t>
  </si>
  <si>
    <t>Paseo Duques de Lugo, 30009 Murcia</t>
  </si>
  <si>
    <t>FUGAS DE AGUA EN MURCIA | TELEFUGA</t>
  </si>
  <si>
    <t>Calle Calderón de la Barca, 24, 3A, 30150 Murcia</t>
  </si>
  <si>
    <t>telefuga.com</t>
  </si>
  <si>
    <t>644 04 46 17</t>
  </si>
  <si>
    <t>info@telefuga.com</t>
  </si>
  <si>
    <t>Desatascos Murcia</t>
  </si>
  <si>
    <t>Teclisa Murcia</t>
  </si>
  <si>
    <t>Av. Arquitecto Miguel Ángel Beloqui, 14, 30007 Murcia</t>
  </si>
  <si>
    <t>868 68 00 41</t>
  </si>
  <si>
    <t>FONTANERÍA AGS</t>
  </si>
  <si>
    <t>Calle Mayor, nº 47, 30100 Murcia</t>
  </si>
  <si>
    <t>fontaneria-ags.negocio.site</t>
  </si>
  <si>
    <t>672 45 72 43</t>
  </si>
  <si>
    <t>codesur-sanimar (Alfonso Jiménez e Hijos, S.L.)</t>
  </si>
  <si>
    <t>Ronda Norte, 23, 30009 Murcia</t>
  </si>
  <si>
    <t>codesursanimar.es</t>
  </si>
  <si>
    <t>968 29 01 88</t>
  </si>
  <si>
    <t>Fontanero Murcia - Grupo SSR</t>
  </si>
  <si>
    <t>Empresas de fontanería en murcia</t>
  </si>
  <si>
    <t>Pl. Dr. José María Aroca, N5, escalera b piso 2b, 30009 Murcia</t>
  </si>
  <si>
    <t>Servicio aguas</t>
  </si>
  <si>
    <t>Calle Mayor, 155, 30100 Espinardo, Murcia</t>
  </si>
  <si>
    <t>Espinardo</t>
  </si>
  <si>
    <t>Juanfra</t>
  </si>
  <si>
    <t>C. Carmonas, 26, 30007 Murcia</t>
  </si>
  <si>
    <t>669 91 11 23</t>
  </si>
  <si>
    <t>José María Bayona Molina</t>
  </si>
  <si>
    <t>Calle Jorge Guillén, 28, 30007 Murcia</t>
  </si>
  <si>
    <t>968 24 33 20</t>
  </si>
  <si>
    <t>Aqua&amp;apos;S Fontaneros</t>
  </si>
  <si>
    <t>Carril los Lucas, 18, 30009 Murcia</t>
  </si>
  <si>
    <t>659 53 99 75</t>
  </si>
  <si>
    <t>Fontaneros económicos en murcia</t>
  </si>
  <si>
    <t>Calle Jara Carrillo, 6, 30004 Murcia</t>
  </si>
  <si>
    <t>Geofono en murcia localizador de fugas en MURCIA</t>
  </si>
  <si>
    <t>Calle Escritor Pérez de Hita, N8, 30009 Murcia</t>
  </si>
  <si>
    <t>Inserclima</t>
  </si>
  <si>
    <t>Gran Vía del Escultor Francisco Salzillo, 30001 Murcia</t>
  </si>
  <si>
    <t>inserclima.com</t>
  </si>
  <si>
    <t>666 33 72 73</t>
  </si>
  <si>
    <t>info@inserclima.com</t>
  </si>
  <si>
    <t>Materiales De Fontaneria Y Saneamiento A. Guerrero</t>
  </si>
  <si>
    <t>Calle Antonio Flores Guillamón, 2, 30100 Espinardo, Murcia</t>
  </si>
  <si>
    <t>Sánchez Caravaca</t>
  </si>
  <si>
    <t>Calle Juan de la Cierva, 30820 Murcia</t>
  </si>
  <si>
    <t>saneamientossanchezcaravaca.es</t>
  </si>
  <si>
    <t>691 47 55 46</t>
  </si>
  <si>
    <t>José Luis Instalaciones</t>
  </si>
  <si>
    <t>Senda Granada, 133, 30001 Murcia</t>
  </si>
  <si>
    <t>649 62 00 65</t>
  </si>
  <si>
    <t>Desatascos en Murcia</t>
  </si>
  <si>
    <t>Av. Príncipe de Asturias, 43, 30007 Murcia</t>
  </si>
  <si>
    <t>desatascos-murcia-desatascos.es</t>
  </si>
  <si>
    <t>690 86 89 87</t>
  </si>
  <si>
    <t>info@desatascos-murcia-destascos.es</t>
  </si>
  <si>
    <t>Localización de arquetas en murcia</t>
  </si>
  <si>
    <t>Pl. Dr. José María Aroca, n5, escalera b piso 2b, 30009 Murcia</t>
  </si>
  <si>
    <t>Fonremur</t>
  </si>
  <si>
    <t>622 93 03 06</t>
  </si>
  <si>
    <t>Sepemur</t>
  </si>
  <si>
    <t>Calle Lorquí, 3, 30012 Murcia</t>
  </si>
  <si>
    <t>636 05 88 85</t>
  </si>
  <si>
    <t>Reparación de fugas de agua en murcia</t>
  </si>
  <si>
    <t>Paseo Malecón, n12, 30009 Murcia</t>
  </si>
  <si>
    <t>TU FONTANERO DE CONFIANZA</t>
  </si>
  <si>
    <t>Calle San Marcos, 12, 30002 Murcia</t>
  </si>
  <si>
    <t>Fugas de agua en murcia</t>
  </si>
  <si>
    <t>Lugar Mercado Verónicas, 0 S/N, 30004 Murcia</t>
  </si>
  <si>
    <t>Francisco Rojo Rosique</t>
  </si>
  <si>
    <t>Calle la Niña, 7, 30008 Murcia</t>
  </si>
  <si>
    <t>968 38 00 11</t>
  </si>
  <si>
    <t>Fontanería Santos Otalora</t>
  </si>
  <si>
    <t>Calle Arenal, 28, 30011 Murcia</t>
  </si>
  <si>
    <t>968 25 08 07</t>
  </si>
  <si>
    <t>Fontanería Y Servicios MGL</t>
  </si>
  <si>
    <t>Av. del Progreso, N 6, 30120 El Palmar, Murcia</t>
  </si>
  <si>
    <t>El Palmar</t>
  </si>
  <si>
    <t>657 37 46 96</t>
  </si>
  <si>
    <t>Multicity Servicios</t>
  </si>
  <si>
    <t>Plaza Bohemia, 56, bajo, 30009 Murcia</t>
  </si>
  <si>
    <t>multicityservicios.com</t>
  </si>
  <si>
    <t>633 21 14 31</t>
  </si>
  <si>
    <t>info@multicityservicios.com</t>
  </si>
  <si>
    <t>Antonio Aliaga Martínez</t>
  </si>
  <si>
    <t>Calle Ntra. Sra. de la Fuensanta, 30007 Murcia</t>
  </si>
  <si>
    <t>676 73 66 93</t>
  </si>
  <si>
    <t>Martínez Tornero Instaladores</t>
  </si>
  <si>
    <t>Calle Vicente Aleixandre, 4, 30011 Murcia</t>
  </si>
  <si>
    <t>Juan Antonio Ruiz Sánchez</t>
  </si>
  <si>
    <t>Gran Vía del Escultor Francisco Salzillo, 8, 30004 Murcia</t>
  </si>
  <si>
    <t>968 21 00 99</t>
  </si>
  <si>
    <t>GARRE FONTANEROS S.L.</t>
  </si>
  <si>
    <t>Calle Blas Tórtola, 11, 30010 Murcia</t>
  </si>
  <si>
    <t>Ramón López Cortés</t>
  </si>
  <si>
    <t>Calle Ntra. Sra. de la Fuensanta, 79, 30007 Murcia</t>
  </si>
  <si>
    <t>968 25 77 17</t>
  </si>
  <si>
    <t>DesatascosMurcia</t>
  </si>
  <si>
    <t>Calle Mariano Vergara, 31, 30003 Murcia</t>
  </si>
  <si>
    <t>661 30 88 18</t>
  </si>
  <si>
    <t>Gas Fellas Plumber Murcia</t>
  </si>
  <si>
    <t>Calle Greco, 31, 5D, 30006 Murcia</t>
  </si>
  <si>
    <t>DESATASCOS URGENTES MURCIA</t>
  </si>
  <si>
    <t>968 82 28 92</t>
  </si>
  <si>
    <t>Carlos Iturbe Abasolo</t>
  </si>
  <si>
    <t>Calle Arquitecto Cerdán Martínez, 7, 30001 Murcia</t>
  </si>
  <si>
    <t>626 43 72 99</t>
  </si>
  <si>
    <t>Vimur 93</t>
  </si>
  <si>
    <t>Calle de la Cruz, 21, 30100 Espinardo, Murcia</t>
  </si>
  <si>
    <t>968 85 22 70</t>
  </si>
  <si>
    <t>Fontaneros en los Dolores</t>
  </si>
  <si>
    <t>Calle Mayor, 22, 30110 Murcia</t>
  </si>
  <si>
    <t>Grupo Gesco</t>
  </si>
  <si>
    <t>Calle Poeta y Periodista Raimundo de los Reyes, 30001 Murcia</t>
  </si>
  <si>
    <t>grupogesco.es</t>
  </si>
  <si>
    <t>968 22 57 72</t>
  </si>
  <si>
    <t>Antonio Lax García</t>
  </si>
  <si>
    <t>Carretera de la Fuensanta, 77, 30012 San Benito, Murcia</t>
  </si>
  <si>
    <t>968 34 77 71</t>
  </si>
  <si>
    <t>Ramón Brocal Ibáñez</t>
  </si>
  <si>
    <t>Camino de la Herrera, 25, 30152 Aljucer, Murcia</t>
  </si>
  <si>
    <t>Aljucer</t>
  </si>
  <si>
    <t>968 25 48 40</t>
  </si>
  <si>
    <t>Juan Antonio Piñero</t>
  </si>
  <si>
    <t>Av. de las Palmeras, 1 B, 30120 Murcia</t>
  </si>
  <si>
    <t>fontaneriayreformasjuanantoniopinero.com</t>
  </si>
  <si>
    <t>639 68 88 49</t>
  </si>
  <si>
    <t>jappihs@yahoo.com</t>
  </si>
  <si>
    <t>Cohiter Fontaneria - Saneamiento</t>
  </si>
  <si>
    <t>Calle Mayor, 8, 30110 Churra, Murcia</t>
  </si>
  <si>
    <t>Churra</t>
  </si>
  <si>
    <t>Del, Calle del Pino, 95, 5ºC, 30110 Cabezo de Torres, Murcia</t>
  </si>
  <si>
    <t>Cabezo de Torres</t>
  </si>
  <si>
    <t>611 06 83 42</t>
  </si>
  <si>
    <t>Alfonso Jiménez E Hijos S L</t>
  </si>
  <si>
    <t>Calle Río Pliego, 13, 30010 Murcia</t>
  </si>
  <si>
    <t>968 34 55 93</t>
  </si>
  <si>
    <t>inserclima</t>
  </si>
  <si>
    <t>Av. Murcia, 30110 Murcia</t>
  </si>
  <si>
    <t>FONTANERÍA CALEFACCIÓN HITECA</t>
  </si>
  <si>
    <t>Calle Moreno Cortés, 2bajo, 30110 Cabezo de Torres, Murcia</t>
  </si>
  <si>
    <t>hiteca.negocio.site</t>
  </si>
  <si>
    <t>616 16 12 11</t>
  </si>
  <si>
    <t>Fontanería Plaza</t>
  </si>
  <si>
    <t>Cl. Padre Cabrera, 2, 30831 Javalí Viejo, Murcia</t>
  </si>
  <si>
    <t>Javalí Viejo</t>
  </si>
  <si>
    <t>fontaneriaplaza.com</t>
  </si>
  <si>
    <t>681 80 18 25</t>
  </si>
  <si>
    <t>info@fontaneriaplaza.com</t>
  </si>
  <si>
    <t>Saneamientos Bella y García S.L.L.</t>
  </si>
  <si>
    <t>Travesía Sta. Catalina, 1, 30151 Murcia</t>
  </si>
  <si>
    <t>Fontanería Mar Menor</t>
  </si>
  <si>
    <t>Calle Pikio, 44, 30500 Molina de Segura, Murcia</t>
  </si>
  <si>
    <t>fontaneriamarmenor.es</t>
  </si>
  <si>
    <t>968 64 05 32</t>
  </si>
  <si>
    <t>info@fontaneriamarmenor.es</t>
  </si>
  <si>
    <t>FONTANERIA LOS TRES CERDITOS.</t>
  </si>
  <si>
    <t>Calle Moreno Cortés, nº2, Bajo, 30110 Cabezo de Torres, Murcia</t>
  </si>
  <si>
    <t>669 84 00 95</t>
  </si>
  <si>
    <t>Constanta Popa</t>
  </si>
  <si>
    <t>Calle Arquitecto Emilio Perez Piñero, 5, 30007 Murcia</t>
  </si>
  <si>
    <t>689 02 44 11</t>
  </si>
  <si>
    <t>EKER SERVICIOS</t>
  </si>
  <si>
    <t>Polígono Industrial Oeste, Calle Travesía Uruguay, 8 26/27 nave 20, 30820 Alcantarilla, Murcia</t>
  </si>
  <si>
    <t>Alcantarilla</t>
  </si>
  <si>
    <t>ekerservicios.com</t>
  </si>
  <si>
    <t>968 10 58 03</t>
  </si>
  <si>
    <t>ADMINISTRACION@EKERSERVICIOS.COM</t>
  </si>
  <si>
    <t>Fontanería Cotreras Torrano S L</t>
  </si>
  <si>
    <t>Carril de Cascales, 1, 30007 Murcia</t>
  </si>
  <si>
    <t>968 93 88 53</t>
  </si>
  <si>
    <t>Calle, Carril Aragonés, 35, 30007 Casillas, Murcia</t>
  </si>
  <si>
    <t>Casillas</t>
  </si>
  <si>
    <t>Fomur</t>
  </si>
  <si>
    <t>Urb. La Basilica, 28, 30157 Algezares</t>
  </si>
  <si>
    <t>Algezares</t>
  </si>
  <si>
    <t>fomur.es</t>
  </si>
  <si>
    <t>628 94 28 33</t>
  </si>
  <si>
    <t>Fontaneria El Rey</t>
  </si>
  <si>
    <t>Calle Menéndez Pelayo, 28, 30500 Molina de Segura, Murcia</t>
  </si>
  <si>
    <t>verzonalaguia.es</t>
  </si>
  <si>
    <t>968 61 02 42</t>
  </si>
  <si>
    <t>info@verzonalaguia.es</t>
  </si>
  <si>
    <t>Inssanigas</t>
  </si>
  <si>
    <t>Av. del Palmar, 0, 30152 Aljucer, Murcia</t>
  </si>
  <si>
    <t>968 25 00 14</t>
  </si>
  <si>
    <t>Fluid Stocks Murcia</t>
  </si>
  <si>
    <t>Av. del Palmar, 465, 30152 Murcia</t>
  </si>
  <si>
    <t>Bartolomé Munuera López</t>
  </si>
  <si>
    <t>Carr. del Puerto del Garruchal, 30570 Murcia</t>
  </si>
  <si>
    <t>F A G</t>
  </si>
  <si>
    <t>Calle Ruiseñor, 9, 30509 Toscas-Chorrico, Murcia</t>
  </si>
  <si>
    <t>685 17 88 96</t>
  </si>
  <si>
    <t>Fontaneros Reformas y Multiservicios Molina de Segura</t>
  </si>
  <si>
    <t>Calle Asunción, 21, 30500 Molina de Segura, Murcia</t>
  </si>
  <si>
    <t>fontaneos.negocio.site</t>
  </si>
  <si>
    <t>623 22 76 89</t>
  </si>
  <si>
    <t>Fontaneros en Puente Tocinos</t>
  </si>
  <si>
    <t>Carril Aceros, Nº12, 30007 Casillas, Murcia</t>
  </si>
  <si>
    <t>632 81 50 40</t>
  </si>
  <si>
    <t>Fontaneria Torralba</t>
  </si>
  <si>
    <t>Av. de Alcantarilla, 247, 30166 Murcia</t>
  </si>
  <si>
    <t>Adolfo García Hernández</t>
  </si>
  <si>
    <t>Calle Tronistas Hermanos Lorente, 15, 30166 Nonduermas</t>
  </si>
  <si>
    <t>La Raya</t>
  </si>
  <si>
    <t>Nonduermas</t>
  </si>
  <si>
    <t>968 34 47 38</t>
  </si>
  <si>
    <t>Fontaneros baratos murcia</t>
  </si>
  <si>
    <t>Calle Perillos, 30579, Murcia</t>
  </si>
  <si>
    <t>Torreaguera</t>
  </si>
  <si>
    <t>Sánchez, F Hernández</t>
  </si>
  <si>
    <t>Calle Hernández Mora, 10, 30570 Beniaján, Murcia</t>
  </si>
  <si>
    <t>Beniaján</t>
  </si>
  <si>
    <t>Fontaneros en Montepinar</t>
  </si>
  <si>
    <t>urbanización montepinar, Av. Picos de Europa, 30163 El Esparragal, Murcia</t>
  </si>
  <si>
    <t>H2 O Scar</t>
  </si>
  <si>
    <t>Carril los Perez de Casillas, 17, 30108 Rincón De Beniscornia, Murcia</t>
  </si>
  <si>
    <t>647 72 33 33</t>
  </si>
  <si>
    <t>Consumo de agua en exceso</t>
  </si>
  <si>
    <t>Camino Orilla del Río, 28, 30006 Murcia</t>
  </si>
  <si>
    <t>Reparaciones de electrodomésticos y urgencias de electricidad y fontanería</t>
  </si>
  <si>
    <t>C/Mayor. N /164, 30570 Murcia</t>
  </si>
  <si>
    <t>643 32 23 40</t>
  </si>
  <si>
    <t>Tomás Santos C.B.</t>
  </si>
  <si>
    <t>Calle Palmeral, 7, 30579 Puente Tocinos, Murcia</t>
  </si>
  <si>
    <t>Puente Tocinos</t>
  </si>
  <si>
    <t>968 82 08 27</t>
  </si>
  <si>
    <t>Hidrasan</t>
  </si>
  <si>
    <t>Carril de los Sabas, 30580 Alquerías, Murcia</t>
  </si>
  <si>
    <t>Alquerías</t>
  </si>
  <si>
    <t>968 81 22 83</t>
  </si>
  <si>
    <t>Francisco Fernando Pérez Muñoz</t>
  </si>
  <si>
    <t>Calle Escritor Azorín, 2, 30820 Alcantarilla, Murcia</t>
  </si>
  <si>
    <t>968 89 02 29</t>
  </si>
  <si>
    <t>MUNASA</t>
  </si>
  <si>
    <t>final carril, Si pueden girar Trailer, Camino Pepe el Correas, 6, 30580 Alquerías, Murcia</t>
  </si>
  <si>
    <t>munasa.es</t>
  </si>
  <si>
    <t>968 87 01 35</t>
  </si>
  <si>
    <t>pmunoz@munasa.es</t>
  </si>
  <si>
    <t>Ferrufon Murcia Sl</t>
  </si>
  <si>
    <t>Calle Mayor, 92, 30007 Murcia</t>
  </si>
  <si>
    <t>968 60 11 07</t>
  </si>
  <si>
    <t>Calle Ángel, 50, 30500 Molina de Segura, Murcia</t>
  </si>
  <si>
    <t>685 31 00 30</t>
  </si>
  <si>
    <t>Antonio Marín Carreño</t>
  </si>
  <si>
    <t>Calle Rosales, 3, 30833 Sangonera la Verde, Murcia</t>
  </si>
  <si>
    <t>Sangonera la Verde</t>
  </si>
  <si>
    <t>618 33 22 70</t>
  </si>
  <si>
    <t>busca fugas de agua en los ramos fontanero</t>
  </si>
  <si>
    <t>travesia de murcia 2 duplex 11, 30589 Los Ramos, Murcia</t>
  </si>
  <si>
    <t>Los Ramos</t>
  </si>
  <si>
    <t>El Font</t>
  </si>
  <si>
    <t>Calle Virgen Carmen, 22, 30564 Lorquí, Murcia</t>
  </si>
  <si>
    <t>Lorquí</t>
  </si>
  <si>
    <t>617 81 95 74</t>
  </si>
  <si>
    <t>Coysa Viguer Sl</t>
  </si>
  <si>
    <t>Vereda de la Barca, 3, 30161 Llano de Brujas, Murcia</t>
  </si>
  <si>
    <t>968 81 00 34</t>
  </si>
  <si>
    <t>Servialia Conexión Integral S.L.</t>
  </si>
  <si>
    <t>Calle Intendente Patiño, 5, 30007 Murcia</t>
  </si>
  <si>
    <t>648 10 32 70</t>
  </si>
  <si>
    <t>Fontaneria Mateo</t>
  </si>
  <si>
    <t>30640 Abanilla, Murcia</t>
  </si>
  <si>
    <t>661 61 02 59</t>
  </si>
  <si>
    <t>Fontaneria Msc Murcia</t>
  </si>
  <si>
    <t>Calle Mayor, 120, 30833 Sangonera la Verde, Murcia</t>
  </si>
  <si>
    <t>mscmurcia.es</t>
  </si>
  <si>
    <t>968 01 82 40</t>
  </si>
  <si>
    <t>ventas@mscmurcia.es</t>
  </si>
  <si>
    <t>JOAQUÍN MARTÍNEZ fontanería</t>
  </si>
  <si>
    <t>Paseo de la Mota, Nº4, 2ºE, 30140 Santomera, Murcia</t>
  </si>
  <si>
    <t>Santomera</t>
  </si>
  <si>
    <t>669 70 32 43</t>
  </si>
  <si>
    <t>Fontanería Cristóbal</t>
  </si>
  <si>
    <t>Calle Cristóbal Colón, 59, 30565 Las Torres de Cotillas, Murcia</t>
  </si>
  <si>
    <t>Las Torres de Cotillas</t>
  </si>
  <si>
    <t>Fontanería Gomesan</t>
  </si>
  <si>
    <t>Av. Constitución, 29, 30590 Sucina, Murcia</t>
  </si>
  <si>
    <t>Sucina</t>
  </si>
  <si>
    <t>gomesan.es</t>
  </si>
  <si>
    <t>868 05 39 40</t>
  </si>
  <si>
    <t>administracion@gomesan.es</t>
  </si>
  <si>
    <t>Fontaneros en Las Torres de Cotillas</t>
  </si>
  <si>
    <t>Camino Huerta de Abajo, 10, 30565 Las Torres de Cotillas, Murcia</t>
  </si>
  <si>
    <t>Fontanería Espuña</t>
  </si>
  <si>
    <t>Av. Sierra Espuña, 12b, 30840 Alhama de Murcia, Murcia</t>
  </si>
  <si>
    <t>Alhama de Murcia</t>
  </si>
  <si>
    <t>fontaneriaespunamurcia.es</t>
  </si>
  <si>
    <t>686 48 62 29</t>
  </si>
  <si>
    <t>Juárez Mejías Instalaciones, S.L.</t>
  </si>
  <si>
    <t>Av. de Lorca, 2, 30835 Sangonera la Seca, Murcia</t>
  </si>
  <si>
    <t>Sangonera la Seca</t>
  </si>
  <si>
    <t>968 80 32 25</t>
  </si>
  <si>
    <t>Fontanería Marfer</t>
  </si>
  <si>
    <t>Calle Cuba, 16, 30565 Torres De Cotillas ( Las ), Murcia</t>
  </si>
  <si>
    <t>968 62 77 01</t>
  </si>
  <si>
    <t>Juan Clemente Requena S L</t>
  </si>
  <si>
    <t>Calle Fe, 0, 30589 Los Ramos, Murcia</t>
  </si>
  <si>
    <t>968 84 11 23</t>
  </si>
  <si>
    <t>Terrapilar Almacén Conducciones</t>
  </si>
  <si>
    <t>Pol Ind. Oeste, Calle Juan de la Cierva, 26, 6, 30169 Murcia</t>
  </si>
  <si>
    <t>terrapilar.com</t>
  </si>
  <si>
    <t>968 88 69 30</t>
  </si>
  <si>
    <t>info@terrapilar.com</t>
  </si>
  <si>
    <t>Garceran</t>
  </si>
  <si>
    <t>Calle Magallanes, 8, 30709 Roldán, Murcia</t>
  </si>
  <si>
    <t>Roldán</t>
  </si>
  <si>
    <t>968 58 80 87</t>
  </si>
  <si>
    <t>Fon Gas Angel, S.L.</t>
  </si>
  <si>
    <t>30600 Archena, Murcia</t>
  </si>
  <si>
    <t>Archena</t>
  </si>
  <si>
    <t>968 69 89 44</t>
  </si>
  <si>
    <t>Fontanería Gogar C.B</t>
  </si>
  <si>
    <t>Calle Villanueva del Rio Segura, 13, 30740 San Pedro del Pinatar, Murcia</t>
  </si>
  <si>
    <t>San Pedro del Pinatar</t>
  </si>
  <si>
    <t>669 01 23 54</t>
  </si>
  <si>
    <t>Inventary Manager Sistem</t>
  </si>
  <si>
    <t>Calle San Antonio, 19, 30007 Casillas, Murcia</t>
  </si>
  <si>
    <t>968 88 99 16</t>
  </si>
  <si>
    <t>Fongrisan Fontaneria en General</t>
  </si>
  <si>
    <t>Av. de Fontes, 84, 30700 Torre-Pacheco, Murcia</t>
  </si>
  <si>
    <t>fongrisan.com</t>
  </si>
  <si>
    <t>616 79 04 94</t>
  </si>
  <si>
    <t>Fontanero San Pedro del Pinatar</t>
  </si>
  <si>
    <t>Calle Sancho Panza, 6, 30740 San Pedro del Pinatar, Murcia</t>
  </si>
  <si>
    <t>638 40 49 28</t>
  </si>
  <si>
    <t>Saneamientos Luis Correa</t>
  </si>
  <si>
    <t>Calle Covadonga, 16, 30870 Mazarrón, Murcia</t>
  </si>
  <si>
    <t>Mazarrón</t>
  </si>
  <si>
    <t>968 59 26 86</t>
  </si>
  <si>
    <t>Fontanería Miguel Cánovas</t>
  </si>
  <si>
    <t>Calle Peral, 7, 30333 El Escobar, Murcia</t>
  </si>
  <si>
    <t>El Escobar</t>
  </si>
  <si>
    <t>STARGO</t>
  </si>
  <si>
    <t>Calle Estrella de Mar, nº 5, 30163 Cobatillas, Murcia</t>
  </si>
  <si>
    <t>Cobatillas</t>
  </si>
  <si>
    <t>waterluxe-osmosis.es</t>
  </si>
  <si>
    <t>868 78 09 32</t>
  </si>
  <si>
    <t>Fontaneria Valle De Ricote S.L.</t>
  </si>
  <si>
    <t>Barrio Asunción, 30613 Villanueva del Río Segura, Murcia</t>
  </si>
  <si>
    <t>Villanueva del Río Segura</t>
  </si>
  <si>
    <t>Fontanería Marsan</t>
  </si>
  <si>
    <t>Calle Narciso Yepes, 2, 30840 Alhama de Murcia, Murcia</t>
  </si>
  <si>
    <t>615 08 92 29</t>
  </si>
  <si>
    <t>Fontanero de la viña, José Francisco Campoy Navarro</t>
  </si>
  <si>
    <t>Calle Guillen de Pina, 30800 Lorca, Murcia</t>
  </si>
  <si>
    <t>Lorca</t>
  </si>
  <si>
    <t>687 31 29 99</t>
  </si>
  <si>
    <t>Fontanería Palma</t>
  </si>
  <si>
    <t>30892 Librilla, Murcia</t>
  </si>
  <si>
    <t>Librilla</t>
  </si>
  <si>
    <t>F.Visiedo Martinez Y Orto C.B. Fontaneria En General</t>
  </si>
  <si>
    <t>Calle Castellón, 3, 30730 San Javier, Murcia</t>
  </si>
  <si>
    <t>San Javier</t>
  </si>
  <si>
    <t>Romero Albacete, A.</t>
  </si>
  <si>
    <t>Calle Mellado, 13, 30840 Alhama de Murcia, Murcia</t>
  </si>
  <si>
    <t>658 81 84 36</t>
  </si>
  <si>
    <t>O.N.A FONTANERIA</t>
  </si>
  <si>
    <t>30510, Murcia</t>
  </si>
  <si>
    <t>Yecla</t>
  </si>
  <si>
    <t>666 34 59 76</t>
  </si>
  <si>
    <t>Fontanería En General</t>
  </si>
  <si>
    <t>Ctra. Cartagena, 23, 30320 Fuente Alamo, Murcia</t>
  </si>
  <si>
    <t>Fuente Alamo</t>
  </si>
  <si>
    <t>venta de macrame murcia</t>
  </si>
  <si>
    <t>Travesía Murcia 3, 30589 Los Ramos, Murcia</t>
  </si>
  <si>
    <t>macrame-murcia.negocio.site</t>
  </si>
  <si>
    <t>679 11 74 23</t>
  </si>
  <si>
    <t>FONTANERIA PEDRO RUANO</t>
  </si>
  <si>
    <t>Calle Reina Sofía, 22, 30880 Águilas, Murcia</t>
  </si>
  <si>
    <t>fontaneriapedroruano.com</t>
  </si>
  <si>
    <t>968 41 25 00</t>
  </si>
  <si>
    <t>Hydramur Fontaneros, S.L.</t>
  </si>
  <si>
    <t>Camino de Madrid, 47, 30530 Cieza, Murcia</t>
  </si>
  <si>
    <t>618 73 51 74</t>
  </si>
  <si>
    <t>Grisancar</t>
  </si>
  <si>
    <t>C. Juan Fernandez, 31, 30204 Cartagena, Murcia</t>
  </si>
  <si>
    <t>grisancar.com</t>
  </si>
  <si>
    <t>968 52 05 20</t>
  </si>
  <si>
    <t>hola@ejemplo.com</t>
  </si>
  <si>
    <t>RiegoAyén (AGRICULTURA Y JARDINERÍA)</t>
  </si>
  <si>
    <t>Calle Madrid nº43, bajo, 30820 Alcantarilla, Murcia</t>
  </si>
  <si>
    <t>riegoayen.com</t>
  </si>
  <si>
    <t>628 61 35 33</t>
  </si>
  <si>
    <t>Buendía Fontanería Murcia</t>
  </si>
  <si>
    <t>Calle Salto del Usero, s/n, 30180 Bullas, Murcia</t>
  </si>
  <si>
    <t>fontaneriamurcia.es</t>
  </si>
  <si>
    <t>Fontanería José Miguel</t>
  </si>
  <si>
    <t>30366 30740 30201 30202, 30366 Cartagena, Murcia</t>
  </si>
  <si>
    <t>665 22 39 88</t>
  </si>
  <si>
    <t>Fontaneria Calefaccion Y Electricidad Los Leles SLL</t>
  </si>
  <si>
    <t>Calle Campo de Cartagena, S/N, 30180 Bullas, Murcia</t>
  </si>
  <si>
    <t>Bullas</t>
  </si>
  <si>
    <t>968 65 47 73</t>
  </si>
  <si>
    <t>Fontanería Tenza</t>
  </si>
  <si>
    <t>Calle Velázquez, 9, 30640 Abanilla, Murcia</t>
  </si>
  <si>
    <t>Fontanería Fructuoso e Hijos S.L.</t>
  </si>
  <si>
    <t>Calle Joaquín Rodrigo, 10, 03193 San Miguel de Salinas, Alicante</t>
  </si>
  <si>
    <t>San Miguel de Salinas</t>
  </si>
  <si>
    <t>grupofructuosoehijos.es</t>
  </si>
  <si>
    <t>965 50 13 10</t>
  </si>
  <si>
    <t>Soto</t>
  </si>
  <si>
    <t>Calle Santander, 51, 30300 Cartagena, Murcia</t>
  </si>
  <si>
    <t>686 33 20 51</t>
  </si>
  <si>
    <t>Fontaneria Vivancos</t>
  </si>
  <si>
    <t>Calle Cartagena, 42, 30860 Puerto de Mazarrón, Murcia</t>
  </si>
  <si>
    <t>Fontanería y Calefacción Sebastián del Amor</t>
  </si>
  <si>
    <t>Av. la Paz, 24, 30180 Bullas, Murcia</t>
  </si>
  <si>
    <t>649 88 83 37</t>
  </si>
  <si>
    <t>Aquazon - Tienda Online</t>
  </si>
  <si>
    <t>aquazon.es</t>
  </si>
  <si>
    <t>652 39 80 57</t>
  </si>
  <si>
    <t>contacto@aquazon.es</t>
  </si>
  <si>
    <t>Taller De Fontaneria Miguel Giner Peran</t>
  </si>
  <si>
    <t>Calle Ortega Melgares-Caballón, 29, 30800 Lorca, Murcia</t>
  </si>
  <si>
    <t>686 97 90 76</t>
  </si>
  <si>
    <t>Fontanería Isidro Carrillo</t>
  </si>
  <si>
    <t>Calle Caracas, 10, 30890 Puerto Lumbreras, Murcia</t>
  </si>
  <si>
    <t>Puerto Lumbreras</t>
  </si>
  <si>
    <t>617 43 09 98</t>
  </si>
  <si>
    <t>Frans Bonhomme</t>
  </si>
  <si>
    <t>Calle Berlín, 5, 6, 30353 Cartagena, Murcia</t>
  </si>
  <si>
    <t>fransbonhomme.es</t>
  </si>
  <si>
    <t>968 32 40 07</t>
  </si>
  <si>
    <t>info@grupo-fb.com</t>
  </si>
  <si>
    <t>Lorsan</t>
  </si>
  <si>
    <t>30320 Fuente Alamo, Murcia</t>
  </si>
  <si>
    <t>Fontaneros Pamplona</t>
  </si>
  <si>
    <t>Calle Cruz de Barkazio, 7, 31014 Pamplona, Navarra</t>
  </si>
  <si>
    <t>948 14 29 38</t>
  </si>
  <si>
    <t>Fontaneria Alcalde</t>
  </si>
  <si>
    <t>Calle de la Concordia, 38, 31530 Cortes, Navarra</t>
  </si>
  <si>
    <t>Cortes</t>
  </si>
  <si>
    <t>fontaneriaalcalde.es</t>
  </si>
  <si>
    <t>628 71 64 09</t>
  </si>
  <si>
    <t>Fontaneria J Santos</t>
  </si>
  <si>
    <t>948 14 65 66</t>
  </si>
  <si>
    <t>Zozaya Fontanería Calefacción y Gas S.L.</t>
  </si>
  <si>
    <t>Pol. Ind. Alkaiaga, Calle Elutxa, 3, 31789 Lesaka, Navarra, Navarra</t>
  </si>
  <si>
    <t>Bera</t>
  </si>
  <si>
    <t>fontaneriazozaya.com</t>
  </si>
  <si>
    <t>948 63 15 02</t>
  </si>
  <si>
    <t>JRV - Fontaneria / Mantenimiento</t>
  </si>
  <si>
    <t>Calle San Cristóbal, 8, bajo, 31015 Pamplona, Navarra</t>
  </si>
  <si>
    <t>675 66 11 76</t>
  </si>
  <si>
    <t>Desciegues Pamplona</t>
  </si>
  <si>
    <t>31620 Gorráiz, Navarra</t>
  </si>
  <si>
    <t>Gorráiz</t>
  </si>
  <si>
    <t>INSTALACIONES GDE S.L.</t>
  </si>
  <si>
    <t>Pol. Industrial San Miguel, Av. los Abedules, 7, NAVE 6, 31132 Villatuerta, Navarra</t>
  </si>
  <si>
    <t>Villatuerta</t>
  </si>
  <si>
    <t>instalacionesgde.com</t>
  </si>
  <si>
    <t>948 55 57 06</t>
  </si>
  <si>
    <t>instalaciones@instalacionesgde.com</t>
  </si>
  <si>
    <t>Desatascos Zona Media Tafalla</t>
  </si>
  <si>
    <t>C. Felipe Gorriti, 5, 31300 Tafalla, Navarra</t>
  </si>
  <si>
    <t>desatascostafalla.es</t>
  </si>
  <si>
    <t>948 70 24 02</t>
  </si>
  <si>
    <t>Desciegues El Tapón</t>
  </si>
  <si>
    <t>Calle Remiro de Goñi, 28, 31010 Pamplona, Navarra</t>
  </si>
  <si>
    <t>desciegueseltapon.com</t>
  </si>
  <si>
    <t>659 77 75 11</t>
  </si>
  <si>
    <t>info@desciegueseltapon.com</t>
  </si>
  <si>
    <t>CALEFACCIÓN Y GAS MERINO</t>
  </si>
  <si>
    <t>Calle La Fuente Iturriko Kalea, 18, BAJO, 31600 Burlada, Navarra</t>
  </si>
  <si>
    <t>Burlada</t>
  </si>
  <si>
    <t>merinofontaneria.es</t>
  </si>
  <si>
    <t>948 14 06 49</t>
  </si>
  <si>
    <t>Fontanería Jesús Las</t>
  </si>
  <si>
    <t>31330 Villafranca, Navarra</t>
  </si>
  <si>
    <t>Villafranca</t>
  </si>
  <si>
    <t>690 63 59 48</t>
  </si>
  <si>
    <t>Azkogas S.L.U.</t>
  </si>
  <si>
    <t>Calle Olite, 10, bajo, 31350 Peralta, Navarra</t>
  </si>
  <si>
    <t>Peralta</t>
  </si>
  <si>
    <t>948 75 06 09</t>
  </si>
  <si>
    <t>Fontaneria Sangar</t>
  </si>
  <si>
    <t>Parque de los Enamorados 13 Trasera, 31014 Pamplona, Navarra</t>
  </si>
  <si>
    <t>627 48 80 07</t>
  </si>
  <si>
    <t>Benedi Bueno S C</t>
  </si>
  <si>
    <t>Calle del Bailío, 6, 31500 Tudela, Navarra</t>
  </si>
  <si>
    <t>619 99 33 15</t>
  </si>
  <si>
    <t>Fontanería Urroz</t>
  </si>
  <si>
    <t>Calle Trinidad, 8, 31420 Urroz Villa, Navarra</t>
  </si>
  <si>
    <t>Urroz Villa</t>
  </si>
  <si>
    <t>676 38 37 37</t>
  </si>
  <si>
    <t>Fontanería Egues S.L.</t>
  </si>
  <si>
    <t>Calle Bernardino Tirapu, 11, 31014 Pamplona, Navarra</t>
  </si>
  <si>
    <t>Alfonso Fontanería</t>
  </si>
  <si>
    <t>Calle Magdalena, 51, 31690 Ezcároz, Navarra</t>
  </si>
  <si>
    <t>Ezcároz</t>
  </si>
  <si>
    <t>FONTANERÍA LUYANDO</t>
  </si>
  <si>
    <t>Calle Tafalla, 43, 31314 Santacara, Navarra</t>
  </si>
  <si>
    <t>Santacara</t>
  </si>
  <si>
    <t>948 74 61 19</t>
  </si>
  <si>
    <t>Fontanería Gean</t>
  </si>
  <si>
    <t>Calle Batondoa, s/n, 31600 Burlada, Navarra</t>
  </si>
  <si>
    <t>gean.es</t>
  </si>
  <si>
    <t>689 70 23 62</t>
  </si>
  <si>
    <t>Disbaor</t>
  </si>
  <si>
    <t>Polígono de la Serna, parcela 14, nave 1, 31500 Tudela</t>
  </si>
  <si>
    <t>disbaor.com</t>
  </si>
  <si>
    <t>948 41 12 04</t>
  </si>
  <si>
    <t>info@disbaor.com</t>
  </si>
  <si>
    <t>Fontanería Emeki</t>
  </si>
  <si>
    <t>Calle San Agustín, 15, 31013 Berriozar, Navarra</t>
  </si>
  <si>
    <t>948 30 13 87</t>
  </si>
  <si>
    <t>Valvuleria Del Norte SL</t>
  </si>
  <si>
    <t>Calle Soto Aizoáin, 2, 31012 Pamplona, Navarra</t>
  </si>
  <si>
    <t>948 30 21 26</t>
  </si>
  <si>
    <t>Fontanería Juan y Juantxo S.L</t>
  </si>
  <si>
    <t>Calle de Juan María Guelbenzu Kalea, 28, 31005 Pamplona, Navarra</t>
  </si>
  <si>
    <t>948 23 73 59</t>
  </si>
  <si>
    <t>Francisco Javier Torres Ruiz</t>
  </si>
  <si>
    <t>Paseo Ereta, 15, 31300 Tafalla, Navarra</t>
  </si>
  <si>
    <t>948 70 22 01</t>
  </si>
  <si>
    <t>Fontanería Leire S.L.</t>
  </si>
  <si>
    <t>Calle Juan de Berrueta, 3, 31400 Sangüesa, Navarra</t>
  </si>
  <si>
    <t>Sangüesa</t>
  </si>
  <si>
    <t>FONTANERIA RAUL GAYA</t>
  </si>
  <si>
    <t>Calle Clarisas, 2, 31390 Olite, Navarra</t>
  </si>
  <si>
    <t>Olite</t>
  </si>
  <si>
    <t>fontaneriaraulgaya.es.tl</t>
  </si>
  <si>
    <t>676 44 34 94</t>
  </si>
  <si>
    <t>Fontanería Gainza</t>
  </si>
  <si>
    <t>Calle Gayarre, 16, 31580 Lodosa, Navarra</t>
  </si>
  <si>
    <t>Lodosa</t>
  </si>
  <si>
    <t>gainzainspeccion.com</t>
  </si>
  <si>
    <t>689 70 00 08</t>
  </si>
  <si>
    <t>info@gainzainspeccion.com</t>
  </si>
  <si>
    <t>Fontanería Iturtriki Iturgintza</t>
  </si>
  <si>
    <t>Zelai Txiki, 2, 31800 Altsasu, Navarre</t>
  </si>
  <si>
    <t>627 48 68 44</t>
  </si>
  <si>
    <t>DESCIEGUES NAVARRA</t>
  </si>
  <si>
    <t>Av. del Ejército, 1, 31002 Pamplona, Navarra</t>
  </si>
  <si>
    <t>687 41 40 08</t>
  </si>
  <si>
    <t>IXOS Algecosa Tudela</t>
  </si>
  <si>
    <t>Carr. Zaragoza, Km 98, 2, 31512 Fontellas, Navarra</t>
  </si>
  <si>
    <t>Fontellas</t>
  </si>
  <si>
    <t>948 82 33 00</t>
  </si>
  <si>
    <t>Goikasol</t>
  </si>
  <si>
    <t>Calle San Isidro, 35, 31300 Tafalla, Navarra</t>
  </si>
  <si>
    <t>IMAI Fontanería</t>
  </si>
  <si>
    <t>Polígono Industrial Morea Norte, Calle A, Nave 14, 31191 Beriáin, Navarra</t>
  </si>
  <si>
    <t>Beriáin</t>
  </si>
  <si>
    <t>imai.es</t>
  </si>
  <si>
    <t>630 96 22 03</t>
  </si>
  <si>
    <t>info@imai.es</t>
  </si>
  <si>
    <t>Gino</t>
  </si>
  <si>
    <t>Calle Murillo el Fruto, 10, 31300 Tafalla, Navarra</t>
  </si>
  <si>
    <t>948 70 16 01</t>
  </si>
  <si>
    <t>Manuel Bergera S.A.</t>
  </si>
  <si>
    <t>Zelai K., 33, 31800 Altsasu, Navarre</t>
  </si>
  <si>
    <t>948 56 28 52</t>
  </si>
  <si>
    <t>Calle San Francisco, 1, 31600 Burlada, Navarra</t>
  </si>
  <si>
    <t>Calle Abejeras, 4, 31007 Pamplona, Navarra</t>
  </si>
  <si>
    <t>Calle Rúa de Medios, 10, 31390 Olite, Navarra</t>
  </si>
  <si>
    <t>Calle San Pedro, 2, 31485 Mendióroz, Navarra</t>
  </si>
  <si>
    <t>Mendióroz</t>
  </si>
  <si>
    <t>Fontaneria Mendi S.l.</t>
  </si>
  <si>
    <t>Pol. Ind. Talluntxe II, Calle G, nº2, 31110</t>
  </si>
  <si>
    <t>31110</t>
  </si>
  <si>
    <t>948 31 65 22</t>
  </si>
  <si>
    <t>Fontanería Angel</t>
  </si>
  <si>
    <t>Ctra. Jaca, 1, 31110 Noáin, Navarra</t>
  </si>
  <si>
    <t>633 85 37 79</t>
  </si>
  <si>
    <t>M 500 Fontanería Gas Calefacción</t>
  </si>
  <si>
    <t>Av. de Gipuzkoa Etorbidea, 48, Bajo, 31013 Berriozar, Navarra</t>
  </si>
  <si>
    <t>948 21 57 69</t>
  </si>
  <si>
    <t>José Luis Martínez Pérez</t>
  </si>
  <si>
    <t>Calle Camino de Santiago, 13, 31132 Villatuerta, Navarra</t>
  </si>
  <si>
    <t>Calefacciones J.Muñoz SL</t>
  </si>
  <si>
    <t>C. L, 3, 31194 Arre, Navarra</t>
  </si>
  <si>
    <t>Arre</t>
  </si>
  <si>
    <t>948 36 07 18</t>
  </si>
  <si>
    <t>Fontanería Irati</t>
  </si>
  <si>
    <t>Calle P, 19, 31192 Mutilva, Navarra</t>
  </si>
  <si>
    <t>Mutilva</t>
  </si>
  <si>
    <t>fontaneriairati.es</t>
  </si>
  <si>
    <t>948 15 29 43</t>
  </si>
  <si>
    <t>//info@fontaneriairati.es</t>
  </si>
  <si>
    <t>Fontanería Iriarte</t>
  </si>
  <si>
    <t>Calle Paz y Concordia, 3, 31243 Arróniz, Navarra</t>
  </si>
  <si>
    <t>Arróniz</t>
  </si>
  <si>
    <t>Fontanería Y Calefacción Rodrigo Díaz S L</t>
  </si>
  <si>
    <t>galería comercial alcampo, Av. del Barrio, 31500 Tudela, Navarra</t>
  </si>
  <si>
    <t>948 82 82 21</t>
  </si>
  <si>
    <t>Fontaneria Numar</t>
  </si>
  <si>
    <t>IND. ERREKALDEA C/D NAVE 13, 31191 Beriáin, Navarra</t>
  </si>
  <si>
    <t>fontanerianumar.com</t>
  </si>
  <si>
    <t>948 30 19 00</t>
  </si>
  <si>
    <t>consultas@fontanerianumar.com</t>
  </si>
  <si>
    <t>Fontanería y climatización Navarra SL</t>
  </si>
  <si>
    <t>Calle K, 8, 31192 Mutilva Baja, Navarra</t>
  </si>
  <si>
    <t>fontanerianavarra.com</t>
  </si>
  <si>
    <t>Fontanería Honesto López</t>
  </si>
  <si>
    <t>Calle de Santiago, 93, 31700 Elizondo, Navarra</t>
  </si>
  <si>
    <t>Elizondo</t>
  </si>
  <si>
    <t>honestolopez.com</t>
  </si>
  <si>
    <t>948 45 21 26</t>
  </si>
  <si>
    <t>info@honestolopez.com</t>
  </si>
  <si>
    <t>Fontanería Astrain</t>
  </si>
  <si>
    <t>C. Cañada Real de las Provincias, 8, 31013 Berriozar, Navarra</t>
  </si>
  <si>
    <t>Fontaneros Tudela</t>
  </si>
  <si>
    <t>Fontaneros Tudela Alfa-Ecogas avd: Zaragoza nº44, 31500 Tudela, Navarra</t>
  </si>
  <si>
    <t>676 24 25 35</t>
  </si>
  <si>
    <t>Navallas</t>
  </si>
  <si>
    <t>Pol. Ind. de Rocaforte, 24, 31400 Rocaforte, Navarra</t>
  </si>
  <si>
    <t>Rocaforte</t>
  </si>
  <si>
    <t>948 43 01 99</t>
  </si>
  <si>
    <t>Fontaneria Ondarra</t>
  </si>
  <si>
    <t>Calle Navarra, 8, 31013 Ansoáin, Navarra</t>
  </si>
  <si>
    <t>Ansoáin</t>
  </si>
  <si>
    <t>639 65 35 03</t>
  </si>
  <si>
    <t>Fontaneria Leire S.l.</t>
  </si>
  <si>
    <t>Calle Calderería, 11, 31014 Pamplona, Navarra</t>
  </si>
  <si>
    <t>Fontanería Sorauren</t>
  </si>
  <si>
    <t>679 03 35 23</t>
  </si>
  <si>
    <t>Fontaneros Pamplona 360 | Fontaneros 24 horas Pamplona | Desatascos Pamplona</t>
  </si>
  <si>
    <t>Calle del Duque de Ahumada, 7, 1º, 31002 Pamplona, Navarra</t>
  </si>
  <si>
    <t>948 48 38 76</t>
  </si>
  <si>
    <t>Fontanería Aizpea</t>
  </si>
  <si>
    <t>Calle del Dr. José María Reparaz Doktorea Kalea, 6, 31012 Pamplona, Navarra</t>
  </si>
  <si>
    <t>aizpea.com</t>
  </si>
  <si>
    <t>Fontanero Pamplona | Nasertec</t>
  </si>
  <si>
    <t>fontaneropamplona.eu</t>
  </si>
  <si>
    <t>848 87 12 02</t>
  </si>
  <si>
    <t>info@fontaneropamplona.eu</t>
  </si>
  <si>
    <t>Desciegues y Fontanería Pamplona</t>
  </si>
  <si>
    <t>Calle Mayor, 58, Bajo, 31610 Villava, Navarra</t>
  </si>
  <si>
    <t>Villava</t>
  </si>
  <si>
    <t>descieguespamplona.com</t>
  </si>
  <si>
    <t>info@descieguespamplona.com</t>
  </si>
  <si>
    <t>Fontanería Chocarro</t>
  </si>
  <si>
    <t>Av. Pamplona, 57, 31192 Tajonar, Navarra</t>
  </si>
  <si>
    <t>Tajonar</t>
  </si>
  <si>
    <t>Fontanería Biar</t>
  </si>
  <si>
    <t>Travesía Camino de las Ventas, 10, 31195 Berrioplano, Navarra</t>
  </si>
  <si>
    <t>José María Jiménez Martínez</t>
  </si>
  <si>
    <t>Calle José María Iribarren, 30, 31500 Tudela, Navarra</t>
  </si>
  <si>
    <t>948 82 05 66</t>
  </si>
  <si>
    <t>Fontaneria Irugar</t>
  </si>
  <si>
    <t>Calle Cortes de Navarra, Nº 1, 31100 Fustiñana, Navarra</t>
  </si>
  <si>
    <t>FONTANERIA ALEJO (OLAZTI)</t>
  </si>
  <si>
    <t>San Franzisko Kalea, 2, 1º, 31809 Olazti/Olazagutía, Navarra</t>
  </si>
  <si>
    <t>Olazagutía</t>
  </si>
  <si>
    <t>680 29 48 42</t>
  </si>
  <si>
    <t>Fontanería Cambra</t>
  </si>
  <si>
    <t>Calle Valle Ebro, 4, 31515 Cadreita, Navarra</t>
  </si>
  <si>
    <t>Cadreita</t>
  </si>
  <si>
    <t>fontaneriacambra.com</t>
  </si>
  <si>
    <t>948 83 61 30</t>
  </si>
  <si>
    <t>info@fontaneriacambra.com</t>
  </si>
  <si>
    <t>Fontanería Julio Labiano</t>
  </si>
  <si>
    <t>Lugar Monasterio De Leyre, 5 5, 31151 Obanos</t>
  </si>
  <si>
    <t>Obanos</t>
  </si>
  <si>
    <t>948 34 43 14</t>
  </si>
  <si>
    <t>Carlos Burgaleta Marín Fontanería Y Calefacción</t>
  </si>
  <si>
    <t>Calle San Isidro, 8, 31521 Murchante, Navarra</t>
  </si>
  <si>
    <t>948 83 88 42</t>
  </si>
  <si>
    <t>Calle Villa de Lanz, 4, 31600 Burlada, Navarra</t>
  </si>
  <si>
    <t>948 14 76 61</t>
  </si>
  <si>
    <t>Fontanería y calefacción Pamplona</t>
  </si>
  <si>
    <t>fontaneropamplona.net</t>
  </si>
  <si>
    <t>Fontanería H. López</t>
  </si>
  <si>
    <t>Poligono Industrial Datualde, 7, 31700 Elizondo, Navarra</t>
  </si>
  <si>
    <t>605 71 93 96</t>
  </si>
  <si>
    <t>Fontanería Y Calefacción Calvo</t>
  </si>
  <si>
    <t>Camino del Marinal, 10, 31570 San Adrián, Navarra</t>
  </si>
  <si>
    <t>948 67 00 46</t>
  </si>
  <si>
    <t>Fontanería Mugaire</t>
  </si>
  <si>
    <t>Camino Can Can, 1, 31720 Oronoz-Mugaire, Navarra</t>
  </si>
  <si>
    <t>Oronoz-Mugaire</t>
  </si>
  <si>
    <t>fontaneriamugaire.com</t>
  </si>
  <si>
    <t>948 59 24 14</t>
  </si>
  <si>
    <t>Fontanería Y Calefacción Orbegozo S L</t>
  </si>
  <si>
    <t>Polígono Industrial Puente La Reina, 6, 31100 Puente la Reina</t>
  </si>
  <si>
    <t>948 34 11 54</t>
  </si>
  <si>
    <t>Suministros Yanci --- Santiago Yanci</t>
  </si>
  <si>
    <t>Polígono Industrial Zaldibia, 2, 31730 Irurita</t>
  </si>
  <si>
    <t>Irurita</t>
  </si>
  <si>
    <t>948 58 01 09</t>
  </si>
  <si>
    <t>Pantaleon Mendo Fontaneria Calefaccion</t>
  </si>
  <si>
    <t>Av. de Madrid, 31191 Beriáin, Navarra</t>
  </si>
  <si>
    <t>Fontaneros Hnos Fernández Antón S.L.</t>
  </si>
  <si>
    <t>Calle las Escuelas, 7, 31523 Ablitas, Navarra</t>
  </si>
  <si>
    <t>Ablitas</t>
  </si>
  <si>
    <t>615 31 07 85</t>
  </si>
  <si>
    <t>Fontanería Nacho</t>
  </si>
  <si>
    <t>Calle Cantera, 16, 31293 Sesma, Navarra</t>
  </si>
  <si>
    <t>Talleres Condón S.L.</t>
  </si>
  <si>
    <t>Plaza Don Jesús Lasanta, 1, 31514 Valtierra</t>
  </si>
  <si>
    <t>Valtierra</t>
  </si>
  <si>
    <t>Fontaneria Jaka Fj</t>
  </si>
  <si>
    <t>Pol. Ind. Utzubar, 31839 Arbizu, Navarra</t>
  </si>
  <si>
    <t>Arbizu</t>
  </si>
  <si>
    <t>Fontanería Y Calefacción Baldu</t>
  </si>
  <si>
    <t>Calle Goroabe, 31005 Pamplona, Navarra</t>
  </si>
  <si>
    <t>Echeveste Fontanería y Calefacción</t>
  </si>
  <si>
    <t>Herriko Etxea Plaza, 11, 31780 Bera, Navarre</t>
  </si>
  <si>
    <t>Fontanería El Canario</t>
  </si>
  <si>
    <t>Calle Mayor, 17, 31263 Dicastillo, Navarra</t>
  </si>
  <si>
    <t>Dicastillo</t>
  </si>
  <si>
    <t>Jesús María Domingo García</t>
  </si>
  <si>
    <t>Calle Abajo de Sta. María, 3, 31230 Viana, Navarra</t>
  </si>
  <si>
    <t>Viana</t>
  </si>
  <si>
    <t>948 64 61 49</t>
  </si>
  <si>
    <t>Fontaneria Rueda</t>
  </si>
  <si>
    <t>Calle del Peso, 12, 31580 Lodosa, Navarra</t>
  </si>
  <si>
    <t>660 47 14 57</t>
  </si>
  <si>
    <t>Fontanería Arteaga Hijo SLU</t>
  </si>
  <si>
    <t>Calle de San Esteban, 1, 31010 Barañáin, Navarra</t>
  </si>
  <si>
    <t>Barañáin</t>
  </si>
  <si>
    <t>607 27 88 64</t>
  </si>
  <si>
    <t>Oxanea</t>
  </si>
  <si>
    <t>Calle Jesús Blasco, 4, 31015 Pamplona</t>
  </si>
  <si>
    <t>celorrio carrion</t>
  </si>
  <si>
    <t>Calle Florida, 1, 31360 Funes, Navarra</t>
  </si>
  <si>
    <t>Funes</t>
  </si>
  <si>
    <t>celorriocarrion.es</t>
  </si>
  <si>
    <t>948 75 40 45</t>
  </si>
  <si>
    <t>Adolfo Corao Alcate</t>
  </si>
  <si>
    <t>Calle Batán, 4, 31513 Arguedas, Navarra</t>
  </si>
  <si>
    <t>Arguedas</t>
  </si>
  <si>
    <t>JRV Fontanería / Mantenimiento</t>
  </si>
  <si>
    <t>Calle San Cristóbal, 10, 31015 Pamplona, Navarra</t>
  </si>
  <si>
    <t>Fontanería Gaztelu</t>
  </si>
  <si>
    <t>Polígono Industrial Landa Behikoa 21, 31880 Leitza, Navarra</t>
  </si>
  <si>
    <t>Leitza</t>
  </si>
  <si>
    <t>fontaneriagaztelu.com</t>
  </si>
  <si>
    <t>948 51 00 86</t>
  </si>
  <si>
    <t>info@fontaneriagaztelu.com</t>
  </si>
  <si>
    <t>Fontanería Yague</t>
  </si>
  <si>
    <t>Av. del Barrio, 33, 31500 Tudela, Navarra</t>
  </si>
  <si>
    <t>Jon Navarra SL</t>
  </si>
  <si>
    <t>Calle Uztarroz, 38, 31014 Pamplona, Navarra</t>
  </si>
  <si>
    <t>Gaspan Navarra S.L.</t>
  </si>
  <si>
    <t>Calle P, 93, 31192 Mutilva, Navarra</t>
  </si>
  <si>
    <t>948 38 27 15</t>
  </si>
  <si>
    <t>Cubillas</t>
  </si>
  <si>
    <t>31200 Estella, Navarra</t>
  </si>
  <si>
    <t>948 55 42 99</t>
  </si>
  <si>
    <t>ECOFONT SERVICIOS E INSTALACIONES</t>
  </si>
  <si>
    <t>Calle San Alberto Magno, 12, 31011 Pamplona, Navarra</t>
  </si>
  <si>
    <t>848 84 71 60</t>
  </si>
  <si>
    <t>Fontanería Uralde Iturgintza</t>
  </si>
  <si>
    <t>Mañe I Flaquer Plaza, 5, 20120 Hernani, Gipuzkoa</t>
  </si>
  <si>
    <t>Hernani</t>
  </si>
  <si>
    <t>943 55 33 55</t>
  </si>
  <si>
    <t>MATEO MESA</t>
  </si>
  <si>
    <t>Plaza España, 3, 31590 Castejón, Navarra</t>
  </si>
  <si>
    <t>Castejón</t>
  </si>
  <si>
    <t>948 77 04 84</t>
  </si>
  <si>
    <t>Fontanería San Vicente Hermanos S L</t>
  </si>
  <si>
    <t>31192, Navarra</t>
  </si>
  <si>
    <t>Fontanería y Calefacción OSCAFON</t>
  </si>
  <si>
    <t>Calle Beata Beatriz de Silva, 6, Bajo, 50500 Tarazona, Zaragoza</t>
  </si>
  <si>
    <t>651 76 49 23</t>
  </si>
  <si>
    <t>Fontaneros Mallen</t>
  </si>
  <si>
    <t>Calle Mosén José Morella, nº3, 50550 Mallén, Zaragoza</t>
  </si>
  <si>
    <t>Mallén</t>
  </si>
  <si>
    <t>Fontanería Beloki - Fontanería, gas y calefacción</t>
  </si>
  <si>
    <t>Oquendo Kalea, 2, 20700 Zumarraga, Gipuzkoa</t>
  </si>
  <si>
    <t>Zumárraga</t>
  </si>
  <si>
    <t>belokionline.com</t>
  </si>
  <si>
    <t>943 72 29 04</t>
  </si>
  <si>
    <t>Irurieta Fontanería</t>
  </si>
  <si>
    <t>Miguel de Alduntzin Kalea, 37, 20100 Errenteria, Gipuzkoa</t>
  </si>
  <si>
    <t>Rentería</t>
  </si>
  <si>
    <t>843 98 58 27</t>
  </si>
  <si>
    <t>Fontanería Plazaola</t>
  </si>
  <si>
    <t>Bidezar Kalea, 5, 20700 Zumarraga, Gipuzkoa</t>
  </si>
  <si>
    <t>943 72 13 70</t>
  </si>
  <si>
    <t>Fontanería Celorrio</t>
  </si>
  <si>
    <t>Plazaola Kalea, 20, 20230 Legazpi, Gipuzkoa</t>
  </si>
  <si>
    <t>943 73 44 33</t>
  </si>
  <si>
    <t>Fontanería Juan Carlos Tejedor</t>
  </si>
  <si>
    <t>Dario de Regoyos Kalea, 40, 20305 Irun, Gipuzkoa</t>
  </si>
  <si>
    <t>Irún</t>
  </si>
  <si>
    <t>696 91 18 28</t>
  </si>
  <si>
    <t>Fontanería Veilan</t>
  </si>
  <si>
    <t>Jesus Guridi Kalea, 7, 20100 Errenteria, Gipuzkoa</t>
  </si>
  <si>
    <t>645 70 43 27</t>
  </si>
  <si>
    <t>Fontanería Antonio Redondo</t>
  </si>
  <si>
    <t>Lugar Barrio Latsunbeberri, 35, 20120 Hernani, Gipuzkoa</t>
  </si>
  <si>
    <t>689 58 39 90</t>
  </si>
  <si>
    <t>FONTANERIA ARTOLA</t>
  </si>
  <si>
    <t>607 47 55 00</t>
  </si>
  <si>
    <t>Fontanería Karlos</t>
  </si>
  <si>
    <t>Mendelu Kalea, 26, 20300 Hondarribia, Gipuzkoa</t>
  </si>
  <si>
    <t>Hondarribia</t>
  </si>
  <si>
    <t>fontaneriakarlos.es</t>
  </si>
  <si>
    <t>943 64 15 27</t>
  </si>
  <si>
    <t>info@fontaneriakarlos.es</t>
  </si>
  <si>
    <t>FONTANERIA Y CALEFACCIÓN LM DESATASCOS/FONTANERIA BIZKAIA</t>
  </si>
  <si>
    <t>Artekale Kalea, 25, 48005 Bilbo, Bizkaia</t>
  </si>
  <si>
    <t>604 35 49 98</t>
  </si>
  <si>
    <t>Desatascos Urgentes y Fontaneros en Bizkaia Morga</t>
  </si>
  <si>
    <t>Lugar Barrio Bolunburu, 16, 48330 Lemoa, Bizkaia</t>
  </si>
  <si>
    <t>Lemona</t>
  </si>
  <si>
    <t>limpiezasmorga.es</t>
  </si>
  <si>
    <t>946 31 39 75</t>
  </si>
  <si>
    <t>info@limpiezasmorga.es</t>
  </si>
  <si>
    <t>Fontaneros 24 horas Bilbao / Fontaneros en Bilbao</t>
  </si>
  <si>
    <t>Colón de Larreátegui Kalea, 26, 7º, 48009 Bilbao, Biscay</t>
  </si>
  <si>
    <t>626 15 01 11</t>
  </si>
  <si>
    <t>FONTANERIA FONTYCAL</t>
  </si>
  <si>
    <t>Alberto Palacios Kalea, 4, 48920 Portugalete, Bizkaia</t>
  </si>
  <si>
    <t>fontycal.com</t>
  </si>
  <si>
    <t>607 31 10 78</t>
  </si>
  <si>
    <t>FONTANERÍA Y.H.</t>
  </si>
  <si>
    <t>48100 Munguía, Biscay</t>
  </si>
  <si>
    <t>Munguía</t>
  </si>
  <si>
    <t>fontaneria-yh.negocio.site</t>
  </si>
  <si>
    <t>692 63 24 34</t>
  </si>
  <si>
    <t>Fontaneria Bilbao</t>
  </si>
  <si>
    <t>Sagarminaga Kalea, 8, 8d, 48004 Bilbao, Biscay</t>
  </si>
  <si>
    <t>gurebilbao.com</t>
  </si>
  <si>
    <t>626 97 63 52</t>
  </si>
  <si>
    <t>Fontanería Ibarzabal</t>
  </si>
  <si>
    <t>C/ Itxasbide, 44 - Grupo Iturritxu, 48630, Bizkaia</t>
  </si>
  <si>
    <t>Górliz</t>
  </si>
  <si>
    <t>946 77 13 93</t>
  </si>
  <si>
    <t>Fontanería Y Calefación Andoni Iturgintza S.l.</t>
  </si>
  <si>
    <t>BAJO(LONJA-DCHA, Mikel Deuna Plaza, 7, 48160 Derio, Bizkaia</t>
  </si>
  <si>
    <t>Arteaga</t>
  </si>
  <si>
    <t>andoniiturgintza.com</t>
  </si>
  <si>
    <t>629 45 41 75</t>
  </si>
  <si>
    <t>administracion@andoniiturgintza.com</t>
  </si>
  <si>
    <t>Fontanería Maguregi Iturgintza</t>
  </si>
  <si>
    <t>Aldamiz Etxebarria Kalea, 1, 48280 Lekeitio, Bizkaia</t>
  </si>
  <si>
    <t>Lequeitio</t>
  </si>
  <si>
    <t>946 84 00 22</t>
  </si>
  <si>
    <t>Valvulería del Norte, S.l.</t>
  </si>
  <si>
    <t>Coronacion de la Virgen Blanca Kalea, 20-22, 01012 Gasteiz, Araba</t>
  </si>
  <si>
    <t>945 15 00 98</t>
  </si>
  <si>
    <t>Fontanería Hermanos Beitia</t>
  </si>
  <si>
    <t>Calle del Castillo de Eskibel, 8, 01007 Vitoria-Gasteiz, Álava</t>
  </si>
  <si>
    <t>945 23 17 46</t>
  </si>
  <si>
    <t>Fontanería Calefacción Txemi Aldama</t>
  </si>
  <si>
    <t>Calle del Cubo, 7, 01001 Vitoria-Gasteiz, Álava</t>
  </si>
  <si>
    <t>fontaneriatxemialdama.es</t>
  </si>
  <si>
    <t>945 23 25 84</t>
  </si>
  <si>
    <t>info@fontaneriatxemialdama.es</t>
  </si>
  <si>
    <t>Zaindu Konpondu S L</t>
  </si>
  <si>
    <t>Portal de Zurbano, 3, 01013 Gasteiz, Araba</t>
  </si>
  <si>
    <t>zkreparaciones.com</t>
  </si>
  <si>
    <t>945 12 09 92</t>
  </si>
  <si>
    <t>Fontanería Urbegi</t>
  </si>
  <si>
    <t>Klaudio Gallastegi Kalea, 2, 48230 Elorrio, Bizkaia</t>
  </si>
  <si>
    <t>Elorrio</t>
  </si>
  <si>
    <t>S.c.g. Olalla S.L</t>
  </si>
  <si>
    <t>Solozelai Kalea, 4, 01400 Laudio, Araba</t>
  </si>
  <si>
    <t>Llodio</t>
  </si>
  <si>
    <t>946 72 15 37</t>
  </si>
  <si>
    <t>Fontanería Y Calefacción Clemente S L</t>
  </si>
  <si>
    <t>Jose Matia Kalea, 36, N 4, 01400 Laudio, Álava</t>
  </si>
  <si>
    <t>946 72 50 11</t>
  </si>
  <si>
    <t>Fontaneria Algar</t>
  </si>
  <si>
    <t>Ferrocarril Kalea, 4, bajo, 01006 Gasteiz, Araba</t>
  </si>
  <si>
    <t>659 06 07 56</t>
  </si>
  <si>
    <t>INTUGAS FONTANERÍA CALEFACCIÓN y GAS</t>
  </si>
  <si>
    <t>Arriagako Atea Kalea, 63, 01012 Gasteiz, Araba</t>
  </si>
  <si>
    <t>619 75 76 49</t>
  </si>
  <si>
    <t>Fontaneria Calefacciones Revilla</t>
  </si>
  <si>
    <t>Barrenkale Kalea, 19, 01001 Gasteiz, Araba</t>
  </si>
  <si>
    <t>fontaneria koldo saez</t>
  </si>
  <si>
    <t>Antonio Machado Kalea, 01010 Gasteiz, Araba</t>
  </si>
  <si>
    <t>945 22 03 15</t>
  </si>
  <si>
    <t>Iguren</t>
  </si>
  <si>
    <t>Pol. Ind. Saratxo, 01468 Saratxo, Álava</t>
  </si>
  <si>
    <t>Saracho</t>
  </si>
  <si>
    <t>iguren.es</t>
  </si>
  <si>
    <t>945 89 07 91</t>
  </si>
  <si>
    <t>info@iguren.es</t>
  </si>
  <si>
    <t>Fontanería Altuna</t>
  </si>
  <si>
    <t>San Juan Kalea, 4, 48230 Elorrio, Bizkaia</t>
  </si>
  <si>
    <t>946 82 00 62</t>
  </si>
  <si>
    <t>Fontanería Aretxabaleta</t>
  </si>
  <si>
    <t>Santakurtz Kalea, 24, 20550 Aretxabaleta, Gipuzkoa</t>
  </si>
  <si>
    <t>Arechavaleta</t>
  </si>
  <si>
    <t>943 79 17 53</t>
  </si>
  <si>
    <t>Saneamientos Felper S.L.</t>
  </si>
  <si>
    <t>Calle Ramón y Cajal, 53, BAJO, 09200 Miranda de Ebro, Burgos</t>
  </si>
  <si>
    <t>947 31 09 83</t>
  </si>
  <si>
    <t>Fontanero 24H y Electricidad - Fontaneria Arias</t>
  </si>
  <si>
    <t>20016 Donostia-San Sebastian, Gipuzkoa</t>
  </si>
  <si>
    <t>622 30 62 14</t>
  </si>
  <si>
    <t>Suministros Sanitarios Antxeta</t>
  </si>
  <si>
    <t>Letxumborro Hiribidea, 31, 20305 Irun, Gipuzkoa</t>
  </si>
  <si>
    <t>antxeta.es</t>
  </si>
  <si>
    <t>943 66 70 60</t>
  </si>
  <si>
    <t>info@antxeta.es</t>
  </si>
  <si>
    <t>Fontaneria Zabaleta sl</t>
  </si>
  <si>
    <t>Sta. Klara Kalea, 1, 20400 Tolosa, Gipuzkoa</t>
  </si>
  <si>
    <t>Tolosa</t>
  </si>
  <si>
    <t>943 67 25 22</t>
  </si>
  <si>
    <t>Danena Instalaciones S.L.</t>
  </si>
  <si>
    <t>Aralar Mendia Kalea, 64, bajo, 20014 Donostia-San Sebastian, Gipuzkoa</t>
  </si>
  <si>
    <t>danena.es</t>
  </si>
  <si>
    <t>943 45 31 16</t>
  </si>
  <si>
    <t>info@danena.es</t>
  </si>
  <si>
    <t>Fontanería Amaña</t>
  </si>
  <si>
    <t>Kalea Tiburzio Anitua, 12, Bajo, 20600 Eibar, Gipuzkoa</t>
  </si>
  <si>
    <t>Éibar</t>
  </si>
  <si>
    <t>fontaneriaamaña.com</t>
  </si>
  <si>
    <t>943 20 19 30</t>
  </si>
  <si>
    <t>Orereta Iturgintza</t>
  </si>
  <si>
    <t>Oiartzun Kalea, nº15 bajo, 20100 Errenteria, Gipuzkoa</t>
  </si>
  <si>
    <t>oreretaiturgintza.com</t>
  </si>
  <si>
    <t>943 10 21 06</t>
  </si>
  <si>
    <t>Fontaneria Illarramendi</t>
  </si>
  <si>
    <t>Bizkaia Kalea, 24, 20800 Zarautz, Gipuzkoa</t>
  </si>
  <si>
    <t>fontaneriaillarramendi.com</t>
  </si>
  <si>
    <t>943 83 39 18</t>
  </si>
  <si>
    <t>Fontanería J.M.Etxeberría</t>
  </si>
  <si>
    <t>Ipeñarrieta Kalea, 11, 20700 Urretxu, Gipuzkoa</t>
  </si>
  <si>
    <t>Urretxu</t>
  </si>
  <si>
    <t>fontaneriaetxeberria.com</t>
  </si>
  <si>
    <t>943 72 08 69</t>
  </si>
  <si>
    <t>etxeberria@fontaneriaetxeberria.com</t>
  </si>
  <si>
    <t>FONTANERÍA MERINO SL</t>
  </si>
  <si>
    <t>José María Salaberría Kalea, 37, Bajo, 20010 Donostia, Gipuzkoa</t>
  </si>
  <si>
    <t>fontaneriamerino.com</t>
  </si>
  <si>
    <t>943 46 25 43</t>
  </si>
  <si>
    <t>Alabier Iturgintza</t>
  </si>
  <si>
    <t>Calle Urbitarte, 1, Bajo, 20730 Azpeitia, Gipuzkoa</t>
  </si>
  <si>
    <t>Azpeitia</t>
  </si>
  <si>
    <t>943 81 11 79</t>
  </si>
  <si>
    <t>Fontaneria-Gas Julian Calefaccion</t>
  </si>
  <si>
    <t>Blas de Lezo Kalea, 20301 Irun, Gipuzkoa</t>
  </si>
  <si>
    <t>943 61 46 14</t>
  </si>
  <si>
    <t>Fontanería Loren</t>
  </si>
  <si>
    <t>Marinel Kalea, 17, Edificio Belasco, 20303 Irun, Gipuzkoa</t>
  </si>
  <si>
    <t>943 53 74 61</t>
  </si>
  <si>
    <t>Urola iturgintza</t>
  </si>
  <si>
    <t>Eliz Kalea, 5, 20740 Zestoa, Gipuzkoa</t>
  </si>
  <si>
    <t>Cestona</t>
  </si>
  <si>
    <t>urolaiturgintza.com</t>
  </si>
  <si>
    <t>665 49 07 73</t>
  </si>
  <si>
    <t>Lopetegui Zabaleta Santiago y Otros, C.B</t>
  </si>
  <si>
    <t>Alameda Trenbidearen, 15, 20720 Azkoitia, Gipuzkoa</t>
  </si>
  <si>
    <t>Azcoitia</t>
  </si>
  <si>
    <t>943 85 23 85</t>
  </si>
  <si>
    <t>Saltoki Oiartzun</t>
  </si>
  <si>
    <t>Polígono Industrial Aranguren, 2 Bo Arragua, 20180 Arragua, Gipuzkoa</t>
  </si>
  <si>
    <t>943 49 11 55</t>
  </si>
  <si>
    <t>Fontanería y Calefacción Txingudi Soc Coop</t>
  </si>
  <si>
    <t>Serapio Mugica Kalea, 30, 20302 Irun, Gipuzkoa</t>
  </si>
  <si>
    <t>943 61 19 59</t>
  </si>
  <si>
    <t>Fontaneria Antzieta S L</t>
  </si>
  <si>
    <t>Kalea, Gregorio Ameztoy Kalea, 3, Bajo Izda, 20271 Irura, Gipuzkoa</t>
  </si>
  <si>
    <t>Irura</t>
  </si>
  <si>
    <t>627 21 28 14</t>
  </si>
  <si>
    <t>Fontaneria Padules Iturgintza</t>
  </si>
  <si>
    <t>Usandizaga Kalea, 10, Bajo, 20002 Donostia, Gipuzkoa</t>
  </si>
  <si>
    <t>943 27 23 02</t>
  </si>
  <si>
    <t>Fontanería Fuentes Alberto</t>
  </si>
  <si>
    <t>Zarautz Kalea, 66, 20018 Donostia, Gipuzkoa</t>
  </si>
  <si>
    <t>688 68 54 13</t>
  </si>
  <si>
    <t>Fontanería Andoain</t>
  </si>
  <si>
    <t>Arteta Kalea, 3, 20140 Andoain, Gipuzkoa</t>
  </si>
  <si>
    <t>Andoáin</t>
  </si>
  <si>
    <t>600 41 79 55</t>
  </si>
  <si>
    <t>Askasibar Iturgintza, S.L.L.</t>
  </si>
  <si>
    <t>Okendo Kalea, 5, 20500 Arrasate, Gipuzkoa</t>
  </si>
  <si>
    <t>Fontaneria German Iturgintza</t>
  </si>
  <si>
    <t>Goiko kale 8, 1º, 20249 Itsasondo, Gipuzkoa</t>
  </si>
  <si>
    <t>Isasondo</t>
  </si>
  <si>
    <t>fontaneriagerman.com</t>
  </si>
  <si>
    <t>605 77 33 50</t>
  </si>
  <si>
    <t>info@fontaneriagerman.com</t>
  </si>
  <si>
    <t>Fontanería Balbás</t>
  </si>
  <si>
    <t>Idiazabal Kalea, 16, 20130 Urnieta, Gipuzkoa</t>
  </si>
  <si>
    <t>Urnieta</t>
  </si>
  <si>
    <t>fontaneriabalbas.es</t>
  </si>
  <si>
    <t>943 84 85 57</t>
  </si>
  <si>
    <t>Segurola Fontanería</t>
  </si>
  <si>
    <t>Salegi Kalea, 1, 20800 Zarautz, Gipuzkoa</t>
  </si>
  <si>
    <t>943 83 27 97</t>
  </si>
  <si>
    <t>Fontanería Zapirain</t>
  </si>
  <si>
    <t>Ategorrieta Hiribidea, 43, 20013 Donostia, Gipuzkoa</t>
  </si>
  <si>
    <t>943 28 99 87</t>
  </si>
  <si>
    <t>Fontanería Denak</t>
  </si>
  <si>
    <t>Urbieta Kalea, 60, 20006 Donostia, Gipuzkoa</t>
  </si>
  <si>
    <t>fontaneriadenak.com</t>
  </si>
  <si>
    <t>688 87 32 93</t>
  </si>
  <si>
    <t>info@fontaneriadenak.com</t>
  </si>
  <si>
    <t>Fontanería Yurre, C.B.</t>
  </si>
  <si>
    <t>Martokoa kalea, 36, 20570 Bergara, Gipuzkoa</t>
  </si>
  <si>
    <t>Vergara</t>
  </si>
  <si>
    <t>943 76 08 37</t>
  </si>
  <si>
    <t>Ur Gintza</t>
  </si>
  <si>
    <t>Polígono Industrial Errota, 19, 20749 Aizarnazabal, Gipuzkoa</t>
  </si>
  <si>
    <t>Aizarnazabal</t>
  </si>
  <si>
    <t>943 14 80 82</t>
  </si>
  <si>
    <t>Fontanería Tellería</t>
  </si>
  <si>
    <t>Urki Kalea, 9, 20600 Eibar, Gipuzkoa</t>
  </si>
  <si>
    <t>639 17 93 82</t>
  </si>
  <si>
    <t>Fontaneria Da Silva</t>
  </si>
  <si>
    <t>Nafarroa Hiribidea, 25, 20500 Arrasate, Gipuzkoa</t>
  </si>
  <si>
    <t>943 79 99 83</t>
  </si>
  <si>
    <t>IXOS Gaur Donostia</t>
  </si>
  <si>
    <t>De, Tolosa Hiribidea, 103, 20009 Donostia, Gipuzkoa</t>
  </si>
  <si>
    <t>943 21 93 88</t>
  </si>
  <si>
    <t>Fontanería Julian Villaverde</t>
  </si>
  <si>
    <t>Peña y Goñi Kalea, 9, 20002 Donostia, Gipuzkoa</t>
  </si>
  <si>
    <t>fontaneriasansebastian.com</t>
  </si>
  <si>
    <t>943 27 20 18</t>
  </si>
  <si>
    <t>Igor Rey Merino</t>
  </si>
  <si>
    <t>Hamarretxeta Kalea, 18, 20110 Pasaia, Gipuzkoa</t>
  </si>
  <si>
    <t>Pasajes</t>
  </si>
  <si>
    <t>igorreymerino.business.site</t>
  </si>
  <si>
    <t>943 05 32 15</t>
  </si>
  <si>
    <t>Guembe Fontaneria SL</t>
  </si>
  <si>
    <t>San Marko Kalea, 2, 20100 Errenteria, Gipuzkoa</t>
  </si>
  <si>
    <t>guembefontaneria.com</t>
  </si>
  <si>
    <t>943 52 54 96</t>
  </si>
  <si>
    <t>Fontanería Bravo</t>
  </si>
  <si>
    <t>Bista-Eder Kalea, 13, 20600 Eibar, Gipuzkoa</t>
  </si>
  <si>
    <t>629 97 70 57</t>
  </si>
  <si>
    <t>Fontanería Grobas</t>
  </si>
  <si>
    <t>Gipuzkoa Hiribidea, 28, 20302 Irun, Gipuzkoa</t>
  </si>
  <si>
    <t>fontaneriagrobas.com</t>
  </si>
  <si>
    <t>943 61 02 21</t>
  </si>
  <si>
    <t>Ur isuri Fugas de Agua</t>
  </si>
  <si>
    <t>Vega de Eguzkiza Kalea, 3, 20304 Irun, Gipuzkoa</t>
  </si>
  <si>
    <t>urisuri.com</t>
  </si>
  <si>
    <t>943 11 09 23</t>
  </si>
  <si>
    <t>info@urisuri.com</t>
  </si>
  <si>
    <t>FONTANERIA GARU CLIMATIZACION</t>
  </si>
  <si>
    <t>Lugar, Arantzazuko Andre Mariaren Auzunea, 47, 20008 San Sebastián-Donostia, Gipuzkoa</t>
  </si>
  <si>
    <t>fontaneriagaru.es</t>
  </si>
  <si>
    <t>943 21 61 08</t>
  </si>
  <si>
    <t>Fontanería Agustín Ausin</t>
  </si>
  <si>
    <t>Foruen Etorbidea, 9, 4, 20400 Tolosa, Gipuzkoa</t>
  </si>
  <si>
    <t>943 65 18 82</t>
  </si>
  <si>
    <t>Urreta Iturgintza</t>
  </si>
  <si>
    <t>Kalea, Juin Kalea, 5, BAJO - Puerta 3, 20720 Azkoitia, Gipuzkoa</t>
  </si>
  <si>
    <t>656 78 67 39</t>
  </si>
  <si>
    <t>Fontanería Igea</t>
  </si>
  <si>
    <t>Segundo Izpizua Kalea, 5, 20001 Donostia, Gipuzkoa</t>
  </si>
  <si>
    <t>943 29 33 91</t>
  </si>
  <si>
    <t>Leandro Soto Kalea, 2, 20303 Irun, Gipuzkoa</t>
  </si>
  <si>
    <t>fontaneria GAZTELU iturgintza - Antsulas koop</t>
  </si>
  <si>
    <t>Esteban Lasa Kalea, 7, 20200 Beasain, Gipuzkoa</t>
  </si>
  <si>
    <t>gazteluiturgintza.eus</t>
  </si>
  <si>
    <t>943 88 80 29</t>
  </si>
  <si>
    <t>Fontaneria Biyok</t>
  </si>
  <si>
    <t>Errekatxo Emparantza Plaza, 6, 20115 Astigarraga, Gipuzkoa</t>
  </si>
  <si>
    <t>biyok.es</t>
  </si>
  <si>
    <t>656 72 10 30</t>
  </si>
  <si>
    <t>Talleres Zabala</t>
  </si>
  <si>
    <t>Calle del General Etxagüe, 12, 20003 Donostia-San Sebastian, Gipuzkoa</t>
  </si>
  <si>
    <t>tallereszabala.com</t>
  </si>
  <si>
    <t>943 42 16 11</t>
  </si>
  <si>
    <t>info@leku.es</t>
  </si>
  <si>
    <t>Saltoki Donostia-Zubieta</t>
  </si>
  <si>
    <t>Arrapide Pasealekua, 77, 20170 Donostia, Gipuzkoa</t>
  </si>
  <si>
    <t>943 26 35 80</t>
  </si>
  <si>
    <t>José Martín Alberdi Alzugarai</t>
  </si>
  <si>
    <t>Calle de José Miguel Iturriotz, 27, 20200 Beasain, Gipuzkoa</t>
  </si>
  <si>
    <t>Abaltzisketa</t>
  </si>
  <si>
    <t>943 88 89 39</t>
  </si>
  <si>
    <t>Fontanería Serradilla</t>
  </si>
  <si>
    <t>Larratxo pasealekua, 96, 20017 Donostia, Gipuzkoa</t>
  </si>
  <si>
    <t>635 37 05 32</t>
  </si>
  <si>
    <t>Pasaia Kalea, 7, 20100 Errenteria, Gipuzkoa</t>
  </si>
  <si>
    <t>Tomás Solana Matesanz</t>
  </si>
  <si>
    <t>San Marko Kalea, 6, 20100 Errenteria, Gipuzkoa</t>
  </si>
  <si>
    <t>943 52 18 54</t>
  </si>
  <si>
    <t>Altuna &amp;amp; Crespo Fontanería</t>
  </si>
  <si>
    <t>661 33 73 70</t>
  </si>
  <si>
    <t>Fontanería Koldo</t>
  </si>
  <si>
    <t>Paseo de, Zubiaurre Pasealekua, 125, 20015 Donostia, Gipuzkoa</t>
  </si>
  <si>
    <t>fontaneriakoldo.es</t>
  </si>
  <si>
    <t>943 32 03 70</t>
  </si>
  <si>
    <t>fontanekoldo@terra.com</t>
  </si>
  <si>
    <t>Fontanería Soroa</t>
  </si>
  <si>
    <t>Lizardi Kalea, 41, 20015 Donostia, Gipuzkoa</t>
  </si>
  <si>
    <t>Fontanería Beriyo SL</t>
  </si>
  <si>
    <t>Juan de Garai Kalea, 1, 20008 Donostia, Gipuzkoa</t>
  </si>
  <si>
    <t>943 31 08 82</t>
  </si>
  <si>
    <t>Fontaneria Fontana</t>
  </si>
  <si>
    <t>fontaneria-fontana.com</t>
  </si>
  <si>
    <t>661 26 28 28</t>
  </si>
  <si>
    <t>Arocena Fontanería</t>
  </si>
  <si>
    <t>Teodoro Murua Kalea, 7, 20305 Irun, Gipuzkoa</t>
  </si>
  <si>
    <t>670 22 94 07</t>
  </si>
  <si>
    <t>Urbegi</t>
  </si>
  <si>
    <t>Barrio, Iurre, 2, 20400 Tolosa, Gipuzkoa</t>
  </si>
  <si>
    <t>943 69 73 13</t>
  </si>
  <si>
    <t>Fontanería Garciarena Apaolaza</t>
  </si>
  <si>
    <t>Ubarburu Pasealekua, 54, 20014 Donostia, Gipuzkoa</t>
  </si>
  <si>
    <t>garberainstalaciones.com</t>
  </si>
  <si>
    <t>943 39 23 90</t>
  </si>
  <si>
    <t>Fontanería Ander</t>
  </si>
  <si>
    <t>General del Alarde E. Pedros Kalea, 7, 20303 Irun, Gipuzkoa</t>
  </si>
  <si>
    <t>669 68 44 28</t>
  </si>
  <si>
    <t>Urdangarin Fontanería</t>
  </si>
  <si>
    <t>Herrikobarra Kalea, 21, 20800 Zarautz, Gipuzkoa</t>
  </si>
  <si>
    <t>943 13 15 70</t>
  </si>
  <si>
    <t>Fontanería Jokar S.L</t>
  </si>
  <si>
    <t>Ola Kalea, 12, 20160 Lasarte-Oria, Gipuzkoa</t>
  </si>
  <si>
    <t>Lasarte-Oria</t>
  </si>
  <si>
    <t>Txema Etxeberria Eztala / Fontanería</t>
  </si>
  <si>
    <t>Erriberene Kalea, 6, 20180 Oiartzun, Gipuzkoa</t>
  </si>
  <si>
    <t>Oyarzun</t>
  </si>
  <si>
    <t>609 06 84 03</t>
  </si>
  <si>
    <t>Fontanería Gárate</t>
  </si>
  <si>
    <t>Calle Francisco Andonaegi, 2, 20110 Pasaia, Gipuzkoa</t>
  </si>
  <si>
    <t>943 39 87 64</t>
  </si>
  <si>
    <t>Imara S.l.</t>
  </si>
  <si>
    <t>Berio Kalea, 8, 20303 Irun, Gipuzkoa</t>
  </si>
  <si>
    <t>943 10 24 78</t>
  </si>
  <si>
    <t>Iturgintza Garmendia</t>
  </si>
  <si>
    <t>Kale Berria, 5, bajo, 20240 Ordizia, Gipuzkoa</t>
  </si>
  <si>
    <t>680 65 54 21</t>
  </si>
  <si>
    <t>Hamarretxeta Fontanería</t>
  </si>
  <si>
    <t>Hamarretxeta Kalea, 11, 20110 Pasai Antxo, Gipuzkoa</t>
  </si>
  <si>
    <t>Pasai Antxo</t>
  </si>
  <si>
    <t>hamarretxetafontaneria.com</t>
  </si>
  <si>
    <t>943 03 12 98</t>
  </si>
  <si>
    <t>info@hamarretxetafontaneria.com</t>
  </si>
  <si>
    <t>M. Alonso Fontanería</t>
  </si>
  <si>
    <t>Kalea Sierra de Aloña, 1 Entrada por, Sierra de Urbasa Kalea, 2, 20014 Donostia, Gipuzkoa</t>
  </si>
  <si>
    <t>670 41 75 89</t>
  </si>
  <si>
    <t>Baltasar Rubio Fontanería</t>
  </si>
  <si>
    <t>Txirrita Bertsolaria PasealeKua, 14, 20017 Donostia, Gipuzkoa</t>
  </si>
  <si>
    <t>baltasar-rubio.com</t>
  </si>
  <si>
    <t>943 39 54 28</t>
  </si>
  <si>
    <t>baltasar@baltasar-rubio.com</t>
  </si>
  <si>
    <t>Kubero Iturgintza</t>
  </si>
  <si>
    <t>General Jauregi Kalea, 3, 20003 Donostia, Gipuzkoa</t>
  </si>
  <si>
    <t>kuberoiturgintza.com</t>
  </si>
  <si>
    <t>670 65 64 66</t>
  </si>
  <si>
    <t>info@kuberoiturgintza.com</t>
  </si>
  <si>
    <t>Fontanería Lasarte</t>
  </si>
  <si>
    <t>Pol. Osinalde, Ondarzulo Kalea, Nº1, 20170 Usurbil, Gipuzkoa</t>
  </si>
  <si>
    <t>Usúrbil</t>
  </si>
  <si>
    <t>fontanerialasarte.com</t>
  </si>
  <si>
    <t>943 36 12 54</t>
  </si>
  <si>
    <t>Fontanería Portu</t>
  </si>
  <si>
    <t>Mandoegi Kalea, 2, 20100 Errenteria, Gipuzkoa</t>
  </si>
  <si>
    <t>684 09 11 94</t>
  </si>
  <si>
    <t>Fontanería Zulaica</t>
  </si>
  <si>
    <t>Kale Nagusia, 3, 20160 Lasarte-Oria, Gipuzkoa</t>
  </si>
  <si>
    <t>Fontanería Robles</t>
  </si>
  <si>
    <t>Bulandegi Bidea, 24, LOCAL 4, 20159 Zizurkil, Gipuzkoa</t>
  </si>
  <si>
    <t>Cizúrquil</t>
  </si>
  <si>
    <t>fontaneriarobles.business.site</t>
  </si>
  <si>
    <t>676 99 78 61</t>
  </si>
  <si>
    <t>Fontanería Iñigo Alzugaray - Fontanero en Donostia</t>
  </si>
  <si>
    <t>Alcalde J. Elosegi Hiribidea, 116, 20016 Donostia, Gipuzkoa</t>
  </si>
  <si>
    <t>646 63 91 46</t>
  </si>
  <si>
    <t>Larrea Auzoa, 20150 Villabona, Gipuzkoa</t>
  </si>
  <si>
    <t>Villabona</t>
  </si>
  <si>
    <t>Fongui S A</t>
  </si>
  <si>
    <t>Zabaleta Kalea, 52, 20002 Donostia, Gipuzkoa</t>
  </si>
  <si>
    <t>fongui.es</t>
  </si>
  <si>
    <t>943 27 60 11</t>
  </si>
  <si>
    <t>Fontanería Urlan</t>
  </si>
  <si>
    <t>Alarde Kalea, 5, 20303 Irun, Gipuzkoa</t>
  </si>
  <si>
    <t>607 25 63 01</t>
  </si>
  <si>
    <t>Lizaso Iturgintza</t>
  </si>
  <si>
    <t>Bizkaia Kalea, 59, 20800 Zarautz, Gipuzkoa</t>
  </si>
  <si>
    <t>943 04 61 72</t>
  </si>
  <si>
    <t>Oleta Fontanería</t>
  </si>
  <si>
    <t>Iparragirre Kalea, 16, 20700 Urretxu, Gipuzkoa</t>
  </si>
  <si>
    <t>943 72 06 90</t>
  </si>
  <si>
    <t>Fontaneria Iker Castro S.L.</t>
  </si>
  <si>
    <t>Ametzagaña K., 45, 20012 Donostia, Gipuzkoa</t>
  </si>
  <si>
    <t>fontaneriaikercastro.com</t>
  </si>
  <si>
    <t>943 38 25 00</t>
  </si>
  <si>
    <t>info@fontaneriaikercastro.com</t>
  </si>
  <si>
    <t>Fontaneros Donostia - Morga Fontaneros y Desatascos</t>
  </si>
  <si>
    <t>Federico García Lorca Pasealekua, 2, bajo, 20014 Donostia, Gipuzkoa</t>
  </si>
  <si>
    <t>606 06 60 66</t>
  </si>
  <si>
    <t>Aizpurúa Fontanería</t>
  </si>
  <si>
    <t>Martin Jose Iraola Hiribidea, 5, 20400 San Blas, Gipuzkoa</t>
  </si>
  <si>
    <t>San Blas</t>
  </si>
  <si>
    <t>943 67 17 18</t>
  </si>
  <si>
    <t>Grufonkale</t>
  </si>
  <si>
    <t>Egia Kalea, 36, 20012 Donostia, Gipuzkoa</t>
  </si>
  <si>
    <t>Alkar</t>
  </si>
  <si>
    <t>Herrera Pasealekua, 32, 20017 Donostia, Gipuzkoa</t>
  </si>
  <si>
    <t>Fontaneria Alfredo iturgintza</t>
  </si>
  <si>
    <t>Mayor Kalea, n 53, 20140 Villabona, Gipuzkoa</t>
  </si>
  <si>
    <t>639 07 60 21</t>
  </si>
  <si>
    <t>FONTANERIA Y VERTICALES FERNANDEZ S.l</t>
  </si>
  <si>
    <t>Aldamar Kalea, 3, 20003 Donostia, Gipuzkoa</t>
  </si>
  <si>
    <t>607 41 94 22</t>
  </si>
  <si>
    <t>Fontanería, Gas y Calefacción Palacios S.L.</t>
  </si>
  <si>
    <t>San Pelayo Kalea, 26, 48260 Ermua, Bizkaia</t>
  </si>
  <si>
    <t>Ermua</t>
  </si>
  <si>
    <t>palaciosfontaneria.com</t>
  </si>
  <si>
    <t>943 53 92 23</t>
  </si>
  <si>
    <t>info@palaciosfontaneria.com</t>
  </si>
  <si>
    <t>FontaneriaAlfredoIturgintza Andoain</t>
  </si>
  <si>
    <t>Kale Nagusia Kalea, 53, 20140 Andoain, Gipuzkoa</t>
  </si>
  <si>
    <t>Linterneria Fontanería Amara S L</t>
  </si>
  <si>
    <t>Balleneros Kalea, 6, 20011 San Sebastián-Donostia, Gipuzkoa</t>
  </si>
  <si>
    <t>Instalaciones Txindoki</t>
  </si>
  <si>
    <t>Arizmendi, Oriamendi Kalea, 19, 20200 Arizmendi, Gipuzkoa</t>
  </si>
  <si>
    <t>943 88 00 82</t>
  </si>
  <si>
    <t>Fontanería Larratxo</t>
  </si>
  <si>
    <t>Makatzena Kalea, 11, 20500 Arrasate, Gipuzkoa</t>
  </si>
  <si>
    <t>943 79 03 44</t>
  </si>
  <si>
    <t>Fontaneria Lizaso</t>
  </si>
  <si>
    <t>Pintore Kalea, 7, 20160 Lasarte-Oria, Gipuzkoa</t>
  </si>
  <si>
    <t>943 36 93 28</t>
  </si>
  <si>
    <t>Fontanero Donostia</t>
  </si>
  <si>
    <t>Calle, Secundino Esnaola Kalea, 18, 20001 Donostia-San Sebastian, Gipuzkoa</t>
  </si>
  <si>
    <t>fontanerodonostia.com</t>
  </si>
  <si>
    <t>676 81 57 92</t>
  </si>
  <si>
    <t>info@fontanerodonostia.com</t>
  </si>
  <si>
    <t>Fontaneria Adarra XXI SLL</t>
  </si>
  <si>
    <t>Azkorte Kalea, 4, 20130 Urnieta, Gipuzkoa</t>
  </si>
  <si>
    <t>943 00 96 93</t>
  </si>
  <si>
    <t>Fontanería Pizarro</t>
  </si>
  <si>
    <t>Oleta Kalea, 6, 20017 San Sebastián-Donostia, Gipuzkoa</t>
  </si>
  <si>
    <t>943 35 11 03</t>
  </si>
  <si>
    <t>Urbanización Zaleak, Pasaia Kalea, 0 S N, 20001 Donostia-San Sebastian, Gipuzkoa</t>
  </si>
  <si>
    <t>943 32 00 20</t>
  </si>
  <si>
    <t>Jesús Ocariz San Sebastián</t>
  </si>
  <si>
    <t>Antziola Auzoa, 46, 20120 Hernani, Gipuzkoa</t>
  </si>
  <si>
    <t>943 33 00 51</t>
  </si>
  <si>
    <t>Fontanería Inda S L U</t>
  </si>
  <si>
    <t>Calle Arroyo Asúa, 2, 20600 Eibar, Gipuzkoa</t>
  </si>
  <si>
    <t>943 12 18 64</t>
  </si>
  <si>
    <t>Saneamientos Arriaga S.L.</t>
  </si>
  <si>
    <t>Arragüeta Kalea, 2, 20600 Eibar, Gipuzkoa</t>
  </si>
  <si>
    <t>943 20 20 34</t>
  </si>
  <si>
    <t>Fontaneria Unai</t>
  </si>
  <si>
    <t>Enparan Kalea, 25, 20730 Azpeitia, Gipuzkoa</t>
  </si>
  <si>
    <t>696 26 00 91</t>
  </si>
  <si>
    <t>Fontanería Iturbi</t>
  </si>
  <si>
    <t>Paseo Aintzieta / Aintzieta Pasealekua, 11, 20014 San Sebastián-Donostia, Gipuzkoa</t>
  </si>
  <si>
    <t>657 18 43 73</t>
  </si>
  <si>
    <t>Fontanería Larrañaga Eguren</t>
  </si>
  <si>
    <t>Joan XXIII Plaza, 0, 20570 Bergara, Gipuzkoa</t>
  </si>
  <si>
    <t>943 76 11 88</t>
  </si>
  <si>
    <t>Lapabide Iturgintza</t>
  </si>
  <si>
    <t>Gurutze Alde Etxetaldea, 7, 20009 Donostia, Gipuzkoa</t>
  </si>
  <si>
    <t>943 31 12 86</t>
  </si>
  <si>
    <t>Zuriarrain</t>
  </si>
  <si>
    <t>BENTA, ALDEA, Ind. Pol., 6, 20270 Anoeta, Gipuzkoa</t>
  </si>
  <si>
    <t>Anoeta</t>
  </si>
  <si>
    <t>zurriarain.negocio.site</t>
  </si>
  <si>
    <t>943 65 14 65</t>
  </si>
  <si>
    <t>Fontanería Cruz</t>
  </si>
  <si>
    <t>Urki Kalea, 7, 20600 Eibar, Gipuzkoa</t>
  </si>
  <si>
    <t>Pagoaga, S.A. (Lantegia/Taller)</t>
  </si>
  <si>
    <t>San Antolin Kalea, 13, 20870 SM, Gipuzkoa</t>
  </si>
  <si>
    <t>943 74 05 12</t>
  </si>
  <si>
    <t>Pagoaga, S.A. (Egoitza/Sede)</t>
  </si>
  <si>
    <t>Pedro Migel Urruzuno Kalea, 6, 20870 Elgoibar, Gipuzkoa</t>
  </si>
  <si>
    <t>Elgóibar</t>
  </si>
  <si>
    <t>pagoagasa.com</t>
  </si>
  <si>
    <t>Fontanería Sebastián Redondo</t>
  </si>
  <si>
    <t>Plaza de Jaizkibel, 8, 20160 Lasarte-Oria, Gipuzkoa</t>
  </si>
  <si>
    <t>943 37 18 45</t>
  </si>
  <si>
    <t>Fontanería Javier Herradura</t>
  </si>
  <si>
    <t>Olaketa Kalea, 17, 20303 Irun, Gipuzkoa</t>
  </si>
  <si>
    <t>615 70 02 41</t>
  </si>
  <si>
    <t>Fontanería Iribarren</t>
  </si>
  <si>
    <t>Txirrita Bertsolaria PasealeKua, 5, 20017 Donostia, Gipuzkoa</t>
  </si>
  <si>
    <t>943 39 84 76</t>
  </si>
  <si>
    <t>Fontanería Corzo</t>
  </si>
  <si>
    <t>Del Cedro Plaza, 5, 20016 San Sebastián-Donostia, Gipuzkoa</t>
  </si>
  <si>
    <t>943 39 55 76</t>
  </si>
  <si>
    <t>Fontanería Olazábal</t>
  </si>
  <si>
    <t>Asteasuain Kalea, 1, 20160 Lasarte-Oria, Gipuzkoa</t>
  </si>
  <si>
    <t>Fontanería Miguelo</t>
  </si>
  <si>
    <t>Iñigo de Loyola Kalea, 5, 20160 Lasarte-Oria, Gipuzkoa</t>
  </si>
  <si>
    <t>Fontanería Ibarburu</t>
  </si>
  <si>
    <t>Mad. Jauregiberri Ibilbidea, 4, 20014 Donostia, Gipuzkoa</t>
  </si>
  <si>
    <t>943 45 79 89</t>
  </si>
  <si>
    <t>Basanoaga Kalea, 2, 20100 Errenteria, Gipuzkoa</t>
  </si>
  <si>
    <t>650 00 00 68</t>
  </si>
  <si>
    <t>FONTANERIA JM</t>
  </si>
  <si>
    <t>Larratxo pasealekua, 26, 20017 San Sebastián-Donostia, Gipuzkoa</t>
  </si>
  <si>
    <t>652 73 84 65</t>
  </si>
  <si>
    <t>A.P. Fontanería</t>
  </si>
  <si>
    <t>Pablo-Enea Kalea, 5, Local 5, 20110 Pasaia, Gipuzkoa</t>
  </si>
  <si>
    <t>apfontaneria.com</t>
  </si>
  <si>
    <t>672 41 73 04</t>
  </si>
  <si>
    <t>Fontanería Lagunak</t>
  </si>
  <si>
    <t>Okendotegi Bidea, 82, 20014 Donostia, Gipuzkoa</t>
  </si>
  <si>
    <t>Fontanería José M Otermín</t>
  </si>
  <si>
    <t>Isabel II.a Etorb., 10, 20011 Donostia, Gipuzkoa</t>
  </si>
  <si>
    <t>678 42 14 08</t>
  </si>
  <si>
    <t>Fontanería y Reformas Ur-Gas</t>
  </si>
  <si>
    <t>poligono Txindoki, Polígono Txindoki, Pabellón 2-4, 20240 Ordizia, Gipuzkoa</t>
  </si>
  <si>
    <t>653 36 59 56</t>
  </si>
  <si>
    <t>Luis de Uranzu Kalea, 20, 20301 Irun, Gipuzkoa</t>
  </si>
  <si>
    <t>Fontanería Unanue</t>
  </si>
  <si>
    <t>Filipineta Kalea, 9, 20240 Ordizia, Gipuzkoa</t>
  </si>
  <si>
    <t>943 88 38 51</t>
  </si>
  <si>
    <t>Txomin Iturgintza</t>
  </si>
  <si>
    <t>943 73 00 85</t>
  </si>
  <si>
    <t>Fontaneria Solana</t>
  </si>
  <si>
    <t>Oarso Kalea, 5, 20110 Pasaia, Gipuzkoa</t>
  </si>
  <si>
    <t>943 52 19 99</t>
  </si>
  <si>
    <t>Fontanería Bakarrik - Zubeldia</t>
  </si>
  <si>
    <t>Igartza Oleta Kalea, 10, 20200 Beasain, Gipuzkoa</t>
  </si>
  <si>
    <t>Fontanería Manu</t>
  </si>
  <si>
    <t>Kañueta Bidea, 43, 20018 Donostia, Gipuzkoa</t>
  </si>
  <si>
    <t>943 36 00 03</t>
  </si>
  <si>
    <t>Fontanería Germán</t>
  </si>
  <si>
    <t>Kale Nagusia Kalea, 9, 20249 Itsasondo, Gipuzkoa</t>
  </si>
  <si>
    <t>943 88 29 57</t>
  </si>
  <si>
    <t>Fontanería Víctor</t>
  </si>
  <si>
    <t>Kale Nagusia, 19, 20160 Lasarte-Oria, Gipuzkoa</t>
  </si>
  <si>
    <t>gaes.es</t>
  </si>
  <si>
    <t>943 37 74 31</t>
  </si>
  <si>
    <t>gaes-logo-red@3x.png</t>
  </si>
  <si>
    <t>Fontanería Angel Prieto</t>
  </si>
  <si>
    <t>Polígono Industrial Pol., 31, 20400 Ibarra, Gipuzkoa</t>
  </si>
  <si>
    <t>fontaneriaangelprieto.com</t>
  </si>
  <si>
    <t>606 35 11 37</t>
  </si>
  <si>
    <t>info@fontaneriaangelprieto.com</t>
  </si>
  <si>
    <t>Fontaneria Denak</t>
  </si>
  <si>
    <t>Nafarroa Etorbidea, 20200 Beasain, Gipuzkoa</t>
  </si>
  <si>
    <t>Fontanería Santana Iturgintza Eta Instalazioa</t>
  </si>
  <si>
    <t>Urazandi Kalea, 17, 20870 Elgoibar, Gipuzkoa</t>
  </si>
  <si>
    <t>943 74 05 30</t>
  </si>
  <si>
    <t>Fontaneria Luis Angel Urretxu</t>
  </si>
  <si>
    <t>Labeaga Kalea, 33, 20700 Urretxu, Gipuzkoa</t>
  </si>
  <si>
    <t>fontanerialuisangel.com</t>
  </si>
  <si>
    <t>943 72 54 59</t>
  </si>
  <si>
    <t>info@fontanerialuisangel.com</t>
  </si>
  <si>
    <t>FONTANERÍA RIF S.L</t>
  </si>
  <si>
    <t>Marques de Valdespina Kalea, 48260 Ermua, Bizkaia</t>
  </si>
  <si>
    <t>605 71 10 81</t>
  </si>
  <si>
    <t>Fontanería Antonio Tellabide S L</t>
  </si>
  <si>
    <t>Azpilgoeta Kalea, 7, 20850 Mendaro, Gipuzkoa</t>
  </si>
  <si>
    <t>Mendaro</t>
  </si>
  <si>
    <t>943 75 50 62</t>
  </si>
  <si>
    <t>J.L. Simón Fontanería</t>
  </si>
  <si>
    <t>Añorga Hiribidea, 22, 20018 Añorga, Gipuzkoa</t>
  </si>
  <si>
    <t>Fontanería Mikel Gillorme</t>
  </si>
  <si>
    <t>Zamalbide Kalea, 4, 20100 Errenteria, Gipuzkoa</t>
  </si>
  <si>
    <t>Fontanería fontana</t>
  </si>
  <si>
    <t>Arrantzale Kalea, 3, Bajo, 20810 Orio, Gipuzkoa</t>
  </si>
  <si>
    <t>Orio</t>
  </si>
  <si>
    <t>FONTANERIA NIETO ITURGINTZA S.L.</t>
  </si>
  <si>
    <t>Idiazabal Kalea, 32, 20130 Urnieta, Gipuzkoa</t>
  </si>
  <si>
    <t>fontanerianieto.com</t>
  </si>
  <si>
    <t>657 72 87 41</t>
  </si>
  <si>
    <t>info@fontanerianieto.com</t>
  </si>
  <si>
    <t>GUDE FONTANERIA GAS CALEFACCION CLIMATIZACION DESATASCO LIMPIEZA MANTENIMIENTO DE TEJADOS CALDERAS</t>
  </si>
  <si>
    <t>Portu Kalea, 12, 20003 Donostia, Gipuzkoa</t>
  </si>
  <si>
    <t>607 75 98 12</t>
  </si>
  <si>
    <t>Mons Pasealekua, 42, 20015 Donostia, Gipuzkoa</t>
  </si>
  <si>
    <t>687 40 62 13</t>
  </si>
  <si>
    <t>Fontanería Ordóñez</t>
  </si>
  <si>
    <t>Jolo Kalea, 4, 20303 Irun, Gipuzkoa</t>
  </si>
  <si>
    <t>Fontanería Campos</t>
  </si>
  <si>
    <t>Polígono Industrial Ergoien, 0 Parcela L, 20130 Urnieta, Gipuzkoa</t>
  </si>
  <si>
    <t>Fontanería Juan Sánchez</t>
  </si>
  <si>
    <t>Colombine Hiribidea, 29, 20017 Donostia, Gipuzkoa</t>
  </si>
  <si>
    <t>943 40 02 26</t>
  </si>
  <si>
    <t>Fontanería Aramburu</t>
  </si>
  <si>
    <t>Calle Luis María Tolosa, 6, 20305 Irun, Gipuzkoa</t>
  </si>
  <si>
    <t>943 61 99 91</t>
  </si>
  <si>
    <t>Saneamientos Lezo S L</t>
  </si>
  <si>
    <t>Zubitxo Kalea, 11, 20100 Lezo, Gipuzkoa</t>
  </si>
  <si>
    <t>Lezo</t>
  </si>
  <si>
    <t>943 52 72 92</t>
  </si>
  <si>
    <t>Fontanería Santa Bárbara</t>
  </si>
  <si>
    <t>Santa Barbara Kalea, 2, 20017 Donostia, Gipuzkoa</t>
  </si>
  <si>
    <t>943 35 33 26</t>
  </si>
  <si>
    <t>Fontanería Pedro Alvarez</t>
  </si>
  <si>
    <t>Zarautz Kalea, 55, 20018 Donostia, Gipuzkoa</t>
  </si>
  <si>
    <t>670 02 79 51</t>
  </si>
  <si>
    <t>Iturgintza Mikel</t>
  </si>
  <si>
    <t>Urbia Kalea, 11, 20014 Donostia, Gipuzkoa</t>
  </si>
  <si>
    <t>665 75 94 68</t>
  </si>
  <si>
    <t>Fontanería Peio G</t>
  </si>
  <si>
    <t>Perkaiztegi Kalea, 8, 20120 Hernani, Gipuzkoa</t>
  </si>
  <si>
    <t>943 55 11 32</t>
  </si>
  <si>
    <t>Herrera Pasealekua, 33, 20017 Donostia, Gipuzkoa</t>
  </si>
  <si>
    <t>627 51 06 23</t>
  </si>
  <si>
    <t>Fontanería Jardines</t>
  </si>
  <si>
    <t>Jardiñeta Kalea, 11, 20600 Eibar, Gipuzkoa</t>
  </si>
  <si>
    <t>Fontanería Ion</t>
  </si>
  <si>
    <t>Alcaldía de Sacas Kalea, 9, 20305 Irun, Gipuzkoa</t>
  </si>
  <si>
    <t>629 82 07 52</t>
  </si>
  <si>
    <t>Fontges</t>
  </si>
  <si>
    <t>Mandasko Dukearen Pasealekua, 4, BAJO, 20012 Donostia, Gipuzkoa</t>
  </si>
  <si>
    <t>fontges.com</t>
  </si>
  <si>
    <t>943 04 59 01</t>
  </si>
  <si>
    <t>fontges@fontges.com</t>
  </si>
  <si>
    <t>Fontanería Garzu</t>
  </si>
  <si>
    <t>Marinos de los Plaza, 8, bajo, 20011 Donostia-San Sebastian, Gipuzkoa</t>
  </si>
  <si>
    <t>627 76 08 31</t>
  </si>
  <si>
    <t>Fontanería Wangeneberg, S.L</t>
  </si>
  <si>
    <t>Calle Leizariako San Lorentzo, 2, 20570 Bergara, Gipuzkoa</t>
  </si>
  <si>
    <t>Iturralde Iturgintza S.L.</t>
  </si>
  <si>
    <t>Landeta Hiribidea, 19, 20730 Azpeitia, Gipuzkoa</t>
  </si>
  <si>
    <t>943 81 12 12</t>
  </si>
  <si>
    <t>Mendizabal C.B. Iturgintza</t>
  </si>
  <si>
    <t>POLIGONO ELBARRENA 72 Pabellón Nº4, 20247 Zaldibia, Gipuzkoa</t>
  </si>
  <si>
    <t>Zaldivia</t>
  </si>
  <si>
    <t>943 88 56 19</t>
  </si>
  <si>
    <t>Emeterio Gardón Lanchas Fontanería Calefacción Gas</t>
  </si>
  <si>
    <t>Elizasu Kalea, 4, 20017 Donostia, Gipuzkoa</t>
  </si>
  <si>
    <t>943 35 77 20</t>
  </si>
  <si>
    <t>Manzano Fontanería</t>
  </si>
  <si>
    <t>Ricardo Arrillaga Kalea, 4, 20110 Pasaia, Gipuzkoa</t>
  </si>
  <si>
    <t>695 92 44 20</t>
  </si>
  <si>
    <t>Fontanería Gurea</t>
  </si>
  <si>
    <t>Herrikobarra Kalea, 2, 20800 Zarautz, Gipuzkoa</t>
  </si>
  <si>
    <t>Font. Clemente</t>
  </si>
  <si>
    <t>Donostia Kalea, 20, 24, 20100 Errenteria, Gipuzkoa</t>
  </si>
  <si>
    <t>Fontanería Iturkintz Berri</t>
  </si>
  <si>
    <t>Amillaga Kalea, 1, 20570 Bergara, Gipuzkoa</t>
  </si>
  <si>
    <t>iturkintzberri.com</t>
  </si>
  <si>
    <t>943 76 28 04</t>
  </si>
  <si>
    <t>Salegi Kalea, 20800 Zarautz, Gipuzkoa</t>
  </si>
  <si>
    <t>Fontanería M. Mangas</t>
  </si>
  <si>
    <t>Berabera Pasealekua, 19, 20009 Donostia, Gipuzkoa</t>
  </si>
  <si>
    <t>619 64 32 12</t>
  </si>
  <si>
    <t>Fontanería Goiherri</t>
  </si>
  <si>
    <t>Mariarats Kalea, 1, 20240 Ordizia, Gipuzkoa</t>
  </si>
  <si>
    <t>Fontanería Miguel Irigoyen Sl.</t>
  </si>
  <si>
    <t>Lugar Okobio, 2, 20491 Belauntza, Gipuzkoa</t>
  </si>
  <si>
    <t>Belaunza</t>
  </si>
  <si>
    <t>Fontanería Irazu</t>
  </si>
  <si>
    <t>Lapice Kalea, 21, 20303 Irun, Gipuzkoa</t>
  </si>
  <si>
    <t>943 62 98 10</t>
  </si>
  <si>
    <t>Fontanería Noé</t>
  </si>
  <si>
    <t>Misionero Lekuona Kalea, 17, 20301 Irun, Gipuzkoa</t>
  </si>
  <si>
    <t>690 27 77 77</t>
  </si>
  <si>
    <t>Oyarbide Fontanería</t>
  </si>
  <si>
    <t>Samperio Kalea, 2, 20240 Ordizia, Gipuzkoa</t>
  </si>
  <si>
    <t>Instalaciones Txindoki, S.L.</t>
  </si>
  <si>
    <t>Nafarroa Etorbidea, 53, 20200 Beasain, Gipuzkoa</t>
  </si>
  <si>
    <t>Fontanería Delfín</t>
  </si>
  <si>
    <t>Mendizabal Kalea, 4, 20240 Ordizia, Gipuzkoa</t>
  </si>
  <si>
    <t>660 37 70 41</t>
  </si>
  <si>
    <t>Laskurain</t>
  </si>
  <si>
    <t>Barrenkalea, 44, 20570 Bergara, Gipuzkoa</t>
  </si>
  <si>
    <t>943 76 24 89</t>
  </si>
  <si>
    <t>Fontanería Gurea Sl</t>
  </si>
  <si>
    <t>Kasino Kalea, 6, 20800 Zarautz, Gipuzkoa</t>
  </si>
  <si>
    <t>943 13 10 94</t>
  </si>
  <si>
    <t>Fontaneria José Antonio Martín Martín</t>
  </si>
  <si>
    <t>Paseo Beldarrain, 13, 20150, Gipuzkoa</t>
  </si>
  <si>
    <t>619 85 67 69</t>
  </si>
  <si>
    <t>Fontanería Ibamar</t>
  </si>
  <si>
    <t>San Roke Kalea, 10, 20870 Elgoibar, Gipuzkoa</t>
  </si>
  <si>
    <t>647 46 34 36</t>
  </si>
  <si>
    <t>IÑURRITEGI ITURGINTZA (Xabier Iñurritegi)</t>
  </si>
  <si>
    <t>Kale Zaharra Kalea, 17, 20560 Oñati, Gipuzkoa</t>
  </si>
  <si>
    <t>Oñate</t>
  </si>
  <si>
    <t>943 71 82 49</t>
  </si>
  <si>
    <t>Fontanería Lataillade</t>
  </si>
  <si>
    <t>Ariztitxo Kalea, 8, 20170 Usurbil, Gipuzkoa</t>
  </si>
  <si>
    <t>Biyona Fontaneria</t>
  </si>
  <si>
    <t>Gesalaga Kalea, 18, 20740 Zestoa, Gipuzkoa</t>
  </si>
  <si>
    <t>Fontanería Juancho</t>
  </si>
  <si>
    <t>Alzukaitz Kalea, 6, 20304 Irun, Gipuzkoa</t>
  </si>
  <si>
    <t>943 62 11 68</t>
  </si>
  <si>
    <t>Font Servicios De Fontaneria</t>
  </si>
  <si>
    <t>Estévez José Manuel Fontanería</t>
  </si>
  <si>
    <t>Jaizkibel Kalea, 24, 20301 Irun, Gipuzkoa</t>
  </si>
  <si>
    <t>696 69 56 80</t>
  </si>
  <si>
    <t>Pedro Iguiñiz Fontanería y Gas</t>
  </si>
  <si>
    <t>Iparralde Hiribidea, 46, 20302 Irun, Gipuzkoa</t>
  </si>
  <si>
    <t>fontaneria juancar</t>
  </si>
  <si>
    <t>C/ SAN IGNACIO N º5, 20870 Elgoibar, Gipuzkoa</t>
  </si>
  <si>
    <t>639 04 54 53</t>
  </si>
  <si>
    <t>Fontanería Mateos</t>
  </si>
  <si>
    <t>Grupo, Zaldune Etxetaldea, 7, 4 dcha, 20400 Ibarra, Gipuzkoa</t>
  </si>
  <si>
    <t>fontaneriamateos.es</t>
  </si>
  <si>
    <t>687 96 99 20</t>
  </si>
  <si>
    <t>contacto@fontaneriamateos.es</t>
  </si>
  <si>
    <t>Fontanería Y Saneamiento Gurrea S L</t>
  </si>
  <si>
    <t>Serapio Mugica Kalea, 23, 20302 Irun, Gipuzkoa</t>
  </si>
  <si>
    <t>Izarra Iturgintza Berogintza Eta Gasa S.l.</t>
  </si>
  <si>
    <t>Almirante Gaztañeta Kalea, 1, 20830 Mutriku, Gipuzkoa</t>
  </si>
  <si>
    <t>Motrico</t>
  </si>
  <si>
    <t>943 60 32 36</t>
  </si>
  <si>
    <t>Fontanería Andrés Ferrero</t>
  </si>
  <si>
    <t>Elbarrena Kalea, 14, 20490 Lizartza, Gipuzkoa</t>
  </si>
  <si>
    <t>Lizarza</t>
  </si>
  <si>
    <t>Fontanería 2 Aguas</t>
  </si>
  <si>
    <t>615 56 84 25</t>
  </si>
  <si>
    <t>Ura</t>
  </si>
  <si>
    <t>Axular Plaza, 1, 20110 Pasai Antxo, Gipuzkoa</t>
  </si>
  <si>
    <t>616 56 65 49</t>
  </si>
  <si>
    <t>Fontanería Gas Calefacción A Peregrina</t>
  </si>
  <si>
    <t>Paseo Ubarburu, 26, 20014 San Sebastián-Donostia, Gipuzkoa</t>
  </si>
  <si>
    <t>943 57 00 97</t>
  </si>
  <si>
    <t>Fontanería Francisco Mateos</t>
  </si>
  <si>
    <t>Euskal-Herria Kalea, 24, 20400 Ibarra, Gipuzkoa</t>
  </si>
  <si>
    <t>Oscar Medina Dávila Y Otro C B</t>
  </si>
  <si>
    <t>Moiua Kalea, 13, 20570 Bergara, Gipuzkoa</t>
  </si>
  <si>
    <t>943 76 28 07</t>
  </si>
  <si>
    <t>Fontaneros Arrasate</t>
  </si>
  <si>
    <t>Gipuzkoa Etorb., 39, 20500 Arrasate, Gipuzkoa</t>
  </si>
  <si>
    <t>943 77 01 85</t>
  </si>
  <si>
    <t>Fontanería Jose Martín</t>
  </si>
  <si>
    <t>Borda-Enea Kalea, nº 1, 20110 Pasaia, Gipuzkoa</t>
  </si>
  <si>
    <t>fontaneriajosemartin.com</t>
  </si>
  <si>
    <t>943 39 37 74</t>
  </si>
  <si>
    <t>administracion@fontaneriajosemartin.com</t>
  </si>
  <si>
    <t>Subisti Fontanería Calefacción y Gas S.L.</t>
  </si>
  <si>
    <t>Lugar Barrio Unamuntzaga, 20, 48277 Unamuntzaga, Biscay</t>
  </si>
  <si>
    <t>Unamuntzaga</t>
  </si>
  <si>
    <t>689 54 90 39</t>
  </si>
  <si>
    <t>Galartxa S L</t>
  </si>
  <si>
    <t>Pol. Ind. Utzubar, 0, 31839 Arbizu, Navarra</t>
  </si>
  <si>
    <t>galartxa.com</t>
  </si>
  <si>
    <t>948 46 00 27</t>
  </si>
  <si>
    <t>galartxa@galartxa.com</t>
  </si>
  <si>
    <t>Mikel</t>
  </si>
  <si>
    <t>20820 Deva, Gipuzkoa</t>
  </si>
  <si>
    <t>Deva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</si>
  <si>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</si>
  <si>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</si>
  <si>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</si>
  <si>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</si>
  <si>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</si>
  <si>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</si>
  <si>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</si>
  <si>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</si>
  <si>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</si>
  <si>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azconafontaneria@gmail.com</t>
  </si>
  <si>
    <t>getxoteknik@gmail.com</t>
  </si>
  <si>
    <t>fonteo10@gmail.com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</si>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</sst>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Fontanería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9B-441E-8546-7E34A99D561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9B-441E-8546-7E34A99D561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9B-441E-8546-7E34A99D561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99B-441E-8546-7E34A99D561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9B-441E-8546-7E34A99D561A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4836</c:v>
                </c:pt>
                <c:pt idx="1">
                  <c:v>1124</c:v>
                </c:pt>
                <c:pt idx="2">
                  <c:v>1957</c:v>
                </c:pt>
                <c:pt idx="3">
                  <c:v>3997</c:v>
                </c:pt>
                <c:pt idx="4">
                  <c:v>2116</c:v>
                </c:pt>
                <c:pt idx="5">
                  <c:v>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B-441E-8546-7E34A99D5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1899600"/>
        <c:axId val="1621896272"/>
      </c:barChart>
      <c:catAx>
        <c:axId val="162189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896272"/>
        <c:crosses val="autoZero"/>
        <c:auto val="1"/>
        <c:lblAlgn val="ctr"/>
        <c:lblOffset val="100"/>
        <c:noMultiLvlLbl val="0"/>
      </c:catAx>
      <c:valAx>
        <c:axId val="162189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89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</xdr:row>
      <xdr:rowOff>123824</xdr:rowOff>
    </xdr:from>
    <xdr:to>
      <xdr:col>5</xdr:col>
      <xdr:colOff>2428875</xdr:colOff>
      <xdr:row>32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82E1F0-36A8-E88A-2AB5-36857825D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3DD9-7D5C-4464-B51C-6B0006E4150C}">
  <dimension ref="A1:I313"/>
  <sheetViews>
    <sheetView workbookViewId="0">
      <selection activeCell="J3" sqref="J3"/>
    </sheetView>
  </sheetViews>
  <sheetFormatPr defaultRowHeight="15"/>
  <cols>
    <col min="1" max="1" width="60.140625" customWidth="1"/>
    <col min="8" max="8" width="45.7109375" bestFit="1" customWidth="1"/>
    <col min="9" max="9" width="14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b">
        <v>1</v>
      </c>
    </row>
    <row r="3" spans="1:9">
      <c r="A3" t="s">
        <v>17</v>
      </c>
      <c r="B3" t="s">
        <v>18</v>
      </c>
      <c r="C3" t="s">
        <v>19</v>
      </c>
      <c r="D3" t="s">
        <v>13</v>
      </c>
      <c r="E3" t="s">
        <v>13</v>
      </c>
      <c r="F3" t="s">
        <v>20</v>
      </c>
      <c r="G3" t="s">
        <v>21</v>
      </c>
      <c r="H3" t="s">
        <v>22</v>
      </c>
      <c r="I3" t="b">
        <v>1</v>
      </c>
    </row>
    <row r="4" spans="1:9">
      <c r="A4" t="s">
        <v>23</v>
      </c>
      <c r="B4" t="s">
        <v>10</v>
      </c>
      <c r="C4" t="s">
        <v>24</v>
      </c>
      <c r="D4" t="s">
        <v>25</v>
      </c>
      <c r="E4" t="s">
        <v>13</v>
      </c>
      <c r="F4" t="s">
        <v>26</v>
      </c>
      <c r="G4" t="s">
        <v>27</v>
      </c>
      <c r="H4" t="s">
        <v>28</v>
      </c>
      <c r="I4" t="b">
        <v>1</v>
      </c>
    </row>
    <row r="5" spans="1:9">
      <c r="A5" t="s">
        <v>29</v>
      </c>
      <c r="B5" t="s">
        <v>10</v>
      </c>
      <c r="C5" t="s">
        <v>30</v>
      </c>
      <c r="D5" t="s">
        <v>31</v>
      </c>
      <c r="E5" t="s">
        <v>30</v>
      </c>
      <c r="F5" t="s">
        <v>32</v>
      </c>
      <c r="G5" t="s">
        <v>33</v>
      </c>
      <c r="H5" t="s">
        <v>34</v>
      </c>
      <c r="I5" t="b">
        <v>1</v>
      </c>
    </row>
    <row r="6" spans="1:9">
      <c r="A6" t="s">
        <v>35</v>
      </c>
      <c r="B6" t="s">
        <v>10</v>
      </c>
      <c r="C6" t="s">
        <v>36</v>
      </c>
      <c r="D6" t="s">
        <v>37</v>
      </c>
      <c r="E6" t="s">
        <v>37</v>
      </c>
      <c r="F6" t="s">
        <v>38</v>
      </c>
      <c r="G6" t="s">
        <v>39</v>
      </c>
      <c r="H6" t="s">
        <v>40</v>
      </c>
      <c r="I6" t="b">
        <v>1</v>
      </c>
    </row>
    <row r="7" spans="1:9">
      <c r="A7" t="s">
        <v>41</v>
      </c>
      <c r="B7" t="s">
        <v>10</v>
      </c>
      <c r="C7" t="s">
        <v>42</v>
      </c>
      <c r="D7" t="s">
        <v>37</v>
      </c>
      <c r="E7" t="s">
        <v>37</v>
      </c>
      <c r="F7" t="s">
        <v>43</v>
      </c>
      <c r="G7" t="s">
        <v>44</v>
      </c>
      <c r="H7" t="s">
        <v>45</v>
      </c>
      <c r="I7" t="b">
        <v>1</v>
      </c>
    </row>
    <row r="8" spans="1:9">
      <c r="A8" t="s">
        <v>46</v>
      </c>
      <c r="B8" t="s">
        <v>10</v>
      </c>
      <c r="C8" t="s">
        <v>47</v>
      </c>
      <c r="D8" t="s">
        <v>37</v>
      </c>
      <c r="E8" t="s">
        <v>37</v>
      </c>
      <c r="F8" t="s">
        <v>48</v>
      </c>
      <c r="G8" t="s">
        <v>49</v>
      </c>
      <c r="H8" t="s">
        <v>50</v>
      </c>
      <c r="I8" t="b">
        <v>1</v>
      </c>
    </row>
    <row r="9" spans="1:9">
      <c r="A9" t="s">
        <v>51</v>
      </c>
      <c r="B9" t="s">
        <v>10</v>
      </c>
      <c r="C9" t="s">
        <v>52</v>
      </c>
      <c r="D9" t="s">
        <v>53</v>
      </c>
      <c r="E9" t="s">
        <v>37</v>
      </c>
      <c r="F9" t="s">
        <v>54</v>
      </c>
      <c r="G9" t="s">
        <v>55</v>
      </c>
      <c r="H9" t="s">
        <v>56</v>
      </c>
      <c r="I9" t="b">
        <v>1</v>
      </c>
    </row>
    <row r="10" spans="1:9">
      <c r="A10" t="s">
        <v>57</v>
      </c>
      <c r="B10" t="s">
        <v>10</v>
      </c>
      <c r="C10" t="s">
        <v>58</v>
      </c>
      <c r="D10" t="s">
        <v>59</v>
      </c>
      <c r="E10" t="s">
        <v>37</v>
      </c>
      <c r="F10" t="s">
        <v>60</v>
      </c>
      <c r="G10" t="s">
        <v>61</v>
      </c>
      <c r="H10" t="s">
        <v>62</v>
      </c>
      <c r="I10" t="b">
        <v>1</v>
      </c>
    </row>
    <row r="11" spans="1:9">
      <c r="A11" t="s">
        <v>63</v>
      </c>
      <c r="B11" t="s">
        <v>10</v>
      </c>
      <c r="C11" t="s">
        <v>64</v>
      </c>
      <c r="D11" t="s">
        <v>65</v>
      </c>
      <c r="E11" t="s">
        <v>65</v>
      </c>
      <c r="F11" t="s">
        <v>66</v>
      </c>
      <c r="G11" t="s">
        <v>67</v>
      </c>
      <c r="H11" t="s">
        <v>68</v>
      </c>
      <c r="I11" t="b">
        <v>1</v>
      </c>
    </row>
    <row r="12" spans="1:9">
      <c r="A12" t="s">
        <v>69</v>
      </c>
      <c r="B12" t="s">
        <v>18</v>
      </c>
      <c r="C12" t="s">
        <v>70</v>
      </c>
      <c r="D12" t="s">
        <v>65</v>
      </c>
      <c r="E12" t="s">
        <v>65</v>
      </c>
      <c r="F12" t="s">
        <v>71</v>
      </c>
      <c r="G12" t="s">
        <v>72</v>
      </c>
      <c r="H12" t="s">
        <v>73</v>
      </c>
      <c r="I12" t="b">
        <v>1</v>
      </c>
    </row>
    <row r="13" spans="1:9">
      <c r="A13" t="s">
        <v>74</v>
      </c>
      <c r="B13" t="s">
        <v>10</v>
      </c>
      <c r="C13" t="s">
        <v>30</v>
      </c>
      <c r="D13" t="s">
        <v>75</v>
      </c>
      <c r="E13" t="s">
        <v>30</v>
      </c>
      <c r="F13" t="s">
        <v>76</v>
      </c>
      <c r="G13" t="s">
        <v>77</v>
      </c>
      <c r="H13" t="s">
        <v>78</v>
      </c>
      <c r="I13" t="b">
        <v>1</v>
      </c>
    </row>
    <row r="14" spans="1:9">
      <c r="A14" t="s">
        <v>79</v>
      </c>
      <c r="B14" t="s">
        <v>18</v>
      </c>
      <c r="C14" t="s">
        <v>80</v>
      </c>
      <c r="D14" t="s">
        <v>81</v>
      </c>
      <c r="E14" t="s">
        <v>65</v>
      </c>
      <c r="F14" t="s">
        <v>82</v>
      </c>
      <c r="G14" t="s">
        <v>83</v>
      </c>
      <c r="H14" t="s">
        <v>84</v>
      </c>
      <c r="I14" t="b">
        <v>1</v>
      </c>
    </row>
    <row r="15" spans="1:9">
      <c r="A15" t="s">
        <v>85</v>
      </c>
      <c r="B15" t="s">
        <v>18</v>
      </c>
      <c r="C15" t="s">
        <v>86</v>
      </c>
      <c r="D15" t="s">
        <v>87</v>
      </c>
      <c r="E15" t="s">
        <v>65</v>
      </c>
      <c r="F15" t="s">
        <v>88</v>
      </c>
      <c r="G15" t="s">
        <v>89</v>
      </c>
      <c r="H15" t="s">
        <v>90</v>
      </c>
      <c r="I15" t="b">
        <v>1</v>
      </c>
    </row>
    <row r="16" spans="1:9">
      <c r="A16" t="s">
        <v>91</v>
      </c>
      <c r="B16" t="s">
        <v>18</v>
      </c>
      <c r="C16" t="s">
        <v>92</v>
      </c>
      <c r="D16" t="s">
        <v>93</v>
      </c>
      <c r="E16" t="s">
        <v>65</v>
      </c>
      <c r="F16" t="s">
        <v>94</v>
      </c>
      <c r="G16" t="s">
        <v>95</v>
      </c>
      <c r="H16" t="s">
        <v>96</v>
      </c>
      <c r="I16" t="b">
        <v>1</v>
      </c>
    </row>
    <row r="17" spans="1:9">
      <c r="A17" t="s">
        <v>97</v>
      </c>
      <c r="B17" t="s">
        <v>10</v>
      </c>
      <c r="C17" t="s">
        <v>98</v>
      </c>
      <c r="D17" t="s">
        <v>65</v>
      </c>
      <c r="E17" t="s">
        <v>65</v>
      </c>
      <c r="F17" t="s">
        <v>99</v>
      </c>
      <c r="G17" t="s">
        <v>100</v>
      </c>
      <c r="H17" t="s">
        <v>101</v>
      </c>
      <c r="I17" t="b">
        <v>1</v>
      </c>
    </row>
    <row r="18" spans="1:9">
      <c r="A18" t="s">
        <v>102</v>
      </c>
      <c r="B18" t="s">
        <v>10</v>
      </c>
      <c r="C18" t="s">
        <v>30</v>
      </c>
      <c r="D18" t="s">
        <v>103</v>
      </c>
      <c r="E18" t="s">
        <v>30</v>
      </c>
      <c r="F18" t="s">
        <v>102</v>
      </c>
      <c r="G18" t="s">
        <v>104</v>
      </c>
      <c r="H18" t="s">
        <v>105</v>
      </c>
      <c r="I18" t="b">
        <v>1</v>
      </c>
    </row>
    <row r="19" spans="1:9">
      <c r="A19" t="s">
        <v>106</v>
      </c>
      <c r="B19" t="s">
        <v>10</v>
      </c>
      <c r="C19" t="s">
        <v>107</v>
      </c>
      <c r="D19" t="s">
        <v>108</v>
      </c>
      <c r="E19" t="s">
        <v>108</v>
      </c>
      <c r="F19" t="s">
        <v>109</v>
      </c>
      <c r="G19" t="s">
        <v>110</v>
      </c>
      <c r="H19" t="s">
        <v>111</v>
      </c>
      <c r="I19" t="b">
        <v>1</v>
      </c>
    </row>
    <row r="20" spans="1:9">
      <c r="A20" t="s">
        <v>112</v>
      </c>
      <c r="B20" t="s">
        <v>10</v>
      </c>
      <c r="C20" t="s">
        <v>113</v>
      </c>
      <c r="D20" t="s">
        <v>114</v>
      </c>
      <c r="E20" t="s">
        <v>108</v>
      </c>
      <c r="F20" t="s">
        <v>115</v>
      </c>
      <c r="G20" t="s">
        <v>116</v>
      </c>
      <c r="H20" t="s">
        <v>117</v>
      </c>
      <c r="I20" t="b">
        <v>1</v>
      </c>
    </row>
    <row r="21" spans="1:9">
      <c r="A21" t="s">
        <v>118</v>
      </c>
      <c r="B21" t="s">
        <v>10</v>
      </c>
      <c r="C21" t="s">
        <v>119</v>
      </c>
      <c r="D21" t="s">
        <v>120</v>
      </c>
      <c r="E21" t="s">
        <v>108</v>
      </c>
      <c r="F21" t="s">
        <v>121</v>
      </c>
      <c r="G21" t="s">
        <v>122</v>
      </c>
      <c r="H21" t="s">
        <v>123</v>
      </c>
      <c r="I21" t="b">
        <v>1</v>
      </c>
    </row>
    <row r="22" spans="1:9">
      <c r="A22" t="s">
        <v>124</v>
      </c>
      <c r="B22" t="s">
        <v>18</v>
      </c>
      <c r="C22" t="s">
        <v>125</v>
      </c>
      <c r="D22" t="s">
        <v>126</v>
      </c>
      <c r="E22" t="s">
        <v>108</v>
      </c>
      <c r="F22" t="s">
        <v>127</v>
      </c>
      <c r="G22" t="s">
        <v>128</v>
      </c>
      <c r="H22" t="s">
        <v>129</v>
      </c>
      <c r="I22" t="b">
        <v>1</v>
      </c>
    </row>
    <row r="23" spans="1:9">
      <c r="A23" t="s">
        <v>130</v>
      </c>
      <c r="B23" t="s">
        <v>10</v>
      </c>
      <c r="C23" t="s">
        <v>30</v>
      </c>
      <c r="D23" t="s">
        <v>103</v>
      </c>
      <c r="E23" t="s">
        <v>30</v>
      </c>
      <c r="F23" t="s">
        <v>131</v>
      </c>
      <c r="G23" t="s">
        <v>132</v>
      </c>
      <c r="H23" t="s">
        <v>133</v>
      </c>
      <c r="I23" t="b">
        <v>1</v>
      </c>
    </row>
    <row r="24" spans="1:9">
      <c r="A24" t="s">
        <v>134</v>
      </c>
      <c r="B24" t="s">
        <v>10</v>
      </c>
      <c r="C24" t="s">
        <v>135</v>
      </c>
      <c r="D24" t="s">
        <v>108</v>
      </c>
      <c r="E24" t="s">
        <v>108</v>
      </c>
      <c r="F24" t="s">
        <v>136</v>
      </c>
      <c r="G24" t="s">
        <v>137</v>
      </c>
      <c r="H24" t="s">
        <v>138</v>
      </c>
      <c r="I24" t="b">
        <v>1</v>
      </c>
    </row>
    <row r="25" spans="1:9">
      <c r="A25" t="s">
        <v>139</v>
      </c>
      <c r="B25" t="s">
        <v>10</v>
      </c>
      <c r="C25" t="s">
        <v>140</v>
      </c>
      <c r="D25" t="s">
        <v>141</v>
      </c>
      <c r="E25" t="s">
        <v>141</v>
      </c>
      <c r="F25" t="s">
        <v>142</v>
      </c>
      <c r="G25" t="s">
        <v>143</v>
      </c>
      <c r="H25" t="s">
        <v>144</v>
      </c>
      <c r="I25" t="b">
        <v>1</v>
      </c>
    </row>
    <row r="26" spans="1:9">
      <c r="A26" t="s">
        <v>145</v>
      </c>
      <c r="B26" t="s">
        <v>10</v>
      </c>
      <c r="C26" t="s">
        <v>30</v>
      </c>
      <c r="D26" t="s">
        <v>146</v>
      </c>
      <c r="E26" t="s">
        <v>30</v>
      </c>
      <c r="F26" t="s">
        <v>147</v>
      </c>
      <c r="G26" t="s">
        <v>148</v>
      </c>
      <c r="H26" t="s">
        <v>149</v>
      </c>
      <c r="I26" t="b">
        <v>1</v>
      </c>
    </row>
    <row r="27" spans="1:9">
      <c r="A27" t="s">
        <v>150</v>
      </c>
      <c r="B27" t="s">
        <v>10</v>
      </c>
      <c r="C27" t="s">
        <v>151</v>
      </c>
      <c r="D27" t="s">
        <v>152</v>
      </c>
      <c r="E27" t="s">
        <v>141</v>
      </c>
      <c r="F27" t="s">
        <v>153</v>
      </c>
      <c r="G27" t="s">
        <v>154</v>
      </c>
      <c r="H27" t="s">
        <v>155</v>
      </c>
      <c r="I27" t="b">
        <v>1</v>
      </c>
    </row>
    <row r="28" spans="1:9">
      <c r="A28" t="s">
        <v>156</v>
      </c>
      <c r="B28" t="s">
        <v>10</v>
      </c>
      <c r="C28" t="s">
        <v>157</v>
      </c>
      <c r="D28" t="s">
        <v>158</v>
      </c>
      <c r="E28" t="s">
        <v>141</v>
      </c>
      <c r="F28" t="s">
        <v>159</v>
      </c>
      <c r="G28" t="s">
        <v>160</v>
      </c>
      <c r="H28" t="s">
        <v>161</v>
      </c>
      <c r="I28" t="b">
        <v>1</v>
      </c>
    </row>
    <row r="29" spans="1:9">
      <c r="A29" t="s">
        <v>162</v>
      </c>
      <c r="B29" t="s">
        <v>10</v>
      </c>
      <c r="C29" t="s">
        <v>163</v>
      </c>
      <c r="D29" t="s">
        <v>164</v>
      </c>
      <c r="E29" t="s">
        <v>141</v>
      </c>
      <c r="F29" t="s">
        <v>165</v>
      </c>
      <c r="G29" t="s">
        <v>166</v>
      </c>
      <c r="H29" t="s">
        <v>167</v>
      </c>
      <c r="I29" t="b">
        <v>1</v>
      </c>
    </row>
    <row r="30" spans="1:9">
      <c r="A30" t="s">
        <v>168</v>
      </c>
      <c r="B30" t="s">
        <v>10</v>
      </c>
      <c r="C30" t="s">
        <v>169</v>
      </c>
      <c r="D30" t="s">
        <v>170</v>
      </c>
      <c r="E30" t="s">
        <v>171</v>
      </c>
      <c r="F30" t="s">
        <v>172</v>
      </c>
      <c r="G30" t="s">
        <v>173</v>
      </c>
      <c r="H30" t="s">
        <v>174</v>
      </c>
      <c r="I30" t="b">
        <v>1</v>
      </c>
    </row>
    <row r="31" spans="1:9">
      <c r="A31" t="s">
        <v>175</v>
      </c>
      <c r="B31" t="s">
        <v>10</v>
      </c>
      <c r="C31" t="s">
        <v>176</v>
      </c>
      <c r="D31" t="s">
        <v>177</v>
      </c>
      <c r="E31" t="s">
        <v>177</v>
      </c>
      <c r="F31" t="s">
        <v>178</v>
      </c>
      <c r="G31" t="s">
        <v>179</v>
      </c>
      <c r="H31" t="s">
        <v>180</v>
      </c>
      <c r="I31" t="b">
        <v>1</v>
      </c>
    </row>
    <row r="32" spans="1:9">
      <c r="A32" t="s">
        <v>181</v>
      </c>
      <c r="B32" t="s">
        <v>10</v>
      </c>
      <c r="C32" t="s">
        <v>182</v>
      </c>
      <c r="D32" t="s">
        <v>183</v>
      </c>
      <c r="E32" t="s">
        <v>177</v>
      </c>
      <c r="F32" t="s">
        <v>184</v>
      </c>
      <c r="G32" t="s">
        <v>185</v>
      </c>
      <c r="H32" t="s">
        <v>186</v>
      </c>
      <c r="I32" t="b">
        <v>1</v>
      </c>
    </row>
    <row r="33" spans="1:9">
      <c r="A33" t="s">
        <v>187</v>
      </c>
      <c r="B33" t="s">
        <v>10</v>
      </c>
      <c r="C33" t="s">
        <v>188</v>
      </c>
      <c r="D33" t="s">
        <v>177</v>
      </c>
      <c r="E33" t="s">
        <v>177</v>
      </c>
      <c r="F33" t="s">
        <v>189</v>
      </c>
      <c r="G33" t="s">
        <v>190</v>
      </c>
      <c r="H33" t="s">
        <v>191</v>
      </c>
      <c r="I33" t="b">
        <v>1</v>
      </c>
    </row>
    <row r="34" spans="1:9">
      <c r="A34" t="s">
        <v>192</v>
      </c>
      <c r="B34" t="s">
        <v>18</v>
      </c>
      <c r="C34" t="s">
        <v>193</v>
      </c>
      <c r="D34" t="s">
        <v>194</v>
      </c>
      <c r="E34" t="s">
        <v>177</v>
      </c>
      <c r="F34" t="s">
        <v>195</v>
      </c>
      <c r="G34" t="s">
        <v>196</v>
      </c>
      <c r="H34" t="s">
        <v>197</v>
      </c>
      <c r="I34" t="b">
        <v>1</v>
      </c>
    </row>
    <row r="35" spans="1:9">
      <c r="A35" t="s">
        <v>198</v>
      </c>
      <c r="B35" t="s">
        <v>10</v>
      </c>
      <c r="C35" t="s">
        <v>199</v>
      </c>
      <c r="D35" t="s">
        <v>200</v>
      </c>
      <c r="E35" t="s">
        <v>177</v>
      </c>
      <c r="F35" t="s">
        <v>201</v>
      </c>
      <c r="G35" t="s">
        <v>202</v>
      </c>
      <c r="H35" t="s">
        <v>203</v>
      </c>
      <c r="I35" t="b">
        <v>1</v>
      </c>
    </row>
    <row r="36" spans="1:9">
      <c r="A36" t="s">
        <v>204</v>
      </c>
      <c r="B36" t="s">
        <v>18</v>
      </c>
      <c r="C36" t="s">
        <v>205</v>
      </c>
      <c r="D36" t="s">
        <v>177</v>
      </c>
      <c r="E36" t="s">
        <v>177</v>
      </c>
      <c r="F36" t="s">
        <v>206</v>
      </c>
      <c r="G36" t="s">
        <v>207</v>
      </c>
      <c r="H36" t="s">
        <v>208</v>
      </c>
      <c r="I36" t="b">
        <v>1</v>
      </c>
    </row>
    <row r="37" spans="1:9">
      <c r="A37" t="s">
        <v>209</v>
      </c>
      <c r="B37" t="s">
        <v>10</v>
      </c>
      <c r="C37" t="s">
        <v>210</v>
      </c>
      <c r="D37" t="s">
        <v>211</v>
      </c>
      <c r="E37" t="s">
        <v>177</v>
      </c>
      <c r="F37" t="s">
        <v>212</v>
      </c>
      <c r="G37" t="s">
        <v>213</v>
      </c>
      <c r="H37" t="s">
        <v>214</v>
      </c>
      <c r="I37" t="b">
        <v>1</v>
      </c>
    </row>
    <row r="38" spans="1:9">
      <c r="A38" t="s">
        <v>215</v>
      </c>
      <c r="B38" t="s">
        <v>18</v>
      </c>
      <c r="C38" t="s">
        <v>216</v>
      </c>
      <c r="D38" t="s">
        <v>217</v>
      </c>
      <c r="E38" t="s">
        <v>177</v>
      </c>
      <c r="F38" t="s">
        <v>218</v>
      </c>
      <c r="G38" t="s">
        <v>219</v>
      </c>
      <c r="H38" t="s">
        <v>220</v>
      </c>
      <c r="I38" t="b">
        <v>1</v>
      </c>
    </row>
    <row r="39" spans="1:9">
      <c r="A39" t="s">
        <v>221</v>
      </c>
      <c r="B39" t="s">
        <v>10</v>
      </c>
      <c r="C39" t="s">
        <v>222</v>
      </c>
      <c r="D39" t="s">
        <v>223</v>
      </c>
      <c r="E39" t="s">
        <v>177</v>
      </c>
      <c r="F39" t="s">
        <v>224</v>
      </c>
      <c r="G39" t="s">
        <v>225</v>
      </c>
      <c r="H39" t="s">
        <v>226</v>
      </c>
      <c r="I39" t="b">
        <v>1</v>
      </c>
    </row>
    <row r="40" spans="1:9">
      <c r="A40" t="s">
        <v>227</v>
      </c>
      <c r="B40" t="s">
        <v>10</v>
      </c>
      <c r="C40" t="s">
        <v>228</v>
      </c>
      <c r="D40" t="s">
        <v>229</v>
      </c>
      <c r="E40" t="s">
        <v>229</v>
      </c>
      <c r="F40" t="s">
        <v>230</v>
      </c>
      <c r="G40" t="s">
        <v>231</v>
      </c>
      <c r="H40" t="s">
        <v>232</v>
      </c>
      <c r="I40" t="b">
        <v>1</v>
      </c>
    </row>
    <row r="41" spans="1:9">
      <c r="A41" t="s">
        <v>233</v>
      </c>
      <c r="B41" t="s">
        <v>10</v>
      </c>
      <c r="C41" t="s">
        <v>234</v>
      </c>
      <c r="D41" t="s">
        <v>229</v>
      </c>
      <c r="E41" t="s">
        <v>229</v>
      </c>
      <c r="F41" t="s">
        <v>235</v>
      </c>
      <c r="G41" t="s">
        <v>236</v>
      </c>
      <c r="H41" t="s">
        <v>237</v>
      </c>
      <c r="I41" t="b">
        <v>1</v>
      </c>
    </row>
    <row r="42" spans="1:9">
      <c r="A42" t="s">
        <v>238</v>
      </c>
      <c r="B42" t="s">
        <v>18</v>
      </c>
      <c r="C42" t="s">
        <v>239</v>
      </c>
      <c r="D42" t="s">
        <v>229</v>
      </c>
      <c r="E42" t="s">
        <v>229</v>
      </c>
      <c r="F42" t="s">
        <v>240</v>
      </c>
      <c r="G42" t="s">
        <v>241</v>
      </c>
      <c r="H42" t="s">
        <v>242</v>
      </c>
      <c r="I42" t="b">
        <v>1</v>
      </c>
    </row>
    <row r="43" spans="1:9">
      <c r="A43" t="s">
        <v>243</v>
      </c>
      <c r="B43" t="s">
        <v>10</v>
      </c>
      <c r="C43" t="s">
        <v>244</v>
      </c>
      <c r="D43" t="s">
        <v>229</v>
      </c>
      <c r="E43" t="s">
        <v>229</v>
      </c>
      <c r="F43" t="s">
        <v>245</v>
      </c>
      <c r="G43" t="s">
        <v>246</v>
      </c>
      <c r="H43" t="s">
        <v>247</v>
      </c>
      <c r="I43" t="b">
        <v>1</v>
      </c>
    </row>
    <row r="44" spans="1:9">
      <c r="A44" t="s">
        <v>248</v>
      </c>
      <c r="B44" t="s">
        <v>10</v>
      </c>
      <c r="C44" t="s">
        <v>30</v>
      </c>
      <c r="D44" t="s">
        <v>249</v>
      </c>
      <c r="E44" t="s">
        <v>30</v>
      </c>
      <c r="F44" t="s">
        <v>250</v>
      </c>
      <c r="G44" t="s">
        <v>251</v>
      </c>
      <c r="H44" t="s">
        <v>252</v>
      </c>
      <c r="I44" t="b">
        <v>1</v>
      </c>
    </row>
    <row r="45" spans="1:9">
      <c r="A45" t="s">
        <v>253</v>
      </c>
      <c r="B45" t="s">
        <v>10</v>
      </c>
      <c r="C45" t="s">
        <v>254</v>
      </c>
      <c r="D45" t="s">
        <v>229</v>
      </c>
      <c r="E45" t="s">
        <v>229</v>
      </c>
      <c r="F45" t="s">
        <v>255</v>
      </c>
      <c r="G45" t="s">
        <v>256</v>
      </c>
      <c r="H45" t="s">
        <v>257</v>
      </c>
      <c r="I45" t="b">
        <v>1</v>
      </c>
    </row>
    <row r="46" spans="1:9">
      <c r="A46" t="s">
        <v>258</v>
      </c>
      <c r="B46" t="s">
        <v>10</v>
      </c>
      <c r="C46" t="s">
        <v>259</v>
      </c>
      <c r="D46" t="s">
        <v>260</v>
      </c>
      <c r="E46" t="s">
        <v>229</v>
      </c>
      <c r="F46" t="s">
        <v>261</v>
      </c>
      <c r="G46" t="s">
        <v>262</v>
      </c>
      <c r="H46" t="s">
        <v>263</v>
      </c>
      <c r="I46" t="b">
        <v>1</v>
      </c>
    </row>
    <row r="47" spans="1:9">
      <c r="A47" t="s">
        <v>264</v>
      </c>
      <c r="B47" t="s">
        <v>10</v>
      </c>
      <c r="C47" t="s">
        <v>265</v>
      </c>
      <c r="D47" t="s">
        <v>266</v>
      </c>
      <c r="E47" t="s">
        <v>229</v>
      </c>
      <c r="F47" t="s">
        <v>267</v>
      </c>
      <c r="G47" t="s">
        <v>268</v>
      </c>
      <c r="H47" t="s">
        <v>269</v>
      </c>
      <c r="I47" t="b">
        <v>1</v>
      </c>
    </row>
    <row r="48" spans="1:9">
      <c r="A48" t="s">
        <v>270</v>
      </c>
      <c r="B48" t="s">
        <v>10</v>
      </c>
      <c r="C48" t="s">
        <v>271</v>
      </c>
      <c r="D48" t="s">
        <v>249</v>
      </c>
      <c r="E48" t="s">
        <v>229</v>
      </c>
      <c r="F48" t="s">
        <v>272</v>
      </c>
      <c r="G48" t="s">
        <v>273</v>
      </c>
      <c r="H48" t="s">
        <v>274</v>
      </c>
      <c r="I48" t="b">
        <v>1</v>
      </c>
    </row>
    <row r="49" spans="1:9">
      <c r="A49" t="s">
        <v>275</v>
      </c>
      <c r="B49" t="s">
        <v>10</v>
      </c>
      <c r="C49" t="s">
        <v>276</v>
      </c>
      <c r="D49" t="s">
        <v>277</v>
      </c>
      <c r="E49" t="s">
        <v>277</v>
      </c>
      <c r="F49" t="s">
        <v>278</v>
      </c>
      <c r="G49" t="s">
        <v>279</v>
      </c>
      <c r="H49" t="s">
        <v>280</v>
      </c>
      <c r="I49" t="b">
        <v>1</v>
      </c>
    </row>
    <row r="50" spans="1:9">
      <c r="A50" t="s">
        <v>281</v>
      </c>
      <c r="B50" t="s">
        <v>18</v>
      </c>
      <c r="C50" t="s">
        <v>282</v>
      </c>
      <c r="D50" t="s">
        <v>277</v>
      </c>
      <c r="E50" t="s">
        <v>277</v>
      </c>
      <c r="F50" t="s">
        <v>283</v>
      </c>
      <c r="G50" t="s">
        <v>284</v>
      </c>
      <c r="H50" t="s">
        <v>285</v>
      </c>
      <c r="I50" t="b">
        <v>1</v>
      </c>
    </row>
    <row r="51" spans="1:9">
      <c r="A51" t="s">
        <v>286</v>
      </c>
      <c r="B51" t="s">
        <v>10</v>
      </c>
      <c r="C51" t="s">
        <v>287</v>
      </c>
      <c r="D51" t="s">
        <v>288</v>
      </c>
      <c r="E51" t="s">
        <v>277</v>
      </c>
      <c r="F51" t="s">
        <v>289</v>
      </c>
      <c r="G51" t="s">
        <v>290</v>
      </c>
      <c r="H51" t="s">
        <v>291</v>
      </c>
      <c r="I51" t="b">
        <v>1</v>
      </c>
    </row>
    <row r="52" spans="1:9">
      <c r="A52" t="s">
        <v>292</v>
      </c>
      <c r="B52" t="s">
        <v>10</v>
      </c>
      <c r="C52" t="s">
        <v>293</v>
      </c>
      <c r="D52" t="s">
        <v>294</v>
      </c>
      <c r="E52" t="s">
        <v>294</v>
      </c>
      <c r="F52" t="s">
        <v>295</v>
      </c>
      <c r="G52" t="s">
        <v>296</v>
      </c>
      <c r="H52" t="s">
        <v>297</v>
      </c>
      <c r="I52" t="b">
        <v>1</v>
      </c>
    </row>
    <row r="53" spans="1:9">
      <c r="A53" t="s">
        <v>298</v>
      </c>
      <c r="B53" t="s">
        <v>10</v>
      </c>
      <c r="C53" t="s">
        <v>299</v>
      </c>
      <c r="D53" t="s">
        <v>300</v>
      </c>
      <c r="E53" t="s">
        <v>277</v>
      </c>
      <c r="F53" t="s">
        <v>301</v>
      </c>
      <c r="G53" t="s">
        <v>302</v>
      </c>
      <c r="H53" t="s">
        <v>303</v>
      </c>
      <c r="I53" t="b">
        <v>1</v>
      </c>
    </row>
    <row r="54" spans="1:9">
      <c r="A54" t="s">
        <v>304</v>
      </c>
      <c r="B54" t="s">
        <v>10</v>
      </c>
      <c r="C54" t="s">
        <v>305</v>
      </c>
      <c r="D54" t="s">
        <v>306</v>
      </c>
      <c r="E54" t="s">
        <v>277</v>
      </c>
      <c r="F54" t="s">
        <v>307</v>
      </c>
      <c r="G54" t="s">
        <v>308</v>
      </c>
      <c r="H54" t="s">
        <v>309</v>
      </c>
      <c r="I54" t="b">
        <v>1</v>
      </c>
    </row>
    <row r="55" spans="1:9">
      <c r="A55" t="s">
        <v>310</v>
      </c>
      <c r="B55" t="s">
        <v>18</v>
      </c>
      <c r="C55" t="s">
        <v>311</v>
      </c>
      <c r="D55" t="s">
        <v>312</v>
      </c>
      <c r="E55" t="s">
        <v>312</v>
      </c>
      <c r="F55" t="s">
        <v>313</v>
      </c>
      <c r="G55" t="s">
        <v>314</v>
      </c>
      <c r="H55" t="s">
        <v>315</v>
      </c>
      <c r="I55" t="b">
        <v>1</v>
      </c>
    </row>
    <row r="56" spans="1:9">
      <c r="A56" t="s">
        <v>316</v>
      </c>
      <c r="B56" t="s">
        <v>10</v>
      </c>
      <c r="C56" t="s">
        <v>30</v>
      </c>
      <c r="D56" t="s">
        <v>317</v>
      </c>
      <c r="E56" t="s">
        <v>30</v>
      </c>
      <c r="F56" t="s">
        <v>318</v>
      </c>
      <c r="G56" t="s">
        <v>319</v>
      </c>
      <c r="H56" t="s">
        <v>320</v>
      </c>
      <c r="I56" t="b">
        <v>1</v>
      </c>
    </row>
    <row r="57" spans="1:9">
      <c r="A57" t="s">
        <v>321</v>
      </c>
      <c r="B57" t="s">
        <v>10</v>
      </c>
      <c r="C57" t="s">
        <v>322</v>
      </c>
      <c r="D57" t="s">
        <v>323</v>
      </c>
      <c r="E57" t="s">
        <v>324</v>
      </c>
      <c r="F57" t="s">
        <v>325</v>
      </c>
      <c r="G57" t="s">
        <v>326</v>
      </c>
      <c r="H57" t="s">
        <v>327</v>
      </c>
      <c r="I57" t="b">
        <v>1</v>
      </c>
    </row>
    <row r="58" spans="1:9">
      <c r="A58" t="s">
        <v>328</v>
      </c>
      <c r="B58" t="s">
        <v>10</v>
      </c>
      <c r="C58" t="s">
        <v>329</v>
      </c>
      <c r="D58" t="s">
        <v>294</v>
      </c>
      <c r="E58" t="s">
        <v>294</v>
      </c>
      <c r="F58" t="s">
        <v>330</v>
      </c>
      <c r="G58" t="s">
        <v>331</v>
      </c>
      <c r="H58" t="s">
        <v>332</v>
      </c>
      <c r="I58" t="b">
        <v>1</v>
      </c>
    </row>
    <row r="59" spans="1:9">
      <c r="A59" t="s">
        <v>333</v>
      </c>
      <c r="B59" t="s">
        <v>10</v>
      </c>
      <c r="C59" t="s">
        <v>334</v>
      </c>
      <c r="D59" t="s">
        <v>294</v>
      </c>
      <c r="E59" t="s">
        <v>294</v>
      </c>
      <c r="F59" t="s">
        <v>335</v>
      </c>
      <c r="G59" t="s">
        <v>336</v>
      </c>
      <c r="H59" t="s">
        <v>337</v>
      </c>
      <c r="I59" t="b">
        <v>1</v>
      </c>
    </row>
    <row r="60" spans="1:9">
      <c r="A60" t="s">
        <v>338</v>
      </c>
      <c r="B60" t="s">
        <v>18</v>
      </c>
      <c r="C60" t="s">
        <v>339</v>
      </c>
      <c r="D60" t="s">
        <v>294</v>
      </c>
      <c r="E60" t="s">
        <v>294</v>
      </c>
      <c r="F60" t="s">
        <v>340</v>
      </c>
      <c r="G60" t="s">
        <v>341</v>
      </c>
      <c r="H60" t="s">
        <v>342</v>
      </c>
      <c r="I60" t="b">
        <v>1</v>
      </c>
    </row>
    <row r="61" spans="1:9">
      <c r="A61" t="s">
        <v>343</v>
      </c>
      <c r="B61" t="s">
        <v>10</v>
      </c>
      <c r="C61" t="s">
        <v>344</v>
      </c>
      <c r="D61" t="s">
        <v>294</v>
      </c>
      <c r="E61" t="s">
        <v>294</v>
      </c>
      <c r="F61" t="s">
        <v>345</v>
      </c>
      <c r="G61" t="s">
        <v>346</v>
      </c>
      <c r="H61" t="s">
        <v>347</v>
      </c>
      <c r="I61" t="b">
        <v>1</v>
      </c>
    </row>
    <row r="62" spans="1:9">
      <c r="A62" t="s">
        <v>348</v>
      </c>
      <c r="B62" t="s">
        <v>10</v>
      </c>
      <c r="C62" t="s">
        <v>349</v>
      </c>
      <c r="D62" t="s">
        <v>294</v>
      </c>
      <c r="E62" t="s">
        <v>294</v>
      </c>
      <c r="F62" t="s">
        <v>350</v>
      </c>
      <c r="G62" t="s">
        <v>351</v>
      </c>
      <c r="H62" t="s">
        <v>352</v>
      </c>
      <c r="I62" t="b">
        <v>1</v>
      </c>
    </row>
    <row r="63" spans="1:9">
      <c r="A63" t="s">
        <v>353</v>
      </c>
      <c r="B63" t="s">
        <v>10</v>
      </c>
      <c r="C63" t="s">
        <v>30</v>
      </c>
      <c r="D63" t="s">
        <v>354</v>
      </c>
      <c r="E63" t="s">
        <v>30</v>
      </c>
      <c r="F63" t="s">
        <v>355</v>
      </c>
      <c r="G63" t="s">
        <v>356</v>
      </c>
      <c r="H63" t="s">
        <v>357</v>
      </c>
      <c r="I63" t="b">
        <v>1</v>
      </c>
    </row>
    <row r="64" spans="1:9">
      <c r="A64" t="s">
        <v>358</v>
      </c>
      <c r="B64" t="s">
        <v>10</v>
      </c>
      <c r="C64" t="s">
        <v>359</v>
      </c>
      <c r="D64" t="s">
        <v>294</v>
      </c>
      <c r="E64" t="s">
        <v>294</v>
      </c>
      <c r="F64" t="s">
        <v>360</v>
      </c>
      <c r="G64" t="s">
        <v>361</v>
      </c>
      <c r="H64" t="s">
        <v>362</v>
      </c>
      <c r="I64" t="b">
        <v>1</v>
      </c>
    </row>
    <row r="65" spans="1:9">
      <c r="A65" t="s">
        <v>363</v>
      </c>
      <c r="B65" t="s">
        <v>18</v>
      </c>
      <c r="C65" t="s">
        <v>364</v>
      </c>
      <c r="D65" t="s">
        <v>294</v>
      </c>
      <c r="E65" t="s">
        <v>294</v>
      </c>
      <c r="F65" t="s">
        <v>365</v>
      </c>
      <c r="G65" t="s">
        <v>366</v>
      </c>
      <c r="H65" t="s">
        <v>367</v>
      </c>
      <c r="I65" t="b">
        <v>1</v>
      </c>
    </row>
    <row r="66" spans="1:9">
      <c r="A66" t="s">
        <v>368</v>
      </c>
      <c r="B66" t="s">
        <v>18</v>
      </c>
      <c r="C66" t="s">
        <v>369</v>
      </c>
      <c r="D66" t="s">
        <v>294</v>
      </c>
      <c r="E66" t="s">
        <v>294</v>
      </c>
      <c r="F66" t="s">
        <v>370</v>
      </c>
      <c r="G66" t="s">
        <v>371</v>
      </c>
      <c r="H66" t="s">
        <v>372</v>
      </c>
      <c r="I66" t="b">
        <v>1</v>
      </c>
    </row>
    <row r="67" spans="1:9">
      <c r="A67" t="s">
        <v>373</v>
      </c>
      <c r="B67" t="s">
        <v>10</v>
      </c>
      <c r="C67" t="s">
        <v>374</v>
      </c>
      <c r="D67" t="s">
        <v>294</v>
      </c>
      <c r="E67" t="s">
        <v>294</v>
      </c>
      <c r="F67" t="s">
        <v>375</v>
      </c>
      <c r="G67" t="s">
        <v>376</v>
      </c>
      <c r="H67" t="s">
        <v>377</v>
      </c>
      <c r="I67" t="b">
        <v>1</v>
      </c>
    </row>
    <row r="68" spans="1:9">
      <c r="A68" t="s">
        <v>378</v>
      </c>
      <c r="B68" t="s">
        <v>10</v>
      </c>
      <c r="C68" t="s">
        <v>379</v>
      </c>
      <c r="D68" t="s">
        <v>294</v>
      </c>
      <c r="E68" t="s">
        <v>294</v>
      </c>
      <c r="F68" t="s">
        <v>380</v>
      </c>
      <c r="G68" t="s">
        <v>381</v>
      </c>
      <c r="H68" t="s">
        <v>382</v>
      </c>
      <c r="I68" t="b">
        <v>1</v>
      </c>
    </row>
    <row r="69" spans="1:9">
      <c r="A69" t="s">
        <v>383</v>
      </c>
      <c r="B69" t="s">
        <v>10</v>
      </c>
      <c r="C69" t="s">
        <v>384</v>
      </c>
      <c r="D69" t="s">
        <v>294</v>
      </c>
      <c r="E69" t="s">
        <v>294</v>
      </c>
      <c r="F69" t="s">
        <v>385</v>
      </c>
      <c r="G69" t="s">
        <v>386</v>
      </c>
      <c r="H69" t="s">
        <v>387</v>
      </c>
      <c r="I69" t="b">
        <v>1</v>
      </c>
    </row>
    <row r="70" spans="1:9">
      <c r="A70" t="s">
        <v>388</v>
      </c>
      <c r="B70" t="s">
        <v>10</v>
      </c>
      <c r="C70" t="s">
        <v>389</v>
      </c>
      <c r="D70" t="s">
        <v>294</v>
      </c>
      <c r="E70" t="s">
        <v>294</v>
      </c>
      <c r="F70" t="s">
        <v>390</v>
      </c>
      <c r="G70" t="s">
        <v>391</v>
      </c>
      <c r="H70" t="s">
        <v>392</v>
      </c>
      <c r="I70" t="b">
        <v>1</v>
      </c>
    </row>
    <row r="71" spans="1:9">
      <c r="A71" t="s">
        <v>393</v>
      </c>
      <c r="B71" t="s">
        <v>18</v>
      </c>
      <c r="C71" t="s">
        <v>394</v>
      </c>
      <c r="D71" t="s">
        <v>294</v>
      </c>
      <c r="E71" t="s">
        <v>294</v>
      </c>
      <c r="F71" t="s">
        <v>395</v>
      </c>
      <c r="G71" t="s">
        <v>396</v>
      </c>
      <c r="H71" t="s">
        <v>397</v>
      </c>
      <c r="I71" t="b">
        <v>1</v>
      </c>
    </row>
    <row r="72" spans="1:9">
      <c r="A72" t="s">
        <v>398</v>
      </c>
      <c r="B72" t="s">
        <v>18</v>
      </c>
      <c r="C72" t="s">
        <v>399</v>
      </c>
      <c r="D72" t="s">
        <v>294</v>
      </c>
      <c r="E72" t="s">
        <v>294</v>
      </c>
      <c r="F72" t="s">
        <v>400</v>
      </c>
      <c r="G72" t="s">
        <v>401</v>
      </c>
      <c r="H72" t="s">
        <v>402</v>
      </c>
      <c r="I72" t="b">
        <v>1</v>
      </c>
    </row>
    <row r="73" spans="1:9">
      <c r="A73" t="s">
        <v>403</v>
      </c>
      <c r="B73" t="s">
        <v>18</v>
      </c>
      <c r="C73" t="s">
        <v>404</v>
      </c>
      <c r="D73" t="s">
        <v>294</v>
      </c>
      <c r="E73" t="s">
        <v>294</v>
      </c>
      <c r="F73" t="s">
        <v>405</v>
      </c>
      <c r="G73" t="s">
        <v>406</v>
      </c>
      <c r="H73" t="s">
        <v>407</v>
      </c>
      <c r="I73" t="b">
        <v>1</v>
      </c>
    </row>
    <row r="74" spans="1:9">
      <c r="A74" t="s">
        <v>408</v>
      </c>
      <c r="B74" t="s">
        <v>10</v>
      </c>
      <c r="C74" t="s">
        <v>409</v>
      </c>
      <c r="D74" t="s">
        <v>294</v>
      </c>
      <c r="E74" t="s">
        <v>294</v>
      </c>
      <c r="F74" t="s">
        <v>410</v>
      </c>
      <c r="G74" t="s">
        <v>411</v>
      </c>
      <c r="H74" t="s">
        <v>412</v>
      </c>
      <c r="I74" t="b">
        <v>1</v>
      </c>
    </row>
    <row r="75" spans="1:9">
      <c r="A75" t="s">
        <v>413</v>
      </c>
      <c r="B75" t="s">
        <v>18</v>
      </c>
      <c r="C75" t="s">
        <v>414</v>
      </c>
      <c r="D75" t="s">
        <v>294</v>
      </c>
      <c r="E75" t="s">
        <v>294</v>
      </c>
      <c r="F75" t="s">
        <v>415</v>
      </c>
      <c r="G75" t="s">
        <v>416</v>
      </c>
      <c r="H75" t="s">
        <v>417</v>
      </c>
      <c r="I75" t="b">
        <v>1</v>
      </c>
    </row>
    <row r="76" spans="1:9">
      <c r="A76" t="s">
        <v>418</v>
      </c>
      <c r="B76" t="s">
        <v>18</v>
      </c>
      <c r="C76" t="s">
        <v>419</v>
      </c>
      <c r="D76" t="s">
        <v>420</v>
      </c>
      <c r="E76" t="s">
        <v>294</v>
      </c>
      <c r="F76" t="s">
        <v>421</v>
      </c>
      <c r="G76" t="s">
        <v>422</v>
      </c>
      <c r="H76" t="s">
        <v>423</v>
      </c>
      <c r="I76" t="b">
        <v>1</v>
      </c>
    </row>
    <row r="77" spans="1:9">
      <c r="A77" t="s">
        <v>424</v>
      </c>
      <c r="B77" t="s">
        <v>10</v>
      </c>
      <c r="C77" t="s">
        <v>425</v>
      </c>
      <c r="D77" t="s">
        <v>426</v>
      </c>
      <c r="E77" t="s">
        <v>294</v>
      </c>
      <c r="F77" t="s">
        <v>427</v>
      </c>
      <c r="G77" t="s">
        <v>428</v>
      </c>
      <c r="H77" t="s">
        <v>429</v>
      </c>
      <c r="I77" t="b">
        <v>1</v>
      </c>
    </row>
    <row r="78" spans="1:9">
      <c r="A78" t="s">
        <v>430</v>
      </c>
      <c r="B78" t="s">
        <v>10</v>
      </c>
      <c r="C78" t="s">
        <v>431</v>
      </c>
      <c r="D78" t="s">
        <v>432</v>
      </c>
      <c r="E78" t="s">
        <v>433</v>
      </c>
      <c r="F78" t="s">
        <v>434</v>
      </c>
      <c r="G78" t="s">
        <v>435</v>
      </c>
      <c r="H78" t="s">
        <v>436</v>
      </c>
      <c r="I78" t="b">
        <v>1</v>
      </c>
    </row>
    <row r="79" spans="1:9">
      <c r="A79" t="s">
        <v>437</v>
      </c>
      <c r="B79" t="s">
        <v>10</v>
      </c>
      <c r="C79" t="s">
        <v>438</v>
      </c>
      <c r="D79" t="s">
        <v>439</v>
      </c>
      <c r="E79" t="s">
        <v>433</v>
      </c>
      <c r="F79" t="s">
        <v>440</v>
      </c>
      <c r="G79" t="s">
        <v>441</v>
      </c>
      <c r="H79" t="s">
        <v>442</v>
      </c>
      <c r="I79" t="b">
        <v>1</v>
      </c>
    </row>
    <row r="80" spans="1:9">
      <c r="A80" t="s">
        <v>443</v>
      </c>
      <c r="B80" t="s">
        <v>18</v>
      </c>
      <c r="C80" t="s">
        <v>444</v>
      </c>
      <c r="D80" t="s">
        <v>445</v>
      </c>
      <c r="E80" t="s">
        <v>433</v>
      </c>
      <c r="F80" t="s">
        <v>446</v>
      </c>
      <c r="G80" t="s">
        <v>447</v>
      </c>
      <c r="H80" t="s">
        <v>448</v>
      </c>
      <c r="I80" t="b">
        <v>1</v>
      </c>
    </row>
    <row r="81" spans="1:9">
      <c r="A81" t="s">
        <v>449</v>
      </c>
      <c r="B81" t="s">
        <v>10</v>
      </c>
      <c r="C81" t="s">
        <v>450</v>
      </c>
      <c r="D81" t="s">
        <v>451</v>
      </c>
      <c r="E81" t="s">
        <v>433</v>
      </c>
      <c r="F81" t="s">
        <v>452</v>
      </c>
      <c r="G81" t="s">
        <v>453</v>
      </c>
      <c r="H81" t="s">
        <v>454</v>
      </c>
      <c r="I81" t="b">
        <v>1</v>
      </c>
    </row>
    <row r="82" spans="1:9">
      <c r="A82" t="s">
        <v>455</v>
      </c>
      <c r="B82" t="s">
        <v>10</v>
      </c>
      <c r="C82" t="s">
        <v>456</v>
      </c>
      <c r="D82" t="s">
        <v>457</v>
      </c>
      <c r="E82" t="s">
        <v>457</v>
      </c>
      <c r="F82" t="s">
        <v>458</v>
      </c>
      <c r="G82" t="s">
        <v>459</v>
      </c>
      <c r="H82" t="s">
        <v>460</v>
      </c>
      <c r="I82" t="b">
        <v>1</v>
      </c>
    </row>
    <row r="83" spans="1:9">
      <c r="A83" t="s">
        <v>461</v>
      </c>
      <c r="B83" t="s">
        <v>10</v>
      </c>
      <c r="C83" t="s">
        <v>462</v>
      </c>
      <c r="D83" t="s">
        <v>463</v>
      </c>
      <c r="E83" t="s">
        <v>464</v>
      </c>
      <c r="F83" t="s">
        <v>465</v>
      </c>
      <c r="G83" t="s">
        <v>466</v>
      </c>
      <c r="H83" t="s">
        <v>467</v>
      </c>
      <c r="I83" t="b">
        <v>1</v>
      </c>
    </row>
    <row r="84" spans="1:9">
      <c r="A84" t="s">
        <v>468</v>
      </c>
      <c r="B84" t="s">
        <v>10</v>
      </c>
      <c r="C84" t="s">
        <v>469</v>
      </c>
      <c r="D84" t="s">
        <v>463</v>
      </c>
      <c r="E84" t="s">
        <v>464</v>
      </c>
      <c r="F84" t="s">
        <v>470</v>
      </c>
      <c r="G84" t="s">
        <v>471</v>
      </c>
      <c r="H84" t="s">
        <v>472</v>
      </c>
      <c r="I84" t="b">
        <v>1</v>
      </c>
    </row>
    <row r="85" spans="1:9">
      <c r="A85" t="s">
        <v>473</v>
      </c>
      <c r="B85" t="s">
        <v>10</v>
      </c>
      <c r="C85" t="s">
        <v>474</v>
      </c>
      <c r="D85" t="s">
        <v>463</v>
      </c>
      <c r="E85" t="s">
        <v>464</v>
      </c>
      <c r="F85" t="s">
        <v>475</v>
      </c>
      <c r="G85" t="s">
        <v>476</v>
      </c>
      <c r="H85" t="s">
        <v>477</v>
      </c>
      <c r="I85" t="b">
        <v>1</v>
      </c>
    </row>
    <row r="86" spans="1:9">
      <c r="A86" t="s">
        <v>478</v>
      </c>
      <c r="B86" t="s">
        <v>10</v>
      </c>
      <c r="C86" t="s">
        <v>479</v>
      </c>
      <c r="D86" t="s">
        <v>463</v>
      </c>
      <c r="E86" t="s">
        <v>464</v>
      </c>
      <c r="F86" t="s">
        <v>480</v>
      </c>
      <c r="G86" t="s">
        <v>481</v>
      </c>
      <c r="H86" t="s">
        <v>482</v>
      </c>
      <c r="I86" t="b">
        <v>1</v>
      </c>
    </row>
    <row r="87" spans="1:9">
      <c r="A87" t="s">
        <v>483</v>
      </c>
      <c r="B87" t="s">
        <v>10</v>
      </c>
      <c r="C87" t="s">
        <v>484</v>
      </c>
      <c r="D87" t="s">
        <v>463</v>
      </c>
      <c r="E87" t="s">
        <v>464</v>
      </c>
      <c r="F87" t="s">
        <v>485</v>
      </c>
      <c r="G87" t="s">
        <v>486</v>
      </c>
      <c r="H87" t="s">
        <v>487</v>
      </c>
      <c r="I87" t="b">
        <v>1</v>
      </c>
    </row>
    <row r="88" spans="1:9">
      <c r="A88" t="s">
        <v>488</v>
      </c>
      <c r="B88" t="s">
        <v>10</v>
      </c>
      <c r="C88" t="s">
        <v>489</v>
      </c>
      <c r="D88" t="s">
        <v>490</v>
      </c>
      <c r="E88" t="s">
        <v>490</v>
      </c>
      <c r="F88" t="s">
        <v>491</v>
      </c>
      <c r="G88" t="s">
        <v>492</v>
      </c>
      <c r="H88" t="s">
        <v>493</v>
      </c>
      <c r="I88" t="b">
        <v>1</v>
      </c>
    </row>
    <row r="89" spans="1:9">
      <c r="A89" t="s">
        <v>494</v>
      </c>
      <c r="B89" t="s">
        <v>18</v>
      </c>
      <c r="C89" t="s">
        <v>495</v>
      </c>
      <c r="D89" t="s">
        <v>463</v>
      </c>
      <c r="E89" t="s">
        <v>464</v>
      </c>
      <c r="F89" t="s">
        <v>496</v>
      </c>
      <c r="G89" t="s">
        <v>497</v>
      </c>
      <c r="H89" t="s">
        <v>498</v>
      </c>
      <c r="I89" t="b">
        <v>1</v>
      </c>
    </row>
    <row r="90" spans="1:9">
      <c r="A90" t="s">
        <v>499</v>
      </c>
      <c r="B90" t="s">
        <v>10</v>
      </c>
      <c r="C90" t="s">
        <v>500</v>
      </c>
      <c r="D90" t="s">
        <v>463</v>
      </c>
      <c r="E90" t="s">
        <v>464</v>
      </c>
      <c r="F90" t="s">
        <v>501</v>
      </c>
      <c r="G90" t="s">
        <v>502</v>
      </c>
      <c r="H90" t="s">
        <v>503</v>
      </c>
      <c r="I90" t="b">
        <v>1</v>
      </c>
    </row>
    <row r="91" spans="1:9">
      <c r="A91" t="s">
        <v>504</v>
      </c>
      <c r="B91" t="s">
        <v>18</v>
      </c>
      <c r="C91" t="s">
        <v>505</v>
      </c>
      <c r="D91" t="s">
        <v>463</v>
      </c>
      <c r="E91" t="s">
        <v>464</v>
      </c>
      <c r="F91" t="s">
        <v>506</v>
      </c>
      <c r="G91" t="s">
        <v>507</v>
      </c>
      <c r="H91" t="s">
        <v>508</v>
      </c>
      <c r="I91" t="b">
        <v>1</v>
      </c>
    </row>
    <row r="92" spans="1:9">
      <c r="A92" t="s">
        <v>509</v>
      </c>
      <c r="B92" t="s">
        <v>10</v>
      </c>
      <c r="C92" t="s">
        <v>510</v>
      </c>
      <c r="D92" t="s">
        <v>511</v>
      </c>
      <c r="E92" t="s">
        <v>512</v>
      </c>
      <c r="F92" t="s">
        <v>513</v>
      </c>
      <c r="G92" t="s">
        <v>514</v>
      </c>
      <c r="H92" t="s">
        <v>515</v>
      </c>
      <c r="I92" t="b">
        <v>1</v>
      </c>
    </row>
    <row r="93" spans="1:9">
      <c r="A93" t="s">
        <v>516</v>
      </c>
      <c r="B93" t="s">
        <v>10</v>
      </c>
      <c r="C93" t="s">
        <v>517</v>
      </c>
      <c r="D93" t="s">
        <v>518</v>
      </c>
      <c r="E93" t="s">
        <v>464</v>
      </c>
      <c r="F93" t="s">
        <v>519</v>
      </c>
      <c r="G93" t="s">
        <v>520</v>
      </c>
      <c r="H93" t="s">
        <v>521</v>
      </c>
      <c r="I93" t="b">
        <v>1</v>
      </c>
    </row>
    <row r="94" spans="1:9">
      <c r="A94" t="s">
        <v>522</v>
      </c>
      <c r="B94" t="s">
        <v>10</v>
      </c>
      <c r="C94" t="s">
        <v>523</v>
      </c>
      <c r="D94" t="s">
        <v>463</v>
      </c>
      <c r="E94" t="s">
        <v>512</v>
      </c>
      <c r="F94" t="s">
        <v>524</v>
      </c>
      <c r="G94" t="s">
        <v>525</v>
      </c>
      <c r="H94" t="s">
        <v>526</v>
      </c>
      <c r="I94" t="b">
        <v>1</v>
      </c>
    </row>
    <row r="95" spans="1:9">
      <c r="A95" t="s">
        <v>527</v>
      </c>
      <c r="B95" t="s">
        <v>10</v>
      </c>
      <c r="C95" t="s">
        <v>528</v>
      </c>
      <c r="D95" t="s">
        <v>529</v>
      </c>
      <c r="E95" t="s">
        <v>464</v>
      </c>
      <c r="F95" t="s">
        <v>530</v>
      </c>
      <c r="G95" t="s">
        <v>531</v>
      </c>
      <c r="H95" t="s">
        <v>532</v>
      </c>
      <c r="I95" t="b">
        <v>1</v>
      </c>
    </row>
    <row r="96" spans="1:9">
      <c r="A96" t="s">
        <v>533</v>
      </c>
      <c r="B96" t="s">
        <v>18</v>
      </c>
      <c r="C96" t="s">
        <v>534</v>
      </c>
      <c r="D96" t="s">
        <v>463</v>
      </c>
      <c r="E96" t="s">
        <v>512</v>
      </c>
      <c r="F96" t="s">
        <v>535</v>
      </c>
      <c r="G96" t="s">
        <v>536</v>
      </c>
      <c r="H96" t="s">
        <v>537</v>
      </c>
      <c r="I96" t="b">
        <v>1</v>
      </c>
    </row>
    <row r="97" spans="1:9">
      <c r="A97" t="s">
        <v>538</v>
      </c>
      <c r="B97" t="s">
        <v>10</v>
      </c>
      <c r="C97" t="s">
        <v>539</v>
      </c>
      <c r="D97" t="s">
        <v>540</v>
      </c>
      <c r="E97" t="s">
        <v>541</v>
      </c>
      <c r="F97" t="s">
        <v>542</v>
      </c>
      <c r="G97" t="s">
        <v>543</v>
      </c>
      <c r="H97" t="s">
        <v>544</v>
      </c>
      <c r="I97" t="b">
        <v>1</v>
      </c>
    </row>
    <row r="98" spans="1:9">
      <c r="A98" t="s">
        <v>545</v>
      </c>
      <c r="B98" t="s">
        <v>10</v>
      </c>
      <c r="C98" t="s">
        <v>546</v>
      </c>
      <c r="D98" t="s">
        <v>540</v>
      </c>
      <c r="E98" t="s">
        <v>541</v>
      </c>
      <c r="F98" t="s">
        <v>547</v>
      </c>
      <c r="G98" t="s">
        <v>548</v>
      </c>
      <c r="H98" t="s">
        <v>549</v>
      </c>
      <c r="I98" t="b">
        <v>1</v>
      </c>
    </row>
    <row r="99" spans="1:9">
      <c r="A99" t="s">
        <v>550</v>
      </c>
      <c r="B99" t="s">
        <v>18</v>
      </c>
      <c r="C99" t="s">
        <v>551</v>
      </c>
      <c r="D99" t="s">
        <v>552</v>
      </c>
      <c r="E99" t="s">
        <v>541</v>
      </c>
      <c r="F99" t="s">
        <v>553</v>
      </c>
      <c r="G99" t="s">
        <v>554</v>
      </c>
      <c r="H99" t="s">
        <v>555</v>
      </c>
      <c r="I99" t="b">
        <v>1</v>
      </c>
    </row>
    <row r="100" spans="1:9">
      <c r="A100" t="s">
        <v>556</v>
      </c>
      <c r="B100" t="s">
        <v>10</v>
      </c>
      <c r="C100" t="s">
        <v>557</v>
      </c>
      <c r="D100" t="s">
        <v>558</v>
      </c>
      <c r="E100" t="s">
        <v>541</v>
      </c>
      <c r="F100" t="s">
        <v>559</v>
      </c>
      <c r="G100" t="s">
        <v>560</v>
      </c>
      <c r="H100" t="s">
        <v>561</v>
      </c>
      <c r="I100" t="b">
        <v>1</v>
      </c>
    </row>
    <row r="101" spans="1:9">
      <c r="A101" t="s">
        <v>562</v>
      </c>
      <c r="B101" t="s">
        <v>10</v>
      </c>
      <c r="C101" t="s">
        <v>563</v>
      </c>
      <c r="D101" t="s">
        <v>564</v>
      </c>
      <c r="E101" t="s">
        <v>541</v>
      </c>
      <c r="F101" t="s">
        <v>565</v>
      </c>
      <c r="G101" t="s">
        <v>566</v>
      </c>
      <c r="H101" t="s">
        <v>567</v>
      </c>
      <c r="I101" t="b">
        <v>1</v>
      </c>
    </row>
    <row r="102" spans="1:9">
      <c r="A102" t="s">
        <v>568</v>
      </c>
      <c r="B102" t="s">
        <v>10</v>
      </c>
      <c r="C102" t="s">
        <v>569</v>
      </c>
      <c r="D102" t="s">
        <v>570</v>
      </c>
      <c r="E102" t="s">
        <v>570</v>
      </c>
      <c r="F102" t="s">
        <v>571</v>
      </c>
      <c r="G102" t="s">
        <v>572</v>
      </c>
      <c r="H102" t="s">
        <v>573</v>
      </c>
      <c r="I102" t="b">
        <v>1</v>
      </c>
    </row>
    <row r="103" spans="1:9">
      <c r="A103" t="s">
        <v>574</v>
      </c>
      <c r="B103" t="s">
        <v>10</v>
      </c>
      <c r="C103" t="s">
        <v>575</v>
      </c>
      <c r="D103" t="s">
        <v>576</v>
      </c>
      <c r="E103" t="s">
        <v>570</v>
      </c>
      <c r="F103" t="s">
        <v>577</v>
      </c>
      <c r="G103" t="s">
        <v>578</v>
      </c>
      <c r="H103" t="s">
        <v>579</v>
      </c>
      <c r="I103" t="b">
        <v>1</v>
      </c>
    </row>
    <row r="104" spans="1:9">
      <c r="A104" t="s">
        <v>580</v>
      </c>
      <c r="B104" t="s">
        <v>10</v>
      </c>
      <c r="C104" t="s">
        <v>581</v>
      </c>
      <c r="D104" t="s">
        <v>582</v>
      </c>
      <c r="E104" t="s">
        <v>570</v>
      </c>
      <c r="F104" t="s">
        <v>583</v>
      </c>
      <c r="G104" t="s">
        <v>30</v>
      </c>
      <c r="H104" t="s">
        <v>584</v>
      </c>
      <c r="I104" t="b">
        <v>1</v>
      </c>
    </row>
    <row r="105" spans="1:9">
      <c r="A105" t="s">
        <v>585</v>
      </c>
      <c r="B105" t="s">
        <v>10</v>
      </c>
      <c r="C105" t="s">
        <v>30</v>
      </c>
      <c r="D105" t="s">
        <v>586</v>
      </c>
      <c r="E105" t="s">
        <v>30</v>
      </c>
      <c r="F105" t="s">
        <v>587</v>
      </c>
      <c r="G105" t="s">
        <v>588</v>
      </c>
      <c r="H105" t="s">
        <v>589</v>
      </c>
      <c r="I105" t="b">
        <v>1</v>
      </c>
    </row>
    <row r="106" spans="1:9">
      <c r="A106" t="s">
        <v>590</v>
      </c>
      <c r="B106" t="s">
        <v>18</v>
      </c>
      <c r="C106" t="s">
        <v>591</v>
      </c>
      <c r="D106" t="s">
        <v>576</v>
      </c>
      <c r="E106" t="s">
        <v>570</v>
      </c>
      <c r="F106" t="s">
        <v>592</v>
      </c>
      <c r="G106" t="s">
        <v>593</v>
      </c>
      <c r="H106" t="s">
        <v>594</v>
      </c>
      <c r="I106" t="b">
        <v>1</v>
      </c>
    </row>
    <row r="107" spans="1:9">
      <c r="A107" t="s">
        <v>595</v>
      </c>
      <c r="B107" t="s">
        <v>10</v>
      </c>
      <c r="C107" t="s">
        <v>30</v>
      </c>
      <c r="D107" t="s">
        <v>586</v>
      </c>
      <c r="E107" t="s">
        <v>30</v>
      </c>
      <c r="F107" t="s">
        <v>596</v>
      </c>
      <c r="G107" t="s">
        <v>597</v>
      </c>
      <c r="H107" t="s">
        <v>598</v>
      </c>
      <c r="I107" t="b">
        <v>1</v>
      </c>
    </row>
    <row r="108" spans="1:9">
      <c r="A108" t="s">
        <v>599</v>
      </c>
      <c r="B108" t="s">
        <v>10</v>
      </c>
      <c r="C108" t="s">
        <v>600</v>
      </c>
      <c r="D108" t="s">
        <v>601</v>
      </c>
      <c r="E108" t="s">
        <v>570</v>
      </c>
      <c r="F108" t="s">
        <v>602</v>
      </c>
      <c r="G108" t="s">
        <v>603</v>
      </c>
      <c r="H108" t="s">
        <v>604</v>
      </c>
      <c r="I108" t="b">
        <v>1</v>
      </c>
    </row>
    <row r="109" spans="1:9">
      <c r="A109" t="s">
        <v>605</v>
      </c>
      <c r="B109" t="s">
        <v>10</v>
      </c>
      <c r="C109" t="s">
        <v>606</v>
      </c>
      <c r="D109" t="s">
        <v>607</v>
      </c>
      <c r="E109" t="s">
        <v>570</v>
      </c>
      <c r="F109" t="s">
        <v>608</v>
      </c>
      <c r="G109" t="s">
        <v>609</v>
      </c>
      <c r="H109" t="s">
        <v>610</v>
      </c>
      <c r="I109" t="b">
        <v>1</v>
      </c>
    </row>
    <row r="110" spans="1:9">
      <c r="A110" t="s">
        <v>611</v>
      </c>
      <c r="B110" t="s">
        <v>10</v>
      </c>
      <c r="C110" t="s">
        <v>612</v>
      </c>
      <c r="D110" t="s">
        <v>613</v>
      </c>
      <c r="E110" t="s">
        <v>614</v>
      </c>
      <c r="F110" t="s">
        <v>615</v>
      </c>
      <c r="G110" t="s">
        <v>616</v>
      </c>
      <c r="H110" t="s">
        <v>617</v>
      </c>
      <c r="I110" t="b">
        <v>1</v>
      </c>
    </row>
    <row r="111" spans="1:9">
      <c r="A111" t="s">
        <v>618</v>
      </c>
      <c r="B111" t="s">
        <v>18</v>
      </c>
      <c r="C111" t="s">
        <v>619</v>
      </c>
      <c r="D111" t="s">
        <v>620</v>
      </c>
      <c r="E111" t="s">
        <v>614</v>
      </c>
      <c r="F111" t="s">
        <v>621</v>
      </c>
      <c r="G111" t="s">
        <v>622</v>
      </c>
      <c r="H111" t="s">
        <v>623</v>
      </c>
      <c r="I111" t="b">
        <v>1</v>
      </c>
    </row>
    <row r="112" spans="1:9">
      <c r="A112" t="s">
        <v>624</v>
      </c>
      <c r="B112" t="s">
        <v>10</v>
      </c>
      <c r="C112" t="s">
        <v>625</v>
      </c>
      <c r="D112" t="s">
        <v>626</v>
      </c>
      <c r="E112" t="s">
        <v>614</v>
      </c>
      <c r="F112" t="s">
        <v>627</v>
      </c>
      <c r="G112" t="s">
        <v>628</v>
      </c>
      <c r="H112" t="s">
        <v>629</v>
      </c>
      <c r="I112" t="b">
        <v>1</v>
      </c>
    </row>
    <row r="113" spans="1:9">
      <c r="A113" t="s">
        <v>630</v>
      </c>
      <c r="B113" t="s">
        <v>10</v>
      </c>
      <c r="C113" t="s">
        <v>631</v>
      </c>
      <c r="D113" t="s">
        <v>632</v>
      </c>
      <c r="E113" t="s">
        <v>614</v>
      </c>
      <c r="F113" t="s">
        <v>633</v>
      </c>
      <c r="G113" t="s">
        <v>634</v>
      </c>
      <c r="H113" t="s">
        <v>635</v>
      </c>
      <c r="I113" t="b">
        <v>1</v>
      </c>
    </row>
    <row r="114" spans="1:9">
      <c r="A114" t="s">
        <v>636</v>
      </c>
      <c r="B114" t="s">
        <v>10</v>
      </c>
      <c r="C114" t="s">
        <v>637</v>
      </c>
      <c r="D114" t="s">
        <v>620</v>
      </c>
      <c r="E114" t="s">
        <v>614</v>
      </c>
      <c r="F114" t="s">
        <v>638</v>
      </c>
      <c r="G114" t="s">
        <v>639</v>
      </c>
      <c r="H114" t="s">
        <v>640</v>
      </c>
      <c r="I114" t="b">
        <v>1</v>
      </c>
    </row>
    <row r="115" spans="1:9">
      <c r="A115" t="s">
        <v>641</v>
      </c>
      <c r="B115" t="s">
        <v>18</v>
      </c>
      <c r="C115" t="s">
        <v>642</v>
      </c>
      <c r="D115" t="s">
        <v>643</v>
      </c>
      <c r="E115" t="s">
        <v>643</v>
      </c>
      <c r="F115" t="s">
        <v>644</v>
      </c>
      <c r="G115" t="s">
        <v>645</v>
      </c>
      <c r="H115" t="s">
        <v>646</v>
      </c>
      <c r="I115" t="b">
        <v>1</v>
      </c>
    </row>
    <row r="116" spans="1:9">
      <c r="A116" t="s">
        <v>647</v>
      </c>
      <c r="B116" t="s">
        <v>10</v>
      </c>
      <c r="C116" t="s">
        <v>30</v>
      </c>
      <c r="D116" t="s">
        <v>648</v>
      </c>
      <c r="E116" t="s">
        <v>30</v>
      </c>
      <c r="F116" t="s">
        <v>649</v>
      </c>
      <c r="G116" t="s">
        <v>650</v>
      </c>
      <c r="H116" t="s">
        <v>651</v>
      </c>
      <c r="I116" t="b">
        <v>1</v>
      </c>
    </row>
    <row r="117" spans="1:9">
      <c r="A117" t="s">
        <v>652</v>
      </c>
      <c r="B117" t="s">
        <v>10</v>
      </c>
      <c r="C117" t="s">
        <v>653</v>
      </c>
      <c r="D117" t="s">
        <v>626</v>
      </c>
      <c r="E117" t="s">
        <v>614</v>
      </c>
      <c r="F117" t="s">
        <v>654</v>
      </c>
      <c r="G117" t="s">
        <v>655</v>
      </c>
      <c r="H117" t="s">
        <v>656</v>
      </c>
      <c r="I117" t="b">
        <v>1</v>
      </c>
    </row>
    <row r="118" spans="1:9">
      <c r="A118" t="s">
        <v>657</v>
      </c>
      <c r="B118" t="s">
        <v>10</v>
      </c>
      <c r="C118" t="s">
        <v>658</v>
      </c>
      <c r="D118" t="s">
        <v>659</v>
      </c>
      <c r="E118" t="s">
        <v>660</v>
      </c>
      <c r="F118" t="s">
        <v>661</v>
      </c>
      <c r="G118" t="s">
        <v>662</v>
      </c>
      <c r="H118" t="s">
        <v>663</v>
      </c>
      <c r="I118" t="b">
        <v>1</v>
      </c>
    </row>
    <row r="119" spans="1:9">
      <c r="A119" t="s">
        <v>664</v>
      </c>
      <c r="B119" t="s">
        <v>10</v>
      </c>
      <c r="C119" t="s">
        <v>665</v>
      </c>
      <c r="D119" t="s">
        <v>666</v>
      </c>
      <c r="E119" t="s">
        <v>667</v>
      </c>
      <c r="F119" t="s">
        <v>668</v>
      </c>
      <c r="G119" t="s">
        <v>669</v>
      </c>
      <c r="H119" t="s">
        <v>670</v>
      </c>
      <c r="I119" t="b">
        <v>1</v>
      </c>
    </row>
    <row r="120" spans="1:9">
      <c r="A120" t="s">
        <v>671</v>
      </c>
      <c r="B120" t="s">
        <v>10</v>
      </c>
      <c r="C120" t="s">
        <v>672</v>
      </c>
      <c r="D120" t="s">
        <v>673</v>
      </c>
      <c r="E120" t="s">
        <v>667</v>
      </c>
      <c r="F120" t="s">
        <v>674</v>
      </c>
      <c r="G120" t="s">
        <v>675</v>
      </c>
      <c r="H120" t="s">
        <v>676</v>
      </c>
      <c r="I120" t="b">
        <v>1</v>
      </c>
    </row>
    <row r="121" spans="1:9">
      <c r="A121" t="s">
        <v>677</v>
      </c>
      <c r="B121" t="s">
        <v>10</v>
      </c>
      <c r="C121" t="s">
        <v>678</v>
      </c>
      <c r="D121" t="s">
        <v>679</v>
      </c>
      <c r="E121" t="s">
        <v>667</v>
      </c>
      <c r="F121" t="s">
        <v>680</v>
      </c>
      <c r="G121" t="s">
        <v>681</v>
      </c>
      <c r="H121" t="s">
        <v>682</v>
      </c>
      <c r="I121" t="b">
        <v>1</v>
      </c>
    </row>
    <row r="122" spans="1:9">
      <c r="A122" t="s">
        <v>683</v>
      </c>
      <c r="B122" t="s">
        <v>10</v>
      </c>
      <c r="C122" t="s">
        <v>684</v>
      </c>
      <c r="D122" t="s">
        <v>685</v>
      </c>
      <c r="E122" t="s">
        <v>685</v>
      </c>
      <c r="F122" t="s">
        <v>686</v>
      </c>
      <c r="G122" t="s">
        <v>687</v>
      </c>
      <c r="H122" t="s">
        <v>688</v>
      </c>
      <c r="I122" t="b">
        <v>1</v>
      </c>
    </row>
    <row r="123" spans="1:9">
      <c r="A123" t="s">
        <v>689</v>
      </c>
      <c r="B123" t="s">
        <v>10</v>
      </c>
      <c r="C123" t="s">
        <v>690</v>
      </c>
      <c r="D123" t="s">
        <v>685</v>
      </c>
      <c r="E123" t="s">
        <v>685</v>
      </c>
      <c r="F123" t="s">
        <v>691</v>
      </c>
      <c r="G123" t="s">
        <v>692</v>
      </c>
      <c r="H123" t="s">
        <v>693</v>
      </c>
      <c r="I123" t="b">
        <v>1</v>
      </c>
    </row>
    <row r="124" spans="1:9">
      <c r="A124" t="s">
        <v>694</v>
      </c>
      <c r="B124" t="s">
        <v>10</v>
      </c>
      <c r="C124" t="s">
        <v>695</v>
      </c>
      <c r="D124" t="s">
        <v>685</v>
      </c>
      <c r="E124" t="s">
        <v>685</v>
      </c>
      <c r="F124" t="s">
        <v>696</v>
      </c>
      <c r="G124" t="s">
        <v>697</v>
      </c>
      <c r="H124" t="s">
        <v>698</v>
      </c>
      <c r="I124" t="b">
        <v>1</v>
      </c>
    </row>
    <row r="125" spans="1:9">
      <c r="A125" t="s">
        <v>699</v>
      </c>
      <c r="B125" t="s">
        <v>10</v>
      </c>
      <c r="C125" t="s">
        <v>700</v>
      </c>
      <c r="D125" t="s">
        <v>685</v>
      </c>
      <c r="E125" t="s">
        <v>685</v>
      </c>
      <c r="F125" t="s">
        <v>701</v>
      </c>
      <c r="G125" t="s">
        <v>702</v>
      </c>
      <c r="H125" t="s">
        <v>703</v>
      </c>
      <c r="I125" t="b">
        <v>1</v>
      </c>
    </row>
    <row r="126" spans="1:9">
      <c r="A126" t="s">
        <v>704</v>
      </c>
      <c r="B126" t="s">
        <v>18</v>
      </c>
      <c r="C126" t="s">
        <v>705</v>
      </c>
      <c r="D126" t="s">
        <v>685</v>
      </c>
      <c r="E126" t="s">
        <v>685</v>
      </c>
      <c r="F126" t="s">
        <v>706</v>
      </c>
      <c r="G126" t="s">
        <v>707</v>
      </c>
      <c r="H126" t="s">
        <v>708</v>
      </c>
      <c r="I126" t="b">
        <v>1</v>
      </c>
    </row>
    <row r="127" spans="1:9">
      <c r="A127" t="s">
        <v>709</v>
      </c>
      <c r="B127" t="s">
        <v>18</v>
      </c>
      <c r="C127" t="s">
        <v>710</v>
      </c>
      <c r="D127" t="s">
        <v>685</v>
      </c>
      <c r="E127" t="s">
        <v>685</v>
      </c>
      <c r="F127" t="s">
        <v>711</v>
      </c>
      <c r="G127" t="s">
        <v>712</v>
      </c>
      <c r="H127" t="s">
        <v>713</v>
      </c>
      <c r="I127" t="b">
        <v>1</v>
      </c>
    </row>
    <row r="128" spans="1:9">
      <c r="A128" t="s">
        <v>714</v>
      </c>
      <c r="B128" t="s">
        <v>10</v>
      </c>
      <c r="C128" t="s">
        <v>715</v>
      </c>
      <c r="D128" t="s">
        <v>716</v>
      </c>
      <c r="E128" t="s">
        <v>685</v>
      </c>
      <c r="F128" t="s">
        <v>717</v>
      </c>
      <c r="G128" t="s">
        <v>718</v>
      </c>
      <c r="H128" t="s">
        <v>719</v>
      </c>
      <c r="I128" t="b">
        <v>1</v>
      </c>
    </row>
    <row r="129" spans="1:9">
      <c r="A129" t="s">
        <v>720</v>
      </c>
      <c r="B129" t="s">
        <v>10</v>
      </c>
      <c r="C129" t="s">
        <v>721</v>
      </c>
      <c r="D129" t="s">
        <v>722</v>
      </c>
      <c r="E129" t="s">
        <v>723</v>
      </c>
      <c r="F129" t="s">
        <v>724</v>
      </c>
      <c r="G129" t="s">
        <v>725</v>
      </c>
      <c r="H129" t="s">
        <v>726</v>
      </c>
      <c r="I129" t="b">
        <v>1</v>
      </c>
    </row>
    <row r="130" spans="1:9">
      <c r="A130" t="s">
        <v>727</v>
      </c>
      <c r="B130" t="s">
        <v>18</v>
      </c>
      <c r="C130" t="s">
        <v>728</v>
      </c>
      <c r="D130" t="s">
        <v>729</v>
      </c>
      <c r="E130" t="s">
        <v>723</v>
      </c>
      <c r="F130" t="s">
        <v>730</v>
      </c>
      <c r="G130" t="s">
        <v>731</v>
      </c>
      <c r="H130" t="s">
        <v>732</v>
      </c>
      <c r="I130" t="b">
        <v>1</v>
      </c>
    </row>
    <row r="131" spans="1:9">
      <c r="A131" t="s">
        <v>733</v>
      </c>
      <c r="B131" t="s">
        <v>10</v>
      </c>
      <c r="C131" t="s">
        <v>734</v>
      </c>
      <c r="D131" t="s">
        <v>735</v>
      </c>
      <c r="E131" t="s">
        <v>723</v>
      </c>
      <c r="F131" t="s">
        <v>736</v>
      </c>
      <c r="G131" t="s">
        <v>737</v>
      </c>
      <c r="H131" t="s">
        <v>738</v>
      </c>
      <c r="I131" t="b">
        <v>1</v>
      </c>
    </row>
    <row r="132" spans="1:9">
      <c r="A132" t="s">
        <v>739</v>
      </c>
      <c r="B132" t="s">
        <v>18</v>
      </c>
      <c r="C132" t="s">
        <v>740</v>
      </c>
      <c r="D132" t="s">
        <v>741</v>
      </c>
      <c r="E132" t="s">
        <v>723</v>
      </c>
      <c r="F132" t="s">
        <v>742</v>
      </c>
      <c r="G132" t="s">
        <v>743</v>
      </c>
      <c r="H132" t="s">
        <v>744</v>
      </c>
      <c r="I132" t="b">
        <v>1</v>
      </c>
    </row>
    <row r="133" spans="1:9">
      <c r="A133" t="s">
        <v>745</v>
      </c>
      <c r="B133" t="s">
        <v>18</v>
      </c>
      <c r="C133" t="s">
        <v>746</v>
      </c>
      <c r="D133" t="s">
        <v>747</v>
      </c>
      <c r="E133" t="s">
        <v>723</v>
      </c>
      <c r="F133" t="s">
        <v>748</v>
      </c>
      <c r="G133" t="s">
        <v>749</v>
      </c>
      <c r="H133" t="s">
        <v>750</v>
      </c>
      <c r="I133" t="b">
        <v>1</v>
      </c>
    </row>
    <row r="134" spans="1:9">
      <c r="A134" t="s">
        <v>751</v>
      </c>
      <c r="B134" t="s">
        <v>10</v>
      </c>
      <c r="C134" t="s">
        <v>752</v>
      </c>
      <c r="D134" t="s">
        <v>741</v>
      </c>
      <c r="E134" t="s">
        <v>723</v>
      </c>
      <c r="F134" t="s">
        <v>753</v>
      </c>
      <c r="G134" t="s">
        <v>754</v>
      </c>
      <c r="H134" t="s">
        <v>755</v>
      </c>
      <c r="I134" t="b">
        <v>1</v>
      </c>
    </row>
    <row r="135" spans="1:9">
      <c r="A135" t="s">
        <v>756</v>
      </c>
      <c r="B135" t="s">
        <v>10</v>
      </c>
      <c r="C135" t="s">
        <v>757</v>
      </c>
      <c r="D135" t="s">
        <v>758</v>
      </c>
      <c r="E135" t="s">
        <v>758</v>
      </c>
      <c r="F135" t="s">
        <v>759</v>
      </c>
      <c r="G135" t="s">
        <v>760</v>
      </c>
      <c r="H135" t="s">
        <v>761</v>
      </c>
      <c r="I135" t="b">
        <v>1</v>
      </c>
    </row>
    <row r="136" spans="1:9">
      <c r="A136" t="s">
        <v>762</v>
      </c>
      <c r="B136" t="s">
        <v>10</v>
      </c>
      <c r="C136" t="s">
        <v>30</v>
      </c>
      <c r="D136" t="s">
        <v>763</v>
      </c>
      <c r="E136" t="s">
        <v>30</v>
      </c>
      <c r="F136" t="s">
        <v>764</v>
      </c>
      <c r="G136" t="s">
        <v>765</v>
      </c>
      <c r="H136" t="s">
        <v>766</v>
      </c>
      <c r="I136" t="b">
        <v>1</v>
      </c>
    </row>
    <row r="137" spans="1:9">
      <c r="A137" t="s">
        <v>767</v>
      </c>
      <c r="B137" t="s">
        <v>18</v>
      </c>
      <c r="C137" t="s">
        <v>768</v>
      </c>
      <c r="D137" t="s">
        <v>769</v>
      </c>
      <c r="E137" t="s">
        <v>758</v>
      </c>
      <c r="F137" t="s">
        <v>770</v>
      </c>
      <c r="G137" t="s">
        <v>771</v>
      </c>
      <c r="H137" t="s">
        <v>772</v>
      </c>
      <c r="I137" t="b">
        <v>1</v>
      </c>
    </row>
    <row r="138" spans="1:9">
      <c r="A138" t="s">
        <v>773</v>
      </c>
      <c r="B138" t="s">
        <v>10</v>
      </c>
      <c r="C138" t="s">
        <v>30</v>
      </c>
      <c r="D138" t="s">
        <v>763</v>
      </c>
      <c r="E138" t="s">
        <v>30</v>
      </c>
      <c r="F138" t="s">
        <v>774</v>
      </c>
      <c r="G138" t="s">
        <v>775</v>
      </c>
      <c r="H138" t="s">
        <v>776</v>
      </c>
      <c r="I138" t="b">
        <v>1</v>
      </c>
    </row>
    <row r="139" spans="1:9">
      <c r="A139" t="s">
        <v>777</v>
      </c>
      <c r="B139" t="s">
        <v>10</v>
      </c>
      <c r="C139" t="s">
        <v>30</v>
      </c>
      <c r="D139" t="s">
        <v>763</v>
      </c>
      <c r="E139" t="s">
        <v>30</v>
      </c>
      <c r="F139" t="s">
        <v>778</v>
      </c>
      <c r="G139" t="s">
        <v>779</v>
      </c>
      <c r="H139" t="s">
        <v>780</v>
      </c>
      <c r="I139" t="b">
        <v>1</v>
      </c>
    </row>
    <row r="140" spans="1:9">
      <c r="A140" t="s">
        <v>781</v>
      </c>
      <c r="B140" t="s">
        <v>10</v>
      </c>
      <c r="C140" t="s">
        <v>30</v>
      </c>
      <c r="D140" t="s">
        <v>782</v>
      </c>
      <c r="E140" t="s">
        <v>30</v>
      </c>
      <c r="F140" t="s">
        <v>783</v>
      </c>
      <c r="G140" t="s">
        <v>784</v>
      </c>
      <c r="H140" t="s">
        <v>785</v>
      </c>
      <c r="I140" t="b">
        <v>1</v>
      </c>
    </row>
    <row r="141" spans="1:9">
      <c r="A141" t="s">
        <v>786</v>
      </c>
      <c r="B141" t="s">
        <v>10</v>
      </c>
      <c r="C141" t="s">
        <v>787</v>
      </c>
      <c r="D141" t="s">
        <v>788</v>
      </c>
      <c r="E141" t="s">
        <v>789</v>
      </c>
      <c r="F141" t="s">
        <v>790</v>
      </c>
      <c r="G141" t="s">
        <v>791</v>
      </c>
      <c r="H141" t="s">
        <v>792</v>
      </c>
      <c r="I141" t="b">
        <v>1</v>
      </c>
    </row>
    <row r="142" spans="1:9">
      <c r="A142" t="s">
        <v>793</v>
      </c>
      <c r="B142" t="s">
        <v>10</v>
      </c>
      <c r="C142" t="s">
        <v>794</v>
      </c>
      <c r="D142" t="s">
        <v>795</v>
      </c>
      <c r="E142" t="s">
        <v>795</v>
      </c>
      <c r="F142" t="s">
        <v>796</v>
      </c>
      <c r="G142" t="s">
        <v>797</v>
      </c>
      <c r="H142" t="s">
        <v>798</v>
      </c>
      <c r="I142" t="b">
        <v>1</v>
      </c>
    </row>
    <row r="143" spans="1:9">
      <c r="A143" t="s">
        <v>799</v>
      </c>
      <c r="B143" t="s">
        <v>10</v>
      </c>
      <c r="C143" t="s">
        <v>800</v>
      </c>
      <c r="D143" t="s">
        <v>795</v>
      </c>
      <c r="E143" t="s">
        <v>795</v>
      </c>
      <c r="F143" t="s">
        <v>801</v>
      </c>
      <c r="G143" t="s">
        <v>802</v>
      </c>
      <c r="H143" t="s">
        <v>803</v>
      </c>
      <c r="I143" t="b">
        <v>1</v>
      </c>
    </row>
    <row r="144" spans="1:9">
      <c r="A144" t="s">
        <v>804</v>
      </c>
      <c r="B144" t="s">
        <v>10</v>
      </c>
      <c r="C144" t="s">
        <v>805</v>
      </c>
      <c r="D144" t="s">
        <v>806</v>
      </c>
      <c r="E144" t="s">
        <v>795</v>
      </c>
      <c r="F144" t="s">
        <v>807</v>
      </c>
      <c r="G144" t="s">
        <v>808</v>
      </c>
      <c r="H144" t="s">
        <v>809</v>
      </c>
      <c r="I144" t="b">
        <v>1</v>
      </c>
    </row>
    <row r="145" spans="1:9">
      <c r="A145" t="s">
        <v>810</v>
      </c>
      <c r="B145" t="s">
        <v>10</v>
      </c>
      <c r="C145" t="s">
        <v>811</v>
      </c>
      <c r="D145" t="s">
        <v>812</v>
      </c>
      <c r="E145" t="s">
        <v>795</v>
      </c>
      <c r="F145" t="s">
        <v>813</v>
      </c>
      <c r="G145" t="s">
        <v>814</v>
      </c>
      <c r="H145" t="s">
        <v>815</v>
      </c>
      <c r="I145" t="b">
        <v>1</v>
      </c>
    </row>
    <row r="146" spans="1:9">
      <c r="A146" t="s">
        <v>816</v>
      </c>
      <c r="B146" t="s">
        <v>10</v>
      </c>
      <c r="C146" t="s">
        <v>817</v>
      </c>
      <c r="D146" t="s">
        <v>818</v>
      </c>
      <c r="E146" t="s">
        <v>795</v>
      </c>
      <c r="F146" t="s">
        <v>819</v>
      </c>
      <c r="G146" t="s">
        <v>820</v>
      </c>
      <c r="H146" t="s">
        <v>821</v>
      </c>
      <c r="I146" t="b">
        <v>1</v>
      </c>
    </row>
    <row r="147" spans="1:9">
      <c r="A147" t="s">
        <v>822</v>
      </c>
      <c r="B147" t="s">
        <v>18</v>
      </c>
      <c r="C147" t="s">
        <v>823</v>
      </c>
      <c r="D147" t="s">
        <v>824</v>
      </c>
      <c r="E147" t="s">
        <v>824</v>
      </c>
      <c r="F147" t="s">
        <v>825</v>
      </c>
      <c r="G147" t="s">
        <v>826</v>
      </c>
      <c r="H147" t="s">
        <v>827</v>
      </c>
      <c r="I147" t="b">
        <v>1</v>
      </c>
    </row>
    <row r="148" spans="1:9">
      <c r="A148" t="s">
        <v>828</v>
      </c>
      <c r="B148" t="s">
        <v>10</v>
      </c>
      <c r="C148" t="s">
        <v>829</v>
      </c>
      <c r="D148" t="s">
        <v>824</v>
      </c>
      <c r="E148" t="s">
        <v>824</v>
      </c>
      <c r="F148" t="s">
        <v>830</v>
      </c>
      <c r="G148" t="s">
        <v>831</v>
      </c>
      <c r="H148" t="s">
        <v>832</v>
      </c>
      <c r="I148" t="b">
        <v>1</v>
      </c>
    </row>
    <row r="149" spans="1:9">
      <c r="A149" t="s">
        <v>833</v>
      </c>
      <c r="B149" t="s">
        <v>10</v>
      </c>
      <c r="C149" t="s">
        <v>834</v>
      </c>
      <c r="D149" t="s">
        <v>835</v>
      </c>
      <c r="E149" t="s">
        <v>836</v>
      </c>
      <c r="F149" t="s">
        <v>837</v>
      </c>
      <c r="G149" t="s">
        <v>838</v>
      </c>
      <c r="H149" t="s">
        <v>839</v>
      </c>
      <c r="I149" t="b">
        <v>1</v>
      </c>
    </row>
    <row r="150" spans="1:9">
      <c r="A150" t="s">
        <v>840</v>
      </c>
      <c r="B150" t="s">
        <v>10</v>
      </c>
      <c r="C150" t="s">
        <v>841</v>
      </c>
      <c r="D150" t="s">
        <v>842</v>
      </c>
      <c r="E150" t="s">
        <v>842</v>
      </c>
      <c r="F150" t="s">
        <v>843</v>
      </c>
      <c r="G150" t="s">
        <v>844</v>
      </c>
      <c r="H150" t="s">
        <v>845</v>
      </c>
      <c r="I150" t="b">
        <v>1</v>
      </c>
    </row>
    <row r="151" spans="1:9">
      <c r="A151" t="s">
        <v>846</v>
      </c>
      <c r="B151" t="s">
        <v>10</v>
      </c>
      <c r="C151" t="s">
        <v>847</v>
      </c>
      <c r="D151" t="s">
        <v>848</v>
      </c>
      <c r="E151" t="s">
        <v>848</v>
      </c>
      <c r="F151" t="s">
        <v>849</v>
      </c>
      <c r="G151" t="s">
        <v>850</v>
      </c>
      <c r="H151" t="s">
        <v>851</v>
      </c>
      <c r="I151" t="b">
        <v>1</v>
      </c>
    </row>
    <row r="152" spans="1:9">
      <c r="A152" t="s">
        <v>852</v>
      </c>
      <c r="B152" t="s">
        <v>10</v>
      </c>
      <c r="C152" t="s">
        <v>853</v>
      </c>
      <c r="D152" t="s">
        <v>854</v>
      </c>
      <c r="E152" t="s">
        <v>848</v>
      </c>
      <c r="F152" t="s">
        <v>855</v>
      </c>
      <c r="G152" t="s">
        <v>856</v>
      </c>
      <c r="H152" t="s">
        <v>857</v>
      </c>
      <c r="I152" t="b">
        <v>1</v>
      </c>
    </row>
    <row r="153" spans="1:9">
      <c r="A153" t="s">
        <v>858</v>
      </c>
      <c r="B153" t="s">
        <v>18</v>
      </c>
      <c r="C153" t="s">
        <v>859</v>
      </c>
      <c r="D153" t="s">
        <v>854</v>
      </c>
      <c r="E153" t="s">
        <v>848</v>
      </c>
      <c r="F153" t="s">
        <v>860</v>
      </c>
      <c r="G153" t="s">
        <v>861</v>
      </c>
      <c r="H153" t="s">
        <v>862</v>
      </c>
      <c r="I153" t="b">
        <v>1</v>
      </c>
    </row>
    <row r="154" spans="1:9">
      <c r="A154" t="s">
        <v>863</v>
      </c>
      <c r="B154" t="s">
        <v>10</v>
      </c>
      <c r="C154" t="s">
        <v>864</v>
      </c>
      <c r="D154" t="s">
        <v>865</v>
      </c>
      <c r="E154" t="s">
        <v>848</v>
      </c>
      <c r="F154" t="s">
        <v>866</v>
      </c>
      <c r="G154" t="s">
        <v>867</v>
      </c>
      <c r="H154" t="s">
        <v>868</v>
      </c>
      <c r="I154" t="b">
        <v>1</v>
      </c>
    </row>
    <row r="155" spans="1:9">
      <c r="A155" t="s">
        <v>869</v>
      </c>
      <c r="B155" t="s">
        <v>10</v>
      </c>
      <c r="C155" t="s">
        <v>870</v>
      </c>
      <c r="D155" t="s">
        <v>871</v>
      </c>
      <c r="E155" t="s">
        <v>848</v>
      </c>
      <c r="F155" t="s">
        <v>872</v>
      </c>
      <c r="G155" t="s">
        <v>873</v>
      </c>
      <c r="H155" t="s">
        <v>874</v>
      </c>
      <c r="I155" t="b">
        <v>1</v>
      </c>
    </row>
    <row r="156" spans="1:9">
      <c r="A156" t="s">
        <v>875</v>
      </c>
      <c r="B156" t="s">
        <v>18</v>
      </c>
      <c r="C156" t="s">
        <v>876</v>
      </c>
      <c r="D156" t="s">
        <v>871</v>
      </c>
      <c r="E156" t="s">
        <v>848</v>
      </c>
      <c r="F156" t="s">
        <v>877</v>
      </c>
      <c r="G156" t="s">
        <v>878</v>
      </c>
      <c r="H156" t="s">
        <v>879</v>
      </c>
      <c r="I156" t="b">
        <v>1</v>
      </c>
    </row>
    <row r="157" spans="1:9">
      <c r="A157" t="s">
        <v>880</v>
      </c>
      <c r="B157" t="s">
        <v>10</v>
      </c>
      <c r="C157" t="s">
        <v>881</v>
      </c>
      <c r="D157" t="s">
        <v>882</v>
      </c>
      <c r="E157" t="s">
        <v>882</v>
      </c>
      <c r="F157" t="s">
        <v>883</v>
      </c>
      <c r="G157" t="s">
        <v>884</v>
      </c>
      <c r="H157" t="s">
        <v>885</v>
      </c>
      <c r="I157" t="b">
        <v>1</v>
      </c>
    </row>
    <row r="158" spans="1:9">
      <c r="A158" t="s">
        <v>886</v>
      </c>
      <c r="B158" t="s">
        <v>10</v>
      </c>
      <c r="C158" t="s">
        <v>887</v>
      </c>
      <c r="D158" t="s">
        <v>882</v>
      </c>
      <c r="E158" t="s">
        <v>882</v>
      </c>
      <c r="F158" t="s">
        <v>888</v>
      </c>
      <c r="G158" t="s">
        <v>889</v>
      </c>
      <c r="H158" t="s">
        <v>890</v>
      </c>
      <c r="I158" t="b">
        <v>1</v>
      </c>
    </row>
    <row r="159" spans="1:9">
      <c r="A159" t="s">
        <v>891</v>
      </c>
      <c r="B159" t="s">
        <v>10</v>
      </c>
      <c r="C159" t="s">
        <v>892</v>
      </c>
      <c r="D159" t="s">
        <v>660</v>
      </c>
      <c r="E159" t="s">
        <v>660</v>
      </c>
      <c r="F159" t="s">
        <v>893</v>
      </c>
      <c r="G159" t="s">
        <v>894</v>
      </c>
      <c r="H159" t="s">
        <v>895</v>
      </c>
      <c r="I159" t="b">
        <v>1</v>
      </c>
    </row>
    <row r="160" spans="1:9">
      <c r="A160" t="s">
        <v>896</v>
      </c>
      <c r="B160" t="s">
        <v>10</v>
      </c>
      <c r="C160" t="s">
        <v>897</v>
      </c>
      <c r="D160" t="s">
        <v>898</v>
      </c>
      <c r="E160" t="s">
        <v>660</v>
      </c>
      <c r="F160" t="s">
        <v>899</v>
      </c>
      <c r="G160" t="s">
        <v>900</v>
      </c>
      <c r="H160" t="s">
        <v>901</v>
      </c>
      <c r="I160" t="b">
        <v>1</v>
      </c>
    </row>
    <row r="161" spans="1:9">
      <c r="A161" t="s">
        <v>902</v>
      </c>
      <c r="B161" t="s">
        <v>10</v>
      </c>
      <c r="C161" t="s">
        <v>903</v>
      </c>
      <c r="D161" t="s">
        <v>294</v>
      </c>
      <c r="E161" t="s">
        <v>294</v>
      </c>
      <c r="F161" t="s">
        <v>904</v>
      </c>
      <c r="G161" t="s">
        <v>905</v>
      </c>
      <c r="H161" t="s">
        <v>906</v>
      </c>
      <c r="I161" t="b">
        <v>1</v>
      </c>
    </row>
    <row r="162" spans="1:9">
      <c r="A162" t="s">
        <v>907</v>
      </c>
      <c r="B162" t="s">
        <v>10</v>
      </c>
      <c r="C162" t="s">
        <v>908</v>
      </c>
      <c r="D162" t="s">
        <v>842</v>
      </c>
      <c r="E162" t="s">
        <v>842</v>
      </c>
      <c r="F162" t="s">
        <v>909</v>
      </c>
      <c r="G162" t="s">
        <v>910</v>
      </c>
      <c r="H162" t="s">
        <v>911</v>
      </c>
      <c r="I162" t="b">
        <v>1</v>
      </c>
    </row>
    <row r="163" spans="1:9">
      <c r="A163" t="s">
        <v>912</v>
      </c>
      <c r="B163" t="s">
        <v>10</v>
      </c>
      <c r="C163" t="s">
        <v>913</v>
      </c>
      <c r="D163" t="s">
        <v>842</v>
      </c>
      <c r="E163" t="s">
        <v>842</v>
      </c>
      <c r="F163" t="s">
        <v>914</v>
      </c>
      <c r="G163" t="s">
        <v>915</v>
      </c>
      <c r="H163" t="s">
        <v>916</v>
      </c>
      <c r="I163" t="b">
        <v>1</v>
      </c>
    </row>
    <row r="164" spans="1:9">
      <c r="A164" t="s">
        <v>917</v>
      </c>
      <c r="B164" t="s">
        <v>10</v>
      </c>
      <c r="C164" t="s">
        <v>918</v>
      </c>
      <c r="D164" t="s">
        <v>919</v>
      </c>
      <c r="E164" t="s">
        <v>836</v>
      </c>
      <c r="F164" t="s">
        <v>920</v>
      </c>
      <c r="G164" t="s">
        <v>921</v>
      </c>
      <c r="H164" t="s">
        <v>922</v>
      </c>
      <c r="I164" t="b">
        <v>1</v>
      </c>
    </row>
    <row r="165" spans="1:9">
      <c r="A165" t="s">
        <v>923</v>
      </c>
      <c r="B165" t="s">
        <v>10</v>
      </c>
      <c r="C165" t="s">
        <v>924</v>
      </c>
      <c r="D165" t="s">
        <v>925</v>
      </c>
      <c r="E165" t="s">
        <v>926</v>
      </c>
      <c r="F165" t="s">
        <v>927</v>
      </c>
      <c r="G165" t="s">
        <v>928</v>
      </c>
      <c r="H165" t="s">
        <v>929</v>
      </c>
      <c r="I165" t="b">
        <v>1</v>
      </c>
    </row>
    <row r="166" spans="1:9">
      <c r="A166" t="s">
        <v>930</v>
      </c>
      <c r="B166" t="s">
        <v>10</v>
      </c>
      <c r="C166" t="s">
        <v>931</v>
      </c>
      <c r="D166" t="s">
        <v>932</v>
      </c>
      <c r="E166" t="s">
        <v>933</v>
      </c>
      <c r="F166" t="s">
        <v>934</v>
      </c>
      <c r="G166" t="s">
        <v>935</v>
      </c>
      <c r="H166" t="s">
        <v>936</v>
      </c>
      <c r="I166" t="b">
        <v>1</v>
      </c>
    </row>
    <row r="167" spans="1:9">
      <c r="A167" t="s">
        <v>937</v>
      </c>
      <c r="B167" t="s">
        <v>18</v>
      </c>
      <c r="C167" t="s">
        <v>30</v>
      </c>
      <c r="D167" t="s">
        <v>938</v>
      </c>
      <c r="E167" t="s">
        <v>30</v>
      </c>
      <c r="F167" t="s">
        <v>939</v>
      </c>
      <c r="G167" t="s">
        <v>940</v>
      </c>
      <c r="H167" t="s">
        <v>941</v>
      </c>
      <c r="I167" t="b">
        <v>1</v>
      </c>
    </row>
    <row r="168" spans="1:9">
      <c r="A168" t="s">
        <v>942</v>
      </c>
      <c r="B168" t="s">
        <v>10</v>
      </c>
      <c r="C168" t="s">
        <v>943</v>
      </c>
      <c r="D168" t="s">
        <v>944</v>
      </c>
      <c r="E168" t="s">
        <v>945</v>
      </c>
      <c r="F168" t="s">
        <v>946</v>
      </c>
      <c r="G168" t="s">
        <v>947</v>
      </c>
      <c r="H168" t="s">
        <v>948</v>
      </c>
      <c r="I168" t="b">
        <v>1</v>
      </c>
    </row>
    <row r="169" spans="1:9">
      <c r="A169" t="s">
        <v>949</v>
      </c>
      <c r="B169" t="s">
        <v>10</v>
      </c>
      <c r="C169" t="s">
        <v>950</v>
      </c>
      <c r="D169" t="s">
        <v>457</v>
      </c>
      <c r="E169" t="s">
        <v>457</v>
      </c>
      <c r="F169" t="s">
        <v>951</v>
      </c>
      <c r="G169" t="s">
        <v>952</v>
      </c>
      <c r="H169" t="s">
        <v>953</v>
      </c>
      <c r="I169" t="b">
        <v>1</v>
      </c>
    </row>
    <row r="170" spans="1:9">
      <c r="A170" t="s">
        <v>954</v>
      </c>
      <c r="B170" t="s">
        <v>10</v>
      </c>
      <c r="C170" t="s">
        <v>955</v>
      </c>
      <c r="D170" t="s">
        <v>457</v>
      </c>
      <c r="E170" t="s">
        <v>457</v>
      </c>
      <c r="F170" t="s">
        <v>956</v>
      </c>
      <c r="G170" t="s">
        <v>957</v>
      </c>
      <c r="H170" t="s">
        <v>958</v>
      </c>
      <c r="I170" t="b">
        <v>1</v>
      </c>
    </row>
    <row r="171" spans="1:9">
      <c r="A171" t="s">
        <v>959</v>
      </c>
      <c r="B171" t="s">
        <v>18</v>
      </c>
      <c r="C171" t="s">
        <v>960</v>
      </c>
      <c r="D171" t="s">
        <v>457</v>
      </c>
      <c r="E171" t="s">
        <v>457</v>
      </c>
      <c r="F171" t="s">
        <v>961</v>
      </c>
      <c r="G171" t="s">
        <v>962</v>
      </c>
      <c r="H171" t="s">
        <v>963</v>
      </c>
      <c r="I171" t="b">
        <v>1</v>
      </c>
    </row>
    <row r="172" spans="1:9">
      <c r="A172" t="s">
        <v>964</v>
      </c>
      <c r="B172" t="s">
        <v>10</v>
      </c>
      <c r="C172" t="s">
        <v>965</v>
      </c>
      <c r="D172" t="s">
        <v>457</v>
      </c>
      <c r="E172" t="s">
        <v>457</v>
      </c>
      <c r="F172" t="s">
        <v>966</v>
      </c>
      <c r="G172" t="s">
        <v>967</v>
      </c>
      <c r="H172" t="s">
        <v>968</v>
      </c>
      <c r="I172" t="b">
        <v>1</v>
      </c>
    </row>
    <row r="173" spans="1:9">
      <c r="A173" t="s">
        <v>969</v>
      </c>
      <c r="B173" t="s">
        <v>18</v>
      </c>
      <c r="C173" t="s">
        <v>970</v>
      </c>
      <c r="D173" t="s">
        <v>457</v>
      </c>
      <c r="E173" t="s">
        <v>457</v>
      </c>
      <c r="F173" t="s">
        <v>971</v>
      </c>
      <c r="G173" t="s">
        <v>972</v>
      </c>
      <c r="H173" t="s">
        <v>973</v>
      </c>
      <c r="I173" t="b">
        <v>1</v>
      </c>
    </row>
    <row r="174" spans="1:9">
      <c r="A174" t="s">
        <v>974</v>
      </c>
      <c r="B174" t="s">
        <v>10</v>
      </c>
      <c r="C174" t="s">
        <v>975</v>
      </c>
      <c r="D174" t="s">
        <v>976</v>
      </c>
      <c r="E174" t="s">
        <v>457</v>
      </c>
      <c r="F174" t="s">
        <v>977</v>
      </c>
      <c r="G174" t="s">
        <v>978</v>
      </c>
      <c r="H174" t="s">
        <v>979</v>
      </c>
      <c r="I174" t="b">
        <v>1</v>
      </c>
    </row>
    <row r="175" spans="1:9">
      <c r="A175" t="s">
        <v>980</v>
      </c>
      <c r="B175" t="s">
        <v>10</v>
      </c>
      <c r="C175" t="s">
        <v>981</v>
      </c>
      <c r="D175" t="s">
        <v>457</v>
      </c>
      <c r="E175" t="s">
        <v>457</v>
      </c>
      <c r="F175" t="s">
        <v>982</v>
      </c>
      <c r="G175" t="s">
        <v>983</v>
      </c>
      <c r="H175" t="s">
        <v>984</v>
      </c>
      <c r="I175" t="b">
        <v>1</v>
      </c>
    </row>
    <row r="176" spans="1:9">
      <c r="A176" t="s">
        <v>985</v>
      </c>
      <c r="B176" t="s">
        <v>10</v>
      </c>
      <c r="C176" t="s">
        <v>986</v>
      </c>
      <c r="D176" t="s">
        <v>987</v>
      </c>
      <c r="E176" t="s">
        <v>457</v>
      </c>
      <c r="F176" t="s">
        <v>988</v>
      </c>
      <c r="G176" t="s">
        <v>989</v>
      </c>
      <c r="H176" t="s">
        <v>990</v>
      </c>
      <c r="I176" t="b">
        <v>1</v>
      </c>
    </row>
    <row r="177" spans="1:9">
      <c r="A177" t="s">
        <v>991</v>
      </c>
      <c r="B177" t="s">
        <v>18</v>
      </c>
      <c r="C177" t="s">
        <v>992</v>
      </c>
      <c r="D177" t="s">
        <v>993</v>
      </c>
      <c r="E177" t="s">
        <v>457</v>
      </c>
      <c r="F177" t="s">
        <v>994</v>
      </c>
      <c r="G177" t="s">
        <v>995</v>
      </c>
      <c r="H177" t="s">
        <v>996</v>
      </c>
      <c r="I177" t="b">
        <v>1</v>
      </c>
    </row>
    <row r="178" spans="1:9">
      <c r="A178" t="s">
        <v>997</v>
      </c>
      <c r="B178" t="s">
        <v>18</v>
      </c>
      <c r="C178" t="s">
        <v>998</v>
      </c>
      <c r="D178" t="s">
        <v>999</v>
      </c>
      <c r="E178" t="s">
        <v>1000</v>
      </c>
      <c r="F178" t="s">
        <v>1001</v>
      </c>
      <c r="G178" t="s">
        <v>1002</v>
      </c>
      <c r="H178" t="s">
        <v>1003</v>
      </c>
      <c r="I178" t="b">
        <v>1</v>
      </c>
    </row>
    <row r="179" spans="1:9">
      <c r="A179" t="s">
        <v>1004</v>
      </c>
      <c r="B179" t="s">
        <v>10</v>
      </c>
      <c r="C179" t="s">
        <v>1005</v>
      </c>
      <c r="D179" t="s">
        <v>1006</v>
      </c>
      <c r="E179" t="s">
        <v>1000</v>
      </c>
      <c r="F179" t="s">
        <v>1007</v>
      </c>
      <c r="G179" t="s">
        <v>1008</v>
      </c>
      <c r="H179" t="s">
        <v>1009</v>
      </c>
      <c r="I179" t="b">
        <v>1</v>
      </c>
    </row>
    <row r="180" spans="1:9">
      <c r="A180" t="s">
        <v>1010</v>
      </c>
      <c r="B180" t="s">
        <v>10</v>
      </c>
      <c r="C180" t="s">
        <v>30</v>
      </c>
      <c r="D180" t="s">
        <v>1011</v>
      </c>
      <c r="E180" t="s">
        <v>30</v>
      </c>
      <c r="F180" t="s">
        <v>1012</v>
      </c>
      <c r="G180" t="s">
        <v>1013</v>
      </c>
      <c r="H180" t="s">
        <v>1014</v>
      </c>
      <c r="I180" t="b">
        <v>1</v>
      </c>
    </row>
    <row r="181" spans="1:9">
      <c r="A181" t="s">
        <v>1015</v>
      </c>
      <c r="B181" t="s">
        <v>10</v>
      </c>
      <c r="C181" t="s">
        <v>1016</v>
      </c>
      <c r="D181" t="s">
        <v>1017</v>
      </c>
      <c r="E181" t="s">
        <v>667</v>
      </c>
      <c r="F181" t="s">
        <v>1018</v>
      </c>
      <c r="G181" t="s">
        <v>1019</v>
      </c>
      <c r="H181" t="s">
        <v>1020</v>
      </c>
      <c r="I181" t="b">
        <v>1</v>
      </c>
    </row>
    <row r="182" spans="1:9">
      <c r="A182" t="s">
        <v>1021</v>
      </c>
      <c r="B182" t="s">
        <v>10</v>
      </c>
      <c r="C182" t="s">
        <v>1022</v>
      </c>
      <c r="D182" t="s">
        <v>1023</v>
      </c>
      <c r="E182" t="s">
        <v>1023</v>
      </c>
      <c r="F182" t="s">
        <v>1024</v>
      </c>
      <c r="G182" t="s">
        <v>1025</v>
      </c>
      <c r="H182" t="s">
        <v>1026</v>
      </c>
      <c r="I182" t="b">
        <v>1</v>
      </c>
    </row>
    <row r="183" spans="1:9">
      <c r="A183" t="s">
        <v>1027</v>
      </c>
      <c r="B183" t="s">
        <v>18</v>
      </c>
      <c r="C183" t="s">
        <v>1028</v>
      </c>
      <c r="D183" t="s">
        <v>1023</v>
      </c>
      <c r="E183" t="s">
        <v>1023</v>
      </c>
      <c r="F183" t="s">
        <v>1029</v>
      </c>
      <c r="G183" t="s">
        <v>1030</v>
      </c>
      <c r="H183" t="s">
        <v>1031</v>
      </c>
      <c r="I183" t="b">
        <v>1</v>
      </c>
    </row>
    <row r="184" spans="1:9">
      <c r="A184" t="s">
        <v>1032</v>
      </c>
      <c r="B184" t="s">
        <v>10</v>
      </c>
      <c r="C184" t="s">
        <v>1033</v>
      </c>
      <c r="D184" t="s">
        <v>1023</v>
      </c>
      <c r="E184" t="s">
        <v>1023</v>
      </c>
      <c r="F184" t="s">
        <v>1034</v>
      </c>
      <c r="G184" t="s">
        <v>1035</v>
      </c>
      <c r="H184" t="s">
        <v>1036</v>
      </c>
      <c r="I184" t="b">
        <v>1</v>
      </c>
    </row>
    <row r="185" spans="1:9">
      <c r="A185" t="s">
        <v>1037</v>
      </c>
      <c r="B185" t="s">
        <v>18</v>
      </c>
      <c r="C185" t="s">
        <v>1038</v>
      </c>
      <c r="D185" t="s">
        <v>1023</v>
      </c>
      <c r="E185" t="s">
        <v>1023</v>
      </c>
      <c r="F185" t="s">
        <v>1039</v>
      </c>
      <c r="G185" t="s">
        <v>1040</v>
      </c>
      <c r="H185" t="s">
        <v>1041</v>
      </c>
      <c r="I185" t="b">
        <v>1</v>
      </c>
    </row>
    <row r="186" spans="1:9">
      <c r="A186" t="s">
        <v>1042</v>
      </c>
      <c r="B186" t="s">
        <v>10</v>
      </c>
      <c r="C186" t="s">
        <v>1043</v>
      </c>
      <c r="D186" t="s">
        <v>1023</v>
      </c>
      <c r="E186" t="s">
        <v>1023</v>
      </c>
      <c r="F186" t="s">
        <v>1044</v>
      </c>
      <c r="G186" t="s">
        <v>1045</v>
      </c>
      <c r="H186" t="s">
        <v>1046</v>
      </c>
      <c r="I186" t="b">
        <v>1</v>
      </c>
    </row>
    <row r="187" spans="1:9">
      <c r="A187" t="s">
        <v>1047</v>
      </c>
      <c r="B187" t="s">
        <v>10</v>
      </c>
      <c r="C187" t="s">
        <v>1048</v>
      </c>
      <c r="D187" t="s">
        <v>1023</v>
      </c>
      <c r="E187" t="s">
        <v>1023</v>
      </c>
      <c r="F187" t="s">
        <v>1049</v>
      </c>
      <c r="G187" t="s">
        <v>1050</v>
      </c>
      <c r="H187" t="s">
        <v>1051</v>
      </c>
      <c r="I187" t="b">
        <v>1</v>
      </c>
    </row>
    <row r="188" spans="1:9">
      <c r="A188" t="s">
        <v>1052</v>
      </c>
      <c r="B188" t="s">
        <v>10</v>
      </c>
      <c r="C188" t="s">
        <v>1053</v>
      </c>
      <c r="D188" t="s">
        <v>1054</v>
      </c>
      <c r="E188" t="s">
        <v>1023</v>
      </c>
      <c r="F188" t="s">
        <v>1055</v>
      </c>
      <c r="G188" t="s">
        <v>1056</v>
      </c>
      <c r="H188" t="s">
        <v>1057</v>
      </c>
      <c r="I188" t="b">
        <v>1</v>
      </c>
    </row>
    <row r="189" spans="1:9">
      <c r="A189" t="s">
        <v>1058</v>
      </c>
      <c r="B189" t="s">
        <v>18</v>
      </c>
      <c r="C189" t="s">
        <v>1059</v>
      </c>
      <c r="D189" t="s">
        <v>1060</v>
      </c>
      <c r="E189" t="s">
        <v>1023</v>
      </c>
      <c r="F189" t="s">
        <v>1061</v>
      </c>
      <c r="G189" t="s">
        <v>1062</v>
      </c>
      <c r="H189" t="s">
        <v>1063</v>
      </c>
      <c r="I189" t="b">
        <v>1</v>
      </c>
    </row>
    <row r="190" spans="1:9">
      <c r="A190" t="s">
        <v>1064</v>
      </c>
      <c r="B190" t="s">
        <v>18</v>
      </c>
      <c r="C190" t="s">
        <v>1065</v>
      </c>
      <c r="D190" t="s">
        <v>1066</v>
      </c>
      <c r="E190" t="s">
        <v>1067</v>
      </c>
      <c r="F190" t="s">
        <v>1068</v>
      </c>
      <c r="G190" t="s">
        <v>1069</v>
      </c>
      <c r="H190" t="s">
        <v>1070</v>
      </c>
      <c r="I190" t="b">
        <v>1</v>
      </c>
    </row>
    <row r="191" spans="1:9">
      <c r="A191" t="s">
        <v>1071</v>
      </c>
      <c r="B191" t="s">
        <v>10</v>
      </c>
      <c r="C191" t="s">
        <v>1072</v>
      </c>
      <c r="D191" t="s">
        <v>1073</v>
      </c>
      <c r="E191" t="s">
        <v>1067</v>
      </c>
      <c r="F191" t="s">
        <v>1074</v>
      </c>
      <c r="G191" t="s">
        <v>1075</v>
      </c>
      <c r="H191" t="s">
        <v>1076</v>
      </c>
      <c r="I191" t="b">
        <v>1</v>
      </c>
    </row>
    <row r="192" spans="1:9">
      <c r="A192" t="s">
        <v>1077</v>
      </c>
      <c r="B192" t="s">
        <v>10</v>
      </c>
      <c r="C192" t="s">
        <v>1078</v>
      </c>
      <c r="D192" t="s">
        <v>1079</v>
      </c>
      <c r="E192" t="s">
        <v>1067</v>
      </c>
      <c r="F192" t="s">
        <v>1080</v>
      </c>
      <c r="G192" t="s">
        <v>1081</v>
      </c>
      <c r="H192" t="s">
        <v>1082</v>
      </c>
      <c r="I192" t="b">
        <v>1</v>
      </c>
    </row>
    <row r="193" spans="1:9">
      <c r="A193" t="s">
        <v>1083</v>
      </c>
      <c r="B193" t="s">
        <v>10</v>
      </c>
      <c r="C193" t="s">
        <v>1084</v>
      </c>
      <c r="D193" t="s">
        <v>1085</v>
      </c>
      <c r="E193" t="s">
        <v>1067</v>
      </c>
      <c r="F193" t="s">
        <v>1086</v>
      </c>
      <c r="G193" t="s">
        <v>1087</v>
      </c>
      <c r="H193" t="s">
        <v>1088</v>
      </c>
      <c r="I193" t="b">
        <v>1</v>
      </c>
    </row>
    <row r="194" spans="1:9">
      <c r="A194" t="s">
        <v>1089</v>
      </c>
      <c r="B194" t="s">
        <v>18</v>
      </c>
      <c r="C194" t="s">
        <v>1090</v>
      </c>
      <c r="D194" t="s">
        <v>1091</v>
      </c>
      <c r="E194" t="s">
        <v>1067</v>
      </c>
      <c r="F194" t="s">
        <v>1092</v>
      </c>
      <c r="G194" t="s">
        <v>1093</v>
      </c>
      <c r="H194" t="s">
        <v>1094</v>
      </c>
      <c r="I194" t="b">
        <v>1</v>
      </c>
    </row>
    <row r="195" spans="1:9">
      <c r="A195" t="s">
        <v>1095</v>
      </c>
      <c r="B195" t="s">
        <v>10</v>
      </c>
      <c r="C195" t="s">
        <v>1096</v>
      </c>
      <c r="D195" t="s">
        <v>1097</v>
      </c>
      <c r="E195" t="s">
        <v>1098</v>
      </c>
      <c r="F195" t="s">
        <v>1099</v>
      </c>
      <c r="G195" t="s">
        <v>1100</v>
      </c>
      <c r="H195" t="s">
        <v>1101</v>
      </c>
      <c r="I195" t="b">
        <v>1</v>
      </c>
    </row>
    <row r="196" spans="1:9">
      <c r="A196" t="s">
        <v>1102</v>
      </c>
      <c r="B196" t="s">
        <v>18</v>
      </c>
      <c r="C196" t="s">
        <v>1103</v>
      </c>
      <c r="D196" t="s">
        <v>1097</v>
      </c>
      <c r="E196" t="s">
        <v>1098</v>
      </c>
      <c r="F196" t="s">
        <v>1104</v>
      </c>
      <c r="G196" t="s">
        <v>1105</v>
      </c>
      <c r="H196" t="s">
        <v>1106</v>
      </c>
      <c r="I196" t="b">
        <v>1</v>
      </c>
    </row>
    <row r="197" spans="1:9">
      <c r="A197" t="s">
        <v>1107</v>
      </c>
      <c r="B197" t="s">
        <v>10</v>
      </c>
      <c r="C197" t="s">
        <v>1108</v>
      </c>
      <c r="D197" t="s">
        <v>1109</v>
      </c>
      <c r="E197" t="s">
        <v>1098</v>
      </c>
      <c r="F197" t="s">
        <v>1110</v>
      </c>
      <c r="G197" t="s">
        <v>1111</v>
      </c>
      <c r="H197" t="s">
        <v>1112</v>
      </c>
      <c r="I197" t="b">
        <v>1</v>
      </c>
    </row>
    <row r="198" spans="1:9">
      <c r="A198" t="s">
        <v>1113</v>
      </c>
      <c r="B198" t="s">
        <v>10</v>
      </c>
      <c r="C198" t="s">
        <v>1114</v>
      </c>
      <c r="D198" t="s">
        <v>1115</v>
      </c>
      <c r="E198" t="s">
        <v>1115</v>
      </c>
      <c r="F198" t="s">
        <v>1116</v>
      </c>
      <c r="G198" t="s">
        <v>1117</v>
      </c>
      <c r="H198" t="s">
        <v>1118</v>
      </c>
      <c r="I198" t="b">
        <v>1</v>
      </c>
    </row>
    <row r="199" spans="1:9">
      <c r="A199" t="s">
        <v>1119</v>
      </c>
      <c r="B199" t="s">
        <v>10</v>
      </c>
      <c r="C199" t="s">
        <v>1120</v>
      </c>
      <c r="D199" t="s">
        <v>1115</v>
      </c>
      <c r="E199" t="s">
        <v>1115</v>
      </c>
      <c r="F199" t="s">
        <v>1121</v>
      </c>
      <c r="G199" t="s">
        <v>1122</v>
      </c>
      <c r="H199" t="s">
        <v>1123</v>
      </c>
      <c r="I199" t="b">
        <v>1</v>
      </c>
    </row>
    <row r="200" spans="1:9">
      <c r="A200" t="s">
        <v>1124</v>
      </c>
      <c r="B200" t="s">
        <v>10</v>
      </c>
      <c r="C200" t="s">
        <v>30</v>
      </c>
      <c r="D200" t="s">
        <v>1125</v>
      </c>
      <c r="E200" t="s">
        <v>30</v>
      </c>
      <c r="F200" t="s">
        <v>1126</v>
      </c>
      <c r="G200" t="s">
        <v>1127</v>
      </c>
      <c r="H200" t="s">
        <v>1128</v>
      </c>
      <c r="I200" t="b">
        <v>1</v>
      </c>
    </row>
    <row r="201" spans="1:9">
      <c r="A201" t="s">
        <v>1129</v>
      </c>
      <c r="B201" t="s">
        <v>10</v>
      </c>
      <c r="C201" t="s">
        <v>1130</v>
      </c>
      <c r="D201" t="s">
        <v>1131</v>
      </c>
      <c r="E201" t="s">
        <v>1132</v>
      </c>
      <c r="F201" t="s">
        <v>1133</v>
      </c>
      <c r="G201" t="s">
        <v>1134</v>
      </c>
      <c r="H201" t="s">
        <v>1135</v>
      </c>
      <c r="I201" t="b">
        <v>1</v>
      </c>
    </row>
    <row r="202" spans="1:9">
      <c r="A202" t="s">
        <v>1136</v>
      </c>
      <c r="B202" t="s">
        <v>18</v>
      </c>
      <c r="C202" t="s">
        <v>1137</v>
      </c>
      <c r="D202" t="s">
        <v>1131</v>
      </c>
      <c r="E202" t="s">
        <v>1132</v>
      </c>
      <c r="F202" t="s">
        <v>1138</v>
      </c>
      <c r="G202" t="s">
        <v>1139</v>
      </c>
      <c r="H202" t="s">
        <v>1140</v>
      </c>
      <c r="I202" t="b">
        <v>1</v>
      </c>
    </row>
    <row r="203" spans="1:9">
      <c r="A203" t="s">
        <v>1141</v>
      </c>
      <c r="B203" t="s">
        <v>18</v>
      </c>
      <c r="C203" t="s">
        <v>1142</v>
      </c>
      <c r="D203" t="s">
        <v>1131</v>
      </c>
      <c r="E203" t="s">
        <v>1132</v>
      </c>
      <c r="F203" t="s">
        <v>1143</v>
      </c>
      <c r="G203" t="s">
        <v>1144</v>
      </c>
      <c r="H203" t="s">
        <v>1145</v>
      </c>
      <c r="I203" t="b">
        <v>1</v>
      </c>
    </row>
    <row r="204" spans="1:9">
      <c r="A204" t="s">
        <v>1146</v>
      </c>
      <c r="B204" t="s">
        <v>10</v>
      </c>
      <c r="C204" t="s">
        <v>30</v>
      </c>
      <c r="D204" t="s">
        <v>1147</v>
      </c>
      <c r="E204" t="s">
        <v>30</v>
      </c>
      <c r="F204" t="s">
        <v>1148</v>
      </c>
      <c r="G204" t="s">
        <v>1149</v>
      </c>
      <c r="H204" t="s">
        <v>1150</v>
      </c>
      <c r="I204" t="b">
        <v>1</v>
      </c>
    </row>
    <row r="205" spans="1:9">
      <c r="A205" t="s">
        <v>1151</v>
      </c>
      <c r="B205" t="s">
        <v>10</v>
      </c>
      <c r="C205" t="s">
        <v>1152</v>
      </c>
      <c r="D205" t="s">
        <v>1131</v>
      </c>
      <c r="E205" t="s">
        <v>1132</v>
      </c>
      <c r="F205" t="s">
        <v>1153</v>
      </c>
      <c r="G205" t="s">
        <v>1154</v>
      </c>
      <c r="H205" t="s">
        <v>1155</v>
      </c>
      <c r="I205" t="b">
        <v>1</v>
      </c>
    </row>
    <row r="206" spans="1:9">
      <c r="A206" t="s">
        <v>1156</v>
      </c>
      <c r="B206" t="s">
        <v>10</v>
      </c>
      <c r="C206" t="s">
        <v>30</v>
      </c>
      <c r="D206" t="s">
        <v>1147</v>
      </c>
      <c r="E206" t="s">
        <v>30</v>
      </c>
      <c r="F206" t="s">
        <v>1157</v>
      </c>
      <c r="G206" t="s">
        <v>1158</v>
      </c>
      <c r="H206" t="s">
        <v>1159</v>
      </c>
      <c r="I206" t="b">
        <v>1</v>
      </c>
    </row>
    <row r="207" spans="1:9">
      <c r="A207" t="s">
        <v>1160</v>
      </c>
      <c r="B207" t="s">
        <v>10</v>
      </c>
      <c r="C207" t="s">
        <v>1161</v>
      </c>
      <c r="D207" t="s">
        <v>1131</v>
      </c>
      <c r="E207" t="s">
        <v>1132</v>
      </c>
      <c r="F207" t="s">
        <v>1162</v>
      </c>
      <c r="G207" t="s">
        <v>1163</v>
      </c>
      <c r="H207" t="s">
        <v>1164</v>
      </c>
      <c r="I207" t="b">
        <v>1</v>
      </c>
    </row>
    <row r="208" spans="1:9">
      <c r="A208" t="s">
        <v>1165</v>
      </c>
      <c r="B208" t="s">
        <v>10</v>
      </c>
      <c r="C208" t="s">
        <v>1161</v>
      </c>
      <c r="D208" t="s">
        <v>1131</v>
      </c>
      <c r="E208" t="s">
        <v>1132</v>
      </c>
      <c r="F208" t="s">
        <v>1166</v>
      </c>
      <c r="G208" t="s">
        <v>1167</v>
      </c>
      <c r="H208" t="s">
        <v>1168</v>
      </c>
      <c r="I208" t="b">
        <v>1</v>
      </c>
    </row>
    <row r="209" spans="1:9">
      <c r="A209" t="s">
        <v>1169</v>
      </c>
      <c r="B209" t="s">
        <v>10</v>
      </c>
      <c r="C209" t="s">
        <v>1170</v>
      </c>
      <c r="D209" t="s">
        <v>1171</v>
      </c>
      <c r="E209" t="s">
        <v>1132</v>
      </c>
      <c r="F209" t="s">
        <v>1172</v>
      </c>
      <c r="G209" t="s">
        <v>1173</v>
      </c>
      <c r="H209" t="s">
        <v>1174</v>
      </c>
      <c r="I209" t="b">
        <v>1</v>
      </c>
    </row>
    <row r="210" spans="1:9">
      <c r="A210" t="s">
        <v>1175</v>
      </c>
      <c r="B210" t="s">
        <v>10</v>
      </c>
      <c r="C210" t="s">
        <v>1176</v>
      </c>
      <c r="D210" t="s">
        <v>1177</v>
      </c>
      <c r="E210" t="s">
        <v>1132</v>
      </c>
      <c r="F210" t="s">
        <v>1178</v>
      </c>
      <c r="G210" t="s">
        <v>1179</v>
      </c>
      <c r="H210" t="s">
        <v>1180</v>
      </c>
      <c r="I210" t="b">
        <v>1</v>
      </c>
    </row>
    <row r="211" spans="1:9">
      <c r="A211" t="s">
        <v>1181</v>
      </c>
      <c r="B211" t="s">
        <v>10</v>
      </c>
      <c r="C211" t="s">
        <v>1182</v>
      </c>
      <c r="D211" t="s">
        <v>1183</v>
      </c>
      <c r="E211" t="s">
        <v>1132</v>
      </c>
      <c r="F211" t="s">
        <v>1184</v>
      </c>
      <c r="G211" t="s">
        <v>1185</v>
      </c>
      <c r="H211" t="s">
        <v>1186</v>
      </c>
      <c r="I211" t="b">
        <v>1</v>
      </c>
    </row>
    <row r="212" spans="1:9">
      <c r="A212" t="s">
        <v>1187</v>
      </c>
      <c r="B212" t="s">
        <v>18</v>
      </c>
      <c r="C212" t="s">
        <v>1188</v>
      </c>
      <c r="D212" t="s">
        <v>1189</v>
      </c>
      <c r="E212" t="s">
        <v>1132</v>
      </c>
      <c r="F212" t="s">
        <v>1190</v>
      </c>
      <c r="G212" t="s">
        <v>1191</v>
      </c>
      <c r="H212" t="s">
        <v>1192</v>
      </c>
      <c r="I212" t="b">
        <v>1</v>
      </c>
    </row>
    <row r="213" spans="1:9">
      <c r="A213" t="s">
        <v>1193</v>
      </c>
      <c r="B213" t="s">
        <v>10</v>
      </c>
      <c r="C213" t="s">
        <v>1194</v>
      </c>
      <c r="D213" t="s">
        <v>1195</v>
      </c>
      <c r="E213" t="s">
        <v>1195</v>
      </c>
      <c r="F213" t="s">
        <v>1196</v>
      </c>
      <c r="G213" t="s">
        <v>1197</v>
      </c>
      <c r="H213" t="s">
        <v>1198</v>
      </c>
      <c r="I213" t="b">
        <v>1</v>
      </c>
    </row>
    <row r="214" spans="1:9">
      <c r="A214" t="s">
        <v>1199</v>
      </c>
      <c r="B214" t="s">
        <v>10</v>
      </c>
      <c r="C214" t="s">
        <v>1200</v>
      </c>
      <c r="D214" t="s">
        <v>1201</v>
      </c>
      <c r="E214" t="s">
        <v>1132</v>
      </c>
      <c r="F214" t="s">
        <v>1202</v>
      </c>
      <c r="G214" t="s">
        <v>1203</v>
      </c>
      <c r="H214" t="s">
        <v>1204</v>
      </c>
      <c r="I214" t="b">
        <v>1</v>
      </c>
    </row>
    <row r="215" spans="1:9">
      <c r="A215" t="s">
        <v>1205</v>
      </c>
      <c r="B215" t="s">
        <v>10</v>
      </c>
      <c r="C215" t="s">
        <v>1206</v>
      </c>
      <c r="D215" t="s">
        <v>1207</v>
      </c>
      <c r="E215" t="s">
        <v>1208</v>
      </c>
      <c r="F215" t="s">
        <v>1209</v>
      </c>
      <c r="G215" t="s">
        <v>1210</v>
      </c>
      <c r="H215" t="s">
        <v>1211</v>
      </c>
      <c r="I215" t="b">
        <v>1</v>
      </c>
    </row>
    <row r="216" spans="1:9">
      <c r="A216" t="s">
        <v>1212</v>
      </c>
      <c r="B216" t="s">
        <v>10</v>
      </c>
      <c r="C216" t="s">
        <v>1213</v>
      </c>
      <c r="D216" t="s">
        <v>1214</v>
      </c>
      <c r="E216" t="s">
        <v>1208</v>
      </c>
      <c r="F216" t="s">
        <v>1215</v>
      </c>
      <c r="G216" t="s">
        <v>1216</v>
      </c>
      <c r="H216" t="s">
        <v>1217</v>
      </c>
      <c r="I216" t="b">
        <v>1</v>
      </c>
    </row>
    <row r="217" spans="1:9">
      <c r="A217" t="s">
        <v>1218</v>
      </c>
      <c r="B217" t="s">
        <v>10</v>
      </c>
      <c r="C217" t="s">
        <v>1219</v>
      </c>
      <c r="D217" t="s">
        <v>1207</v>
      </c>
      <c r="E217" t="s">
        <v>324</v>
      </c>
      <c r="F217" t="s">
        <v>1220</v>
      </c>
      <c r="G217" t="s">
        <v>1221</v>
      </c>
      <c r="H217" t="s">
        <v>1222</v>
      </c>
      <c r="I217" t="b">
        <v>1</v>
      </c>
    </row>
    <row r="218" spans="1:9">
      <c r="A218" t="s">
        <v>1223</v>
      </c>
      <c r="B218" t="s">
        <v>18</v>
      </c>
      <c r="C218" t="s">
        <v>1224</v>
      </c>
      <c r="D218" t="s">
        <v>1225</v>
      </c>
      <c r="E218" t="s">
        <v>324</v>
      </c>
      <c r="F218" t="s">
        <v>1226</v>
      </c>
      <c r="G218" t="s">
        <v>1227</v>
      </c>
      <c r="H218" t="s">
        <v>1228</v>
      </c>
      <c r="I218" t="b">
        <v>1</v>
      </c>
    </row>
    <row r="219" spans="1:9">
      <c r="A219" t="s">
        <v>1229</v>
      </c>
      <c r="B219" t="s">
        <v>10</v>
      </c>
      <c r="C219" t="s">
        <v>1230</v>
      </c>
      <c r="D219" t="s">
        <v>1231</v>
      </c>
      <c r="E219" t="s">
        <v>1208</v>
      </c>
      <c r="F219" t="s">
        <v>1232</v>
      </c>
      <c r="G219" t="s">
        <v>1233</v>
      </c>
      <c r="H219" t="s">
        <v>1234</v>
      </c>
      <c r="I219" t="b">
        <v>1</v>
      </c>
    </row>
    <row r="220" spans="1:9">
      <c r="A220" t="s">
        <v>1235</v>
      </c>
      <c r="B220" t="s">
        <v>10</v>
      </c>
      <c r="C220" t="s">
        <v>1236</v>
      </c>
      <c r="D220" t="s">
        <v>1237</v>
      </c>
      <c r="E220" t="s">
        <v>1237</v>
      </c>
      <c r="F220" t="s">
        <v>1238</v>
      </c>
      <c r="G220" t="s">
        <v>1239</v>
      </c>
      <c r="H220" t="s">
        <v>1240</v>
      </c>
      <c r="I220" t="b">
        <v>1</v>
      </c>
    </row>
    <row r="221" spans="1:9">
      <c r="A221" t="s">
        <v>1241</v>
      </c>
      <c r="B221" t="s">
        <v>10</v>
      </c>
      <c r="C221" t="s">
        <v>1242</v>
      </c>
      <c r="D221" t="s">
        <v>1237</v>
      </c>
      <c r="E221" t="s">
        <v>1237</v>
      </c>
      <c r="F221" t="s">
        <v>1243</v>
      </c>
      <c r="G221" t="s">
        <v>1244</v>
      </c>
      <c r="H221" t="s">
        <v>1245</v>
      </c>
      <c r="I221" t="b">
        <v>1</v>
      </c>
    </row>
    <row r="222" spans="1:9">
      <c r="A222" t="s">
        <v>1246</v>
      </c>
      <c r="B222" t="s">
        <v>18</v>
      </c>
      <c r="C222" t="s">
        <v>1247</v>
      </c>
      <c r="D222" t="s">
        <v>1237</v>
      </c>
      <c r="E222" t="s">
        <v>1237</v>
      </c>
      <c r="F222" t="s">
        <v>1248</v>
      </c>
      <c r="G222" t="s">
        <v>1249</v>
      </c>
      <c r="H222" t="s">
        <v>1250</v>
      </c>
      <c r="I222" t="b">
        <v>1</v>
      </c>
    </row>
    <row r="223" spans="1:9">
      <c r="A223" t="s">
        <v>1251</v>
      </c>
      <c r="B223" t="s">
        <v>10</v>
      </c>
      <c r="C223" t="s">
        <v>1252</v>
      </c>
      <c r="D223" t="s">
        <v>1237</v>
      </c>
      <c r="E223" t="s">
        <v>1237</v>
      </c>
      <c r="F223" t="s">
        <v>1253</v>
      </c>
      <c r="G223" t="s">
        <v>1254</v>
      </c>
      <c r="H223" t="s">
        <v>1255</v>
      </c>
      <c r="I223" t="b">
        <v>1</v>
      </c>
    </row>
    <row r="224" spans="1:9">
      <c r="A224" t="s">
        <v>1256</v>
      </c>
      <c r="B224" t="s">
        <v>10</v>
      </c>
      <c r="C224" t="s">
        <v>1257</v>
      </c>
      <c r="D224" t="s">
        <v>1237</v>
      </c>
      <c r="E224" t="s">
        <v>1237</v>
      </c>
      <c r="F224" t="s">
        <v>1258</v>
      </c>
      <c r="G224" t="s">
        <v>1259</v>
      </c>
      <c r="H224" t="s">
        <v>1260</v>
      </c>
      <c r="I224" t="b">
        <v>1</v>
      </c>
    </row>
    <row r="225" spans="1:9">
      <c r="A225" t="s">
        <v>1261</v>
      </c>
      <c r="B225" t="s">
        <v>10</v>
      </c>
      <c r="C225" t="s">
        <v>1262</v>
      </c>
      <c r="D225" t="s">
        <v>1237</v>
      </c>
      <c r="E225" t="s">
        <v>1237</v>
      </c>
      <c r="F225" t="s">
        <v>1263</v>
      </c>
      <c r="G225" t="s">
        <v>1264</v>
      </c>
      <c r="H225" t="s">
        <v>1265</v>
      </c>
      <c r="I225" t="b">
        <v>1</v>
      </c>
    </row>
    <row r="226" spans="1:9">
      <c r="A226" t="s">
        <v>1266</v>
      </c>
      <c r="B226" t="s">
        <v>10</v>
      </c>
      <c r="C226" t="s">
        <v>30</v>
      </c>
      <c r="D226" t="s">
        <v>1267</v>
      </c>
      <c r="E226" t="s">
        <v>30</v>
      </c>
      <c r="F226" t="s">
        <v>1268</v>
      </c>
      <c r="G226" t="s">
        <v>1269</v>
      </c>
      <c r="H226" t="s">
        <v>1270</v>
      </c>
      <c r="I226" t="b">
        <v>1</v>
      </c>
    </row>
    <row r="227" spans="1:9">
      <c r="A227" t="s">
        <v>1271</v>
      </c>
      <c r="B227" t="s">
        <v>10</v>
      </c>
      <c r="C227" t="s">
        <v>1272</v>
      </c>
      <c r="D227" t="s">
        <v>1273</v>
      </c>
      <c r="E227" t="s">
        <v>1237</v>
      </c>
      <c r="F227" t="s">
        <v>1274</v>
      </c>
      <c r="G227" t="s">
        <v>1275</v>
      </c>
      <c r="H227" t="s">
        <v>1276</v>
      </c>
      <c r="I227" t="b">
        <v>1</v>
      </c>
    </row>
    <row r="228" spans="1:9">
      <c r="A228" t="s">
        <v>1277</v>
      </c>
      <c r="B228" t="s">
        <v>10</v>
      </c>
      <c r="C228" t="s">
        <v>1278</v>
      </c>
      <c r="D228" t="s">
        <v>1279</v>
      </c>
      <c r="E228" t="s">
        <v>1237</v>
      </c>
      <c r="F228" t="s">
        <v>1280</v>
      </c>
      <c r="G228" t="s">
        <v>1281</v>
      </c>
      <c r="H228" t="s">
        <v>1282</v>
      </c>
      <c r="I228" t="b">
        <v>1</v>
      </c>
    </row>
    <row r="229" spans="1:9">
      <c r="A229" t="s">
        <v>1283</v>
      </c>
      <c r="B229" t="s">
        <v>10</v>
      </c>
      <c r="C229" t="s">
        <v>1284</v>
      </c>
      <c r="D229" t="s">
        <v>1285</v>
      </c>
      <c r="E229" t="s">
        <v>1237</v>
      </c>
      <c r="F229" t="s">
        <v>1286</v>
      </c>
      <c r="G229" t="s">
        <v>1287</v>
      </c>
      <c r="H229" t="s">
        <v>1288</v>
      </c>
      <c r="I229" t="b">
        <v>1</v>
      </c>
    </row>
    <row r="230" spans="1:9">
      <c r="A230" t="s">
        <v>1289</v>
      </c>
      <c r="B230" t="s">
        <v>10</v>
      </c>
      <c r="C230" t="s">
        <v>1290</v>
      </c>
      <c r="D230" t="s">
        <v>1291</v>
      </c>
      <c r="E230" t="s">
        <v>1291</v>
      </c>
      <c r="F230" t="s">
        <v>1292</v>
      </c>
      <c r="G230" t="s">
        <v>1293</v>
      </c>
      <c r="H230" t="s">
        <v>1294</v>
      </c>
      <c r="I230" t="b">
        <v>1</v>
      </c>
    </row>
    <row r="231" spans="1:9">
      <c r="A231" t="s">
        <v>1295</v>
      </c>
      <c r="B231" t="s">
        <v>18</v>
      </c>
      <c r="C231" t="s">
        <v>1296</v>
      </c>
      <c r="D231" t="s">
        <v>1291</v>
      </c>
      <c r="E231" t="s">
        <v>1291</v>
      </c>
      <c r="F231" t="s">
        <v>1297</v>
      </c>
      <c r="G231" t="s">
        <v>1298</v>
      </c>
      <c r="H231" t="s">
        <v>1299</v>
      </c>
      <c r="I231" t="b">
        <v>1</v>
      </c>
    </row>
    <row r="232" spans="1:9">
      <c r="A232" t="s">
        <v>1300</v>
      </c>
      <c r="B232" t="s">
        <v>10</v>
      </c>
      <c r="C232" t="s">
        <v>1301</v>
      </c>
      <c r="D232" t="s">
        <v>1291</v>
      </c>
      <c r="E232" t="s">
        <v>1291</v>
      </c>
      <c r="F232" t="s">
        <v>1302</v>
      </c>
      <c r="G232" t="s">
        <v>1303</v>
      </c>
      <c r="H232" t="s">
        <v>1304</v>
      </c>
      <c r="I232" t="b">
        <v>1</v>
      </c>
    </row>
    <row r="233" spans="1:9">
      <c r="A233" t="s">
        <v>1305</v>
      </c>
      <c r="B233" t="s">
        <v>18</v>
      </c>
      <c r="C233" t="s">
        <v>1306</v>
      </c>
      <c r="D233" t="s">
        <v>1291</v>
      </c>
      <c r="E233" t="s">
        <v>1291</v>
      </c>
      <c r="F233" t="s">
        <v>1307</v>
      </c>
      <c r="G233" t="s">
        <v>1308</v>
      </c>
      <c r="H233" t="s">
        <v>1309</v>
      </c>
      <c r="I233" t="b">
        <v>1</v>
      </c>
    </row>
    <row r="234" spans="1:9">
      <c r="A234" t="s">
        <v>1310</v>
      </c>
      <c r="B234" t="s">
        <v>10</v>
      </c>
      <c r="C234" t="s">
        <v>1311</v>
      </c>
      <c r="D234" t="s">
        <v>1312</v>
      </c>
      <c r="E234" t="s">
        <v>1291</v>
      </c>
      <c r="F234" t="s">
        <v>1313</v>
      </c>
      <c r="G234" t="s">
        <v>1314</v>
      </c>
      <c r="H234" t="s">
        <v>1315</v>
      </c>
      <c r="I234" t="b">
        <v>1</v>
      </c>
    </row>
    <row r="235" spans="1:9">
      <c r="A235" t="s">
        <v>1316</v>
      </c>
      <c r="B235" t="s">
        <v>10</v>
      </c>
      <c r="C235" t="s">
        <v>1317</v>
      </c>
      <c r="D235" t="s">
        <v>1318</v>
      </c>
      <c r="E235" t="s">
        <v>1291</v>
      </c>
      <c r="F235" t="s">
        <v>1319</v>
      </c>
      <c r="G235" t="s">
        <v>1320</v>
      </c>
      <c r="H235" t="s">
        <v>1321</v>
      </c>
      <c r="I235" t="b">
        <v>1</v>
      </c>
    </row>
    <row r="236" spans="1:9">
      <c r="A236" t="s">
        <v>1322</v>
      </c>
      <c r="B236" t="s">
        <v>18</v>
      </c>
      <c r="C236" t="s">
        <v>1323</v>
      </c>
      <c r="D236" t="s">
        <v>1324</v>
      </c>
      <c r="E236" t="s">
        <v>1324</v>
      </c>
      <c r="F236" t="s">
        <v>1325</v>
      </c>
      <c r="G236" t="s">
        <v>1326</v>
      </c>
      <c r="H236" t="s">
        <v>1327</v>
      </c>
      <c r="I236" t="b">
        <v>1</v>
      </c>
    </row>
    <row r="237" spans="1:9">
      <c r="A237" t="s">
        <v>1328</v>
      </c>
      <c r="B237" t="s">
        <v>10</v>
      </c>
      <c r="C237" t="s">
        <v>1329</v>
      </c>
      <c r="D237" t="s">
        <v>1330</v>
      </c>
      <c r="E237" t="s">
        <v>1324</v>
      </c>
      <c r="F237" t="s">
        <v>1331</v>
      </c>
      <c r="G237" t="s">
        <v>1332</v>
      </c>
      <c r="H237" t="s">
        <v>1333</v>
      </c>
      <c r="I237" t="b">
        <v>1</v>
      </c>
    </row>
    <row r="238" spans="1:9">
      <c r="A238" t="s">
        <v>1334</v>
      </c>
      <c r="B238" t="s">
        <v>10</v>
      </c>
      <c r="C238" t="s">
        <v>1335</v>
      </c>
      <c r="D238" t="s">
        <v>1336</v>
      </c>
      <c r="E238" t="s">
        <v>1324</v>
      </c>
      <c r="F238" t="s">
        <v>1337</v>
      </c>
      <c r="G238" t="s">
        <v>1338</v>
      </c>
      <c r="H238" t="s">
        <v>1339</v>
      </c>
      <c r="I238" t="b">
        <v>1</v>
      </c>
    </row>
    <row r="239" spans="1:9">
      <c r="A239" t="s">
        <v>1340</v>
      </c>
      <c r="B239" t="s">
        <v>10</v>
      </c>
      <c r="C239" t="s">
        <v>1341</v>
      </c>
      <c r="D239" t="s">
        <v>1342</v>
      </c>
      <c r="E239" t="s">
        <v>1324</v>
      </c>
      <c r="F239" t="s">
        <v>1343</v>
      </c>
      <c r="G239" t="s">
        <v>1344</v>
      </c>
      <c r="H239" t="s">
        <v>1345</v>
      </c>
      <c r="I239" t="b">
        <v>1</v>
      </c>
    </row>
    <row r="240" spans="1:9">
      <c r="A240" t="s">
        <v>1346</v>
      </c>
      <c r="B240" t="s">
        <v>18</v>
      </c>
      <c r="C240" t="s">
        <v>1347</v>
      </c>
      <c r="D240" t="s">
        <v>1348</v>
      </c>
      <c r="E240" t="s">
        <v>1348</v>
      </c>
      <c r="F240" t="s">
        <v>1349</v>
      </c>
      <c r="G240" t="s">
        <v>1350</v>
      </c>
      <c r="H240" t="s">
        <v>1351</v>
      </c>
      <c r="I240" t="b">
        <v>1</v>
      </c>
    </row>
    <row r="241" spans="1:9">
      <c r="A241" t="s">
        <v>1352</v>
      </c>
      <c r="B241" t="s">
        <v>18</v>
      </c>
      <c r="C241" t="s">
        <v>1353</v>
      </c>
      <c r="D241" t="s">
        <v>1348</v>
      </c>
      <c r="E241" t="s">
        <v>1348</v>
      </c>
      <c r="F241" t="s">
        <v>1354</v>
      </c>
      <c r="G241" t="s">
        <v>1355</v>
      </c>
      <c r="H241" t="s">
        <v>1356</v>
      </c>
      <c r="I241" t="b">
        <v>1</v>
      </c>
    </row>
    <row r="242" spans="1:9">
      <c r="A242" t="s">
        <v>1357</v>
      </c>
      <c r="B242" t="s">
        <v>18</v>
      </c>
      <c r="C242" t="s">
        <v>1358</v>
      </c>
      <c r="D242" t="s">
        <v>1348</v>
      </c>
      <c r="E242" t="s">
        <v>1348</v>
      </c>
      <c r="F242" t="s">
        <v>1359</v>
      </c>
      <c r="G242" t="s">
        <v>1360</v>
      </c>
      <c r="H242" t="s">
        <v>1361</v>
      </c>
      <c r="I242" t="b">
        <v>1</v>
      </c>
    </row>
    <row r="243" spans="1:9">
      <c r="A243" t="s">
        <v>1362</v>
      </c>
      <c r="B243" t="s">
        <v>10</v>
      </c>
      <c r="C243" t="s">
        <v>1363</v>
      </c>
      <c r="D243" t="s">
        <v>1364</v>
      </c>
      <c r="E243" t="s">
        <v>1348</v>
      </c>
      <c r="F243" t="s">
        <v>1365</v>
      </c>
      <c r="G243" t="s">
        <v>1366</v>
      </c>
      <c r="H243" t="s">
        <v>1367</v>
      </c>
      <c r="I243" t="b">
        <v>1</v>
      </c>
    </row>
    <row r="244" spans="1:9">
      <c r="A244" t="s">
        <v>1368</v>
      </c>
      <c r="B244" t="s">
        <v>10</v>
      </c>
      <c r="C244" t="s">
        <v>1369</v>
      </c>
      <c r="D244" t="s">
        <v>1370</v>
      </c>
      <c r="E244" t="s">
        <v>1348</v>
      </c>
      <c r="F244" t="s">
        <v>1371</v>
      </c>
      <c r="G244" t="s">
        <v>1372</v>
      </c>
      <c r="H244" t="s">
        <v>1373</v>
      </c>
      <c r="I244" t="b">
        <v>1</v>
      </c>
    </row>
    <row r="245" spans="1:9">
      <c r="A245" t="s">
        <v>1374</v>
      </c>
      <c r="B245" t="s">
        <v>10</v>
      </c>
      <c r="C245" t="s">
        <v>1375</v>
      </c>
      <c r="D245" t="s">
        <v>1376</v>
      </c>
      <c r="E245" t="s">
        <v>1348</v>
      </c>
      <c r="F245" t="s">
        <v>1377</v>
      </c>
      <c r="G245" t="s">
        <v>1378</v>
      </c>
      <c r="H245" t="s">
        <v>1379</v>
      </c>
      <c r="I245" t="b">
        <v>1</v>
      </c>
    </row>
    <row r="246" spans="1:9">
      <c r="A246" t="s">
        <v>1380</v>
      </c>
      <c r="B246" t="s">
        <v>18</v>
      </c>
      <c r="C246" t="s">
        <v>1381</v>
      </c>
      <c r="D246" t="s">
        <v>1382</v>
      </c>
      <c r="E246" t="s">
        <v>1383</v>
      </c>
      <c r="F246" t="s">
        <v>1384</v>
      </c>
      <c r="G246" t="s">
        <v>1385</v>
      </c>
      <c r="H246" t="s">
        <v>1386</v>
      </c>
      <c r="I246" t="b">
        <v>1</v>
      </c>
    </row>
    <row r="247" spans="1:9">
      <c r="A247" t="s">
        <v>1387</v>
      </c>
      <c r="B247" t="s">
        <v>10</v>
      </c>
      <c r="C247" t="s">
        <v>1388</v>
      </c>
      <c r="D247" t="s">
        <v>1389</v>
      </c>
      <c r="E247" t="s">
        <v>1390</v>
      </c>
      <c r="F247" t="s">
        <v>1391</v>
      </c>
      <c r="G247" t="s">
        <v>1392</v>
      </c>
      <c r="H247" t="s">
        <v>1393</v>
      </c>
      <c r="I247" t="b">
        <v>1</v>
      </c>
    </row>
    <row r="248" spans="1:9">
      <c r="A248" t="s">
        <v>1394</v>
      </c>
      <c r="B248" t="s">
        <v>18</v>
      </c>
      <c r="C248" t="s">
        <v>1395</v>
      </c>
      <c r="D248" t="s">
        <v>1389</v>
      </c>
      <c r="E248" t="s">
        <v>1396</v>
      </c>
      <c r="F248" t="s">
        <v>1397</v>
      </c>
      <c r="G248" t="s">
        <v>1398</v>
      </c>
      <c r="H248" t="s">
        <v>1399</v>
      </c>
      <c r="I248" t="b">
        <v>1</v>
      </c>
    </row>
    <row r="249" spans="1:9">
      <c r="A249" t="s">
        <v>1400</v>
      </c>
      <c r="B249" t="s">
        <v>10</v>
      </c>
      <c r="C249" t="s">
        <v>1401</v>
      </c>
      <c r="D249" t="s">
        <v>1402</v>
      </c>
      <c r="E249" t="s">
        <v>1396</v>
      </c>
      <c r="F249" t="s">
        <v>1403</v>
      </c>
      <c r="G249" t="s">
        <v>1404</v>
      </c>
      <c r="H249" t="s">
        <v>1405</v>
      </c>
      <c r="I249" t="b">
        <v>1</v>
      </c>
    </row>
    <row r="250" spans="1:9">
      <c r="A250" t="s">
        <v>1406</v>
      </c>
      <c r="B250" t="s">
        <v>10</v>
      </c>
      <c r="C250" t="s">
        <v>30</v>
      </c>
      <c r="D250" t="s">
        <v>1407</v>
      </c>
      <c r="E250" t="s">
        <v>30</v>
      </c>
      <c r="F250" t="s">
        <v>1408</v>
      </c>
      <c r="G250" t="s">
        <v>1409</v>
      </c>
      <c r="H250" t="s">
        <v>1410</v>
      </c>
      <c r="I250" t="b">
        <v>1</v>
      </c>
    </row>
    <row r="251" spans="1:9">
      <c r="A251" t="s">
        <v>1411</v>
      </c>
      <c r="B251" t="s">
        <v>10</v>
      </c>
      <c r="C251" t="s">
        <v>1412</v>
      </c>
      <c r="D251" t="s">
        <v>1413</v>
      </c>
      <c r="E251" t="s">
        <v>1413</v>
      </c>
      <c r="F251" t="s">
        <v>1414</v>
      </c>
      <c r="G251" t="s">
        <v>1415</v>
      </c>
      <c r="H251" t="s">
        <v>1416</v>
      </c>
      <c r="I251" t="b">
        <v>1</v>
      </c>
    </row>
    <row r="252" spans="1:9">
      <c r="A252" t="s">
        <v>1417</v>
      </c>
      <c r="B252" t="s">
        <v>10</v>
      </c>
      <c r="C252" t="s">
        <v>30</v>
      </c>
      <c r="D252" t="s">
        <v>1407</v>
      </c>
      <c r="E252" t="s">
        <v>30</v>
      </c>
      <c r="F252" t="s">
        <v>1418</v>
      </c>
      <c r="G252" t="s">
        <v>1419</v>
      </c>
      <c r="H252" t="s">
        <v>1420</v>
      </c>
      <c r="I252" t="b">
        <v>1</v>
      </c>
    </row>
    <row r="253" spans="1:9">
      <c r="A253" t="s">
        <v>1421</v>
      </c>
      <c r="B253" t="s">
        <v>10</v>
      </c>
      <c r="C253" t="s">
        <v>1422</v>
      </c>
      <c r="D253" t="s">
        <v>1423</v>
      </c>
      <c r="E253" t="s">
        <v>1413</v>
      </c>
      <c r="F253" t="s">
        <v>1424</v>
      </c>
      <c r="G253" t="s">
        <v>1425</v>
      </c>
      <c r="H253" t="s">
        <v>1426</v>
      </c>
      <c r="I253" t="b">
        <v>1</v>
      </c>
    </row>
    <row r="254" spans="1:9">
      <c r="A254" t="s">
        <v>1427</v>
      </c>
      <c r="B254" t="s">
        <v>10</v>
      </c>
      <c r="C254" t="s">
        <v>1428</v>
      </c>
      <c r="D254" t="s">
        <v>1423</v>
      </c>
      <c r="E254" t="s">
        <v>1413</v>
      </c>
      <c r="F254" t="s">
        <v>1429</v>
      </c>
      <c r="G254" t="s">
        <v>1430</v>
      </c>
      <c r="H254" t="s">
        <v>1431</v>
      </c>
      <c r="I254" t="b">
        <v>1</v>
      </c>
    </row>
    <row r="255" spans="1:9">
      <c r="A255" t="s">
        <v>1432</v>
      </c>
      <c r="B255" t="s">
        <v>10</v>
      </c>
      <c r="C255" t="s">
        <v>1433</v>
      </c>
      <c r="D255" t="s">
        <v>1434</v>
      </c>
      <c r="E255" t="s">
        <v>1413</v>
      </c>
      <c r="F255" t="s">
        <v>1435</v>
      </c>
      <c r="G255" t="s">
        <v>1436</v>
      </c>
      <c r="H255" t="s">
        <v>1437</v>
      </c>
      <c r="I255" t="b">
        <v>1</v>
      </c>
    </row>
    <row r="256" spans="1:9">
      <c r="A256" t="s">
        <v>1438</v>
      </c>
      <c r="B256" t="s">
        <v>10</v>
      </c>
      <c r="C256" t="s">
        <v>1439</v>
      </c>
      <c r="D256" t="s">
        <v>1423</v>
      </c>
      <c r="E256" t="s">
        <v>1413</v>
      </c>
      <c r="F256" t="s">
        <v>1440</v>
      </c>
      <c r="G256" t="s">
        <v>1441</v>
      </c>
      <c r="H256" t="s">
        <v>1442</v>
      </c>
      <c r="I256" t="b">
        <v>1</v>
      </c>
    </row>
    <row r="257" spans="1:9">
      <c r="A257" t="s">
        <v>1443</v>
      </c>
      <c r="B257" t="s">
        <v>10</v>
      </c>
      <c r="C257" t="s">
        <v>1444</v>
      </c>
      <c r="D257" t="s">
        <v>1423</v>
      </c>
      <c r="E257" t="s">
        <v>1413</v>
      </c>
      <c r="F257" t="s">
        <v>1445</v>
      </c>
      <c r="G257" t="s">
        <v>1446</v>
      </c>
      <c r="H257" t="s">
        <v>1447</v>
      </c>
      <c r="I257" t="b">
        <v>1</v>
      </c>
    </row>
    <row r="258" spans="1:9">
      <c r="A258" t="s">
        <v>1448</v>
      </c>
      <c r="B258" t="s">
        <v>18</v>
      </c>
      <c r="C258" t="s">
        <v>1449</v>
      </c>
      <c r="D258" t="s">
        <v>1423</v>
      </c>
      <c r="E258" t="s">
        <v>1413</v>
      </c>
      <c r="F258" t="s">
        <v>1450</v>
      </c>
      <c r="G258" t="s">
        <v>1451</v>
      </c>
      <c r="H258" t="s">
        <v>1452</v>
      </c>
      <c r="I258" t="b">
        <v>1</v>
      </c>
    </row>
    <row r="259" spans="1:9">
      <c r="A259" t="s">
        <v>1453</v>
      </c>
      <c r="B259" t="s">
        <v>10</v>
      </c>
      <c r="C259" t="s">
        <v>1454</v>
      </c>
      <c r="D259" t="s">
        <v>1455</v>
      </c>
      <c r="E259" t="s">
        <v>1456</v>
      </c>
      <c r="F259" t="s">
        <v>1457</v>
      </c>
      <c r="G259" t="s">
        <v>1458</v>
      </c>
      <c r="H259" t="s">
        <v>1459</v>
      </c>
      <c r="I259" t="b">
        <v>1</v>
      </c>
    </row>
    <row r="260" spans="1:9">
      <c r="A260" t="s">
        <v>1460</v>
      </c>
      <c r="B260" t="s">
        <v>10</v>
      </c>
      <c r="C260" t="s">
        <v>1461</v>
      </c>
      <c r="D260" t="s">
        <v>1462</v>
      </c>
      <c r="E260" t="s">
        <v>1456</v>
      </c>
      <c r="F260" t="s">
        <v>1463</v>
      </c>
      <c r="G260" t="s">
        <v>1464</v>
      </c>
      <c r="H260" t="s">
        <v>1465</v>
      </c>
      <c r="I260" t="b">
        <v>1</v>
      </c>
    </row>
    <row r="261" spans="1:9">
      <c r="A261" t="s">
        <v>1466</v>
      </c>
      <c r="B261" t="s">
        <v>10</v>
      </c>
      <c r="C261" t="s">
        <v>1467</v>
      </c>
      <c r="D261" t="s">
        <v>1462</v>
      </c>
      <c r="E261" t="s">
        <v>1456</v>
      </c>
      <c r="F261" t="s">
        <v>1468</v>
      </c>
      <c r="G261" t="s">
        <v>1469</v>
      </c>
      <c r="H261" t="s">
        <v>1470</v>
      </c>
      <c r="I261" t="b">
        <v>1</v>
      </c>
    </row>
    <row r="262" spans="1:9">
      <c r="A262" t="s">
        <v>1471</v>
      </c>
      <c r="B262" t="s">
        <v>10</v>
      </c>
      <c r="C262" t="s">
        <v>1472</v>
      </c>
      <c r="D262" t="s">
        <v>1473</v>
      </c>
      <c r="E262" t="s">
        <v>945</v>
      </c>
      <c r="F262" t="s">
        <v>1474</v>
      </c>
      <c r="G262" t="s">
        <v>1475</v>
      </c>
      <c r="H262" t="s">
        <v>1476</v>
      </c>
      <c r="I262" t="b">
        <v>1</v>
      </c>
    </row>
    <row r="263" spans="1:9">
      <c r="A263" t="s">
        <v>1477</v>
      </c>
      <c r="B263" t="s">
        <v>18</v>
      </c>
      <c r="C263" t="s">
        <v>1478</v>
      </c>
      <c r="D263" t="s">
        <v>1455</v>
      </c>
      <c r="E263" t="s">
        <v>1456</v>
      </c>
      <c r="F263" t="s">
        <v>1479</v>
      </c>
      <c r="G263" t="s">
        <v>1480</v>
      </c>
      <c r="H263" t="s">
        <v>1481</v>
      </c>
      <c r="I263" t="b">
        <v>1</v>
      </c>
    </row>
    <row r="264" spans="1:9">
      <c r="A264" t="s">
        <v>1482</v>
      </c>
      <c r="B264" t="s">
        <v>10</v>
      </c>
      <c r="C264" t="s">
        <v>1483</v>
      </c>
      <c r="D264" t="s">
        <v>1455</v>
      </c>
      <c r="E264" t="s">
        <v>1456</v>
      </c>
      <c r="F264" t="s">
        <v>1484</v>
      </c>
      <c r="G264" t="s">
        <v>1485</v>
      </c>
      <c r="H264" t="s">
        <v>1486</v>
      </c>
      <c r="I264" t="b">
        <v>1</v>
      </c>
    </row>
    <row r="265" spans="1:9">
      <c r="A265" t="s">
        <v>1487</v>
      </c>
      <c r="B265" t="s">
        <v>10</v>
      </c>
      <c r="C265" t="s">
        <v>1488</v>
      </c>
      <c r="D265" t="s">
        <v>1455</v>
      </c>
      <c r="E265" t="s">
        <v>1456</v>
      </c>
      <c r="F265" t="s">
        <v>1489</v>
      </c>
      <c r="G265" t="s">
        <v>1490</v>
      </c>
      <c r="H265" t="s">
        <v>1491</v>
      </c>
      <c r="I265" t="b">
        <v>1</v>
      </c>
    </row>
    <row r="266" spans="1:9">
      <c r="A266" t="s">
        <v>1492</v>
      </c>
      <c r="B266" t="s">
        <v>10</v>
      </c>
      <c r="C266" t="s">
        <v>1493</v>
      </c>
      <c r="D266" t="s">
        <v>1494</v>
      </c>
      <c r="E266" t="s">
        <v>945</v>
      </c>
      <c r="F266" t="s">
        <v>1495</v>
      </c>
      <c r="G266" t="s">
        <v>1496</v>
      </c>
      <c r="H266" t="s">
        <v>1497</v>
      </c>
      <c r="I266" t="b">
        <v>1</v>
      </c>
    </row>
    <row r="267" spans="1:9">
      <c r="A267" t="s">
        <v>1498</v>
      </c>
      <c r="B267" t="s">
        <v>10</v>
      </c>
      <c r="C267" t="s">
        <v>1499</v>
      </c>
      <c r="D267" t="s">
        <v>1500</v>
      </c>
      <c r="E267" t="s">
        <v>945</v>
      </c>
      <c r="F267" t="s">
        <v>1501</v>
      </c>
      <c r="G267" t="s">
        <v>1502</v>
      </c>
      <c r="H267" t="s">
        <v>1503</v>
      </c>
      <c r="I267" t="b">
        <v>1</v>
      </c>
    </row>
    <row r="268" spans="1:9">
      <c r="A268" t="s">
        <v>1504</v>
      </c>
      <c r="B268" t="s">
        <v>18</v>
      </c>
      <c r="C268" t="s">
        <v>1505</v>
      </c>
      <c r="D268" t="s">
        <v>1506</v>
      </c>
      <c r="E268" t="s">
        <v>1507</v>
      </c>
      <c r="F268" t="s">
        <v>1508</v>
      </c>
      <c r="G268" t="s">
        <v>1509</v>
      </c>
      <c r="H268" t="s">
        <v>1510</v>
      </c>
      <c r="I268" t="b">
        <v>1</v>
      </c>
    </row>
    <row r="269" spans="1:9">
      <c r="A269" t="s">
        <v>1511</v>
      </c>
      <c r="B269" t="s">
        <v>10</v>
      </c>
      <c r="C269" t="s">
        <v>1512</v>
      </c>
      <c r="D269" t="s">
        <v>1513</v>
      </c>
      <c r="E269" t="s">
        <v>1456</v>
      </c>
      <c r="F269" t="s">
        <v>1514</v>
      </c>
      <c r="G269" t="s">
        <v>1515</v>
      </c>
      <c r="H269" t="s">
        <v>1516</v>
      </c>
      <c r="I269" t="b">
        <v>1</v>
      </c>
    </row>
    <row r="270" spans="1:9">
      <c r="A270" t="s">
        <v>1517</v>
      </c>
      <c r="B270" t="s">
        <v>10</v>
      </c>
      <c r="C270" t="s">
        <v>1518</v>
      </c>
      <c r="D270" t="s">
        <v>1519</v>
      </c>
      <c r="E270" t="s">
        <v>1456</v>
      </c>
      <c r="F270" t="s">
        <v>1520</v>
      </c>
      <c r="G270" t="s">
        <v>1521</v>
      </c>
      <c r="H270" t="s">
        <v>1522</v>
      </c>
      <c r="I270" t="b">
        <v>1</v>
      </c>
    </row>
    <row r="271" spans="1:9">
      <c r="A271" t="s">
        <v>1523</v>
      </c>
      <c r="B271" t="s">
        <v>10</v>
      </c>
      <c r="C271" t="s">
        <v>1524</v>
      </c>
      <c r="D271" t="s">
        <v>1525</v>
      </c>
      <c r="E271" t="s">
        <v>1526</v>
      </c>
      <c r="F271" t="s">
        <v>1527</v>
      </c>
      <c r="G271" t="s">
        <v>1528</v>
      </c>
      <c r="H271" t="s">
        <v>1529</v>
      </c>
      <c r="I271" t="b">
        <v>1</v>
      </c>
    </row>
    <row r="272" spans="1:9">
      <c r="A272" t="s">
        <v>1530</v>
      </c>
      <c r="B272" t="s">
        <v>10</v>
      </c>
      <c r="C272" t="s">
        <v>1531</v>
      </c>
      <c r="D272" t="s">
        <v>1532</v>
      </c>
      <c r="E272" t="s">
        <v>945</v>
      </c>
      <c r="F272" t="s">
        <v>1533</v>
      </c>
      <c r="G272" t="s">
        <v>1534</v>
      </c>
      <c r="H272" t="s">
        <v>1535</v>
      </c>
      <c r="I272" t="b">
        <v>1</v>
      </c>
    </row>
    <row r="273" spans="1:9">
      <c r="A273" t="s">
        <v>1536</v>
      </c>
      <c r="B273" t="s">
        <v>10</v>
      </c>
      <c r="C273" t="s">
        <v>1537</v>
      </c>
      <c r="D273" t="s">
        <v>1538</v>
      </c>
      <c r="E273" t="s">
        <v>945</v>
      </c>
      <c r="F273" t="s">
        <v>1539</v>
      </c>
      <c r="G273" t="s">
        <v>1540</v>
      </c>
      <c r="H273" t="s">
        <v>1541</v>
      </c>
      <c r="I273" t="b">
        <v>1</v>
      </c>
    </row>
    <row r="274" spans="1:9">
      <c r="A274" t="s">
        <v>1542</v>
      </c>
      <c r="B274" t="s">
        <v>10</v>
      </c>
      <c r="C274" t="s">
        <v>30</v>
      </c>
      <c r="D274" t="s">
        <v>1543</v>
      </c>
      <c r="E274" t="s">
        <v>30</v>
      </c>
      <c r="F274" t="s">
        <v>1544</v>
      </c>
      <c r="G274" t="s">
        <v>1545</v>
      </c>
      <c r="H274" t="s">
        <v>1546</v>
      </c>
      <c r="I274" t="b">
        <v>1</v>
      </c>
    </row>
    <row r="275" spans="1:9">
      <c r="A275" t="s">
        <v>1547</v>
      </c>
      <c r="B275" t="s">
        <v>10</v>
      </c>
      <c r="C275" t="s">
        <v>1548</v>
      </c>
      <c r="D275" t="s">
        <v>926</v>
      </c>
      <c r="E275" t="s">
        <v>926</v>
      </c>
      <c r="F275" t="s">
        <v>1549</v>
      </c>
      <c r="G275" t="s">
        <v>1550</v>
      </c>
      <c r="H275" t="s">
        <v>1551</v>
      </c>
      <c r="I275" t="b">
        <v>1</v>
      </c>
    </row>
    <row r="276" spans="1:9">
      <c r="A276" t="s">
        <v>1552</v>
      </c>
      <c r="B276" t="s">
        <v>10</v>
      </c>
      <c r="C276" t="s">
        <v>1553</v>
      </c>
      <c r="D276" t="s">
        <v>926</v>
      </c>
      <c r="E276" t="s">
        <v>926</v>
      </c>
      <c r="F276" t="s">
        <v>1554</v>
      </c>
      <c r="G276" t="s">
        <v>1555</v>
      </c>
      <c r="H276" t="s">
        <v>1556</v>
      </c>
      <c r="I276" t="b">
        <v>1</v>
      </c>
    </row>
    <row r="277" spans="1:9">
      <c r="A277" t="s">
        <v>1557</v>
      </c>
      <c r="B277" t="s">
        <v>10</v>
      </c>
      <c r="C277" t="s">
        <v>1558</v>
      </c>
      <c r="D277" t="s">
        <v>926</v>
      </c>
      <c r="E277" t="s">
        <v>926</v>
      </c>
      <c r="F277" t="s">
        <v>1559</v>
      </c>
      <c r="G277" t="s">
        <v>1560</v>
      </c>
      <c r="H277" t="s">
        <v>1561</v>
      </c>
      <c r="I277" t="b">
        <v>1</v>
      </c>
    </row>
    <row r="278" spans="1:9">
      <c r="A278" t="s">
        <v>1562</v>
      </c>
      <c r="B278" t="s">
        <v>18</v>
      </c>
      <c r="C278" t="s">
        <v>1563</v>
      </c>
      <c r="D278" t="s">
        <v>926</v>
      </c>
      <c r="E278" t="s">
        <v>926</v>
      </c>
      <c r="F278" t="s">
        <v>1564</v>
      </c>
      <c r="G278" t="s">
        <v>1565</v>
      </c>
      <c r="H278" t="s">
        <v>1566</v>
      </c>
      <c r="I278" t="b">
        <v>1</v>
      </c>
    </row>
    <row r="279" spans="1:9">
      <c r="A279" t="s">
        <v>1567</v>
      </c>
      <c r="B279" t="s">
        <v>10</v>
      </c>
      <c r="C279" t="s">
        <v>1568</v>
      </c>
      <c r="D279" t="s">
        <v>926</v>
      </c>
      <c r="E279" t="s">
        <v>926</v>
      </c>
      <c r="F279" t="s">
        <v>1569</v>
      </c>
      <c r="G279" t="s">
        <v>1570</v>
      </c>
      <c r="H279" t="s">
        <v>1571</v>
      </c>
      <c r="I279" t="b">
        <v>1</v>
      </c>
    </row>
    <row r="280" spans="1:9">
      <c r="A280" t="s">
        <v>1572</v>
      </c>
      <c r="B280" t="s">
        <v>10</v>
      </c>
      <c r="C280" t="s">
        <v>1573</v>
      </c>
      <c r="D280" t="s">
        <v>926</v>
      </c>
      <c r="E280" t="s">
        <v>926</v>
      </c>
      <c r="F280" t="s">
        <v>1574</v>
      </c>
      <c r="G280" t="s">
        <v>1575</v>
      </c>
      <c r="H280" t="s">
        <v>1576</v>
      </c>
      <c r="I280" t="b">
        <v>1</v>
      </c>
    </row>
    <row r="281" spans="1:9">
      <c r="A281" t="s">
        <v>1577</v>
      </c>
      <c r="B281" t="s">
        <v>10</v>
      </c>
      <c r="C281" t="s">
        <v>1578</v>
      </c>
      <c r="D281" t="s">
        <v>926</v>
      </c>
      <c r="E281" t="s">
        <v>926</v>
      </c>
      <c r="F281" t="s">
        <v>1579</v>
      </c>
      <c r="G281" t="s">
        <v>1580</v>
      </c>
      <c r="H281" t="s">
        <v>1581</v>
      </c>
      <c r="I281" t="b">
        <v>1</v>
      </c>
    </row>
    <row r="282" spans="1:9">
      <c r="A282" t="s">
        <v>1582</v>
      </c>
      <c r="B282" t="s">
        <v>18</v>
      </c>
      <c r="C282" t="s">
        <v>1583</v>
      </c>
      <c r="D282" t="s">
        <v>926</v>
      </c>
      <c r="E282" t="s">
        <v>926</v>
      </c>
      <c r="F282" t="s">
        <v>1584</v>
      </c>
      <c r="G282" t="s">
        <v>1585</v>
      </c>
      <c r="H282" t="s">
        <v>1586</v>
      </c>
      <c r="I282" t="b">
        <v>1</v>
      </c>
    </row>
    <row r="283" spans="1:9">
      <c r="A283" t="s">
        <v>1587</v>
      </c>
      <c r="B283" t="s">
        <v>10</v>
      </c>
      <c r="C283" t="s">
        <v>1588</v>
      </c>
      <c r="D283" t="s">
        <v>1589</v>
      </c>
      <c r="E283" t="s">
        <v>926</v>
      </c>
      <c r="F283" t="s">
        <v>1590</v>
      </c>
      <c r="G283" t="s">
        <v>1591</v>
      </c>
      <c r="H283" t="s">
        <v>1592</v>
      </c>
      <c r="I283" t="b">
        <v>1</v>
      </c>
    </row>
    <row r="284" spans="1:9">
      <c r="A284" t="s">
        <v>1593</v>
      </c>
      <c r="B284" t="s">
        <v>10</v>
      </c>
      <c r="C284" t="s">
        <v>1594</v>
      </c>
      <c r="D284" t="s">
        <v>926</v>
      </c>
      <c r="E284" t="s">
        <v>926</v>
      </c>
      <c r="F284" t="s">
        <v>1595</v>
      </c>
      <c r="G284" t="s">
        <v>1596</v>
      </c>
      <c r="H284" t="s">
        <v>1597</v>
      </c>
      <c r="I284" t="b">
        <v>1</v>
      </c>
    </row>
    <row r="285" spans="1:9">
      <c r="A285" t="s">
        <v>1598</v>
      </c>
      <c r="B285" t="s">
        <v>10</v>
      </c>
      <c r="C285" t="s">
        <v>1599</v>
      </c>
      <c r="D285" t="s">
        <v>1600</v>
      </c>
      <c r="E285" t="s">
        <v>1600</v>
      </c>
      <c r="F285" t="s">
        <v>1601</v>
      </c>
      <c r="G285" t="s">
        <v>1602</v>
      </c>
      <c r="H285" t="s">
        <v>1603</v>
      </c>
      <c r="I285" t="b">
        <v>1</v>
      </c>
    </row>
    <row r="286" spans="1:9">
      <c r="A286" t="s">
        <v>1604</v>
      </c>
      <c r="B286" t="s">
        <v>10</v>
      </c>
      <c r="C286" t="s">
        <v>1605</v>
      </c>
      <c r="D286" t="s">
        <v>1606</v>
      </c>
      <c r="E286" t="s">
        <v>1606</v>
      </c>
      <c r="F286" t="s">
        <v>1607</v>
      </c>
      <c r="G286" t="s">
        <v>1608</v>
      </c>
      <c r="H286" t="s">
        <v>1609</v>
      </c>
      <c r="I286" t="b">
        <v>1</v>
      </c>
    </row>
    <row r="287" spans="1:9">
      <c r="A287" t="s">
        <v>1610</v>
      </c>
      <c r="B287" t="s">
        <v>18</v>
      </c>
      <c r="C287" t="s">
        <v>1611</v>
      </c>
      <c r="D287" t="s">
        <v>1606</v>
      </c>
      <c r="E287" t="s">
        <v>1606</v>
      </c>
      <c r="F287" t="s">
        <v>1612</v>
      </c>
      <c r="G287" t="s">
        <v>1613</v>
      </c>
      <c r="H287" t="s">
        <v>1614</v>
      </c>
      <c r="I287" t="b">
        <v>1</v>
      </c>
    </row>
    <row r="288" spans="1:9">
      <c r="A288" t="s">
        <v>1615</v>
      </c>
      <c r="B288" t="s">
        <v>10</v>
      </c>
      <c r="C288" t="s">
        <v>1616</v>
      </c>
      <c r="D288" t="s">
        <v>1606</v>
      </c>
      <c r="E288" t="s">
        <v>1606</v>
      </c>
      <c r="F288" t="s">
        <v>1617</v>
      </c>
      <c r="G288" t="s">
        <v>1618</v>
      </c>
      <c r="H288" t="s">
        <v>1619</v>
      </c>
      <c r="I288" t="b">
        <v>1</v>
      </c>
    </row>
    <row r="289" spans="1:9">
      <c r="A289" t="s">
        <v>1620</v>
      </c>
      <c r="B289" t="s">
        <v>10</v>
      </c>
      <c r="C289" t="s">
        <v>1621</v>
      </c>
      <c r="D289" t="s">
        <v>1606</v>
      </c>
      <c r="E289" t="s">
        <v>1606</v>
      </c>
      <c r="F289" t="s">
        <v>1622</v>
      </c>
      <c r="G289" t="s">
        <v>1623</v>
      </c>
      <c r="H289" t="s">
        <v>1624</v>
      </c>
      <c r="I289" t="b">
        <v>1</v>
      </c>
    </row>
    <row r="290" spans="1:9">
      <c r="A290" t="s">
        <v>1625</v>
      </c>
      <c r="B290" t="s">
        <v>10</v>
      </c>
      <c r="C290" t="s">
        <v>1626</v>
      </c>
      <c r="D290" t="s">
        <v>1606</v>
      </c>
      <c r="E290" t="s">
        <v>1606</v>
      </c>
      <c r="F290" t="s">
        <v>1627</v>
      </c>
      <c r="G290" t="s">
        <v>1628</v>
      </c>
      <c r="H290" t="s">
        <v>1629</v>
      </c>
      <c r="I290" t="b">
        <v>1</v>
      </c>
    </row>
    <row r="291" spans="1:9">
      <c r="A291" t="s">
        <v>1630</v>
      </c>
      <c r="B291" t="s">
        <v>10</v>
      </c>
      <c r="C291" t="s">
        <v>1631</v>
      </c>
      <c r="D291" t="s">
        <v>1632</v>
      </c>
      <c r="E291" t="s">
        <v>1606</v>
      </c>
      <c r="F291" t="s">
        <v>1633</v>
      </c>
      <c r="G291" t="s">
        <v>1634</v>
      </c>
      <c r="H291" t="s">
        <v>1635</v>
      </c>
      <c r="I291" t="b">
        <v>1</v>
      </c>
    </row>
    <row r="292" spans="1:9">
      <c r="A292" t="s">
        <v>1636</v>
      </c>
      <c r="B292" t="s">
        <v>10</v>
      </c>
      <c r="C292" t="s">
        <v>1637</v>
      </c>
      <c r="D292" t="s">
        <v>1638</v>
      </c>
      <c r="E292" t="s">
        <v>1606</v>
      </c>
      <c r="F292" t="s">
        <v>1639</v>
      </c>
      <c r="G292" t="s">
        <v>1640</v>
      </c>
      <c r="H292" t="s">
        <v>1641</v>
      </c>
      <c r="I292" t="b">
        <v>1</v>
      </c>
    </row>
    <row r="293" spans="1:9">
      <c r="A293" t="s">
        <v>1642</v>
      </c>
      <c r="B293" t="s">
        <v>10</v>
      </c>
      <c r="C293" t="s">
        <v>1643</v>
      </c>
      <c r="D293" t="s">
        <v>1644</v>
      </c>
      <c r="E293" t="s">
        <v>1606</v>
      </c>
      <c r="F293" t="s">
        <v>1645</v>
      </c>
      <c r="G293" t="s">
        <v>1646</v>
      </c>
      <c r="H293" t="s">
        <v>1647</v>
      </c>
      <c r="I293" t="b">
        <v>1</v>
      </c>
    </row>
    <row r="294" spans="1:9">
      <c r="A294" t="s">
        <v>1648</v>
      </c>
      <c r="B294" t="s">
        <v>10</v>
      </c>
      <c r="C294" t="s">
        <v>1649</v>
      </c>
      <c r="D294" t="s">
        <v>1650</v>
      </c>
      <c r="E294" t="s">
        <v>1606</v>
      </c>
      <c r="F294" t="s">
        <v>1651</v>
      </c>
      <c r="G294" t="s">
        <v>1652</v>
      </c>
      <c r="H294" t="s">
        <v>1653</v>
      </c>
      <c r="I294" t="b">
        <v>1</v>
      </c>
    </row>
    <row r="295" spans="1:9">
      <c r="A295" t="s">
        <v>1654</v>
      </c>
      <c r="B295" t="s">
        <v>10</v>
      </c>
      <c r="C295" t="s">
        <v>1655</v>
      </c>
      <c r="D295" t="s">
        <v>1656</v>
      </c>
      <c r="E295" t="s">
        <v>945</v>
      </c>
      <c r="F295" t="s">
        <v>1657</v>
      </c>
      <c r="G295" t="s">
        <v>1658</v>
      </c>
      <c r="H295" t="s">
        <v>1659</v>
      </c>
      <c r="I295" t="b">
        <v>1</v>
      </c>
    </row>
    <row r="296" spans="1:9">
      <c r="A296" t="s">
        <v>1660</v>
      </c>
      <c r="B296" t="s">
        <v>10</v>
      </c>
      <c r="C296" t="s">
        <v>1661</v>
      </c>
      <c r="D296" t="s">
        <v>1662</v>
      </c>
      <c r="E296" t="s">
        <v>1507</v>
      </c>
      <c r="F296" t="s">
        <v>1663</v>
      </c>
      <c r="G296" t="s">
        <v>1664</v>
      </c>
      <c r="H296" t="s">
        <v>1665</v>
      </c>
      <c r="I296" t="b">
        <v>1</v>
      </c>
    </row>
    <row r="297" spans="1:9">
      <c r="A297" t="s">
        <v>1666</v>
      </c>
      <c r="B297" t="s">
        <v>10</v>
      </c>
      <c r="C297" t="s">
        <v>30</v>
      </c>
      <c r="D297" t="s">
        <v>1667</v>
      </c>
      <c r="E297" t="s">
        <v>30</v>
      </c>
      <c r="F297" t="s">
        <v>1668</v>
      </c>
      <c r="G297" t="s">
        <v>1669</v>
      </c>
      <c r="H297" t="s">
        <v>1670</v>
      </c>
      <c r="I297" t="b">
        <v>1</v>
      </c>
    </row>
    <row r="298" spans="1:9">
      <c r="A298" t="s">
        <v>1671</v>
      </c>
      <c r="B298" t="s">
        <v>10</v>
      </c>
      <c r="C298" t="s">
        <v>1672</v>
      </c>
      <c r="D298" t="s">
        <v>1673</v>
      </c>
      <c r="E298" t="s">
        <v>667</v>
      </c>
      <c r="F298" t="s">
        <v>1674</v>
      </c>
      <c r="G298" t="s">
        <v>1675</v>
      </c>
      <c r="H298" t="s">
        <v>1676</v>
      </c>
      <c r="I298" t="b">
        <v>1</v>
      </c>
    </row>
    <row r="299" spans="1:9">
      <c r="A299" t="s">
        <v>1677</v>
      </c>
      <c r="B299" t="s">
        <v>10</v>
      </c>
      <c r="C299" t="s">
        <v>1678</v>
      </c>
      <c r="D299" t="s">
        <v>1525</v>
      </c>
      <c r="E299" t="s">
        <v>1526</v>
      </c>
      <c r="F299" t="s">
        <v>1679</v>
      </c>
      <c r="G299" t="s">
        <v>1680</v>
      </c>
      <c r="H299" t="s">
        <v>1681</v>
      </c>
      <c r="I299" t="b">
        <v>1</v>
      </c>
    </row>
    <row r="300" spans="1:9">
      <c r="A300" t="s">
        <v>1682</v>
      </c>
      <c r="B300" t="s">
        <v>10</v>
      </c>
      <c r="C300" t="s">
        <v>1683</v>
      </c>
      <c r="D300" t="s">
        <v>1684</v>
      </c>
      <c r="E300" t="s">
        <v>1526</v>
      </c>
      <c r="F300" t="s">
        <v>1685</v>
      </c>
      <c r="G300" t="s">
        <v>1686</v>
      </c>
      <c r="H300" t="s">
        <v>1687</v>
      </c>
      <c r="I300" t="b">
        <v>1</v>
      </c>
    </row>
    <row r="301" spans="1:9">
      <c r="A301" t="s">
        <v>1688</v>
      </c>
      <c r="B301" t="s">
        <v>10</v>
      </c>
      <c r="C301" t="s">
        <v>1689</v>
      </c>
      <c r="D301" t="s">
        <v>1684</v>
      </c>
      <c r="E301" t="s">
        <v>1526</v>
      </c>
      <c r="F301" t="s">
        <v>1690</v>
      </c>
      <c r="G301" t="s">
        <v>1691</v>
      </c>
      <c r="H301" t="s">
        <v>1692</v>
      </c>
      <c r="I301" t="b">
        <v>1</v>
      </c>
    </row>
    <row r="302" spans="1:9">
      <c r="A302" t="s">
        <v>1693</v>
      </c>
      <c r="B302" t="s">
        <v>10</v>
      </c>
      <c r="C302" t="s">
        <v>1694</v>
      </c>
      <c r="D302" t="s">
        <v>1662</v>
      </c>
      <c r="E302" t="s">
        <v>1507</v>
      </c>
      <c r="F302" t="s">
        <v>1695</v>
      </c>
      <c r="G302" t="s">
        <v>1696</v>
      </c>
      <c r="H302" t="s">
        <v>1697</v>
      </c>
      <c r="I302" t="b">
        <v>1</v>
      </c>
    </row>
    <row r="303" spans="1:9">
      <c r="A303" t="s">
        <v>1698</v>
      </c>
      <c r="B303" t="s">
        <v>10</v>
      </c>
      <c r="C303" t="s">
        <v>1699</v>
      </c>
      <c r="D303" t="s">
        <v>1700</v>
      </c>
      <c r="E303" t="s">
        <v>1507</v>
      </c>
      <c r="F303" t="s">
        <v>1701</v>
      </c>
      <c r="G303" t="s">
        <v>1702</v>
      </c>
      <c r="H303" t="s">
        <v>1703</v>
      </c>
      <c r="I303" t="b">
        <v>1</v>
      </c>
    </row>
    <row r="304" spans="1:9">
      <c r="A304" t="s">
        <v>1704</v>
      </c>
      <c r="B304" t="s">
        <v>10</v>
      </c>
      <c r="C304" t="s">
        <v>1705</v>
      </c>
      <c r="D304" t="s">
        <v>1706</v>
      </c>
      <c r="E304" t="s">
        <v>1507</v>
      </c>
      <c r="F304" t="s">
        <v>1707</v>
      </c>
      <c r="G304" t="s">
        <v>1708</v>
      </c>
      <c r="H304" t="s">
        <v>1709</v>
      </c>
      <c r="I304" t="b">
        <v>1</v>
      </c>
    </row>
    <row r="305" spans="1:9">
      <c r="A305" t="s">
        <v>1710</v>
      </c>
      <c r="B305" t="s">
        <v>10</v>
      </c>
      <c r="C305" t="s">
        <v>1711</v>
      </c>
      <c r="D305" t="s">
        <v>1662</v>
      </c>
      <c r="E305" t="s">
        <v>1507</v>
      </c>
      <c r="F305" t="s">
        <v>1712</v>
      </c>
      <c r="G305" t="s">
        <v>1713</v>
      </c>
      <c r="H305" t="s">
        <v>1714</v>
      </c>
      <c r="I305" t="b">
        <v>1</v>
      </c>
    </row>
    <row r="306" spans="1:9">
      <c r="A306" t="s">
        <v>1715</v>
      </c>
      <c r="B306" t="s">
        <v>10</v>
      </c>
      <c r="C306" t="s">
        <v>1716</v>
      </c>
      <c r="D306" t="s">
        <v>1700</v>
      </c>
      <c r="E306" t="s">
        <v>1507</v>
      </c>
      <c r="F306" t="s">
        <v>1717</v>
      </c>
      <c r="G306" t="s">
        <v>1718</v>
      </c>
      <c r="H306" t="s">
        <v>1719</v>
      </c>
      <c r="I306" t="b">
        <v>1</v>
      </c>
    </row>
    <row r="307" spans="1:9">
      <c r="A307" t="s">
        <v>1720</v>
      </c>
      <c r="B307" t="s">
        <v>10</v>
      </c>
      <c r="C307" t="s">
        <v>1721</v>
      </c>
      <c r="D307" t="s">
        <v>1722</v>
      </c>
      <c r="E307" t="s">
        <v>1507</v>
      </c>
      <c r="F307" t="s">
        <v>1723</v>
      </c>
      <c r="G307" t="s">
        <v>1724</v>
      </c>
      <c r="H307" t="s">
        <v>1725</v>
      </c>
      <c r="I307" t="b">
        <v>1</v>
      </c>
    </row>
    <row r="308" spans="1:9">
      <c r="A308" t="s">
        <v>1726</v>
      </c>
      <c r="B308" t="s">
        <v>10</v>
      </c>
      <c r="C308" t="s">
        <v>1727</v>
      </c>
      <c r="D308" t="s">
        <v>1728</v>
      </c>
      <c r="E308" t="s">
        <v>1507</v>
      </c>
      <c r="F308" t="s">
        <v>1729</v>
      </c>
      <c r="G308" t="s">
        <v>1730</v>
      </c>
      <c r="H308" t="s">
        <v>1731</v>
      </c>
      <c r="I308" t="b">
        <v>1</v>
      </c>
    </row>
    <row r="309" spans="1:9">
      <c r="A309" t="s">
        <v>1732</v>
      </c>
      <c r="B309" t="s">
        <v>10</v>
      </c>
      <c r="C309" t="s">
        <v>1733</v>
      </c>
      <c r="D309" t="s">
        <v>1734</v>
      </c>
      <c r="E309" t="s">
        <v>1507</v>
      </c>
      <c r="F309" t="s">
        <v>1735</v>
      </c>
      <c r="G309" t="s">
        <v>1736</v>
      </c>
      <c r="H309" t="s">
        <v>1737</v>
      </c>
      <c r="I309" t="b">
        <v>1</v>
      </c>
    </row>
    <row r="310" spans="1:9">
      <c r="A310" t="s">
        <v>1738</v>
      </c>
      <c r="B310" t="s">
        <v>10</v>
      </c>
      <c r="C310" t="s">
        <v>1739</v>
      </c>
      <c r="D310" t="s">
        <v>1662</v>
      </c>
      <c r="E310" t="s">
        <v>1507</v>
      </c>
      <c r="F310" t="s">
        <v>1740</v>
      </c>
      <c r="G310" t="s">
        <v>1741</v>
      </c>
      <c r="H310" t="s">
        <v>1742</v>
      </c>
      <c r="I310" t="b">
        <v>1</v>
      </c>
    </row>
    <row r="311" spans="1:9">
      <c r="A311" t="s">
        <v>1743</v>
      </c>
      <c r="B311" t="s">
        <v>18</v>
      </c>
      <c r="C311" t="s">
        <v>1744</v>
      </c>
      <c r="D311" t="s">
        <v>1745</v>
      </c>
      <c r="E311" t="s">
        <v>1507</v>
      </c>
      <c r="F311" t="s">
        <v>1746</v>
      </c>
      <c r="G311" t="s">
        <v>1747</v>
      </c>
      <c r="H311" t="s">
        <v>1748</v>
      </c>
      <c r="I311" t="b">
        <v>1</v>
      </c>
    </row>
    <row r="312" spans="1:9">
      <c r="A312" t="s">
        <v>1749</v>
      </c>
      <c r="B312" t="s">
        <v>10</v>
      </c>
      <c r="C312" t="s">
        <v>1750</v>
      </c>
      <c r="D312" t="s">
        <v>1734</v>
      </c>
      <c r="E312" t="s">
        <v>1507</v>
      </c>
      <c r="F312" t="s">
        <v>1751</v>
      </c>
      <c r="G312" t="s">
        <v>1752</v>
      </c>
      <c r="H312" t="s">
        <v>1753</v>
      </c>
      <c r="I312" t="b">
        <v>1</v>
      </c>
    </row>
    <row r="313" spans="1:9">
      <c r="A313" t="s">
        <v>1754</v>
      </c>
      <c r="B313" t="s">
        <v>10</v>
      </c>
      <c r="C313" t="s">
        <v>1755</v>
      </c>
      <c r="D313" t="s">
        <v>1756</v>
      </c>
      <c r="E313" t="s">
        <v>667</v>
      </c>
      <c r="F313" t="s">
        <v>1757</v>
      </c>
      <c r="G313" t="s">
        <v>30</v>
      </c>
      <c r="H313" t="s">
        <v>1758</v>
      </c>
      <c r="I31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71EA-D256-48E9-B2C5-F55D99D23F39}">
  <sheetPr filterMode="1"/>
  <dimension ref="A1:I4837"/>
  <sheetViews>
    <sheetView topLeftCell="A4586" workbookViewId="0">
      <selection sqref="A1:I4837"/>
    </sheetView>
  </sheetViews>
  <sheetFormatPr defaultColWidth="11.42578125" defaultRowHeight="14.45"/>
  <cols>
    <col min="1" max="1" width="43.7109375" customWidth="1"/>
    <col min="8" max="8" width="53.85546875" customWidth="1"/>
    <col min="9" max="9" width="19.85546875" customWidth="1"/>
  </cols>
  <sheetData>
    <row r="1" spans="1:9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idden="1">
      <c r="A2" s="1" t="s">
        <v>1759</v>
      </c>
      <c r="B2" s="1" t="s">
        <v>10</v>
      </c>
      <c r="C2" s="1" t="s">
        <v>1760</v>
      </c>
      <c r="D2" s="1" t="s">
        <v>13</v>
      </c>
      <c r="E2" s="1" t="s">
        <v>13</v>
      </c>
      <c r="F2" s="1" t="s">
        <v>30</v>
      </c>
      <c r="G2" s="1" t="s">
        <v>1761</v>
      </c>
      <c r="H2" s="1" t="s">
        <v>1762</v>
      </c>
      <c r="I2" t="b">
        <f>COUNTIF(Estadísticas!I:I,'centraldecomunicacion.es'!H2)&gt;0</f>
        <v>0</v>
      </c>
    </row>
    <row r="3" spans="1:9" hidden="1">
      <c r="A3" s="1" t="s">
        <v>1763</v>
      </c>
      <c r="B3" s="1" t="s">
        <v>10</v>
      </c>
      <c r="C3" s="1" t="s">
        <v>1764</v>
      </c>
      <c r="D3" s="1" t="s">
        <v>13</v>
      </c>
      <c r="E3" s="1" t="s">
        <v>13</v>
      </c>
      <c r="F3" s="1" t="s">
        <v>1765</v>
      </c>
      <c r="G3" s="1" t="s">
        <v>1766</v>
      </c>
      <c r="H3" s="1" t="s">
        <v>1767</v>
      </c>
      <c r="I3" t="b">
        <f>COUNTIF(Estadísticas!I:I,'centraldecomunicacion.es'!H3)&gt;0</f>
        <v>0</v>
      </c>
    </row>
    <row r="4" spans="1:9" hidden="1">
      <c r="A4" s="1" t="s">
        <v>1768</v>
      </c>
      <c r="B4" s="1" t="s">
        <v>10</v>
      </c>
      <c r="C4" s="1" t="s">
        <v>1769</v>
      </c>
      <c r="D4" s="1" t="s">
        <v>13</v>
      </c>
      <c r="E4" s="1" t="s">
        <v>13</v>
      </c>
      <c r="F4" s="1" t="s">
        <v>1770</v>
      </c>
      <c r="G4" s="1" t="s">
        <v>1771</v>
      </c>
      <c r="H4" s="1" t="s">
        <v>1772</v>
      </c>
      <c r="I4" t="b">
        <f>COUNTIF(Estadísticas!I:I,'centraldecomunicacion.es'!H4)&gt;0</f>
        <v>0</v>
      </c>
    </row>
    <row r="5" spans="1:9" hidden="1">
      <c r="A5" s="1" t="s">
        <v>1773</v>
      </c>
      <c r="B5" s="1" t="s">
        <v>18</v>
      </c>
      <c r="C5" s="1" t="s">
        <v>1774</v>
      </c>
      <c r="D5" s="1" t="s">
        <v>13</v>
      </c>
      <c r="E5" s="1" t="s">
        <v>13</v>
      </c>
      <c r="F5" s="1" t="s">
        <v>1775</v>
      </c>
      <c r="G5" s="1" t="s">
        <v>1776</v>
      </c>
      <c r="H5" s="1" t="s">
        <v>1762</v>
      </c>
      <c r="I5" t="b">
        <f>COUNTIF(Estadísticas!I:I,'centraldecomunicacion.es'!H5)&gt;0</f>
        <v>0</v>
      </c>
    </row>
    <row r="6" spans="1:9" hidden="1">
      <c r="A6" s="1" t="s">
        <v>1777</v>
      </c>
      <c r="B6" s="1" t="s">
        <v>10</v>
      </c>
      <c r="C6" s="1" t="s">
        <v>30</v>
      </c>
      <c r="D6" s="1" t="s">
        <v>31</v>
      </c>
      <c r="E6" s="1" t="s">
        <v>30</v>
      </c>
      <c r="F6" s="1" t="s">
        <v>30</v>
      </c>
      <c r="G6" s="1" t="s">
        <v>1778</v>
      </c>
      <c r="H6" s="1" t="s">
        <v>1762</v>
      </c>
      <c r="I6" t="b">
        <f>COUNTIF(Estadísticas!I:I,'centraldecomunicacion.es'!H6)&gt;0</f>
        <v>0</v>
      </c>
    </row>
    <row r="7" spans="1:9" hidden="1">
      <c r="A7" s="1" t="s">
        <v>1779</v>
      </c>
      <c r="B7" s="1" t="s">
        <v>10</v>
      </c>
      <c r="C7" s="1" t="s">
        <v>1780</v>
      </c>
      <c r="D7" s="1" t="s">
        <v>13</v>
      </c>
      <c r="E7" s="1" t="s">
        <v>13</v>
      </c>
      <c r="F7" s="1" t="s">
        <v>1781</v>
      </c>
      <c r="G7" s="1" t="s">
        <v>1782</v>
      </c>
      <c r="H7" s="1" t="s">
        <v>1783</v>
      </c>
      <c r="I7" t="b">
        <f>COUNTIF(Estadísticas!I:I,'centraldecomunicacion.es'!H7)&gt;0</f>
        <v>0</v>
      </c>
    </row>
    <row r="8" spans="1:9" hidden="1">
      <c r="A8" s="1" t="s">
        <v>1784</v>
      </c>
      <c r="B8" s="1" t="s">
        <v>10</v>
      </c>
      <c r="C8" s="1" t="s">
        <v>1785</v>
      </c>
      <c r="D8" s="1" t="s">
        <v>13</v>
      </c>
      <c r="E8" s="1" t="s">
        <v>13</v>
      </c>
      <c r="F8" s="1" t="s">
        <v>30</v>
      </c>
      <c r="G8" s="1" t="s">
        <v>1786</v>
      </c>
      <c r="H8" s="1" t="s">
        <v>1762</v>
      </c>
      <c r="I8" t="b">
        <f>COUNTIF(Estadísticas!I:I,'centraldecomunicacion.es'!H8)&gt;0</f>
        <v>0</v>
      </c>
    </row>
    <row r="9" spans="1:9" hidden="1">
      <c r="A9" s="1" t="s">
        <v>1787</v>
      </c>
      <c r="B9" s="1" t="s">
        <v>18</v>
      </c>
      <c r="C9" s="1" t="s">
        <v>1788</v>
      </c>
      <c r="D9" s="1" t="s">
        <v>13</v>
      </c>
      <c r="E9" s="1" t="s">
        <v>13</v>
      </c>
      <c r="F9" s="1" t="s">
        <v>1775</v>
      </c>
      <c r="G9" s="1" t="s">
        <v>1789</v>
      </c>
      <c r="H9" s="1" t="s">
        <v>1762</v>
      </c>
      <c r="I9" t="b">
        <f>COUNTIF(Estadísticas!I:I,'centraldecomunicacion.es'!H9)&gt;0</f>
        <v>0</v>
      </c>
    </row>
    <row r="10" spans="1:9" hidden="1">
      <c r="A10" s="1" t="s">
        <v>1790</v>
      </c>
      <c r="B10" s="1" t="s">
        <v>18</v>
      </c>
      <c r="C10" s="1" t="s">
        <v>1791</v>
      </c>
      <c r="D10" s="1" t="s">
        <v>13</v>
      </c>
      <c r="E10" s="1" t="s">
        <v>13</v>
      </c>
      <c r="F10" s="1" t="s">
        <v>1792</v>
      </c>
      <c r="G10" s="1" t="s">
        <v>1793</v>
      </c>
      <c r="H10" s="1" t="s">
        <v>1762</v>
      </c>
      <c r="I10" t="b">
        <f>COUNTIF(Estadísticas!I:I,'centraldecomunicacion.es'!H10)&gt;0</f>
        <v>0</v>
      </c>
    </row>
    <row r="11" spans="1:9" hidden="1">
      <c r="A11" s="1" t="s">
        <v>1794</v>
      </c>
      <c r="B11" s="1" t="s">
        <v>10</v>
      </c>
      <c r="C11" s="1" t="s">
        <v>1795</v>
      </c>
      <c r="D11" s="1" t="s">
        <v>13</v>
      </c>
      <c r="E11" s="1" t="s">
        <v>13</v>
      </c>
      <c r="F11" s="1" t="s">
        <v>30</v>
      </c>
      <c r="G11" s="1" t="s">
        <v>1796</v>
      </c>
      <c r="H11" s="1" t="s">
        <v>1762</v>
      </c>
      <c r="I11" t="b">
        <f>COUNTIF(Estadísticas!I:I,'centraldecomunicacion.es'!H11)&gt;0</f>
        <v>0</v>
      </c>
    </row>
    <row r="12" spans="1:9">
      <c r="A12" s="1" t="s">
        <v>9</v>
      </c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t="b">
        <f>COUNTIF(Estadísticas!I:I,'centraldecomunicacion.es'!H12)&gt;0</f>
        <v>1</v>
      </c>
    </row>
    <row r="13" spans="1:9">
      <c r="A13" s="1" t="s">
        <v>17</v>
      </c>
      <c r="B13" s="1" t="s">
        <v>18</v>
      </c>
      <c r="C13" s="1" t="s">
        <v>19</v>
      </c>
      <c r="D13" s="1" t="s">
        <v>13</v>
      </c>
      <c r="E13" s="1" t="s">
        <v>13</v>
      </c>
      <c r="F13" s="1" t="s">
        <v>20</v>
      </c>
      <c r="G13" s="1" t="s">
        <v>21</v>
      </c>
      <c r="H13" s="1" t="s">
        <v>22</v>
      </c>
      <c r="I13" t="b">
        <f>COUNTIF(Estadísticas!I:I,'centraldecomunicacion.es'!H13)&gt;0</f>
        <v>1</v>
      </c>
    </row>
    <row r="14" spans="1:9" hidden="1">
      <c r="A14" s="1" t="s">
        <v>1797</v>
      </c>
      <c r="B14" s="1" t="s">
        <v>10</v>
      </c>
      <c r="C14" s="1" t="s">
        <v>1798</v>
      </c>
      <c r="D14" s="1" t="s">
        <v>13</v>
      </c>
      <c r="E14" s="1" t="s">
        <v>13</v>
      </c>
      <c r="F14" s="1" t="s">
        <v>30</v>
      </c>
      <c r="G14" s="1" t="s">
        <v>1799</v>
      </c>
      <c r="H14" s="1" t="s">
        <v>1762</v>
      </c>
      <c r="I14" t="b">
        <f>COUNTIF(Estadísticas!I:I,'centraldecomunicacion.es'!H14)&gt;0</f>
        <v>0</v>
      </c>
    </row>
    <row r="15" spans="1:9" hidden="1">
      <c r="A15" s="1" t="s">
        <v>1800</v>
      </c>
      <c r="B15" s="1" t="s">
        <v>10</v>
      </c>
      <c r="C15" s="1" t="s">
        <v>1801</v>
      </c>
      <c r="D15" s="1" t="s">
        <v>13</v>
      </c>
      <c r="E15" s="1" t="s">
        <v>13</v>
      </c>
      <c r="F15" s="1" t="s">
        <v>30</v>
      </c>
      <c r="G15" s="1" t="s">
        <v>1802</v>
      </c>
      <c r="H15" s="1" t="s">
        <v>1762</v>
      </c>
      <c r="I15" t="b">
        <f>COUNTIF(Estadísticas!I:I,'centraldecomunicacion.es'!H15)&gt;0</f>
        <v>0</v>
      </c>
    </row>
    <row r="16" spans="1:9" hidden="1">
      <c r="A16" s="1" t="s">
        <v>1803</v>
      </c>
      <c r="B16" s="1" t="s">
        <v>10</v>
      </c>
      <c r="C16" s="1" t="s">
        <v>1804</v>
      </c>
      <c r="D16" s="1" t="s">
        <v>13</v>
      </c>
      <c r="E16" s="1" t="s">
        <v>13</v>
      </c>
      <c r="F16" s="1" t="s">
        <v>30</v>
      </c>
      <c r="G16" s="1" t="s">
        <v>1805</v>
      </c>
      <c r="H16" s="1" t="s">
        <v>1762</v>
      </c>
      <c r="I16" t="b">
        <f>COUNTIF(Estadísticas!I:I,'centraldecomunicacion.es'!H16)&gt;0</f>
        <v>0</v>
      </c>
    </row>
    <row r="17" spans="1:9" hidden="1">
      <c r="A17" s="1" t="s">
        <v>1806</v>
      </c>
      <c r="B17" s="1" t="s">
        <v>10</v>
      </c>
      <c r="C17" s="1" t="s">
        <v>1807</v>
      </c>
      <c r="D17" s="1" t="s">
        <v>13</v>
      </c>
      <c r="E17" s="1" t="s">
        <v>13</v>
      </c>
      <c r="F17" s="1" t="s">
        <v>30</v>
      </c>
      <c r="G17" s="1" t="s">
        <v>1808</v>
      </c>
      <c r="H17" s="1" t="s">
        <v>1762</v>
      </c>
      <c r="I17" t="b">
        <f>COUNTIF(Estadísticas!I:I,'centraldecomunicacion.es'!H17)&gt;0</f>
        <v>0</v>
      </c>
    </row>
    <row r="18" spans="1:9" hidden="1">
      <c r="A18" s="1" t="s">
        <v>1809</v>
      </c>
      <c r="B18" s="1" t="s">
        <v>10</v>
      </c>
      <c r="C18" s="1" t="s">
        <v>1810</v>
      </c>
      <c r="D18" s="1" t="s">
        <v>13</v>
      </c>
      <c r="E18" s="1" t="s">
        <v>13</v>
      </c>
      <c r="F18" s="1" t="s">
        <v>1811</v>
      </c>
      <c r="G18" s="1" t="s">
        <v>1812</v>
      </c>
      <c r="H18" s="1" t="s">
        <v>1762</v>
      </c>
      <c r="I18" t="b">
        <f>COUNTIF(Estadísticas!I:I,'centraldecomunicacion.es'!H18)&gt;0</f>
        <v>0</v>
      </c>
    </row>
    <row r="19" spans="1:9" hidden="1">
      <c r="A19" s="1" t="s">
        <v>1813</v>
      </c>
      <c r="B19" s="1" t="s">
        <v>10</v>
      </c>
      <c r="C19" s="1" t="s">
        <v>30</v>
      </c>
      <c r="D19" s="1" t="s">
        <v>31</v>
      </c>
      <c r="E19" s="1" t="s">
        <v>30</v>
      </c>
      <c r="F19" s="1" t="s">
        <v>1814</v>
      </c>
      <c r="G19" s="1" t="s">
        <v>1815</v>
      </c>
      <c r="H19" s="1" t="s">
        <v>1816</v>
      </c>
      <c r="I19" t="b">
        <f>COUNTIF(Estadísticas!I:I,'centraldecomunicacion.es'!H19)&gt;0</f>
        <v>0</v>
      </c>
    </row>
    <row r="20" spans="1:9" hidden="1">
      <c r="A20" s="1" t="s">
        <v>1817</v>
      </c>
      <c r="B20" s="1" t="s">
        <v>10</v>
      </c>
      <c r="C20" s="1" t="s">
        <v>1818</v>
      </c>
      <c r="D20" s="1" t="s">
        <v>13</v>
      </c>
      <c r="E20" s="1" t="s">
        <v>13</v>
      </c>
      <c r="F20" s="1" t="s">
        <v>1819</v>
      </c>
      <c r="G20" s="1" t="s">
        <v>1820</v>
      </c>
      <c r="H20" s="1" t="s">
        <v>1821</v>
      </c>
      <c r="I20" t="b">
        <f>COUNTIF(Estadísticas!I:I,'centraldecomunicacion.es'!H20)&gt;0</f>
        <v>0</v>
      </c>
    </row>
    <row r="21" spans="1:9" hidden="1">
      <c r="A21" s="1" t="s">
        <v>1822</v>
      </c>
      <c r="B21" s="1" t="s">
        <v>18</v>
      </c>
      <c r="C21" s="1" t="s">
        <v>1823</v>
      </c>
      <c r="D21" s="1" t="s">
        <v>13</v>
      </c>
      <c r="E21" s="1" t="s">
        <v>13</v>
      </c>
      <c r="F21" s="1" t="s">
        <v>1824</v>
      </c>
      <c r="G21" s="1" t="s">
        <v>1825</v>
      </c>
      <c r="H21" s="1" t="s">
        <v>1762</v>
      </c>
      <c r="I21" t="b">
        <f>COUNTIF(Estadísticas!I:I,'centraldecomunicacion.es'!H21)&gt;0</f>
        <v>0</v>
      </c>
    </row>
    <row r="22" spans="1:9" hidden="1">
      <c r="A22" s="1" t="s">
        <v>1826</v>
      </c>
      <c r="B22" s="1" t="s">
        <v>10</v>
      </c>
      <c r="C22" s="1" t="s">
        <v>1827</v>
      </c>
      <c r="D22" s="1" t="s">
        <v>13</v>
      </c>
      <c r="E22" s="1" t="s">
        <v>13</v>
      </c>
      <c r="F22" s="1" t="s">
        <v>30</v>
      </c>
      <c r="G22" s="1" t="s">
        <v>1828</v>
      </c>
      <c r="H22" s="1" t="s">
        <v>1762</v>
      </c>
      <c r="I22" t="b">
        <f>COUNTIF(Estadísticas!I:I,'centraldecomunicacion.es'!H22)&gt;0</f>
        <v>0</v>
      </c>
    </row>
    <row r="23" spans="1:9" hidden="1">
      <c r="A23" s="1" t="s">
        <v>1829</v>
      </c>
      <c r="B23" s="1" t="s">
        <v>10</v>
      </c>
      <c r="C23" s="1" t="s">
        <v>30</v>
      </c>
      <c r="D23" s="1" t="s">
        <v>31</v>
      </c>
      <c r="E23" s="1" t="s">
        <v>30</v>
      </c>
      <c r="F23" s="1" t="s">
        <v>1830</v>
      </c>
      <c r="G23" s="1" t="s">
        <v>1831</v>
      </c>
      <c r="H23" s="1" t="s">
        <v>1762</v>
      </c>
      <c r="I23" t="b">
        <f>COUNTIF(Estadísticas!I:I,'centraldecomunicacion.es'!H23)&gt;0</f>
        <v>0</v>
      </c>
    </row>
    <row r="24" spans="1:9" hidden="1">
      <c r="A24" s="1" t="s">
        <v>1832</v>
      </c>
      <c r="B24" s="1" t="s">
        <v>10</v>
      </c>
      <c r="C24" s="1" t="s">
        <v>1833</v>
      </c>
      <c r="D24" s="1" t="s">
        <v>13</v>
      </c>
      <c r="E24" s="1" t="s">
        <v>13</v>
      </c>
      <c r="F24" s="1" t="s">
        <v>30</v>
      </c>
      <c r="G24" s="1" t="s">
        <v>1834</v>
      </c>
      <c r="H24" s="1" t="s">
        <v>1762</v>
      </c>
      <c r="I24" t="b">
        <f>COUNTIF(Estadísticas!I:I,'centraldecomunicacion.es'!H24)&gt;0</f>
        <v>0</v>
      </c>
    </row>
    <row r="25" spans="1:9" hidden="1">
      <c r="A25" s="1" t="s">
        <v>1835</v>
      </c>
      <c r="B25" s="1" t="s">
        <v>10</v>
      </c>
      <c r="C25" s="1" t="s">
        <v>1836</v>
      </c>
      <c r="D25" s="1" t="s">
        <v>13</v>
      </c>
      <c r="E25" s="1" t="s">
        <v>13</v>
      </c>
      <c r="F25" s="1" t="s">
        <v>30</v>
      </c>
      <c r="G25" s="1" t="s">
        <v>1766</v>
      </c>
      <c r="H25" s="1" t="s">
        <v>1762</v>
      </c>
      <c r="I25" t="b">
        <f>COUNTIF(Estadísticas!I:I,'centraldecomunicacion.es'!H25)&gt;0</f>
        <v>0</v>
      </c>
    </row>
    <row r="26" spans="1:9" hidden="1">
      <c r="A26" s="1" t="s">
        <v>1837</v>
      </c>
      <c r="B26" s="1" t="s">
        <v>10</v>
      </c>
      <c r="C26" s="1" t="s">
        <v>1838</v>
      </c>
      <c r="D26" s="1" t="s">
        <v>13</v>
      </c>
      <c r="E26" s="1" t="s">
        <v>13</v>
      </c>
      <c r="F26" s="1" t="s">
        <v>30</v>
      </c>
      <c r="G26" s="1" t="s">
        <v>30</v>
      </c>
      <c r="H26" s="1" t="s">
        <v>1762</v>
      </c>
      <c r="I26" t="b">
        <f>COUNTIF(Estadísticas!I:I,'centraldecomunicacion.es'!H26)&gt;0</f>
        <v>0</v>
      </c>
    </row>
    <row r="27" spans="1:9" hidden="1">
      <c r="A27" s="1" t="s">
        <v>1839</v>
      </c>
      <c r="B27" s="1" t="s">
        <v>10</v>
      </c>
      <c r="C27" s="1" t="s">
        <v>1840</v>
      </c>
      <c r="D27" s="1" t="s">
        <v>13</v>
      </c>
      <c r="E27" s="1" t="s">
        <v>13</v>
      </c>
      <c r="F27" s="1" t="s">
        <v>1841</v>
      </c>
      <c r="G27" s="1" t="s">
        <v>1842</v>
      </c>
      <c r="H27" s="1" t="s">
        <v>1762</v>
      </c>
      <c r="I27" t="b">
        <f>COUNTIF(Estadísticas!I:I,'centraldecomunicacion.es'!H27)&gt;0</f>
        <v>0</v>
      </c>
    </row>
    <row r="28" spans="1:9" hidden="1">
      <c r="A28" s="1" t="s">
        <v>1843</v>
      </c>
      <c r="B28" s="1" t="s">
        <v>18</v>
      </c>
      <c r="C28" s="1" t="s">
        <v>1844</v>
      </c>
      <c r="D28" s="1" t="s">
        <v>13</v>
      </c>
      <c r="E28" s="1" t="s">
        <v>13</v>
      </c>
      <c r="F28" s="1" t="s">
        <v>1845</v>
      </c>
      <c r="G28" s="1" t="s">
        <v>1846</v>
      </c>
      <c r="H28" s="1" t="s">
        <v>1847</v>
      </c>
      <c r="I28" t="b">
        <f>COUNTIF(Estadísticas!I:I,'centraldecomunicacion.es'!H28)&gt;0</f>
        <v>0</v>
      </c>
    </row>
    <row r="29" spans="1:9" hidden="1">
      <c r="A29" s="1" t="s">
        <v>1848</v>
      </c>
      <c r="B29" s="1" t="s">
        <v>10</v>
      </c>
      <c r="C29" s="1" t="s">
        <v>1849</v>
      </c>
      <c r="D29" s="1" t="s">
        <v>13</v>
      </c>
      <c r="E29" s="1" t="s">
        <v>13</v>
      </c>
      <c r="F29" s="1" t="s">
        <v>30</v>
      </c>
      <c r="G29" s="1" t="s">
        <v>30</v>
      </c>
      <c r="H29" s="1" t="s">
        <v>1762</v>
      </c>
      <c r="I29" t="b">
        <f>COUNTIF(Estadísticas!I:I,'centraldecomunicacion.es'!H29)&gt;0</f>
        <v>0</v>
      </c>
    </row>
    <row r="30" spans="1:9" hidden="1">
      <c r="A30" s="1" t="s">
        <v>1850</v>
      </c>
      <c r="B30" s="1" t="s">
        <v>10</v>
      </c>
      <c r="C30" s="1" t="s">
        <v>1851</v>
      </c>
      <c r="D30" s="1" t="s">
        <v>13</v>
      </c>
      <c r="E30" s="1" t="s">
        <v>13</v>
      </c>
      <c r="F30" s="1" t="s">
        <v>1852</v>
      </c>
      <c r="G30" s="1" t="s">
        <v>30</v>
      </c>
      <c r="H30" s="1" t="s">
        <v>1762</v>
      </c>
      <c r="I30" t="b">
        <f>COUNTIF(Estadísticas!I:I,'centraldecomunicacion.es'!H30)&gt;0</f>
        <v>0</v>
      </c>
    </row>
    <row r="31" spans="1:9" hidden="1">
      <c r="A31" s="1" t="s">
        <v>1853</v>
      </c>
      <c r="B31" s="1" t="s">
        <v>10</v>
      </c>
      <c r="C31" s="1" t="s">
        <v>1854</v>
      </c>
      <c r="D31" s="1" t="s">
        <v>13</v>
      </c>
      <c r="E31" s="1" t="s">
        <v>13</v>
      </c>
      <c r="F31" s="1" t="s">
        <v>30</v>
      </c>
      <c r="G31" s="1" t="s">
        <v>30</v>
      </c>
      <c r="H31" s="1" t="s">
        <v>1762</v>
      </c>
      <c r="I31" t="b">
        <f>COUNTIF(Estadísticas!I:I,'centraldecomunicacion.es'!H31)&gt;0</f>
        <v>0</v>
      </c>
    </row>
    <row r="32" spans="1:9" hidden="1">
      <c r="A32" s="1" t="s">
        <v>1855</v>
      </c>
      <c r="B32" s="1" t="s">
        <v>10</v>
      </c>
      <c r="C32" s="1" t="s">
        <v>1856</v>
      </c>
      <c r="D32" s="1" t="s">
        <v>13</v>
      </c>
      <c r="E32" s="1" t="s">
        <v>13</v>
      </c>
      <c r="F32" s="1" t="s">
        <v>1857</v>
      </c>
      <c r="G32" s="1" t="s">
        <v>1858</v>
      </c>
      <c r="H32" s="1" t="s">
        <v>1859</v>
      </c>
      <c r="I32" t="b">
        <f>COUNTIF(Estadísticas!I:I,'centraldecomunicacion.es'!H32)&gt;0</f>
        <v>0</v>
      </c>
    </row>
    <row r="33" spans="1:9" hidden="1">
      <c r="A33" s="1" t="s">
        <v>1860</v>
      </c>
      <c r="B33" s="1" t="s">
        <v>10</v>
      </c>
      <c r="C33" s="1" t="s">
        <v>1861</v>
      </c>
      <c r="D33" s="1" t="s">
        <v>13</v>
      </c>
      <c r="E33" s="1" t="s">
        <v>13</v>
      </c>
      <c r="F33" s="1" t="s">
        <v>30</v>
      </c>
      <c r="G33" s="1" t="s">
        <v>30</v>
      </c>
      <c r="H33" s="1" t="s">
        <v>1762</v>
      </c>
      <c r="I33" t="b">
        <f>COUNTIF(Estadísticas!I:I,'centraldecomunicacion.es'!H33)&gt;0</f>
        <v>0</v>
      </c>
    </row>
    <row r="34" spans="1:9" hidden="1">
      <c r="A34" s="1" t="s">
        <v>1862</v>
      </c>
      <c r="B34" s="1" t="s">
        <v>10</v>
      </c>
      <c r="C34" s="1" t="s">
        <v>1863</v>
      </c>
      <c r="D34" s="1" t="s">
        <v>13</v>
      </c>
      <c r="E34" s="1" t="s">
        <v>13</v>
      </c>
      <c r="F34" s="1" t="s">
        <v>1864</v>
      </c>
      <c r="G34" s="1" t="s">
        <v>1865</v>
      </c>
      <c r="H34" s="1" t="s">
        <v>1762</v>
      </c>
      <c r="I34" t="b">
        <f>COUNTIF(Estadísticas!I:I,'centraldecomunicacion.es'!H34)&gt;0</f>
        <v>0</v>
      </c>
    </row>
    <row r="35" spans="1:9" hidden="1">
      <c r="A35" s="1" t="s">
        <v>1866</v>
      </c>
      <c r="B35" s="1" t="s">
        <v>10</v>
      </c>
      <c r="C35" s="1" t="s">
        <v>1867</v>
      </c>
      <c r="D35" s="1" t="s">
        <v>13</v>
      </c>
      <c r="E35" s="1" t="s">
        <v>13</v>
      </c>
      <c r="F35" s="1" t="s">
        <v>1868</v>
      </c>
      <c r="G35" s="1" t="s">
        <v>1869</v>
      </c>
      <c r="H35" s="1" t="s">
        <v>1870</v>
      </c>
      <c r="I35" t="b">
        <f>COUNTIF(Estadísticas!I:I,'centraldecomunicacion.es'!H35)&gt;0</f>
        <v>0</v>
      </c>
    </row>
    <row r="36" spans="1:9" hidden="1">
      <c r="A36" s="1" t="s">
        <v>1871</v>
      </c>
      <c r="B36" s="1" t="s">
        <v>10</v>
      </c>
      <c r="C36" s="1" t="s">
        <v>1872</v>
      </c>
      <c r="D36" s="1" t="s">
        <v>249</v>
      </c>
      <c r="E36" s="1" t="s">
        <v>13</v>
      </c>
      <c r="F36" s="1" t="s">
        <v>1873</v>
      </c>
      <c r="G36" s="1" t="s">
        <v>1874</v>
      </c>
      <c r="H36" s="1" t="s">
        <v>1875</v>
      </c>
      <c r="I36" t="b">
        <f>COUNTIF(Estadísticas!I:I,'centraldecomunicacion.es'!H36)&gt;0</f>
        <v>0</v>
      </c>
    </row>
    <row r="37" spans="1:9" hidden="1">
      <c r="A37" s="1" t="s">
        <v>1876</v>
      </c>
      <c r="B37" s="1" t="s">
        <v>10</v>
      </c>
      <c r="C37" s="1" t="s">
        <v>1877</v>
      </c>
      <c r="D37" s="1" t="s">
        <v>13</v>
      </c>
      <c r="E37" s="1" t="s">
        <v>13</v>
      </c>
      <c r="F37" s="1" t="s">
        <v>30</v>
      </c>
      <c r="G37" s="1" t="s">
        <v>1878</v>
      </c>
      <c r="H37" s="1" t="s">
        <v>1762</v>
      </c>
      <c r="I37" t="b">
        <f>COUNTIF(Estadísticas!I:I,'centraldecomunicacion.es'!H37)&gt;0</f>
        <v>0</v>
      </c>
    </row>
    <row r="38" spans="1:9" hidden="1">
      <c r="A38" s="1" t="s">
        <v>1879</v>
      </c>
      <c r="B38" s="1" t="s">
        <v>10</v>
      </c>
      <c r="C38" s="1" t="s">
        <v>1880</v>
      </c>
      <c r="D38" s="1" t="s">
        <v>13</v>
      </c>
      <c r="E38" s="1" t="s">
        <v>13</v>
      </c>
      <c r="F38" s="1" t="s">
        <v>30</v>
      </c>
      <c r="G38" s="1" t="s">
        <v>30</v>
      </c>
      <c r="H38" s="1" t="s">
        <v>1762</v>
      </c>
      <c r="I38" t="b">
        <f>COUNTIF(Estadísticas!I:I,'centraldecomunicacion.es'!H38)&gt;0</f>
        <v>0</v>
      </c>
    </row>
    <row r="39" spans="1:9" hidden="1">
      <c r="A39" s="1" t="s">
        <v>1881</v>
      </c>
      <c r="B39" s="1" t="s">
        <v>18</v>
      </c>
      <c r="C39" s="1" t="s">
        <v>1882</v>
      </c>
      <c r="D39" s="1" t="s">
        <v>13</v>
      </c>
      <c r="E39" s="1" t="s">
        <v>13</v>
      </c>
      <c r="F39" s="1" t="s">
        <v>1883</v>
      </c>
      <c r="G39" s="1" t="s">
        <v>1884</v>
      </c>
      <c r="H39" s="1" t="s">
        <v>1875</v>
      </c>
      <c r="I39" t="b">
        <f>COUNTIF(Estadísticas!I:I,'centraldecomunicacion.es'!H39)&gt;0</f>
        <v>0</v>
      </c>
    </row>
    <row r="40" spans="1:9" hidden="1">
      <c r="A40" s="1" t="s">
        <v>1885</v>
      </c>
      <c r="B40" s="1" t="s">
        <v>10</v>
      </c>
      <c r="C40" s="1" t="s">
        <v>1886</v>
      </c>
      <c r="D40" s="1" t="s">
        <v>249</v>
      </c>
      <c r="E40" s="1" t="s">
        <v>13</v>
      </c>
      <c r="F40" s="1" t="s">
        <v>1887</v>
      </c>
      <c r="G40" s="1" t="s">
        <v>1888</v>
      </c>
      <c r="H40" s="1" t="s">
        <v>1762</v>
      </c>
      <c r="I40" t="b">
        <f>COUNTIF(Estadísticas!I:I,'centraldecomunicacion.es'!H40)&gt;0</f>
        <v>0</v>
      </c>
    </row>
    <row r="41" spans="1:9">
      <c r="A41" s="1" t="s">
        <v>23</v>
      </c>
      <c r="B41" s="1" t="s">
        <v>10</v>
      </c>
      <c r="C41" s="1" t="s">
        <v>24</v>
      </c>
      <c r="D41" s="1" t="s">
        <v>25</v>
      </c>
      <c r="E41" s="1" t="s">
        <v>13</v>
      </c>
      <c r="F41" s="1" t="s">
        <v>26</v>
      </c>
      <c r="G41" s="1" t="s">
        <v>27</v>
      </c>
      <c r="H41" s="1" t="s">
        <v>28</v>
      </c>
      <c r="I41" t="b">
        <f>COUNTIF(Estadísticas!I:I,'centraldecomunicacion.es'!H41)&gt;0</f>
        <v>1</v>
      </c>
    </row>
    <row r="42" spans="1:9" hidden="1">
      <c r="A42" s="1" t="s">
        <v>1889</v>
      </c>
      <c r="B42" s="1" t="s">
        <v>10</v>
      </c>
      <c r="C42" s="1" t="s">
        <v>1890</v>
      </c>
      <c r="D42" s="1" t="s">
        <v>25</v>
      </c>
      <c r="E42" s="1" t="s">
        <v>13</v>
      </c>
      <c r="F42" s="1" t="s">
        <v>30</v>
      </c>
      <c r="G42" s="1" t="s">
        <v>30</v>
      </c>
      <c r="H42" s="1" t="s">
        <v>1762</v>
      </c>
      <c r="I42" t="b">
        <f>COUNTIF(Estadísticas!I:I,'centraldecomunicacion.es'!H42)&gt;0</f>
        <v>0</v>
      </c>
    </row>
    <row r="43" spans="1:9" hidden="1">
      <c r="A43" s="1" t="s">
        <v>1891</v>
      </c>
      <c r="B43" s="1" t="s">
        <v>10</v>
      </c>
      <c r="C43" s="1" t="s">
        <v>1880</v>
      </c>
      <c r="D43" s="1" t="s">
        <v>13</v>
      </c>
      <c r="E43" s="1" t="s">
        <v>13</v>
      </c>
      <c r="F43" s="1" t="s">
        <v>30</v>
      </c>
      <c r="G43" s="1" t="s">
        <v>30</v>
      </c>
      <c r="H43" s="1" t="s">
        <v>1762</v>
      </c>
      <c r="I43" t="b">
        <f>COUNTIF(Estadísticas!I:I,'centraldecomunicacion.es'!H43)&gt;0</f>
        <v>0</v>
      </c>
    </row>
    <row r="44" spans="1:9" hidden="1">
      <c r="A44" s="1" t="s">
        <v>1892</v>
      </c>
      <c r="B44" s="1" t="s">
        <v>10</v>
      </c>
      <c r="C44" s="1" t="s">
        <v>1893</v>
      </c>
      <c r="D44" s="1" t="s">
        <v>13</v>
      </c>
      <c r="E44" s="1" t="s">
        <v>13</v>
      </c>
      <c r="F44" s="1" t="s">
        <v>30</v>
      </c>
      <c r="G44" s="1" t="s">
        <v>1894</v>
      </c>
      <c r="H44" s="1" t="s">
        <v>1762</v>
      </c>
      <c r="I44" t="b">
        <f>COUNTIF(Estadísticas!I:I,'centraldecomunicacion.es'!H44)&gt;0</f>
        <v>0</v>
      </c>
    </row>
    <row r="45" spans="1:9">
      <c r="A45" s="1" t="s">
        <v>29</v>
      </c>
      <c r="B45" s="1" t="s">
        <v>10</v>
      </c>
      <c r="C45" s="1" t="s">
        <v>30</v>
      </c>
      <c r="D45" s="1" t="s">
        <v>31</v>
      </c>
      <c r="E45" s="1" t="s">
        <v>30</v>
      </c>
      <c r="F45" s="1" t="s">
        <v>32</v>
      </c>
      <c r="G45" s="1" t="s">
        <v>33</v>
      </c>
      <c r="H45" s="1" t="s">
        <v>34</v>
      </c>
      <c r="I45" t="b">
        <f>COUNTIF(Estadísticas!I:I,'centraldecomunicacion.es'!H45)&gt;0</f>
        <v>1</v>
      </c>
    </row>
    <row r="46" spans="1:9" hidden="1">
      <c r="A46" s="1" t="s">
        <v>1895</v>
      </c>
      <c r="B46" s="1" t="s">
        <v>10</v>
      </c>
      <c r="C46" s="1" t="s">
        <v>30</v>
      </c>
      <c r="D46" s="1" t="s">
        <v>31</v>
      </c>
      <c r="E46" s="1" t="s">
        <v>30</v>
      </c>
      <c r="F46" s="1" t="s">
        <v>30</v>
      </c>
      <c r="G46" s="1" t="s">
        <v>1896</v>
      </c>
      <c r="H46" s="1" t="s">
        <v>1762</v>
      </c>
      <c r="I46" t="b">
        <f>COUNTIF(Estadísticas!I:I,'centraldecomunicacion.es'!H46)&gt;0</f>
        <v>0</v>
      </c>
    </row>
    <row r="47" spans="1:9" hidden="1">
      <c r="A47" s="1" t="s">
        <v>1897</v>
      </c>
      <c r="B47" s="1" t="s">
        <v>10</v>
      </c>
      <c r="C47" s="1" t="s">
        <v>1898</v>
      </c>
      <c r="D47" s="1" t="s">
        <v>25</v>
      </c>
      <c r="E47" s="1" t="s">
        <v>13</v>
      </c>
      <c r="F47" s="1" t="s">
        <v>1899</v>
      </c>
      <c r="G47" s="1" t="s">
        <v>1900</v>
      </c>
      <c r="H47" s="1" t="s">
        <v>1762</v>
      </c>
      <c r="I47" t="b">
        <f>COUNTIF(Estadísticas!I:I,'centraldecomunicacion.es'!H47)&gt;0</f>
        <v>0</v>
      </c>
    </row>
    <row r="48" spans="1:9" hidden="1">
      <c r="A48" s="1" t="s">
        <v>1901</v>
      </c>
      <c r="B48" s="1" t="s">
        <v>10</v>
      </c>
      <c r="C48" s="1" t="s">
        <v>1902</v>
      </c>
      <c r="D48" s="1" t="s">
        <v>13</v>
      </c>
      <c r="E48" s="1" t="s">
        <v>13</v>
      </c>
      <c r="F48" s="1" t="s">
        <v>30</v>
      </c>
      <c r="G48" s="1" t="s">
        <v>1903</v>
      </c>
      <c r="H48" s="1" t="s">
        <v>1762</v>
      </c>
      <c r="I48" t="b">
        <f>COUNTIF(Estadísticas!I:I,'centraldecomunicacion.es'!H48)&gt;0</f>
        <v>0</v>
      </c>
    </row>
    <row r="49" spans="1:9" hidden="1">
      <c r="A49" s="1" t="s">
        <v>1904</v>
      </c>
      <c r="B49" s="1" t="s">
        <v>18</v>
      </c>
      <c r="C49" s="1" t="s">
        <v>1905</v>
      </c>
      <c r="D49" s="1" t="s">
        <v>13</v>
      </c>
      <c r="E49" s="1" t="s">
        <v>13</v>
      </c>
      <c r="F49" s="1" t="s">
        <v>30</v>
      </c>
      <c r="G49" s="1" t="s">
        <v>30</v>
      </c>
      <c r="H49" s="1" t="s">
        <v>1762</v>
      </c>
      <c r="I49" t="b">
        <f>COUNTIF(Estadísticas!I:I,'centraldecomunicacion.es'!H49)&gt;0</f>
        <v>0</v>
      </c>
    </row>
    <row r="50" spans="1:9" hidden="1">
      <c r="A50" s="1" t="s">
        <v>1906</v>
      </c>
      <c r="B50" s="1" t="s">
        <v>10</v>
      </c>
      <c r="C50" s="1" t="s">
        <v>1907</v>
      </c>
      <c r="D50" s="1" t="s">
        <v>13</v>
      </c>
      <c r="E50" s="1" t="s">
        <v>13</v>
      </c>
      <c r="F50" s="1" t="s">
        <v>30</v>
      </c>
      <c r="G50" s="1" t="s">
        <v>1908</v>
      </c>
      <c r="H50" s="1" t="s">
        <v>1762</v>
      </c>
      <c r="I50" t="b">
        <f>COUNTIF(Estadísticas!I:I,'centraldecomunicacion.es'!H50)&gt;0</f>
        <v>0</v>
      </c>
    </row>
    <row r="51" spans="1:9" hidden="1">
      <c r="A51" s="1" t="s">
        <v>1909</v>
      </c>
      <c r="B51" s="1" t="s">
        <v>10</v>
      </c>
      <c r="C51" s="1" t="s">
        <v>1910</v>
      </c>
      <c r="D51" s="1" t="s">
        <v>25</v>
      </c>
      <c r="E51" s="1" t="s">
        <v>13</v>
      </c>
      <c r="F51" s="1" t="s">
        <v>1911</v>
      </c>
      <c r="G51" s="1" t="s">
        <v>1912</v>
      </c>
      <c r="H51" s="1" t="s">
        <v>1762</v>
      </c>
      <c r="I51" t="b">
        <f>COUNTIF(Estadísticas!I:I,'centraldecomunicacion.es'!H51)&gt;0</f>
        <v>0</v>
      </c>
    </row>
    <row r="52" spans="1:9" hidden="1">
      <c r="A52" s="1" t="s">
        <v>1913</v>
      </c>
      <c r="B52" s="1" t="s">
        <v>10</v>
      </c>
      <c r="C52" s="1" t="s">
        <v>1914</v>
      </c>
      <c r="D52" s="1" t="s">
        <v>1915</v>
      </c>
      <c r="E52" s="1" t="s">
        <v>13</v>
      </c>
      <c r="F52" s="1" t="s">
        <v>30</v>
      </c>
      <c r="G52" s="1" t="s">
        <v>1916</v>
      </c>
      <c r="H52" s="1" t="s">
        <v>1762</v>
      </c>
      <c r="I52" t="b">
        <f>COUNTIF(Estadísticas!I:I,'centraldecomunicacion.es'!H52)&gt;0</f>
        <v>0</v>
      </c>
    </row>
    <row r="53" spans="1:9" hidden="1">
      <c r="A53" s="1" t="s">
        <v>1917</v>
      </c>
      <c r="B53" s="1" t="s">
        <v>10</v>
      </c>
      <c r="C53" s="1" t="s">
        <v>1918</v>
      </c>
      <c r="D53" s="1" t="s">
        <v>1915</v>
      </c>
      <c r="E53" s="1" t="s">
        <v>13</v>
      </c>
      <c r="F53" s="1" t="s">
        <v>30</v>
      </c>
      <c r="G53" s="1" t="s">
        <v>1919</v>
      </c>
      <c r="H53" s="1" t="s">
        <v>1762</v>
      </c>
      <c r="I53" t="b">
        <f>COUNTIF(Estadísticas!I:I,'centraldecomunicacion.es'!H53)&gt;0</f>
        <v>0</v>
      </c>
    </row>
    <row r="54" spans="1:9" hidden="1">
      <c r="A54" s="1" t="s">
        <v>1920</v>
      </c>
      <c r="B54" s="1" t="s">
        <v>10</v>
      </c>
      <c r="C54" s="1" t="s">
        <v>1921</v>
      </c>
      <c r="D54" s="1" t="s">
        <v>1922</v>
      </c>
      <c r="E54" s="1" t="s">
        <v>13</v>
      </c>
      <c r="F54" s="1" t="s">
        <v>30</v>
      </c>
      <c r="G54" s="1" t="s">
        <v>1923</v>
      </c>
      <c r="H54" s="1" t="s">
        <v>1762</v>
      </c>
      <c r="I54" t="b">
        <f>COUNTIF(Estadísticas!I:I,'centraldecomunicacion.es'!H54)&gt;0</f>
        <v>0</v>
      </c>
    </row>
    <row r="55" spans="1:9" hidden="1">
      <c r="A55" s="1" t="s">
        <v>1924</v>
      </c>
      <c r="B55" s="1" t="s">
        <v>10</v>
      </c>
      <c r="C55" s="1" t="s">
        <v>1925</v>
      </c>
      <c r="D55" s="1" t="s">
        <v>1915</v>
      </c>
      <c r="E55" s="1" t="s">
        <v>13</v>
      </c>
      <c r="F55" s="1" t="s">
        <v>30</v>
      </c>
      <c r="G55" s="1" t="s">
        <v>1926</v>
      </c>
      <c r="H55" s="1" t="s">
        <v>1762</v>
      </c>
      <c r="I55" t="b">
        <f>COUNTIF(Estadísticas!I:I,'centraldecomunicacion.es'!H55)&gt;0</f>
        <v>0</v>
      </c>
    </row>
    <row r="56" spans="1:9" hidden="1">
      <c r="A56" s="1" t="s">
        <v>1927</v>
      </c>
      <c r="B56" s="1" t="s">
        <v>10</v>
      </c>
      <c r="C56" s="1" t="s">
        <v>1928</v>
      </c>
      <c r="D56" s="1" t="s">
        <v>1929</v>
      </c>
      <c r="E56" s="1" t="s">
        <v>13</v>
      </c>
      <c r="F56" s="1" t="s">
        <v>30</v>
      </c>
      <c r="G56" s="1" t="s">
        <v>1930</v>
      </c>
      <c r="H56" s="1" t="s">
        <v>1762</v>
      </c>
      <c r="I56" t="b">
        <f>COUNTIF(Estadísticas!I:I,'centraldecomunicacion.es'!H56)&gt;0</f>
        <v>0</v>
      </c>
    </row>
    <row r="57" spans="1:9" hidden="1">
      <c r="A57" s="1" t="s">
        <v>1931</v>
      </c>
      <c r="B57" s="1" t="s">
        <v>10</v>
      </c>
      <c r="C57" s="1" t="s">
        <v>1932</v>
      </c>
      <c r="D57" s="1" t="s">
        <v>1929</v>
      </c>
      <c r="E57" s="1" t="s">
        <v>13</v>
      </c>
      <c r="F57" s="1" t="s">
        <v>30</v>
      </c>
      <c r="G57" s="1" t="s">
        <v>1933</v>
      </c>
      <c r="H57" s="1" t="s">
        <v>1762</v>
      </c>
      <c r="I57" t="b">
        <f>COUNTIF(Estadísticas!I:I,'centraldecomunicacion.es'!H57)&gt;0</f>
        <v>0</v>
      </c>
    </row>
    <row r="58" spans="1:9" hidden="1">
      <c r="A58" s="1" t="s">
        <v>1934</v>
      </c>
      <c r="B58" s="1" t="s">
        <v>10</v>
      </c>
      <c r="C58" s="1" t="s">
        <v>30</v>
      </c>
      <c r="D58" s="1" t="s">
        <v>31</v>
      </c>
      <c r="E58" s="1" t="s">
        <v>30</v>
      </c>
      <c r="F58" s="1" t="s">
        <v>1935</v>
      </c>
      <c r="G58" s="1" t="s">
        <v>1936</v>
      </c>
      <c r="H58" s="1" t="s">
        <v>1767</v>
      </c>
      <c r="I58" t="b">
        <f>COUNTIF(Estadísticas!I:I,'centraldecomunicacion.es'!H58)&gt;0</f>
        <v>0</v>
      </c>
    </row>
    <row r="59" spans="1:9" hidden="1">
      <c r="A59" s="1" t="s">
        <v>1937</v>
      </c>
      <c r="B59" s="1" t="s">
        <v>10</v>
      </c>
      <c r="C59" s="1" t="s">
        <v>1938</v>
      </c>
      <c r="D59" s="1" t="s">
        <v>1939</v>
      </c>
      <c r="E59" s="1" t="s">
        <v>13</v>
      </c>
      <c r="F59" s="1" t="s">
        <v>30</v>
      </c>
      <c r="G59" s="1" t="s">
        <v>30</v>
      </c>
      <c r="H59" s="1" t="s">
        <v>1762</v>
      </c>
      <c r="I59" t="b">
        <f>COUNTIF(Estadísticas!I:I,'centraldecomunicacion.es'!H59)&gt;0</f>
        <v>0</v>
      </c>
    </row>
    <row r="60" spans="1:9" hidden="1">
      <c r="A60" s="1" t="s">
        <v>1940</v>
      </c>
      <c r="B60" s="1" t="s">
        <v>10</v>
      </c>
      <c r="C60" s="1" t="s">
        <v>1941</v>
      </c>
      <c r="D60" s="1" t="s">
        <v>249</v>
      </c>
      <c r="E60" s="1" t="s">
        <v>13</v>
      </c>
      <c r="F60" s="1" t="s">
        <v>30</v>
      </c>
      <c r="G60" s="1" t="s">
        <v>1942</v>
      </c>
      <c r="H60" s="1" t="s">
        <v>1762</v>
      </c>
      <c r="I60" t="b">
        <f>COUNTIF(Estadísticas!I:I,'centraldecomunicacion.es'!H60)&gt;0</f>
        <v>0</v>
      </c>
    </row>
    <row r="61" spans="1:9" hidden="1">
      <c r="A61" s="1" t="s">
        <v>1943</v>
      </c>
      <c r="B61" s="1" t="s">
        <v>10</v>
      </c>
      <c r="C61" s="1" t="s">
        <v>30</v>
      </c>
      <c r="D61" s="1" t="s">
        <v>31</v>
      </c>
      <c r="E61" s="1" t="s">
        <v>30</v>
      </c>
      <c r="F61" s="1" t="s">
        <v>1935</v>
      </c>
      <c r="G61" s="1" t="s">
        <v>1944</v>
      </c>
      <c r="H61" s="1" t="s">
        <v>1767</v>
      </c>
      <c r="I61" t="b">
        <f>COUNTIF(Estadísticas!I:I,'centraldecomunicacion.es'!H61)&gt;0</f>
        <v>0</v>
      </c>
    </row>
    <row r="62" spans="1:9" hidden="1">
      <c r="A62" s="1" t="s">
        <v>1945</v>
      </c>
      <c r="B62" s="1" t="s">
        <v>10</v>
      </c>
      <c r="C62" s="1" t="s">
        <v>1946</v>
      </c>
      <c r="D62" s="1" t="s">
        <v>1915</v>
      </c>
      <c r="E62" s="1" t="s">
        <v>13</v>
      </c>
      <c r="F62" s="1" t="s">
        <v>30</v>
      </c>
      <c r="G62" s="1" t="s">
        <v>1947</v>
      </c>
      <c r="H62" s="1" t="s">
        <v>1762</v>
      </c>
      <c r="I62" t="b">
        <f>COUNTIF(Estadísticas!I:I,'centraldecomunicacion.es'!H62)&gt;0</f>
        <v>0</v>
      </c>
    </row>
    <row r="63" spans="1:9" hidden="1">
      <c r="A63" s="1" t="s">
        <v>1948</v>
      </c>
      <c r="B63" s="1" t="s">
        <v>10</v>
      </c>
      <c r="C63" s="1" t="s">
        <v>1949</v>
      </c>
      <c r="D63" s="1" t="s">
        <v>1915</v>
      </c>
      <c r="E63" s="1" t="s">
        <v>13</v>
      </c>
      <c r="F63" s="1" t="s">
        <v>30</v>
      </c>
      <c r="G63" s="1" t="s">
        <v>30</v>
      </c>
      <c r="H63" s="1" t="s">
        <v>1762</v>
      </c>
      <c r="I63" t="b">
        <f>COUNTIF(Estadísticas!I:I,'centraldecomunicacion.es'!H63)&gt;0</f>
        <v>0</v>
      </c>
    </row>
    <row r="64" spans="1:9" hidden="1">
      <c r="A64" s="1" t="s">
        <v>1950</v>
      </c>
      <c r="B64" s="1" t="s">
        <v>10</v>
      </c>
      <c r="C64" s="1" t="s">
        <v>1951</v>
      </c>
      <c r="D64" s="1" t="s">
        <v>1952</v>
      </c>
      <c r="E64" s="1" t="s">
        <v>13</v>
      </c>
      <c r="F64" s="1" t="s">
        <v>30</v>
      </c>
      <c r="G64" s="1" t="s">
        <v>1953</v>
      </c>
      <c r="H64" s="1" t="s">
        <v>1762</v>
      </c>
      <c r="I64" t="b">
        <f>COUNTIF(Estadísticas!I:I,'centraldecomunicacion.es'!H64)&gt;0</f>
        <v>0</v>
      </c>
    </row>
    <row r="65" spans="1:9" hidden="1">
      <c r="A65" s="1" t="s">
        <v>1954</v>
      </c>
      <c r="B65" s="1" t="s">
        <v>10</v>
      </c>
      <c r="C65" s="1" t="s">
        <v>1955</v>
      </c>
      <c r="D65" s="1" t="s">
        <v>1956</v>
      </c>
      <c r="E65" s="1" t="s">
        <v>13</v>
      </c>
      <c r="F65" s="1" t="s">
        <v>30</v>
      </c>
      <c r="G65" s="1" t="s">
        <v>1957</v>
      </c>
      <c r="H65" s="1" t="s">
        <v>1762</v>
      </c>
      <c r="I65" t="b">
        <f>COUNTIF(Estadísticas!I:I,'centraldecomunicacion.es'!H65)&gt;0</f>
        <v>0</v>
      </c>
    </row>
    <row r="66" spans="1:9" hidden="1">
      <c r="A66" s="1" t="s">
        <v>1958</v>
      </c>
      <c r="B66" s="1" t="s">
        <v>10</v>
      </c>
      <c r="C66" s="1" t="s">
        <v>1959</v>
      </c>
      <c r="D66" s="1" t="s">
        <v>1960</v>
      </c>
      <c r="E66" s="1" t="s">
        <v>13</v>
      </c>
      <c r="F66" s="1" t="s">
        <v>30</v>
      </c>
      <c r="G66" s="1" t="s">
        <v>1961</v>
      </c>
      <c r="H66" s="1" t="s">
        <v>1762</v>
      </c>
      <c r="I66" t="b">
        <f>COUNTIF(Estadísticas!I:I,'centraldecomunicacion.es'!H66)&gt;0</f>
        <v>0</v>
      </c>
    </row>
    <row r="67" spans="1:9" hidden="1">
      <c r="A67" s="1" t="s">
        <v>1962</v>
      </c>
      <c r="B67" s="1" t="s">
        <v>18</v>
      </c>
      <c r="C67" s="1" t="s">
        <v>1963</v>
      </c>
      <c r="D67" s="1" t="s">
        <v>1964</v>
      </c>
      <c r="E67" s="1" t="s">
        <v>13</v>
      </c>
      <c r="F67" s="1" t="s">
        <v>1883</v>
      </c>
      <c r="G67" s="1" t="s">
        <v>1965</v>
      </c>
      <c r="H67" s="1" t="s">
        <v>1875</v>
      </c>
      <c r="I67" t="b">
        <f>COUNTIF(Estadísticas!I:I,'centraldecomunicacion.es'!H67)&gt;0</f>
        <v>0</v>
      </c>
    </row>
    <row r="68" spans="1:9" hidden="1">
      <c r="A68" s="1" t="s">
        <v>1966</v>
      </c>
      <c r="B68" s="1" t="s">
        <v>18</v>
      </c>
      <c r="C68" s="1" t="s">
        <v>1967</v>
      </c>
      <c r="D68" s="1" t="s">
        <v>25</v>
      </c>
      <c r="E68" s="1" t="s">
        <v>13</v>
      </c>
      <c r="F68" s="1" t="s">
        <v>30</v>
      </c>
      <c r="G68" s="1" t="s">
        <v>30</v>
      </c>
      <c r="H68" s="1" t="s">
        <v>1762</v>
      </c>
      <c r="I68" t="b">
        <f>COUNTIF(Estadísticas!I:I,'centraldecomunicacion.es'!H68)&gt;0</f>
        <v>0</v>
      </c>
    </row>
    <row r="69" spans="1:9" hidden="1">
      <c r="A69" s="1" t="s">
        <v>1968</v>
      </c>
      <c r="B69" s="1" t="s">
        <v>10</v>
      </c>
      <c r="C69" s="1" t="s">
        <v>1969</v>
      </c>
      <c r="D69" s="1" t="s">
        <v>1952</v>
      </c>
      <c r="E69" s="1" t="s">
        <v>13</v>
      </c>
      <c r="F69" s="1" t="s">
        <v>30</v>
      </c>
      <c r="G69" s="1" t="s">
        <v>30</v>
      </c>
      <c r="H69" s="1" t="s">
        <v>1762</v>
      </c>
      <c r="I69" t="b">
        <f>COUNTIF(Estadísticas!I:I,'centraldecomunicacion.es'!H69)&gt;0</f>
        <v>0</v>
      </c>
    </row>
    <row r="70" spans="1:9" hidden="1">
      <c r="A70" s="1" t="s">
        <v>1970</v>
      </c>
      <c r="B70" s="1" t="s">
        <v>10</v>
      </c>
      <c r="C70" s="1" t="s">
        <v>1971</v>
      </c>
      <c r="D70" s="1" t="s">
        <v>1956</v>
      </c>
      <c r="E70" s="1" t="s">
        <v>13</v>
      </c>
      <c r="F70" s="1" t="s">
        <v>1972</v>
      </c>
      <c r="G70" s="1" t="s">
        <v>1973</v>
      </c>
      <c r="H70" s="1" t="s">
        <v>1762</v>
      </c>
      <c r="I70" t="b">
        <f>COUNTIF(Estadísticas!I:I,'centraldecomunicacion.es'!H70)&gt;0</f>
        <v>0</v>
      </c>
    </row>
    <row r="71" spans="1:9" hidden="1">
      <c r="A71" s="1" t="s">
        <v>1974</v>
      </c>
      <c r="B71" s="1" t="s">
        <v>10</v>
      </c>
      <c r="C71" s="1" t="s">
        <v>1975</v>
      </c>
      <c r="D71" s="1" t="s">
        <v>1929</v>
      </c>
      <c r="E71" s="1" t="s">
        <v>13</v>
      </c>
      <c r="F71" s="1" t="s">
        <v>30</v>
      </c>
      <c r="G71" s="1" t="s">
        <v>1976</v>
      </c>
      <c r="H71" s="1" t="s">
        <v>1762</v>
      </c>
      <c r="I71" t="b">
        <f>COUNTIF(Estadísticas!I:I,'centraldecomunicacion.es'!H71)&gt;0</f>
        <v>0</v>
      </c>
    </row>
    <row r="72" spans="1:9" hidden="1">
      <c r="A72" s="1" t="s">
        <v>1977</v>
      </c>
      <c r="B72" s="1" t="s">
        <v>18</v>
      </c>
      <c r="C72" s="1" t="s">
        <v>1978</v>
      </c>
      <c r="D72" s="1" t="s">
        <v>1979</v>
      </c>
      <c r="E72" s="1" t="s">
        <v>13</v>
      </c>
      <c r="F72" s="1" t="s">
        <v>1980</v>
      </c>
      <c r="G72" s="1" t="s">
        <v>1981</v>
      </c>
      <c r="H72" s="1" t="s">
        <v>1982</v>
      </c>
      <c r="I72" t="b">
        <f>COUNTIF(Estadísticas!I:I,'centraldecomunicacion.es'!H72)&gt;0</f>
        <v>0</v>
      </c>
    </row>
    <row r="73" spans="1:9" hidden="1">
      <c r="A73" s="1" t="s">
        <v>1983</v>
      </c>
      <c r="B73" s="1" t="s">
        <v>10</v>
      </c>
      <c r="C73" s="1" t="s">
        <v>30</v>
      </c>
      <c r="D73" s="1" t="s">
        <v>31</v>
      </c>
      <c r="E73" s="1" t="s">
        <v>30</v>
      </c>
      <c r="F73" s="1" t="s">
        <v>1984</v>
      </c>
      <c r="G73" s="1" t="s">
        <v>1944</v>
      </c>
      <c r="H73" s="1" t="s">
        <v>1762</v>
      </c>
      <c r="I73" t="b">
        <f>COUNTIF(Estadísticas!I:I,'centraldecomunicacion.es'!H73)&gt;0</f>
        <v>0</v>
      </c>
    </row>
    <row r="74" spans="1:9" hidden="1">
      <c r="A74" s="1" t="s">
        <v>468</v>
      </c>
      <c r="B74" s="1" t="s">
        <v>10</v>
      </c>
      <c r="C74" s="1" t="s">
        <v>1985</v>
      </c>
      <c r="D74" s="1" t="s">
        <v>1986</v>
      </c>
      <c r="E74" s="1" t="s">
        <v>13</v>
      </c>
      <c r="F74" s="1" t="s">
        <v>30</v>
      </c>
      <c r="G74" s="1" t="s">
        <v>1987</v>
      </c>
      <c r="H74" s="1" t="s">
        <v>1762</v>
      </c>
      <c r="I74" t="b">
        <f>COUNTIF(Estadísticas!I:I,'centraldecomunicacion.es'!H74)&gt;0</f>
        <v>0</v>
      </c>
    </row>
    <row r="75" spans="1:9" hidden="1">
      <c r="A75" s="1" t="s">
        <v>1988</v>
      </c>
      <c r="B75" s="1" t="s">
        <v>18</v>
      </c>
      <c r="C75" s="1" t="s">
        <v>1989</v>
      </c>
      <c r="D75" s="1" t="s">
        <v>1990</v>
      </c>
      <c r="E75" s="1" t="s">
        <v>13</v>
      </c>
      <c r="F75" s="1" t="s">
        <v>30</v>
      </c>
      <c r="G75" s="1" t="s">
        <v>1991</v>
      </c>
      <c r="H75" s="1" t="s">
        <v>1762</v>
      </c>
      <c r="I75" t="b">
        <f>COUNTIF(Estadísticas!I:I,'centraldecomunicacion.es'!H75)&gt;0</f>
        <v>0</v>
      </c>
    </row>
    <row r="76" spans="1:9" hidden="1">
      <c r="A76" s="1" t="s">
        <v>1992</v>
      </c>
      <c r="B76" s="1" t="s">
        <v>10</v>
      </c>
      <c r="C76" s="1" t="s">
        <v>1993</v>
      </c>
      <c r="D76" s="1" t="s">
        <v>1986</v>
      </c>
      <c r="E76" s="1" t="s">
        <v>13</v>
      </c>
      <c r="F76" s="1" t="s">
        <v>30</v>
      </c>
      <c r="G76" s="1" t="s">
        <v>1994</v>
      </c>
      <c r="H76" s="1" t="s">
        <v>1762</v>
      </c>
      <c r="I76" t="b">
        <f>COUNTIF(Estadísticas!I:I,'centraldecomunicacion.es'!H76)&gt;0</f>
        <v>0</v>
      </c>
    </row>
    <row r="77" spans="1:9" hidden="1">
      <c r="A77" s="1" t="s">
        <v>1995</v>
      </c>
      <c r="B77" s="1" t="s">
        <v>10</v>
      </c>
      <c r="C77" s="1" t="s">
        <v>1996</v>
      </c>
      <c r="D77" s="1" t="s">
        <v>1986</v>
      </c>
      <c r="E77" s="1" t="s">
        <v>13</v>
      </c>
      <c r="F77" s="1" t="s">
        <v>30</v>
      </c>
      <c r="G77" s="1" t="s">
        <v>30</v>
      </c>
      <c r="H77" s="1" t="s">
        <v>1762</v>
      </c>
      <c r="I77" t="b">
        <f>COUNTIF(Estadísticas!I:I,'centraldecomunicacion.es'!H77)&gt;0</f>
        <v>0</v>
      </c>
    </row>
    <row r="78" spans="1:9" hidden="1">
      <c r="A78" s="1" t="s">
        <v>1997</v>
      </c>
      <c r="B78" s="1" t="s">
        <v>18</v>
      </c>
      <c r="C78" s="1" t="s">
        <v>1998</v>
      </c>
      <c r="D78" s="1" t="s">
        <v>1999</v>
      </c>
      <c r="E78" s="1" t="s">
        <v>13</v>
      </c>
      <c r="F78" s="1" t="s">
        <v>1883</v>
      </c>
      <c r="G78" s="1" t="s">
        <v>2000</v>
      </c>
      <c r="H78" s="1" t="s">
        <v>1875</v>
      </c>
      <c r="I78" t="b">
        <f>COUNTIF(Estadísticas!I:I,'centraldecomunicacion.es'!H78)&gt;0</f>
        <v>0</v>
      </c>
    </row>
    <row r="79" spans="1:9" hidden="1">
      <c r="A79" s="1" t="s">
        <v>2001</v>
      </c>
      <c r="B79" s="1" t="s">
        <v>10</v>
      </c>
      <c r="C79" s="1" t="s">
        <v>2002</v>
      </c>
      <c r="D79" s="1" t="s">
        <v>2003</v>
      </c>
      <c r="E79" s="1" t="s">
        <v>13</v>
      </c>
      <c r="F79" s="1" t="s">
        <v>30</v>
      </c>
      <c r="G79" s="1" t="s">
        <v>2004</v>
      </c>
      <c r="H79" s="1" t="s">
        <v>1762</v>
      </c>
      <c r="I79" t="b">
        <f>COUNTIF(Estadísticas!I:I,'centraldecomunicacion.es'!H79)&gt;0</f>
        <v>0</v>
      </c>
    </row>
    <row r="80" spans="1:9" hidden="1">
      <c r="A80" s="1" t="s">
        <v>2005</v>
      </c>
      <c r="B80" s="1" t="s">
        <v>10</v>
      </c>
      <c r="C80" s="1" t="s">
        <v>2006</v>
      </c>
      <c r="D80" s="1" t="s">
        <v>1986</v>
      </c>
      <c r="E80" s="1" t="s">
        <v>13</v>
      </c>
      <c r="F80" s="1" t="s">
        <v>30</v>
      </c>
      <c r="G80" s="1" t="s">
        <v>2007</v>
      </c>
      <c r="H80" s="1" t="s">
        <v>1762</v>
      </c>
      <c r="I80" t="b">
        <f>COUNTIF(Estadísticas!I:I,'centraldecomunicacion.es'!H80)&gt;0</f>
        <v>0</v>
      </c>
    </row>
    <row r="81" spans="1:9" hidden="1">
      <c r="A81" s="1" t="s">
        <v>2008</v>
      </c>
      <c r="B81" s="1" t="s">
        <v>18</v>
      </c>
      <c r="C81" s="1" t="s">
        <v>2009</v>
      </c>
      <c r="D81" s="1" t="s">
        <v>1915</v>
      </c>
      <c r="E81" s="1" t="s">
        <v>13</v>
      </c>
      <c r="F81" s="1" t="s">
        <v>30</v>
      </c>
      <c r="G81" s="1" t="s">
        <v>30</v>
      </c>
      <c r="H81" s="1" t="s">
        <v>1762</v>
      </c>
      <c r="I81" t="b">
        <f>COUNTIF(Estadísticas!I:I,'centraldecomunicacion.es'!H81)&gt;0</f>
        <v>0</v>
      </c>
    </row>
    <row r="82" spans="1:9" hidden="1">
      <c r="A82" s="1" t="s">
        <v>2010</v>
      </c>
      <c r="B82" s="1" t="s">
        <v>10</v>
      </c>
      <c r="C82" s="1" t="s">
        <v>2011</v>
      </c>
      <c r="D82" s="1" t="s">
        <v>2012</v>
      </c>
      <c r="E82" s="1" t="s">
        <v>13</v>
      </c>
      <c r="F82" s="1" t="s">
        <v>30</v>
      </c>
      <c r="G82" s="1" t="s">
        <v>2004</v>
      </c>
      <c r="H82" s="1" t="s">
        <v>1762</v>
      </c>
      <c r="I82" t="b">
        <f>COUNTIF(Estadísticas!I:I,'centraldecomunicacion.es'!H82)&gt;0</f>
        <v>0</v>
      </c>
    </row>
    <row r="83" spans="1:9" hidden="1">
      <c r="A83" s="1" t="s">
        <v>2013</v>
      </c>
      <c r="B83" s="1" t="s">
        <v>10</v>
      </c>
      <c r="C83" s="1" t="s">
        <v>2014</v>
      </c>
      <c r="D83" s="1" t="s">
        <v>2015</v>
      </c>
      <c r="E83" s="1" t="s">
        <v>13</v>
      </c>
      <c r="F83" s="1" t="s">
        <v>30</v>
      </c>
      <c r="G83" s="1" t="s">
        <v>30</v>
      </c>
      <c r="H83" s="1" t="s">
        <v>1762</v>
      </c>
      <c r="I83" t="b">
        <f>COUNTIF(Estadísticas!I:I,'centraldecomunicacion.es'!H83)&gt;0</f>
        <v>0</v>
      </c>
    </row>
    <row r="84" spans="1:9" hidden="1">
      <c r="A84" s="1" t="s">
        <v>2016</v>
      </c>
      <c r="B84" s="1" t="s">
        <v>10</v>
      </c>
      <c r="C84" s="1" t="s">
        <v>2017</v>
      </c>
      <c r="D84" s="1" t="s">
        <v>1929</v>
      </c>
      <c r="E84" s="1" t="s">
        <v>13</v>
      </c>
      <c r="F84" s="1" t="s">
        <v>1984</v>
      </c>
      <c r="G84" s="1" t="s">
        <v>2018</v>
      </c>
      <c r="H84" s="1" t="s">
        <v>1762</v>
      </c>
      <c r="I84" t="b">
        <f>COUNTIF(Estadísticas!I:I,'centraldecomunicacion.es'!H84)&gt;0</f>
        <v>0</v>
      </c>
    </row>
    <row r="85" spans="1:9" hidden="1">
      <c r="A85" s="1" t="s">
        <v>2019</v>
      </c>
      <c r="B85" s="1" t="s">
        <v>10</v>
      </c>
      <c r="C85" s="1" t="s">
        <v>2020</v>
      </c>
      <c r="D85" s="1" t="s">
        <v>2021</v>
      </c>
      <c r="E85" s="1" t="s">
        <v>13</v>
      </c>
      <c r="F85" s="1" t="s">
        <v>1984</v>
      </c>
      <c r="G85" s="1" t="s">
        <v>2022</v>
      </c>
      <c r="H85" s="1" t="s">
        <v>1762</v>
      </c>
      <c r="I85" t="b">
        <f>COUNTIF(Estadísticas!I:I,'centraldecomunicacion.es'!H85)&gt;0</f>
        <v>0</v>
      </c>
    </row>
    <row r="86" spans="1:9" hidden="1">
      <c r="A86" s="1" t="s">
        <v>2023</v>
      </c>
      <c r="B86" s="1" t="s">
        <v>10</v>
      </c>
      <c r="C86" s="1" t="s">
        <v>2024</v>
      </c>
      <c r="D86" s="1" t="s">
        <v>2025</v>
      </c>
      <c r="E86" s="1" t="s">
        <v>13</v>
      </c>
      <c r="F86" s="1" t="s">
        <v>30</v>
      </c>
      <c r="G86" s="1" t="s">
        <v>2026</v>
      </c>
      <c r="H86" s="1" t="s">
        <v>1762</v>
      </c>
      <c r="I86" t="b">
        <f>COUNTIF(Estadísticas!I:I,'centraldecomunicacion.es'!H86)&gt;0</f>
        <v>0</v>
      </c>
    </row>
    <row r="87" spans="1:9" hidden="1">
      <c r="A87" s="1" t="s">
        <v>2027</v>
      </c>
      <c r="B87" s="1" t="s">
        <v>10</v>
      </c>
      <c r="C87" s="1" t="s">
        <v>2028</v>
      </c>
      <c r="D87" s="1" t="s">
        <v>1956</v>
      </c>
      <c r="E87" s="1" t="s">
        <v>13</v>
      </c>
      <c r="F87" s="1" t="s">
        <v>30</v>
      </c>
      <c r="G87" s="1" t="s">
        <v>2029</v>
      </c>
      <c r="H87" s="1" t="s">
        <v>1762</v>
      </c>
      <c r="I87" t="b">
        <f>COUNTIF(Estadísticas!I:I,'centraldecomunicacion.es'!H87)&gt;0</f>
        <v>0</v>
      </c>
    </row>
    <row r="88" spans="1:9" hidden="1">
      <c r="A88" s="1" t="s">
        <v>2030</v>
      </c>
      <c r="B88" s="1" t="s">
        <v>10</v>
      </c>
      <c r="C88" s="1" t="s">
        <v>2031</v>
      </c>
      <c r="D88" s="1" t="s">
        <v>1929</v>
      </c>
      <c r="E88" s="1" t="s">
        <v>13</v>
      </c>
      <c r="F88" s="1" t="s">
        <v>30</v>
      </c>
      <c r="G88" s="1" t="s">
        <v>30</v>
      </c>
      <c r="H88" s="1" t="s">
        <v>1762</v>
      </c>
      <c r="I88" t="b">
        <f>COUNTIF(Estadísticas!I:I,'centraldecomunicacion.es'!H88)&gt;0</f>
        <v>0</v>
      </c>
    </row>
    <row r="89" spans="1:9" hidden="1">
      <c r="A89" s="1" t="s">
        <v>2032</v>
      </c>
      <c r="B89" s="1" t="s">
        <v>10</v>
      </c>
      <c r="C89" s="1" t="s">
        <v>2033</v>
      </c>
      <c r="D89" s="1" t="s">
        <v>2025</v>
      </c>
      <c r="E89" s="1" t="s">
        <v>13</v>
      </c>
      <c r="F89" s="1" t="s">
        <v>30</v>
      </c>
      <c r="G89" s="1" t="s">
        <v>2034</v>
      </c>
      <c r="H89" s="1" t="s">
        <v>1762</v>
      </c>
      <c r="I89" t="b">
        <f>COUNTIF(Estadísticas!I:I,'centraldecomunicacion.es'!H89)&gt;0</f>
        <v>0</v>
      </c>
    </row>
    <row r="90" spans="1:9" hidden="1">
      <c r="A90" s="1" t="s">
        <v>2035</v>
      </c>
      <c r="B90" s="1" t="s">
        <v>10</v>
      </c>
      <c r="C90" s="1" t="s">
        <v>30</v>
      </c>
      <c r="D90" s="1" t="s">
        <v>31</v>
      </c>
      <c r="E90" s="1" t="s">
        <v>30</v>
      </c>
      <c r="F90" s="1" t="s">
        <v>2036</v>
      </c>
      <c r="G90" s="1" t="s">
        <v>2037</v>
      </c>
      <c r="H90" s="1" t="s">
        <v>1783</v>
      </c>
      <c r="I90" t="b">
        <f>COUNTIF(Estadísticas!I:I,'centraldecomunicacion.es'!H90)&gt;0</f>
        <v>0</v>
      </c>
    </row>
    <row r="91" spans="1:9" hidden="1">
      <c r="A91" s="1" t="s">
        <v>2038</v>
      </c>
      <c r="B91" s="1" t="s">
        <v>18</v>
      </c>
      <c r="C91" s="1" t="s">
        <v>2039</v>
      </c>
      <c r="D91" s="1" t="s">
        <v>2040</v>
      </c>
      <c r="E91" s="1" t="s">
        <v>13</v>
      </c>
      <c r="F91" s="1" t="s">
        <v>30</v>
      </c>
      <c r="G91" s="1" t="s">
        <v>2041</v>
      </c>
      <c r="H91" s="1" t="s">
        <v>1762</v>
      </c>
      <c r="I91" t="b">
        <f>COUNTIF(Estadísticas!I:I,'centraldecomunicacion.es'!H91)&gt;0</f>
        <v>0</v>
      </c>
    </row>
    <row r="92" spans="1:9" hidden="1">
      <c r="A92" s="1" t="s">
        <v>2042</v>
      </c>
      <c r="B92" s="1" t="s">
        <v>10</v>
      </c>
      <c r="C92" s="1" t="s">
        <v>2043</v>
      </c>
      <c r="D92" s="1" t="s">
        <v>37</v>
      </c>
      <c r="E92" s="1" t="s">
        <v>37</v>
      </c>
      <c r="F92" s="1" t="s">
        <v>2044</v>
      </c>
      <c r="G92" s="1" t="s">
        <v>2045</v>
      </c>
      <c r="H92" s="1" t="s">
        <v>1762</v>
      </c>
      <c r="I92" t="b">
        <f>COUNTIF(Estadísticas!I:I,'centraldecomunicacion.es'!H92)&gt;0</f>
        <v>0</v>
      </c>
    </row>
    <row r="93" spans="1:9">
      <c r="A93" s="1" t="s">
        <v>35</v>
      </c>
      <c r="B93" s="1" t="s">
        <v>10</v>
      </c>
      <c r="C93" s="1" t="s">
        <v>36</v>
      </c>
      <c r="D93" s="1" t="s">
        <v>37</v>
      </c>
      <c r="E93" s="1" t="s">
        <v>37</v>
      </c>
      <c r="F93" s="1" t="s">
        <v>38</v>
      </c>
      <c r="G93" s="1" t="s">
        <v>39</v>
      </c>
      <c r="H93" s="1" t="s">
        <v>40</v>
      </c>
      <c r="I93" t="b">
        <f>COUNTIF(Estadísticas!I:I,'centraldecomunicacion.es'!H93)&gt;0</f>
        <v>1</v>
      </c>
    </row>
    <row r="94" spans="1:9" hidden="1">
      <c r="A94" s="1" t="s">
        <v>2046</v>
      </c>
      <c r="B94" s="1" t="s">
        <v>10</v>
      </c>
      <c r="C94" s="1" t="s">
        <v>2047</v>
      </c>
      <c r="D94" s="1" t="s">
        <v>37</v>
      </c>
      <c r="E94" s="1" t="s">
        <v>37</v>
      </c>
      <c r="F94" s="1" t="s">
        <v>38</v>
      </c>
      <c r="G94" s="1" t="s">
        <v>2048</v>
      </c>
      <c r="H94" s="1" t="s">
        <v>1762</v>
      </c>
      <c r="I94" t="b">
        <f>COUNTIF(Estadísticas!I:I,'centraldecomunicacion.es'!H94)&gt;0</f>
        <v>0</v>
      </c>
    </row>
    <row r="95" spans="1:9" hidden="1">
      <c r="A95" s="1" t="s">
        <v>2049</v>
      </c>
      <c r="B95" s="1" t="s">
        <v>10</v>
      </c>
      <c r="C95" s="1" t="s">
        <v>2050</v>
      </c>
      <c r="D95" s="1" t="s">
        <v>37</v>
      </c>
      <c r="E95" s="1" t="s">
        <v>37</v>
      </c>
      <c r="F95" s="1" t="s">
        <v>30</v>
      </c>
      <c r="G95" s="1" t="s">
        <v>2051</v>
      </c>
      <c r="H95" s="1" t="s">
        <v>1762</v>
      </c>
      <c r="I95" t="b">
        <f>COUNTIF(Estadísticas!I:I,'centraldecomunicacion.es'!H95)&gt;0</f>
        <v>0</v>
      </c>
    </row>
    <row r="96" spans="1:9" hidden="1">
      <c r="A96" s="1" t="s">
        <v>2052</v>
      </c>
      <c r="B96" s="1" t="s">
        <v>10</v>
      </c>
      <c r="C96" s="1" t="s">
        <v>2053</v>
      </c>
      <c r="D96" s="1" t="s">
        <v>37</v>
      </c>
      <c r="E96" s="1" t="s">
        <v>37</v>
      </c>
      <c r="F96" s="1" t="s">
        <v>2054</v>
      </c>
      <c r="G96" s="1" t="s">
        <v>2055</v>
      </c>
      <c r="H96" s="1" t="s">
        <v>2056</v>
      </c>
      <c r="I96" t="b">
        <f>COUNTIF(Estadísticas!I:I,'centraldecomunicacion.es'!H96)&gt;0</f>
        <v>0</v>
      </c>
    </row>
    <row r="97" spans="1:9">
      <c r="A97" s="1" t="s">
        <v>41</v>
      </c>
      <c r="B97" s="1" t="s">
        <v>10</v>
      </c>
      <c r="C97" s="1" t="s">
        <v>42</v>
      </c>
      <c r="D97" s="1" t="s">
        <v>37</v>
      </c>
      <c r="E97" s="1" t="s">
        <v>37</v>
      </c>
      <c r="F97" s="1" t="s">
        <v>43</v>
      </c>
      <c r="G97" s="1" t="s">
        <v>44</v>
      </c>
      <c r="H97" s="1" t="s">
        <v>45</v>
      </c>
      <c r="I97" t="b">
        <f>COUNTIF(Estadísticas!I:I,'centraldecomunicacion.es'!H97)&gt;0</f>
        <v>1</v>
      </c>
    </row>
    <row r="98" spans="1:9" hidden="1">
      <c r="A98" s="1" t="s">
        <v>2057</v>
      </c>
      <c r="B98" s="1" t="s">
        <v>18</v>
      </c>
      <c r="C98" s="1" t="s">
        <v>2058</v>
      </c>
      <c r="D98" s="1" t="s">
        <v>37</v>
      </c>
      <c r="E98" s="1" t="s">
        <v>37</v>
      </c>
      <c r="F98" s="1" t="s">
        <v>30</v>
      </c>
      <c r="G98" s="1" t="s">
        <v>2059</v>
      </c>
      <c r="H98" s="1" t="s">
        <v>1762</v>
      </c>
      <c r="I98" t="b">
        <f>COUNTIF(Estadísticas!I:I,'centraldecomunicacion.es'!H98)&gt;0</f>
        <v>0</v>
      </c>
    </row>
    <row r="99" spans="1:9" hidden="1">
      <c r="A99" s="1" t="s">
        <v>2060</v>
      </c>
      <c r="B99" s="1" t="s">
        <v>10</v>
      </c>
      <c r="C99" s="1" t="s">
        <v>2061</v>
      </c>
      <c r="D99" s="1" t="s">
        <v>37</v>
      </c>
      <c r="E99" s="1" t="s">
        <v>37</v>
      </c>
      <c r="F99" s="1" t="s">
        <v>30</v>
      </c>
      <c r="G99" s="1" t="s">
        <v>2062</v>
      </c>
      <c r="H99" s="1" t="s">
        <v>1762</v>
      </c>
      <c r="I99" t="b">
        <f>COUNTIF(Estadísticas!I:I,'centraldecomunicacion.es'!H99)&gt;0</f>
        <v>0</v>
      </c>
    </row>
    <row r="100" spans="1:9" hidden="1">
      <c r="A100" s="1" t="s">
        <v>2063</v>
      </c>
      <c r="B100" s="1" t="s">
        <v>10</v>
      </c>
      <c r="C100" s="1" t="s">
        <v>2064</v>
      </c>
      <c r="D100" s="1" t="s">
        <v>37</v>
      </c>
      <c r="E100" s="1" t="s">
        <v>37</v>
      </c>
      <c r="F100" s="1" t="s">
        <v>30</v>
      </c>
      <c r="G100" s="1" t="s">
        <v>2065</v>
      </c>
      <c r="H100" s="1" t="s">
        <v>1762</v>
      </c>
      <c r="I100" t="b">
        <f>COUNTIF(Estadísticas!I:I,'centraldecomunicacion.es'!H100)&gt;0</f>
        <v>0</v>
      </c>
    </row>
    <row r="101" spans="1:9" hidden="1">
      <c r="A101" s="1" t="s">
        <v>2046</v>
      </c>
      <c r="B101" s="1" t="s">
        <v>18</v>
      </c>
      <c r="C101" s="1" t="s">
        <v>2066</v>
      </c>
      <c r="D101" s="1" t="s">
        <v>37</v>
      </c>
      <c r="E101" s="1" t="s">
        <v>37</v>
      </c>
      <c r="F101" s="1" t="s">
        <v>38</v>
      </c>
      <c r="G101" s="1" t="s">
        <v>2067</v>
      </c>
      <c r="H101" s="1" t="s">
        <v>1762</v>
      </c>
      <c r="I101" t="b">
        <f>COUNTIF(Estadísticas!I:I,'centraldecomunicacion.es'!H101)&gt;0</f>
        <v>0</v>
      </c>
    </row>
    <row r="102" spans="1:9" hidden="1">
      <c r="A102" s="1" t="s">
        <v>2068</v>
      </c>
      <c r="B102" s="1" t="s">
        <v>10</v>
      </c>
      <c r="C102" s="1" t="s">
        <v>2069</v>
      </c>
      <c r="D102" s="1" t="s">
        <v>37</v>
      </c>
      <c r="E102" s="1" t="s">
        <v>37</v>
      </c>
      <c r="F102" s="1" t="s">
        <v>38</v>
      </c>
      <c r="G102" s="1" t="s">
        <v>39</v>
      </c>
      <c r="H102" s="1" t="s">
        <v>1762</v>
      </c>
      <c r="I102" t="b">
        <f>COUNTIF(Estadísticas!I:I,'centraldecomunicacion.es'!H102)&gt;0</f>
        <v>0</v>
      </c>
    </row>
    <row r="103" spans="1:9" hidden="1">
      <c r="A103" s="1" t="s">
        <v>2070</v>
      </c>
      <c r="B103" s="1" t="s">
        <v>10</v>
      </c>
      <c r="C103" s="1" t="s">
        <v>2071</v>
      </c>
      <c r="D103" s="1" t="s">
        <v>37</v>
      </c>
      <c r="E103" s="1" t="s">
        <v>37</v>
      </c>
      <c r="F103" s="1" t="s">
        <v>2072</v>
      </c>
      <c r="G103" s="1" t="s">
        <v>2073</v>
      </c>
      <c r="H103" s="1" t="s">
        <v>1762</v>
      </c>
      <c r="I103" t="b">
        <f>COUNTIF(Estadísticas!I:I,'centraldecomunicacion.es'!H103)&gt;0</f>
        <v>0</v>
      </c>
    </row>
    <row r="104" spans="1:9" hidden="1">
      <c r="A104" s="1" t="s">
        <v>2074</v>
      </c>
      <c r="B104" s="1" t="s">
        <v>10</v>
      </c>
      <c r="C104" s="1" t="s">
        <v>2075</v>
      </c>
      <c r="D104" s="1" t="s">
        <v>37</v>
      </c>
      <c r="E104" s="1" t="s">
        <v>37</v>
      </c>
      <c r="F104" s="1" t="s">
        <v>30</v>
      </c>
      <c r="G104" s="1" t="s">
        <v>2076</v>
      </c>
      <c r="H104" s="1" t="s">
        <v>1762</v>
      </c>
      <c r="I104" t="b">
        <f>COUNTIF(Estadísticas!I:I,'centraldecomunicacion.es'!H104)&gt;0</f>
        <v>0</v>
      </c>
    </row>
    <row r="105" spans="1:9" hidden="1">
      <c r="A105" s="1" t="s">
        <v>2068</v>
      </c>
      <c r="B105" s="1" t="s">
        <v>10</v>
      </c>
      <c r="C105" s="1" t="s">
        <v>2077</v>
      </c>
      <c r="D105" s="1" t="s">
        <v>37</v>
      </c>
      <c r="E105" s="1" t="s">
        <v>37</v>
      </c>
      <c r="F105" s="1" t="s">
        <v>38</v>
      </c>
      <c r="G105" s="1" t="s">
        <v>2078</v>
      </c>
      <c r="H105" s="1" t="s">
        <v>1762</v>
      </c>
      <c r="I105" t="b">
        <f>COUNTIF(Estadísticas!I:I,'centraldecomunicacion.es'!H105)&gt;0</f>
        <v>0</v>
      </c>
    </row>
    <row r="106" spans="1:9" hidden="1">
      <c r="A106" s="1" t="s">
        <v>2079</v>
      </c>
      <c r="B106" s="1" t="s">
        <v>10</v>
      </c>
      <c r="C106" s="1" t="s">
        <v>2080</v>
      </c>
      <c r="D106" s="1" t="s">
        <v>2081</v>
      </c>
      <c r="E106" s="1" t="s">
        <v>37</v>
      </c>
      <c r="F106" s="1" t="s">
        <v>30</v>
      </c>
      <c r="G106" s="1" t="s">
        <v>2082</v>
      </c>
      <c r="H106" s="1" t="s">
        <v>1762</v>
      </c>
      <c r="I106" t="b">
        <f>COUNTIF(Estadísticas!I:I,'centraldecomunicacion.es'!H106)&gt;0</f>
        <v>0</v>
      </c>
    </row>
    <row r="107" spans="1:9">
      <c r="A107" s="1" t="s">
        <v>46</v>
      </c>
      <c r="B107" s="1" t="s">
        <v>10</v>
      </c>
      <c r="C107" s="1" t="s">
        <v>47</v>
      </c>
      <c r="D107" s="1" t="s">
        <v>37</v>
      </c>
      <c r="E107" s="1" t="s">
        <v>37</v>
      </c>
      <c r="F107" s="1" t="s">
        <v>48</v>
      </c>
      <c r="G107" s="1" t="s">
        <v>49</v>
      </c>
      <c r="H107" s="1" t="s">
        <v>50</v>
      </c>
      <c r="I107" t="b">
        <f>COUNTIF(Estadísticas!I:I,'centraldecomunicacion.es'!H107)&gt;0</f>
        <v>1</v>
      </c>
    </row>
    <row r="108" spans="1:9" hidden="1">
      <c r="A108" s="1" t="s">
        <v>2083</v>
      </c>
      <c r="B108" s="1" t="s">
        <v>10</v>
      </c>
      <c r="C108" s="1" t="s">
        <v>2084</v>
      </c>
      <c r="D108" s="1" t="s">
        <v>2085</v>
      </c>
      <c r="E108" s="1" t="s">
        <v>37</v>
      </c>
      <c r="F108" s="1" t="s">
        <v>2086</v>
      </c>
      <c r="G108" s="1" t="s">
        <v>2087</v>
      </c>
      <c r="H108" s="1" t="s">
        <v>2088</v>
      </c>
      <c r="I108" t="b">
        <f>COUNTIF(Estadísticas!I:I,'centraldecomunicacion.es'!H108)&gt;0</f>
        <v>0</v>
      </c>
    </row>
    <row r="109" spans="1:9" hidden="1">
      <c r="A109" s="1" t="s">
        <v>2089</v>
      </c>
      <c r="B109" s="1" t="s">
        <v>10</v>
      </c>
      <c r="C109" s="1" t="s">
        <v>2090</v>
      </c>
      <c r="D109" s="1" t="s">
        <v>2081</v>
      </c>
      <c r="E109" s="1" t="s">
        <v>37</v>
      </c>
      <c r="F109" s="1" t="s">
        <v>30</v>
      </c>
      <c r="G109" s="1" t="s">
        <v>2091</v>
      </c>
      <c r="H109" s="1" t="s">
        <v>1762</v>
      </c>
      <c r="I109" t="b">
        <f>COUNTIF(Estadísticas!I:I,'centraldecomunicacion.es'!H109)&gt;0</f>
        <v>0</v>
      </c>
    </row>
    <row r="110" spans="1:9" hidden="1">
      <c r="A110" s="1" t="s">
        <v>2092</v>
      </c>
      <c r="B110" s="1" t="s">
        <v>10</v>
      </c>
      <c r="C110" s="1" t="s">
        <v>2093</v>
      </c>
      <c r="D110" s="1" t="s">
        <v>37</v>
      </c>
      <c r="E110" s="1" t="s">
        <v>37</v>
      </c>
      <c r="F110" s="1" t="s">
        <v>30</v>
      </c>
      <c r="G110" s="1" t="s">
        <v>2094</v>
      </c>
      <c r="H110" s="1" t="s">
        <v>1762</v>
      </c>
      <c r="I110" t="b">
        <f>COUNTIF(Estadísticas!I:I,'centraldecomunicacion.es'!H110)&gt;0</f>
        <v>0</v>
      </c>
    </row>
    <row r="111" spans="1:9" hidden="1">
      <c r="A111" s="1" t="s">
        <v>2095</v>
      </c>
      <c r="B111" s="1" t="s">
        <v>10</v>
      </c>
      <c r="C111" s="1" t="s">
        <v>2096</v>
      </c>
      <c r="D111" s="1" t="s">
        <v>2085</v>
      </c>
      <c r="E111" s="1" t="s">
        <v>37</v>
      </c>
      <c r="F111" s="1" t="s">
        <v>30</v>
      </c>
      <c r="G111" s="1" t="s">
        <v>2097</v>
      </c>
      <c r="H111" s="1" t="s">
        <v>1762</v>
      </c>
      <c r="I111" t="b">
        <f>COUNTIF(Estadísticas!I:I,'centraldecomunicacion.es'!H111)&gt;0</f>
        <v>0</v>
      </c>
    </row>
    <row r="112" spans="1:9" hidden="1">
      <c r="A112" s="1" t="s">
        <v>2098</v>
      </c>
      <c r="B112" s="1" t="s">
        <v>10</v>
      </c>
      <c r="C112" s="1" t="s">
        <v>2099</v>
      </c>
      <c r="D112" s="1" t="s">
        <v>59</v>
      </c>
      <c r="E112" s="1" t="s">
        <v>37</v>
      </c>
      <c r="F112" s="1" t="s">
        <v>2100</v>
      </c>
      <c r="G112" s="1" t="s">
        <v>2101</v>
      </c>
      <c r="H112" s="1" t="s">
        <v>2102</v>
      </c>
      <c r="I112" t="b">
        <f>COUNTIF(Estadísticas!I:I,'centraldecomunicacion.es'!H112)&gt;0</f>
        <v>0</v>
      </c>
    </row>
    <row r="113" spans="1:9" hidden="1">
      <c r="A113" s="1" t="s">
        <v>2103</v>
      </c>
      <c r="B113" s="1" t="s">
        <v>10</v>
      </c>
      <c r="C113" s="1" t="s">
        <v>2104</v>
      </c>
      <c r="D113" s="1" t="s">
        <v>2085</v>
      </c>
      <c r="E113" s="1" t="s">
        <v>37</v>
      </c>
      <c r="F113" s="1" t="s">
        <v>2105</v>
      </c>
      <c r="G113" s="1" t="s">
        <v>2106</v>
      </c>
      <c r="H113" s="1" t="s">
        <v>1762</v>
      </c>
      <c r="I113" t="b">
        <f>COUNTIF(Estadísticas!I:I,'centraldecomunicacion.es'!H113)&gt;0</f>
        <v>0</v>
      </c>
    </row>
    <row r="114" spans="1:9" hidden="1">
      <c r="A114" s="1" t="s">
        <v>2107</v>
      </c>
      <c r="B114" s="1" t="s">
        <v>10</v>
      </c>
      <c r="C114" s="1" t="s">
        <v>2108</v>
      </c>
      <c r="D114" s="1" t="s">
        <v>2085</v>
      </c>
      <c r="E114" s="1" t="s">
        <v>37</v>
      </c>
      <c r="F114" s="1" t="s">
        <v>2109</v>
      </c>
      <c r="G114" s="1" t="s">
        <v>2110</v>
      </c>
      <c r="H114" s="1" t="s">
        <v>2111</v>
      </c>
      <c r="I114" t="b">
        <f>COUNTIF(Estadísticas!I:I,'centraldecomunicacion.es'!H114)&gt;0</f>
        <v>0</v>
      </c>
    </row>
    <row r="115" spans="1:9" hidden="1">
      <c r="A115" s="1" t="s">
        <v>2112</v>
      </c>
      <c r="B115" s="1" t="s">
        <v>10</v>
      </c>
      <c r="C115" s="1" t="s">
        <v>2113</v>
      </c>
      <c r="D115" s="1" t="s">
        <v>59</v>
      </c>
      <c r="E115" s="1" t="s">
        <v>37</v>
      </c>
      <c r="F115" s="1" t="s">
        <v>2114</v>
      </c>
      <c r="G115" s="1" t="s">
        <v>2115</v>
      </c>
      <c r="H115" s="1" t="s">
        <v>1762</v>
      </c>
      <c r="I115" t="b">
        <f>COUNTIF(Estadísticas!I:I,'centraldecomunicacion.es'!H115)&gt;0</f>
        <v>0</v>
      </c>
    </row>
    <row r="116" spans="1:9" hidden="1">
      <c r="A116" s="1" t="s">
        <v>2116</v>
      </c>
      <c r="B116" s="1" t="s">
        <v>10</v>
      </c>
      <c r="C116" s="1" t="s">
        <v>2117</v>
      </c>
      <c r="D116" s="1" t="s">
        <v>59</v>
      </c>
      <c r="E116" s="1" t="s">
        <v>37</v>
      </c>
      <c r="F116" s="1" t="s">
        <v>30</v>
      </c>
      <c r="G116" s="1" t="s">
        <v>2118</v>
      </c>
      <c r="H116" s="1" t="s">
        <v>1762</v>
      </c>
      <c r="I116" t="b">
        <f>COUNTIF(Estadísticas!I:I,'centraldecomunicacion.es'!H116)&gt;0</f>
        <v>0</v>
      </c>
    </row>
    <row r="117" spans="1:9" hidden="1">
      <c r="A117" s="1" t="s">
        <v>2119</v>
      </c>
      <c r="B117" s="1" t="s">
        <v>10</v>
      </c>
      <c r="C117" s="1" t="s">
        <v>2120</v>
      </c>
      <c r="D117" s="1" t="s">
        <v>2081</v>
      </c>
      <c r="E117" s="1" t="s">
        <v>37</v>
      </c>
      <c r="F117" s="1" t="s">
        <v>30</v>
      </c>
      <c r="G117" s="1" t="s">
        <v>2121</v>
      </c>
      <c r="H117" s="1" t="s">
        <v>1762</v>
      </c>
      <c r="I117" t="b">
        <f>COUNTIF(Estadísticas!I:I,'centraldecomunicacion.es'!H117)&gt;0</f>
        <v>0</v>
      </c>
    </row>
    <row r="118" spans="1:9" hidden="1">
      <c r="A118" s="1" t="s">
        <v>2122</v>
      </c>
      <c r="B118" s="1" t="s">
        <v>10</v>
      </c>
      <c r="C118" s="1" t="s">
        <v>2123</v>
      </c>
      <c r="D118" s="1" t="s">
        <v>2081</v>
      </c>
      <c r="E118" s="1" t="s">
        <v>37</v>
      </c>
      <c r="F118" s="1" t="s">
        <v>2124</v>
      </c>
      <c r="G118" s="1" t="s">
        <v>2125</v>
      </c>
      <c r="H118" s="1" t="s">
        <v>2126</v>
      </c>
      <c r="I118" t="b">
        <f>COUNTIF(Estadísticas!I:I,'centraldecomunicacion.es'!H118)&gt;0</f>
        <v>0</v>
      </c>
    </row>
    <row r="119" spans="1:9" hidden="1">
      <c r="A119" s="1" t="s">
        <v>2127</v>
      </c>
      <c r="B119" s="1" t="s">
        <v>10</v>
      </c>
      <c r="C119" s="1" t="s">
        <v>2128</v>
      </c>
      <c r="D119" s="1" t="s">
        <v>2085</v>
      </c>
      <c r="E119" s="1" t="s">
        <v>37</v>
      </c>
      <c r="F119" s="1" t="s">
        <v>2129</v>
      </c>
      <c r="G119" s="1" t="s">
        <v>2130</v>
      </c>
      <c r="H119" s="1" t="s">
        <v>1762</v>
      </c>
      <c r="I119" t="b">
        <f>COUNTIF(Estadísticas!I:I,'centraldecomunicacion.es'!H119)&gt;0</f>
        <v>0</v>
      </c>
    </row>
    <row r="120" spans="1:9" hidden="1">
      <c r="A120" s="1" t="s">
        <v>2131</v>
      </c>
      <c r="B120" s="1" t="s">
        <v>18</v>
      </c>
      <c r="C120" s="1" t="s">
        <v>2132</v>
      </c>
      <c r="D120" s="1" t="s">
        <v>2133</v>
      </c>
      <c r="E120" s="1" t="s">
        <v>37</v>
      </c>
      <c r="F120" s="1" t="s">
        <v>30</v>
      </c>
      <c r="G120" s="1" t="s">
        <v>2134</v>
      </c>
      <c r="H120" s="1" t="s">
        <v>1762</v>
      </c>
      <c r="I120" t="b">
        <f>COUNTIF(Estadísticas!I:I,'centraldecomunicacion.es'!H120)&gt;0</f>
        <v>0</v>
      </c>
    </row>
    <row r="121" spans="1:9" hidden="1">
      <c r="A121" s="1" t="s">
        <v>2135</v>
      </c>
      <c r="B121" s="1" t="s">
        <v>10</v>
      </c>
      <c r="C121" s="1" t="s">
        <v>2136</v>
      </c>
      <c r="D121" s="1" t="s">
        <v>53</v>
      </c>
      <c r="E121" s="1" t="s">
        <v>37</v>
      </c>
      <c r="F121" s="1" t="s">
        <v>1830</v>
      </c>
      <c r="G121" s="1" t="s">
        <v>2137</v>
      </c>
      <c r="H121" s="1" t="s">
        <v>1762</v>
      </c>
      <c r="I121" t="b">
        <f>COUNTIF(Estadísticas!I:I,'centraldecomunicacion.es'!H121)&gt;0</f>
        <v>0</v>
      </c>
    </row>
    <row r="122" spans="1:9">
      <c r="A122" s="1" t="s">
        <v>51</v>
      </c>
      <c r="B122" s="1" t="s">
        <v>10</v>
      </c>
      <c r="C122" s="1" t="s">
        <v>52</v>
      </c>
      <c r="D122" s="1" t="s">
        <v>53</v>
      </c>
      <c r="E122" s="1" t="s">
        <v>37</v>
      </c>
      <c r="F122" s="1" t="s">
        <v>54</v>
      </c>
      <c r="G122" s="1" t="s">
        <v>55</v>
      </c>
      <c r="H122" s="1" t="s">
        <v>56</v>
      </c>
      <c r="I122" t="b">
        <f>COUNTIF(Estadísticas!I:I,'centraldecomunicacion.es'!H122)&gt;0</f>
        <v>1</v>
      </c>
    </row>
    <row r="123" spans="1:9" hidden="1">
      <c r="A123" s="1" t="s">
        <v>2112</v>
      </c>
      <c r="B123" s="1" t="s">
        <v>10</v>
      </c>
      <c r="C123" s="1" t="s">
        <v>2138</v>
      </c>
      <c r="D123" s="1" t="s">
        <v>59</v>
      </c>
      <c r="E123" s="1" t="s">
        <v>37</v>
      </c>
      <c r="F123" s="1" t="s">
        <v>2139</v>
      </c>
      <c r="G123" s="1" t="s">
        <v>2140</v>
      </c>
      <c r="H123" s="1" t="s">
        <v>1762</v>
      </c>
      <c r="I123" t="b">
        <f>COUNTIF(Estadísticas!I:I,'centraldecomunicacion.es'!H123)&gt;0</f>
        <v>0</v>
      </c>
    </row>
    <row r="124" spans="1:9" hidden="1">
      <c r="A124" s="1" t="s">
        <v>2141</v>
      </c>
      <c r="B124" s="1" t="s">
        <v>18</v>
      </c>
      <c r="C124" s="1" t="s">
        <v>2142</v>
      </c>
      <c r="D124" s="1" t="s">
        <v>2133</v>
      </c>
      <c r="E124" s="1" t="s">
        <v>37</v>
      </c>
      <c r="F124" s="1" t="s">
        <v>2143</v>
      </c>
      <c r="G124" s="1" t="s">
        <v>2144</v>
      </c>
      <c r="H124" s="1" t="s">
        <v>2145</v>
      </c>
      <c r="I124" t="b">
        <f>COUNTIF(Estadísticas!I:I,'centraldecomunicacion.es'!H124)&gt;0</f>
        <v>0</v>
      </c>
    </row>
    <row r="125" spans="1:9" hidden="1">
      <c r="A125" s="1" t="s">
        <v>2146</v>
      </c>
      <c r="B125" s="1" t="s">
        <v>10</v>
      </c>
      <c r="C125" s="1" t="s">
        <v>2147</v>
      </c>
      <c r="D125" s="1" t="s">
        <v>59</v>
      </c>
      <c r="E125" s="1" t="s">
        <v>37</v>
      </c>
      <c r="F125" s="1" t="s">
        <v>2148</v>
      </c>
      <c r="G125" s="1" t="s">
        <v>2149</v>
      </c>
      <c r="H125" s="1" t="s">
        <v>1762</v>
      </c>
      <c r="I125" t="b">
        <f>COUNTIF(Estadísticas!I:I,'centraldecomunicacion.es'!H125)&gt;0</f>
        <v>0</v>
      </c>
    </row>
    <row r="126" spans="1:9" hidden="1">
      <c r="A126" s="1" t="s">
        <v>2150</v>
      </c>
      <c r="B126" s="1" t="s">
        <v>10</v>
      </c>
      <c r="C126" s="1" t="s">
        <v>2151</v>
      </c>
      <c r="D126" s="1" t="s">
        <v>2152</v>
      </c>
      <c r="E126" s="1" t="s">
        <v>37</v>
      </c>
      <c r="F126" s="1" t="s">
        <v>30</v>
      </c>
      <c r="G126" s="1" t="s">
        <v>2153</v>
      </c>
      <c r="H126" s="1" t="s">
        <v>1762</v>
      </c>
      <c r="I126" t="b">
        <f>COUNTIF(Estadísticas!I:I,'centraldecomunicacion.es'!H126)&gt;0</f>
        <v>0</v>
      </c>
    </row>
    <row r="127" spans="1:9" hidden="1">
      <c r="A127" s="1" t="s">
        <v>2154</v>
      </c>
      <c r="B127" s="1" t="s">
        <v>18</v>
      </c>
      <c r="C127" s="1" t="s">
        <v>2155</v>
      </c>
      <c r="D127" s="1" t="s">
        <v>59</v>
      </c>
      <c r="E127" s="1" t="s">
        <v>37</v>
      </c>
      <c r="F127" s="1" t="s">
        <v>2156</v>
      </c>
      <c r="G127" s="1" t="s">
        <v>2157</v>
      </c>
      <c r="H127" s="1" t="s">
        <v>1762</v>
      </c>
      <c r="I127" t="b">
        <f>COUNTIF(Estadísticas!I:I,'centraldecomunicacion.es'!H127)&gt;0</f>
        <v>0</v>
      </c>
    </row>
    <row r="128" spans="1:9" hidden="1">
      <c r="A128" s="1" t="s">
        <v>2158</v>
      </c>
      <c r="B128" s="1" t="s">
        <v>10</v>
      </c>
      <c r="C128" s="1" t="s">
        <v>30</v>
      </c>
      <c r="D128" s="1" t="s">
        <v>2159</v>
      </c>
      <c r="E128" s="1" t="s">
        <v>30</v>
      </c>
      <c r="F128" s="1" t="s">
        <v>30</v>
      </c>
      <c r="G128" s="1" t="s">
        <v>2160</v>
      </c>
      <c r="H128" s="1" t="s">
        <v>1762</v>
      </c>
      <c r="I128" t="b">
        <f>COUNTIF(Estadísticas!I:I,'centraldecomunicacion.es'!H128)&gt;0</f>
        <v>0</v>
      </c>
    </row>
    <row r="129" spans="1:9" hidden="1">
      <c r="A129" s="1" t="s">
        <v>2161</v>
      </c>
      <c r="B129" s="1" t="s">
        <v>10</v>
      </c>
      <c r="C129" s="1" t="s">
        <v>2162</v>
      </c>
      <c r="D129" s="1" t="s">
        <v>59</v>
      </c>
      <c r="E129" s="1" t="s">
        <v>37</v>
      </c>
      <c r="F129" s="1" t="s">
        <v>30</v>
      </c>
      <c r="G129" s="1" t="s">
        <v>2163</v>
      </c>
      <c r="H129" s="1" t="s">
        <v>1762</v>
      </c>
      <c r="I129" t="b">
        <f>COUNTIF(Estadísticas!I:I,'centraldecomunicacion.es'!H129)&gt;0</f>
        <v>0</v>
      </c>
    </row>
    <row r="130" spans="1:9" hidden="1">
      <c r="A130" s="1" t="s">
        <v>2164</v>
      </c>
      <c r="B130" s="1" t="s">
        <v>10</v>
      </c>
      <c r="C130" s="1" t="s">
        <v>2165</v>
      </c>
      <c r="D130" s="1" t="s">
        <v>59</v>
      </c>
      <c r="E130" s="1" t="s">
        <v>37</v>
      </c>
      <c r="F130" s="1" t="s">
        <v>30</v>
      </c>
      <c r="G130" s="1" t="s">
        <v>2166</v>
      </c>
      <c r="H130" s="1" t="s">
        <v>1762</v>
      </c>
      <c r="I130" t="b">
        <f>COUNTIF(Estadísticas!I:I,'centraldecomunicacion.es'!H130)&gt;0</f>
        <v>0</v>
      </c>
    </row>
    <row r="131" spans="1:9" hidden="1">
      <c r="A131" s="1" t="s">
        <v>2167</v>
      </c>
      <c r="B131" s="1" t="s">
        <v>10</v>
      </c>
      <c r="C131" s="1" t="s">
        <v>2168</v>
      </c>
      <c r="D131" s="1" t="s">
        <v>2169</v>
      </c>
      <c r="E131" s="1" t="s">
        <v>37</v>
      </c>
      <c r="F131" s="1" t="s">
        <v>2170</v>
      </c>
      <c r="G131" s="1" t="s">
        <v>2171</v>
      </c>
      <c r="H131" s="1" t="s">
        <v>2172</v>
      </c>
      <c r="I131" t="b">
        <f>COUNTIF(Estadísticas!I:I,'centraldecomunicacion.es'!H131)&gt;0</f>
        <v>0</v>
      </c>
    </row>
    <row r="132" spans="1:9" hidden="1">
      <c r="A132" s="1" t="s">
        <v>2173</v>
      </c>
      <c r="B132" s="1" t="s">
        <v>18</v>
      </c>
      <c r="C132" s="1" t="s">
        <v>2174</v>
      </c>
      <c r="D132" s="1" t="s">
        <v>2175</v>
      </c>
      <c r="E132" s="1" t="s">
        <v>37</v>
      </c>
      <c r="F132" s="1" t="s">
        <v>30</v>
      </c>
      <c r="G132" s="1" t="s">
        <v>2176</v>
      </c>
      <c r="H132" s="1" t="s">
        <v>1762</v>
      </c>
      <c r="I132" t="b">
        <f>COUNTIF(Estadísticas!I:I,'centraldecomunicacion.es'!H132)&gt;0</f>
        <v>0</v>
      </c>
    </row>
    <row r="133" spans="1:9" hidden="1">
      <c r="A133" s="1" t="s">
        <v>2177</v>
      </c>
      <c r="B133" s="1" t="s">
        <v>10</v>
      </c>
      <c r="C133" s="1" t="s">
        <v>2178</v>
      </c>
      <c r="D133" s="1" t="s">
        <v>59</v>
      </c>
      <c r="E133" s="1" t="s">
        <v>37</v>
      </c>
      <c r="F133" s="1" t="s">
        <v>30</v>
      </c>
      <c r="G133" s="1" t="s">
        <v>2179</v>
      </c>
      <c r="H133" s="1" t="s">
        <v>1762</v>
      </c>
      <c r="I133" t="b">
        <f>COUNTIF(Estadísticas!I:I,'centraldecomunicacion.es'!H133)&gt;0</f>
        <v>0</v>
      </c>
    </row>
    <row r="134" spans="1:9" hidden="1">
      <c r="A134" s="1" t="s">
        <v>2180</v>
      </c>
      <c r="B134" s="1" t="s">
        <v>10</v>
      </c>
      <c r="C134" s="1" t="s">
        <v>2181</v>
      </c>
      <c r="D134" s="1" t="s">
        <v>2182</v>
      </c>
      <c r="E134" s="1" t="s">
        <v>37</v>
      </c>
      <c r="F134" s="1" t="s">
        <v>1830</v>
      </c>
      <c r="G134" s="1" t="s">
        <v>2183</v>
      </c>
      <c r="H134" s="1" t="s">
        <v>1762</v>
      </c>
      <c r="I134" t="b">
        <f>COUNTIF(Estadísticas!I:I,'centraldecomunicacion.es'!H134)&gt;0</f>
        <v>0</v>
      </c>
    </row>
    <row r="135" spans="1:9">
      <c r="A135" s="1" t="s">
        <v>57</v>
      </c>
      <c r="B135" s="1" t="s">
        <v>10</v>
      </c>
      <c r="C135" s="1" t="s">
        <v>58</v>
      </c>
      <c r="D135" s="1" t="s">
        <v>59</v>
      </c>
      <c r="E135" s="1" t="s">
        <v>37</v>
      </c>
      <c r="F135" s="1" t="s">
        <v>60</v>
      </c>
      <c r="G135" s="1" t="s">
        <v>61</v>
      </c>
      <c r="H135" s="1" t="s">
        <v>62</v>
      </c>
      <c r="I135" t="b">
        <f>COUNTIF(Estadísticas!I:I,'centraldecomunicacion.es'!H135)&gt;0</f>
        <v>1</v>
      </c>
    </row>
    <row r="136" spans="1:9" hidden="1">
      <c r="A136" s="1" t="s">
        <v>2184</v>
      </c>
      <c r="B136" s="1" t="s">
        <v>10</v>
      </c>
      <c r="C136" s="1" t="s">
        <v>2185</v>
      </c>
      <c r="D136" s="1" t="s">
        <v>53</v>
      </c>
      <c r="E136" s="1" t="s">
        <v>37</v>
      </c>
      <c r="F136" s="1" t="s">
        <v>30</v>
      </c>
      <c r="G136" s="1" t="s">
        <v>2186</v>
      </c>
      <c r="H136" s="1" t="s">
        <v>1762</v>
      </c>
      <c r="I136" t="b">
        <f>COUNTIF(Estadísticas!I:I,'centraldecomunicacion.es'!H136)&gt;0</f>
        <v>0</v>
      </c>
    </row>
    <row r="137" spans="1:9" hidden="1">
      <c r="A137" s="1" t="s">
        <v>2187</v>
      </c>
      <c r="B137" s="1" t="s">
        <v>10</v>
      </c>
      <c r="C137" s="1" t="s">
        <v>2188</v>
      </c>
      <c r="D137" s="1" t="s">
        <v>2189</v>
      </c>
      <c r="E137" s="1" t="s">
        <v>37</v>
      </c>
      <c r="F137" s="1" t="s">
        <v>30</v>
      </c>
      <c r="G137" s="1" t="s">
        <v>2190</v>
      </c>
      <c r="H137" s="1" t="s">
        <v>1762</v>
      </c>
      <c r="I137" t="b">
        <f>COUNTIF(Estadísticas!I:I,'centraldecomunicacion.es'!H137)&gt;0</f>
        <v>0</v>
      </c>
    </row>
    <row r="138" spans="1:9" hidden="1">
      <c r="A138" s="1" t="s">
        <v>2098</v>
      </c>
      <c r="B138" s="1" t="s">
        <v>10</v>
      </c>
      <c r="C138" s="1" t="s">
        <v>2191</v>
      </c>
      <c r="D138" s="1" t="s">
        <v>2133</v>
      </c>
      <c r="E138" s="1" t="s">
        <v>37</v>
      </c>
      <c r="F138" s="1" t="s">
        <v>2100</v>
      </c>
      <c r="G138" s="1" t="s">
        <v>2101</v>
      </c>
      <c r="H138" s="1" t="s">
        <v>2102</v>
      </c>
      <c r="I138" t="b">
        <f>COUNTIF(Estadísticas!I:I,'centraldecomunicacion.es'!H138)&gt;0</f>
        <v>0</v>
      </c>
    </row>
    <row r="139" spans="1:9" hidden="1">
      <c r="A139" s="1" t="s">
        <v>2192</v>
      </c>
      <c r="B139" s="1" t="s">
        <v>10</v>
      </c>
      <c r="C139" s="1" t="s">
        <v>2193</v>
      </c>
      <c r="D139" s="1" t="s">
        <v>59</v>
      </c>
      <c r="E139" s="1" t="s">
        <v>37</v>
      </c>
      <c r="F139" s="1" t="s">
        <v>1984</v>
      </c>
      <c r="G139" s="1" t="s">
        <v>2194</v>
      </c>
      <c r="H139" s="1" t="s">
        <v>1762</v>
      </c>
      <c r="I139" t="b">
        <f>COUNTIF(Estadísticas!I:I,'centraldecomunicacion.es'!H139)&gt;0</f>
        <v>0</v>
      </c>
    </row>
    <row r="140" spans="1:9" hidden="1">
      <c r="A140" s="1" t="s">
        <v>2195</v>
      </c>
      <c r="B140" s="1" t="s">
        <v>10</v>
      </c>
      <c r="C140" s="1" t="s">
        <v>2196</v>
      </c>
      <c r="D140" s="1" t="s">
        <v>2133</v>
      </c>
      <c r="E140" s="1" t="s">
        <v>37</v>
      </c>
      <c r="F140" s="1" t="s">
        <v>30</v>
      </c>
      <c r="G140" s="1" t="s">
        <v>30</v>
      </c>
      <c r="H140" s="1" t="s">
        <v>1762</v>
      </c>
      <c r="I140" t="b">
        <f>COUNTIF(Estadísticas!I:I,'centraldecomunicacion.es'!H140)&gt;0</f>
        <v>0</v>
      </c>
    </row>
    <row r="141" spans="1:9" hidden="1">
      <c r="A141" s="1" t="s">
        <v>2197</v>
      </c>
      <c r="B141" s="1" t="s">
        <v>10</v>
      </c>
      <c r="C141" s="1" t="s">
        <v>2198</v>
      </c>
      <c r="D141" s="1" t="s">
        <v>2133</v>
      </c>
      <c r="E141" s="1" t="s">
        <v>37</v>
      </c>
      <c r="F141" s="1" t="s">
        <v>2199</v>
      </c>
      <c r="G141" s="1" t="s">
        <v>2200</v>
      </c>
      <c r="H141" s="1" t="s">
        <v>2201</v>
      </c>
      <c r="I141" t="b">
        <f>COUNTIF(Estadísticas!I:I,'centraldecomunicacion.es'!H141)&gt;0</f>
        <v>0</v>
      </c>
    </row>
    <row r="142" spans="1:9" hidden="1">
      <c r="A142" s="1" t="s">
        <v>2202</v>
      </c>
      <c r="B142" s="1" t="s">
        <v>10</v>
      </c>
      <c r="C142" s="1" t="s">
        <v>2203</v>
      </c>
      <c r="D142" s="1" t="s">
        <v>59</v>
      </c>
      <c r="E142" s="1" t="s">
        <v>37</v>
      </c>
      <c r="F142" s="1" t="s">
        <v>30</v>
      </c>
      <c r="G142" s="1" t="s">
        <v>30</v>
      </c>
      <c r="H142" s="1" t="s">
        <v>1762</v>
      </c>
      <c r="I142" t="b">
        <f>COUNTIF(Estadísticas!I:I,'centraldecomunicacion.es'!H142)&gt;0</f>
        <v>0</v>
      </c>
    </row>
    <row r="143" spans="1:9" hidden="1">
      <c r="A143" s="1" t="s">
        <v>2204</v>
      </c>
      <c r="B143" s="1" t="s">
        <v>10</v>
      </c>
      <c r="C143" s="1" t="s">
        <v>2205</v>
      </c>
      <c r="D143" s="1" t="s">
        <v>2133</v>
      </c>
      <c r="E143" s="1" t="s">
        <v>37</v>
      </c>
      <c r="F143" s="1" t="s">
        <v>30</v>
      </c>
      <c r="G143" s="1" t="s">
        <v>2206</v>
      </c>
      <c r="H143" s="1" t="s">
        <v>1762</v>
      </c>
      <c r="I143" t="b">
        <f>COUNTIF(Estadísticas!I:I,'centraldecomunicacion.es'!H143)&gt;0</f>
        <v>0</v>
      </c>
    </row>
    <row r="144" spans="1:9" hidden="1">
      <c r="A144" s="1" t="s">
        <v>2207</v>
      </c>
      <c r="B144" s="1" t="s">
        <v>10</v>
      </c>
      <c r="C144" s="1" t="s">
        <v>2208</v>
      </c>
      <c r="D144" s="1" t="s">
        <v>2081</v>
      </c>
      <c r="E144" s="1" t="s">
        <v>37</v>
      </c>
      <c r="F144" s="1" t="s">
        <v>30</v>
      </c>
      <c r="G144" s="1" t="s">
        <v>2209</v>
      </c>
      <c r="H144" s="1" t="s">
        <v>1762</v>
      </c>
      <c r="I144" t="b">
        <f>COUNTIF(Estadísticas!I:I,'centraldecomunicacion.es'!H144)&gt;0</f>
        <v>0</v>
      </c>
    </row>
    <row r="145" spans="1:9" hidden="1">
      <c r="A145" s="1" t="s">
        <v>2210</v>
      </c>
      <c r="B145" s="1" t="s">
        <v>10</v>
      </c>
      <c r="C145" s="1" t="s">
        <v>2211</v>
      </c>
      <c r="D145" s="1" t="s">
        <v>53</v>
      </c>
      <c r="E145" s="1" t="s">
        <v>37</v>
      </c>
      <c r="F145" s="1" t="s">
        <v>2212</v>
      </c>
      <c r="G145" s="1" t="s">
        <v>2213</v>
      </c>
      <c r="H145" s="1" t="s">
        <v>1762</v>
      </c>
      <c r="I145" t="b">
        <f>COUNTIF(Estadísticas!I:I,'centraldecomunicacion.es'!H145)&gt;0</f>
        <v>0</v>
      </c>
    </row>
    <row r="146" spans="1:9" hidden="1">
      <c r="A146" s="1" t="s">
        <v>2214</v>
      </c>
      <c r="B146" s="1" t="s">
        <v>10</v>
      </c>
      <c r="C146" s="1" t="s">
        <v>2215</v>
      </c>
      <c r="D146" s="1" t="s">
        <v>2175</v>
      </c>
      <c r="E146" s="1" t="s">
        <v>37</v>
      </c>
      <c r="F146" s="1" t="s">
        <v>30</v>
      </c>
      <c r="G146" s="1" t="s">
        <v>2216</v>
      </c>
      <c r="H146" s="1" t="s">
        <v>1762</v>
      </c>
      <c r="I146" t="b">
        <f>COUNTIF(Estadísticas!I:I,'centraldecomunicacion.es'!H146)&gt;0</f>
        <v>0</v>
      </c>
    </row>
    <row r="147" spans="1:9" hidden="1">
      <c r="A147" s="1" t="s">
        <v>2217</v>
      </c>
      <c r="B147" s="1" t="s">
        <v>10</v>
      </c>
      <c r="C147" s="1" t="s">
        <v>30</v>
      </c>
      <c r="D147" s="1" t="s">
        <v>2159</v>
      </c>
      <c r="E147" s="1" t="s">
        <v>30</v>
      </c>
      <c r="F147" s="1" t="s">
        <v>30</v>
      </c>
      <c r="G147" s="1" t="s">
        <v>2218</v>
      </c>
      <c r="H147" s="1" t="s">
        <v>1762</v>
      </c>
      <c r="I147" t="b">
        <f>COUNTIF(Estadísticas!I:I,'centraldecomunicacion.es'!H147)&gt;0</f>
        <v>0</v>
      </c>
    </row>
    <row r="148" spans="1:9" hidden="1">
      <c r="A148" s="1" t="s">
        <v>2219</v>
      </c>
      <c r="B148" s="1" t="s">
        <v>10</v>
      </c>
      <c r="C148" s="1" t="s">
        <v>2220</v>
      </c>
      <c r="D148" s="1" t="s">
        <v>59</v>
      </c>
      <c r="E148" s="1" t="s">
        <v>37</v>
      </c>
      <c r="F148" s="1" t="s">
        <v>30</v>
      </c>
      <c r="G148" s="1" t="s">
        <v>2221</v>
      </c>
      <c r="H148" s="1" t="s">
        <v>1762</v>
      </c>
      <c r="I148" t="b">
        <f>COUNTIF(Estadísticas!I:I,'centraldecomunicacion.es'!H148)&gt;0</f>
        <v>0</v>
      </c>
    </row>
    <row r="149" spans="1:9" hidden="1">
      <c r="A149" s="1" t="s">
        <v>2222</v>
      </c>
      <c r="B149" s="1" t="s">
        <v>18</v>
      </c>
      <c r="C149" s="1" t="s">
        <v>2223</v>
      </c>
      <c r="D149" s="1" t="s">
        <v>2224</v>
      </c>
      <c r="E149" s="1" t="s">
        <v>37</v>
      </c>
      <c r="F149" s="1" t="s">
        <v>2225</v>
      </c>
      <c r="G149" s="1" t="s">
        <v>2226</v>
      </c>
      <c r="H149" s="1" t="s">
        <v>1762</v>
      </c>
      <c r="I149" t="b">
        <f>COUNTIF(Estadísticas!I:I,'centraldecomunicacion.es'!H149)&gt;0</f>
        <v>0</v>
      </c>
    </row>
    <row r="150" spans="1:9" hidden="1">
      <c r="A150" s="1" t="s">
        <v>2227</v>
      </c>
      <c r="B150" s="1" t="s">
        <v>10</v>
      </c>
      <c r="C150" s="1" t="s">
        <v>2228</v>
      </c>
      <c r="D150" s="1" t="s">
        <v>2133</v>
      </c>
      <c r="E150" s="1" t="s">
        <v>37</v>
      </c>
      <c r="F150" s="1" t="s">
        <v>30</v>
      </c>
      <c r="G150" s="1" t="s">
        <v>2229</v>
      </c>
      <c r="H150" s="1" t="s">
        <v>1762</v>
      </c>
      <c r="I150" t="b">
        <f>COUNTIF(Estadísticas!I:I,'centraldecomunicacion.es'!H150)&gt;0</f>
        <v>0</v>
      </c>
    </row>
    <row r="151" spans="1:9" hidden="1">
      <c r="A151" s="1" t="s">
        <v>2230</v>
      </c>
      <c r="B151" s="1" t="s">
        <v>10</v>
      </c>
      <c r="C151" s="1" t="s">
        <v>2231</v>
      </c>
      <c r="D151" s="1" t="s">
        <v>2133</v>
      </c>
      <c r="E151" s="1" t="s">
        <v>37</v>
      </c>
      <c r="F151" s="1" t="s">
        <v>30</v>
      </c>
      <c r="G151" s="1" t="s">
        <v>2232</v>
      </c>
      <c r="H151" s="1" t="s">
        <v>1762</v>
      </c>
      <c r="I151" t="b">
        <f>COUNTIF(Estadísticas!I:I,'centraldecomunicacion.es'!H151)&gt;0</f>
        <v>0</v>
      </c>
    </row>
    <row r="152" spans="1:9">
      <c r="A152" s="1" t="s">
        <v>2233</v>
      </c>
      <c r="B152" s="1" t="s">
        <v>10</v>
      </c>
      <c r="C152" s="1" t="s">
        <v>2234</v>
      </c>
      <c r="D152" s="1" t="s">
        <v>59</v>
      </c>
      <c r="E152" s="1" t="s">
        <v>37</v>
      </c>
      <c r="F152" s="1" t="s">
        <v>48</v>
      </c>
      <c r="G152" s="1" t="s">
        <v>49</v>
      </c>
      <c r="H152" s="1" t="s">
        <v>50</v>
      </c>
      <c r="I152" t="b">
        <f>COUNTIF(Estadísticas!I:I,'centraldecomunicacion.es'!H152)&gt;0</f>
        <v>1</v>
      </c>
    </row>
    <row r="153" spans="1:9" hidden="1">
      <c r="A153" s="1" t="s">
        <v>2235</v>
      </c>
      <c r="B153" s="1" t="s">
        <v>10</v>
      </c>
      <c r="C153" s="1" t="s">
        <v>2236</v>
      </c>
      <c r="D153" s="1" t="s">
        <v>2133</v>
      </c>
      <c r="E153" s="1" t="s">
        <v>37</v>
      </c>
      <c r="F153" s="1" t="s">
        <v>30</v>
      </c>
      <c r="G153" s="1" t="s">
        <v>2237</v>
      </c>
      <c r="H153" s="1" t="s">
        <v>1762</v>
      </c>
      <c r="I153" t="b">
        <f>COUNTIF(Estadísticas!I:I,'centraldecomunicacion.es'!H153)&gt;0</f>
        <v>0</v>
      </c>
    </row>
    <row r="154" spans="1:9" hidden="1">
      <c r="A154" s="1" t="s">
        <v>2238</v>
      </c>
      <c r="B154" s="1" t="s">
        <v>18</v>
      </c>
      <c r="C154" s="1" t="s">
        <v>2239</v>
      </c>
      <c r="D154" s="1" t="s">
        <v>53</v>
      </c>
      <c r="E154" s="1" t="s">
        <v>37</v>
      </c>
      <c r="F154" s="1" t="s">
        <v>2240</v>
      </c>
      <c r="G154" s="1" t="s">
        <v>2241</v>
      </c>
      <c r="H154" s="1" t="s">
        <v>2242</v>
      </c>
      <c r="I154" t="b">
        <f>COUNTIF(Estadísticas!I:I,'centraldecomunicacion.es'!H154)&gt;0</f>
        <v>0</v>
      </c>
    </row>
    <row r="155" spans="1:9" hidden="1">
      <c r="A155" s="1" t="s">
        <v>2243</v>
      </c>
      <c r="B155" s="1" t="s">
        <v>10</v>
      </c>
      <c r="C155" s="1" t="s">
        <v>2244</v>
      </c>
      <c r="D155" s="1" t="s">
        <v>53</v>
      </c>
      <c r="E155" s="1" t="s">
        <v>37</v>
      </c>
      <c r="F155" s="1" t="s">
        <v>30</v>
      </c>
      <c r="G155" s="1" t="s">
        <v>2245</v>
      </c>
      <c r="H155" s="1" t="s">
        <v>1762</v>
      </c>
      <c r="I155" t="b">
        <f>COUNTIF(Estadísticas!I:I,'centraldecomunicacion.es'!H155)&gt;0</f>
        <v>0</v>
      </c>
    </row>
    <row r="156" spans="1:9" hidden="1">
      <c r="A156" s="1" t="s">
        <v>2246</v>
      </c>
      <c r="B156" s="1" t="s">
        <v>10</v>
      </c>
      <c r="C156" s="1" t="s">
        <v>2247</v>
      </c>
      <c r="D156" s="1" t="s">
        <v>59</v>
      </c>
      <c r="E156" s="1" t="s">
        <v>37</v>
      </c>
      <c r="F156" s="1" t="s">
        <v>2248</v>
      </c>
      <c r="G156" s="1" t="s">
        <v>2149</v>
      </c>
      <c r="H156" s="1" t="s">
        <v>1762</v>
      </c>
      <c r="I156" t="b">
        <f>COUNTIF(Estadísticas!I:I,'centraldecomunicacion.es'!H156)&gt;0</f>
        <v>0</v>
      </c>
    </row>
    <row r="157" spans="1:9" hidden="1">
      <c r="A157" s="1" t="s">
        <v>2249</v>
      </c>
      <c r="B157" s="1" t="s">
        <v>10</v>
      </c>
      <c r="C157" s="1" t="s">
        <v>2250</v>
      </c>
      <c r="D157" s="1" t="s">
        <v>2182</v>
      </c>
      <c r="E157" s="1" t="s">
        <v>37</v>
      </c>
      <c r="F157" s="1" t="s">
        <v>30</v>
      </c>
      <c r="G157" s="1" t="s">
        <v>2251</v>
      </c>
      <c r="H157" s="1" t="s">
        <v>1762</v>
      </c>
      <c r="I157" t="b">
        <f>COUNTIF(Estadísticas!I:I,'centraldecomunicacion.es'!H157)&gt;0</f>
        <v>0</v>
      </c>
    </row>
    <row r="158" spans="1:9" hidden="1">
      <c r="A158" s="1" t="s">
        <v>2252</v>
      </c>
      <c r="B158" s="1" t="s">
        <v>18</v>
      </c>
      <c r="C158" s="1" t="s">
        <v>2253</v>
      </c>
      <c r="D158" s="1" t="s">
        <v>2133</v>
      </c>
      <c r="E158" s="1" t="s">
        <v>37</v>
      </c>
      <c r="F158" s="1" t="s">
        <v>2254</v>
      </c>
      <c r="G158" s="1" t="s">
        <v>2255</v>
      </c>
      <c r="H158" s="1" t="s">
        <v>2256</v>
      </c>
      <c r="I158" t="b">
        <f>COUNTIF(Estadísticas!I:I,'centraldecomunicacion.es'!H158)&gt;0</f>
        <v>0</v>
      </c>
    </row>
    <row r="159" spans="1:9" hidden="1">
      <c r="A159" s="1" t="s">
        <v>2257</v>
      </c>
      <c r="B159" s="1" t="s">
        <v>10</v>
      </c>
      <c r="C159" s="1" t="s">
        <v>2258</v>
      </c>
      <c r="D159" s="1" t="s">
        <v>2259</v>
      </c>
      <c r="E159" s="1" t="s">
        <v>37</v>
      </c>
      <c r="F159" s="1" t="s">
        <v>30</v>
      </c>
      <c r="G159" s="1" t="s">
        <v>2260</v>
      </c>
      <c r="H159" s="1" t="s">
        <v>1762</v>
      </c>
      <c r="I159" t="b">
        <f>COUNTIF(Estadísticas!I:I,'centraldecomunicacion.es'!H159)&gt;0</f>
        <v>0</v>
      </c>
    </row>
    <row r="160" spans="1:9" hidden="1">
      <c r="A160" s="1" t="s">
        <v>2261</v>
      </c>
      <c r="B160" s="1" t="s">
        <v>10</v>
      </c>
      <c r="C160" s="1" t="s">
        <v>2262</v>
      </c>
      <c r="D160" s="1" t="s">
        <v>2259</v>
      </c>
      <c r="E160" s="1" t="s">
        <v>37</v>
      </c>
      <c r="F160" s="1" t="s">
        <v>30</v>
      </c>
      <c r="G160" s="1" t="s">
        <v>2263</v>
      </c>
      <c r="H160" s="1" t="s">
        <v>1762</v>
      </c>
      <c r="I160" t="b">
        <f>COUNTIF(Estadísticas!I:I,'centraldecomunicacion.es'!H160)&gt;0</f>
        <v>0</v>
      </c>
    </row>
    <row r="161" spans="1:9" hidden="1">
      <c r="A161" s="1" t="s">
        <v>2264</v>
      </c>
      <c r="B161" s="1" t="s">
        <v>10</v>
      </c>
      <c r="C161" s="1" t="s">
        <v>2265</v>
      </c>
      <c r="D161" s="1" t="s">
        <v>59</v>
      </c>
      <c r="E161" s="1" t="s">
        <v>37</v>
      </c>
      <c r="F161" s="1" t="s">
        <v>30</v>
      </c>
      <c r="G161" s="1" t="s">
        <v>2266</v>
      </c>
      <c r="H161" s="1" t="s">
        <v>1762</v>
      </c>
      <c r="I161" t="b">
        <f>COUNTIF(Estadísticas!I:I,'centraldecomunicacion.es'!H161)&gt;0</f>
        <v>0</v>
      </c>
    </row>
    <row r="162" spans="1:9" hidden="1">
      <c r="A162" s="1" t="s">
        <v>2267</v>
      </c>
      <c r="B162" s="1" t="s">
        <v>10</v>
      </c>
      <c r="C162" s="1" t="s">
        <v>2268</v>
      </c>
      <c r="D162" s="1" t="s">
        <v>2169</v>
      </c>
      <c r="E162" s="1" t="s">
        <v>37</v>
      </c>
      <c r="F162" s="1" t="s">
        <v>30</v>
      </c>
      <c r="G162" s="1" t="s">
        <v>30</v>
      </c>
      <c r="H162" s="1" t="s">
        <v>1762</v>
      </c>
      <c r="I162" t="b">
        <f>COUNTIF(Estadísticas!I:I,'centraldecomunicacion.es'!H162)&gt;0</f>
        <v>0</v>
      </c>
    </row>
    <row r="163" spans="1:9" hidden="1">
      <c r="A163" s="1" t="s">
        <v>2269</v>
      </c>
      <c r="B163" s="1" t="s">
        <v>10</v>
      </c>
      <c r="C163" s="1" t="s">
        <v>2270</v>
      </c>
      <c r="D163" s="1" t="s">
        <v>2271</v>
      </c>
      <c r="E163" s="1" t="s">
        <v>37</v>
      </c>
      <c r="F163" s="1" t="s">
        <v>30</v>
      </c>
      <c r="G163" s="1" t="s">
        <v>2272</v>
      </c>
      <c r="H163" s="1" t="s">
        <v>1762</v>
      </c>
      <c r="I163" t="b">
        <f>COUNTIF(Estadísticas!I:I,'centraldecomunicacion.es'!H163)&gt;0</f>
        <v>0</v>
      </c>
    </row>
    <row r="164" spans="1:9" hidden="1">
      <c r="A164" s="1" t="s">
        <v>2273</v>
      </c>
      <c r="B164" s="1" t="s">
        <v>10</v>
      </c>
      <c r="C164" s="1" t="s">
        <v>30</v>
      </c>
      <c r="D164" s="1" t="s">
        <v>2159</v>
      </c>
      <c r="E164" s="1" t="s">
        <v>30</v>
      </c>
      <c r="F164" s="1" t="s">
        <v>2274</v>
      </c>
      <c r="G164" s="1" t="s">
        <v>2275</v>
      </c>
      <c r="H164" s="1" t="s">
        <v>2276</v>
      </c>
      <c r="I164" t="b">
        <f>COUNTIF(Estadísticas!I:I,'centraldecomunicacion.es'!H164)&gt;0</f>
        <v>0</v>
      </c>
    </row>
    <row r="165" spans="1:9" hidden="1">
      <c r="A165" s="1" t="s">
        <v>2277</v>
      </c>
      <c r="B165" s="1" t="s">
        <v>18</v>
      </c>
      <c r="C165" s="1" t="s">
        <v>2278</v>
      </c>
      <c r="D165" s="1" t="s">
        <v>2279</v>
      </c>
      <c r="E165" s="1" t="s">
        <v>37</v>
      </c>
      <c r="F165" s="1" t="s">
        <v>30</v>
      </c>
      <c r="G165" s="1" t="s">
        <v>30</v>
      </c>
      <c r="H165" s="1" t="s">
        <v>1762</v>
      </c>
      <c r="I165" t="b">
        <f>COUNTIF(Estadísticas!I:I,'centraldecomunicacion.es'!H165)&gt;0</f>
        <v>0</v>
      </c>
    </row>
    <row r="166" spans="1:9" hidden="1">
      <c r="A166" s="1" t="s">
        <v>2280</v>
      </c>
      <c r="B166" s="1" t="s">
        <v>18</v>
      </c>
      <c r="C166" s="1" t="s">
        <v>2281</v>
      </c>
      <c r="D166" s="1" t="s">
        <v>2282</v>
      </c>
      <c r="E166" s="1" t="s">
        <v>37</v>
      </c>
      <c r="F166" s="1" t="s">
        <v>2283</v>
      </c>
      <c r="G166" s="1" t="s">
        <v>2284</v>
      </c>
      <c r="H166" s="1" t="s">
        <v>1762</v>
      </c>
      <c r="I166" t="b">
        <f>COUNTIF(Estadísticas!I:I,'centraldecomunicacion.es'!H166)&gt;0</f>
        <v>0</v>
      </c>
    </row>
    <row r="167" spans="1:9" hidden="1">
      <c r="A167" s="1" t="s">
        <v>2285</v>
      </c>
      <c r="B167" s="1" t="s">
        <v>18</v>
      </c>
      <c r="C167" s="1" t="s">
        <v>2286</v>
      </c>
      <c r="D167" s="1" t="s">
        <v>2287</v>
      </c>
      <c r="E167" s="1" t="s">
        <v>37</v>
      </c>
      <c r="F167" s="1" t="s">
        <v>30</v>
      </c>
      <c r="G167" s="1" t="s">
        <v>2288</v>
      </c>
      <c r="H167" s="1" t="s">
        <v>1762</v>
      </c>
      <c r="I167" t="b">
        <f>COUNTIF(Estadísticas!I:I,'centraldecomunicacion.es'!H167)&gt;0</f>
        <v>0</v>
      </c>
    </row>
    <row r="168" spans="1:9" hidden="1">
      <c r="A168" s="1" t="s">
        <v>2289</v>
      </c>
      <c r="B168" s="1" t="s">
        <v>10</v>
      </c>
      <c r="C168" s="1" t="s">
        <v>2290</v>
      </c>
      <c r="D168" s="1" t="s">
        <v>65</v>
      </c>
      <c r="E168" s="1" t="s">
        <v>65</v>
      </c>
      <c r="F168" s="1" t="s">
        <v>1830</v>
      </c>
      <c r="G168" s="1" t="s">
        <v>2291</v>
      </c>
      <c r="H168" s="1" t="s">
        <v>1762</v>
      </c>
      <c r="I168" t="b">
        <f>COUNTIF(Estadísticas!I:I,'centraldecomunicacion.es'!H168)&gt;0</f>
        <v>0</v>
      </c>
    </row>
    <row r="169" spans="1:9" hidden="1">
      <c r="A169" s="1" t="s">
        <v>2292</v>
      </c>
      <c r="B169" s="1" t="s">
        <v>10</v>
      </c>
      <c r="C169" s="1" t="s">
        <v>2293</v>
      </c>
      <c r="D169" s="1" t="s">
        <v>65</v>
      </c>
      <c r="E169" s="1" t="s">
        <v>65</v>
      </c>
      <c r="F169" s="1" t="s">
        <v>1830</v>
      </c>
      <c r="G169" s="1" t="s">
        <v>2294</v>
      </c>
      <c r="H169" s="1" t="s">
        <v>1762</v>
      </c>
      <c r="I169" t="b">
        <f>COUNTIF(Estadísticas!I:I,'centraldecomunicacion.es'!H169)&gt;0</f>
        <v>0</v>
      </c>
    </row>
    <row r="170" spans="1:9" hidden="1">
      <c r="A170" s="1" t="s">
        <v>2295</v>
      </c>
      <c r="B170" s="1" t="s">
        <v>10</v>
      </c>
      <c r="C170" s="1" t="s">
        <v>2296</v>
      </c>
      <c r="D170" s="1" t="s">
        <v>65</v>
      </c>
      <c r="E170" s="1" t="s">
        <v>65</v>
      </c>
      <c r="F170" s="1" t="s">
        <v>2297</v>
      </c>
      <c r="G170" s="1" t="s">
        <v>2298</v>
      </c>
      <c r="H170" s="1" t="s">
        <v>1762</v>
      </c>
      <c r="I170" t="b">
        <f>COUNTIF(Estadísticas!I:I,'centraldecomunicacion.es'!H170)&gt;0</f>
        <v>0</v>
      </c>
    </row>
    <row r="171" spans="1:9" hidden="1">
      <c r="A171" s="1" t="s">
        <v>2299</v>
      </c>
      <c r="B171" s="1" t="s">
        <v>10</v>
      </c>
      <c r="C171" s="1" t="s">
        <v>2300</v>
      </c>
      <c r="D171" s="1" t="s">
        <v>65</v>
      </c>
      <c r="E171" s="1" t="s">
        <v>65</v>
      </c>
      <c r="F171" s="1" t="s">
        <v>2301</v>
      </c>
      <c r="G171" s="1" t="s">
        <v>2302</v>
      </c>
      <c r="H171" s="1" t="s">
        <v>2303</v>
      </c>
      <c r="I171" t="b">
        <f>COUNTIF(Estadísticas!I:I,'centraldecomunicacion.es'!H171)&gt;0</f>
        <v>0</v>
      </c>
    </row>
    <row r="172" spans="1:9" hidden="1">
      <c r="A172" s="1" t="s">
        <v>2304</v>
      </c>
      <c r="B172" s="1" t="s">
        <v>10</v>
      </c>
      <c r="C172" s="1" t="s">
        <v>2305</v>
      </c>
      <c r="D172" s="1" t="s">
        <v>65</v>
      </c>
      <c r="E172" s="1" t="s">
        <v>65</v>
      </c>
      <c r="F172" s="1" t="s">
        <v>30</v>
      </c>
      <c r="G172" s="1" t="s">
        <v>2306</v>
      </c>
      <c r="H172" s="1" t="s">
        <v>1762</v>
      </c>
      <c r="I172" t="b">
        <f>COUNTIF(Estadísticas!I:I,'centraldecomunicacion.es'!H172)&gt;0</f>
        <v>0</v>
      </c>
    </row>
    <row r="173" spans="1:9">
      <c r="A173" s="1" t="s">
        <v>63</v>
      </c>
      <c r="B173" s="1" t="s">
        <v>10</v>
      </c>
      <c r="C173" s="1" t="s">
        <v>64</v>
      </c>
      <c r="D173" s="1" t="s">
        <v>65</v>
      </c>
      <c r="E173" s="1" t="s">
        <v>65</v>
      </c>
      <c r="F173" s="1" t="s">
        <v>66</v>
      </c>
      <c r="G173" s="1" t="s">
        <v>67</v>
      </c>
      <c r="H173" s="1" t="s">
        <v>68</v>
      </c>
      <c r="I173" t="b">
        <f>COUNTIF(Estadísticas!I:I,'centraldecomunicacion.es'!H173)&gt;0</f>
        <v>1</v>
      </c>
    </row>
    <row r="174" spans="1:9" hidden="1">
      <c r="A174" s="1" t="s">
        <v>2307</v>
      </c>
      <c r="B174" s="1" t="s">
        <v>10</v>
      </c>
      <c r="C174" s="1" t="s">
        <v>2308</v>
      </c>
      <c r="D174" s="1" t="s">
        <v>65</v>
      </c>
      <c r="E174" s="1" t="s">
        <v>65</v>
      </c>
      <c r="F174" s="1" t="s">
        <v>2309</v>
      </c>
      <c r="G174" s="1" t="s">
        <v>2310</v>
      </c>
      <c r="H174" s="1" t="s">
        <v>2311</v>
      </c>
      <c r="I174" t="b">
        <f>COUNTIF(Estadísticas!I:I,'centraldecomunicacion.es'!H174)&gt;0</f>
        <v>0</v>
      </c>
    </row>
    <row r="175" spans="1:9" hidden="1">
      <c r="A175" s="1" t="s">
        <v>2312</v>
      </c>
      <c r="B175" s="1" t="s">
        <v>10</v>
      </c>
      <c r="C175" s="1" t="s">
        <v>2313</v>
      </c>
      <c r="D175" s="1" t="s">
        <v>65</v>
      </c>
      <c r="E175" s="1" t="s">
        <v>65</v>
      </c>
      <c r="F175" s="1" t="s">
        <v>30</v>
      </c>
      <c r="G175" s="1" t="s">
        <v>2314</v>
      </c>
      <c r="H175" s="1" t="s">
        <v>1762</v>
      </c>
      <c r="I175" t="b">
        <f>COUNTIF(Estadísticas!I:I,'centraldecomunicacion.es'!H175)&gt;0</f>
        <v>0</v>
      </c>
    </row>
    <row r="176" spans="1:9" hidden="1">
      <c r="A176" s="1" t="s">
        <v>2315</v>
      </c>
      <c r="B176" s="1" t="s">
        <v>10</v>
      </c>
      <c r="C176" s="1" t="s">
        <v>2316</v>
      </c>
      <c r="D176" s="1" t="s">
        <v>65</v>
      </c>
      <c r="E176" s="1" t="s">
        <v>65</v>
      </c>
      <c r="F176" s="1" t="s">
        <v>30</v>
      </c>
      <c r="G176" s="1" t="s">
        <v>2317</v>
      </c>
      <c r="H176" s="1" t="s">
        <v>1762</v>
      </c>
      <c r="I176" t="b">
        <f>COUNTIF(Estadísticas!I:I,'centraldecomunicacion.es'!H176)&gt;0</f>
        <v>0</v>
      </c>
    </row>
    <row r="177" spans="1:9" hidden="1">
      <c r="A177" s="1" t="s">
        <v>2318</v>
      </c>
      <c r="B177" s="1" t="s">
        <v>10</v>
      </c>
      <c r="C177" s="1" t="s">
        <v>2319</v>
      </c>
      <c r="D177" s="1" t="s">
        <v>65</v>
      </c>
      <c r="E177" s="1" t="s">
        <v>65</v>
      </c>
      <c r="F177" s="1" t="s">
        <v>2320</v>
      </c>
      <c r="G177" s="1" t="s">
        <v>2321</v>
      </c>
      <c r="H177" s="1" t="s">
        <v>1762</v>
      </c>
      <c r="I177" t="b">
        <f>COUNTIF(Estadísticas!I:I,'centraldecomunicacion.es'!H177)&gt;0</f>
        <v>0</v>
      </c>
    </row>
    <row r="178" spans="1:9" hidden="1">
      <c r="A178" s="1" t="s">
        <v>2322</v>
      </c>
      <c r="B178" s="1" t="s">
        <v>10</v>
      </c>
      <c r="C178" s="1" t="s">
        <v>30</v>
      </c>
      <c r="D178" s="1" t="s">
        <v>75</v>
      </c>
      <c r="E178" s="1" t="s">
        <v>30</v>
      </c>
      <c r="F178" s="1" t="s">
        <v>2323</v>
      </c>
      <c r="G178" s="1" t="s">
        <v>2324</v>
      </c>
      <c r="H178" s="1" t="s">
        <v>2325</v>
      </c>
      <c r="I178" t="b">
        <f>COUNTIF(Estadísticas!I:I,'centraldecomunicacion.es'!H178)&gt;0</f>
        <v>0</v>
      </c>
    </row>
    <row r="179" spans="1:9" hidden="1">
      <c r="A179" s="1" t="s">
        <v>2326</v>
      </c>
      <c r="B179" s="1" t="s">
        <v>10</v>
      </c>
      <c r="C179" s="1" t="s">
        <v>2327</v>
      </c>
      <c r="D179" s="1" t="s">
        <v>65</v>
      </c>
      <c r="E179" s="1" t="s">
        <v>65</v>
      </c>
      <c r="F179" s="1" t="s">
        <v>2328</v>
      </c>
      <c r="G179" s="1" t="s">
        <v>2329</v>
      </c>
      <c r="H179" s="1" t="s">
        <v>1762</v>
      </c>
      <c r="I179" t="b">
        <f>COUNTIF(Estadísticas!I:I,'centraldecomunicacion.es'!H179)&gt;0</f>
        <v>0</v>
      </c>
    </row>
    <row r="180" spans="1:9" hidden="1">
      <c r="A180" s="1" t="s">
        <v>2330</v>
      </c>
      <c r="B180" s="1" t="s">
        <v>10</v>
      </c>
      <c r="C180" s="1" t="s">
        <v>2331</v>
      </c>
      <c r="D180" s="1" t="s">
        <v>65</v>
      </c>
      <c r="E180" s="1" t="s">
        <v>65</v>
      </c>
      <c r="F180" s="1" t="s">
        <v>2332</v>
      </c>
      <c r="G180" s="1" t="s">
        <v>2333</v>
      </c>
      <c r="H180" s="1" t="s">
        <v>2334</v>
      </c>
      <c r="I180" t="b">
        <f>COUNTIF(Estadísticas!I:I,'centraldecomunicacion.es'!H180)&gt;0</f>
        <v>0</v>
      </c>
    </row>
    <row r="181" spans="1:9" hidden="1">
      <c r="A181" s="1" t="s">
        <v>2335</v>
      </c>
      <c r="B181" s="1" t="s">
        <v>18</v>
      </c>
      <c r="C181" s="1" t="s">
        <v>2336</v>
      </c>
      <c r="D181" s="1" t="s">
        <v>65</v>
      </c>
      <c r="E181" s="1" t="s">
        <v>65</v>
      </c>
      <c r="F181" s="1" t="s">
        <v>2337</v>
      </c>
      <c r="G181" s="1" t="s">
        <v>2338</v>
      </c>
      <c r="H181" s="1" t="s">
        <v>2339</v>
      </c>
      <c r="I181" t="b">
        <f>COUNTIF(Estadísticas!I:I,'centraldecomunicacion.es'!H181)&gt;0</f>
        <v>0</v>
      </c>
    </row>
    <row r="182" spans="1:9" hidden="1">
      <c r="A182" s="1" t="s">
        <v>2340</v>
      </c>
      <c r="B182" s="1" t="s">
        <v>10</v>
      </c>
      <c r="C182" s="1" t="s">
        <v>2341</v>
      </c>
      <c r="D182" s="1" t="s">
        <v>65</v>
      </c>
      <c r="E182" s="1" t="s">
        <v>65</v>
      </c>
      <c r="F182" s="1" t="s">
        <v>2342</v>
      </c>
      <c r="G182" s="1" t="s">
        <v>2343</v>
      </c>
      <c r="H182" s="1" t="s">
        <v>2344</v>
      </c>
      <c r="I182" t="b">
        <f>COUNTIF(Estadísticas!I:I,'centraldecomunicacion.es'!H182)&gt;0</f>
        <v>0</v>
      </c>
    </row>
    <row r="183" spans="1:9" hidden="1">
      <c r="A183" s="1" t="s">
        <v>2345</v>
      </c>
      <c r="B183" s="1" t="s">
        <v>18</v>
      </c>
      <c r="C183" s="1" t="s">
        <v>2346</v>
      </c>
      <c r="D183" s="1" t="s">
        <v>65</v>
      </c>
      <c r="E183" s="1" t="s">
        <v>65</v>
      </c>
      <c r="F183" s="1" t="s">
        <v>2347</v>
      </c>
      <c r="G183" s="1" t="s">
        <v>2348</v>
      </c>
      <c r="H183" s="1" t="s">
        <v>1762</v>
      </c>
      <c r="I183" t="b">
        <f>COUNTIF(Estadísticas!I:I,'centraldecomunicacion.es'!H183)&gt;0</f>
        <v>0</v>
      </c>
    </row>
    <row r="184" spans="1:9" hidden="1">
      <c r="A184" s="1" t="s">
        <v>2349</v>
      </c>
      <c r="B184" s="1" t="s">
        <v>10</v>
      </c>
      <c r="C184" s="1" t="s">
        <v>2350</v>
      </c>
      <c r="D184" s="1" t="s">
        <v>65</v>
      </c>
      <c r="E184" s="1" t="s">
        <v>65</v>
      </c>
      <c r="F184" s="1" t="s">
        <v>1984</v>
      </c>
      <c r="G184" s="1" t="s">
        <v>2351</v>
      </c>
      <c r="H184" s="1" t="s">
        <v>1762</v>
      </c>
      <c r="I184" t="b">
        <f>COUNTIF(Estadísticas!I:I,'centraldecomunicacion.es'!H184)&gt;0</f>
        <v>0</v>
      </c>
    </row>
    <row r="185" spans="1:9" hidden="1">
      <c r="A185" s="1" t="s">
        <v>2352</v>
      </c>
      <c r="B185" s="1" t="s">
        <v>18</v>
      </c>
      <c r="C185" s="1" t="s">
        <v>2353</v>
      </c>
      <c r="D185" s="1" t="s">
        <v>65</v>
      </c>
      <c r="E185" s="1" t="s">
        <v>65</v>
      </c>
      <c r="F185" s="1" t="s">
        <v>2354</v>
      </c>
      <c r="G185" s="1" t="s">
        <v>2355</v>
      </c>
      <c r="H185" s="1" t="s">
        <v>1762</v>
      </c>
      <c r="I185" t="b">
        <f>COUNTIF(Estadísticas!I:I,'centraldecomunicacion.es'!H185)&gt;0</f>
        <v>0</v>
      </c>
    </row>
    <row r="186" spans="1:9" hidden="1">
      <c r="A186" s="1" t="s">
        <v>2356</v>
      </c>
      <c r="B186" s="1" t="s">
        <v>10</v>
      </c>
      <c r="C186" s="1" t="s">
        <v>2357</v>
      </c>
      <c r="D186" s="1" t="s">
        <v>2358</v>
      </c>
      <c r="E186" s="1" t="s">
        <v>65</v>
      </c>
      <c r="F186" s="1" t="s">
        <v>1830</v>
      </c>
      <c r="G186" s="1" t="s">
        <v>2359</v>
      </c>
      <c r="H186" s="1" t="s">
        <v>1762</v>
      </c>
      <c r="I186" t="b">
        <f>COUNTIF(Estadísticas!I:I,'centraldecomunicacion.es'!H186)&gt;0</f>
        <v>0</v>
      </c>
    </row>
    <row r="187" spans="1:9" hidden="1">
      <c r="A187" s="1" t="s">
        <v>2360</v>
      </c>
      <c r="B187" s="1" t="s">
        <v>18</v>
      </c>
      <c r="C187" s="1" t="s">
        <v>2361</v>
      </c>
      <c r="D187" s="1" t="s">
        <v>65</v>
      </c>
      <c r="E187" s="1" t="s">
        <v>65</v>
      </c>
      <c r="F187" s="1" t="s">
        <v>2362</v>
      </c>
      <c r="G187" s="1" t="s">
        <v>2363</v>
      </c>
      <c r="H187" s="1" t="s">
        <v>1762</v>
      </c>
      <c r="I187" t="b">
        <f>COUNTIF(Estadísticas!I:I,'centraldecomunicacion.es'!H187)&gt;0</f>
        <v>0</v>
      </c>
    </row>
    <row r="188" spans="1:9">
      <c r="A188" s="1" t="s">
        <v>69</v>
      </c>
      <c r="B188" s="1" t="s">
        <v>18</v>
      </c>
      <c r="C188" s="1" t="s">
        <v>70</v>
      </c>
      <c r="D188" s="1" t="s">
        <v>65</v>
      </c>
      <c r="E188" s="1" t="s">
        <v>65</v>
      </c>
      <c r="F188" s="1" t="s">
        <v>71</v>
      </c>
      <c r="G188" s="1" t="s">
        <v>72</v>
      </c>
      <c r="H188" s="1" t="s">
        <v>73</v>
      </c>
      <c r="I188" t="b">
        <f>COUNTIF(Estadísticas!I:I,'centraldecomunicacion.es'!H188)&gt;0</f>
        <v>1</v>
      </c>
    </row>
    <row r="189" spans="1:9" hidden="1">
      <c r="A189" s="1" t="s">
        <v>2364</v>
      </c>
      <c r="B189" s="1" t="s">
        <v>10</v>
      </c>
      <c r="C189" s="1" t="s">
        <v>2365</v>
      </c>
      <c r="D189" s="1" t="s">
        <v>65</v>
      </c>
      <c r="E189" s="1" t="s">
        <v>65</v>
      </c>
      <c r="F189" s="1" t="s">
        <v>30</v>
      </c>
      <c r="G189" s="1" t="s">
        <v>2366</v>
      </c>
      <c r="H189" s="1" t="s">
        <v>1762</v>
      </c>
      <c r="I189" t="b">
        <f>COUNTIF(Estadísticas!I:I,'centraldecomunicacion.es'!H189)&gt;0</f>
        <v>0</v>
      </c>
    </row>
    <row r="190" spans="1:9" hidden="1">
      <c r="A190" s="1" t="s">
        <v>2367</v>
      </c>
      <c r="B190" s="1" t="s">
        <v>10</v>
      </c>
      <c r="C190" s="1" t="s">
        <v>2368</v>
      </c>
      <c r="D190" s="1" t="s">
        <v>65</v>
      </c>
      <c r="E190" s="1" t="s">
        <v>65</v>
      </c>
      <c r="F190" s="1" t="s">
        <v>2369</v>
      </c>
      <c r="G190" s="1" t="s">
        <v>2370</v>
      </c>
      <c r="H190" s="1" t="s">
        <v>2371</v>
      </c>
      <c r="I190" t="b">
        <f>COUNTIF(Estadísticas!I:I,'centraldecomunicacion.es'!H190)&gt;0</f>
        <v>0</v>
      </c>
    </row>
    <row r="191" spans="1:9" hidden="1">
      <c r="A191" s="1" t="s">
        <v>2372</v>
      </c>
      <c r="B191" s="1" t="s">
        <v>10</v>
      </c>
      <c r="C191" s="1" t="s">
        <v>2373</v>
      </c>
      <c r="D191" s="1" t="s">
        <v>65</v>
      </c>
      <c r="E191" s="1" t="s">
        <v>65</v>
      </c>
      <c r="F191" s="1" t="s">
        <v>2374</v>
      </c>
      <c r="G191" s="1" t="s">
        <v>2375</v>
      </c>
      <c r="H191" s="1" t="s">
        <v>2376</v>
      </c>
      <c r="I191" t="b">
        <f>COUNTIF(Estadísticas!I:I,'centraldecomunicacion.es'!H191)&gt;0</f>
        <v>0</v>
      </c>
    </row>
    <row r="192" spans="1:9" hidden="1">
      <c r="A192" s="1" t="s">
        <v>2377</v>
      </c>
      <c r="B192" s="1" t="s">
        <v>18</v>
      </c>
      <c r="C192" s="1" t="s">
        <v>2378</v>
      </c>
      <c r="D192" s="1" t="s">
        <v>65</v>
      </c>
      <c r="E192" s="1" t="s">
        <v>65</v>
      </c>
      <c r="F192" s="1" t="s">
        <v>2379</v>
      </c>
      <c r="G192" s="1" t="s">
        <v>30</v>
      </c>
      <c r="H192" s="1" t="s">
        <v>2380</v>
      </c>
      <c r="I192" t="b">
        <f>COUNTIF(Estadísticas!I:I,'centraldecomunicacion.es'!H192)&gt;0</f>
        <v>0</v>
      </c>
    </row>
    <row r="193" spans="1:9" hidden="1">
      <c r="A193" s="1" t="s">
        <v>2381</v>
      </c>
      <c r="B193" s="1" t="s">
        <v>18</v>
      </c>
      <c r="C193" s="1" t="s">
        <v>2336</v>
      </c>
      <c r="D193" s="1" t="s">
        <v>65</v>
      </c>
      <c r="E193" s="1" t="s">
        <v>65</v>
      </c>
      <c r="F193" s="1" t="s">
        <v>2337</v>
      </c>
      <c r="G193" s="1" t="s">
        <v>2338</v>
      </c>
      <c r="H193" s="1" t="s">
        <v>2339</v>
      </c>
      <c r="I193" t="b">
        <f>COUNTIF(Estadísticas!I:I,'centraldecomunicacion.es'!H193)&gt;0</f>
        <v>0</v>
      </c>
    </row>
    <row r="194" spans="1:9" hidden="1">
      <c r="A194" s="1" t="s">
        <v>2382</v>
      </c>
      <c r="B194" s="1" t="s">
        <v>10</v>
      </c>
      <c r="C194" s="1" t="s">
        <v>2383</v>
      </c>
      <c r="D194" s="1" t="s">
        <v>65</v>
      </c>
      <c r="E194" s="1" t="s">
        <v>65</v>
      </c>
      <c r="F194" s="1" t="s">
        <v>30</v>
      </c>
      <c r="G194" s="1" t="s">
        <v>2384</v>
      </c>
      <c r="H194" s="1" t="s">
        <v>1762</v>
      </c>
      <c r="I194" t="b">
        <f>COUNTIF(Estadísticas!I:I,'centraldecomunicacion.es'!H194)&gt;0</f>
        <v>0</v>
      </c>
    </row>
    <row r="195" spans="1:9" hidden="1">
      <c r="A195" s="1" t="s">
        <v>2385</v>
      </c>
      <c r="B195" s="1" t="s">
        <v>10</v>
      </c>
      <c r="C195" s="1" t="s">
        <v>2386</v>
      </c>
      <c r="D195" s="1" t="s">
        <v>65</v>
      </c>
      <c r="E195" s="1" t="s">
        <v>65</v>
      </c>
      <c r="F195" s="1" t="s">
        <v>2387</v>
      </c>
      <c r="G195" s="1" t="s">
        <v>2388</v>
      </c>
      <c r="H195" s="1" t="s">
        <v>2389</v>
      </c>
      <c r="I195" t="b">
        <f>COUNTIF(Estadísticas!I:I,'centraldecomunicacion.es'!H195)&gt;0</f>
        <v>0</v>
      </c>
    </row>
    <row r="196" spans="1:9" hidden="1">
      <c r="A196" s="1" t="s">
        <v>2390</v>
      </c>
      <c r="B196" s="1" t="s">
        <v>10</v>
      </c>
      <c r="C196" s="1" t="s">
        <v>30</v>
      </c>
      <c r="D196" s="1" t="s">
        <v>75</v>
      </c>
      <c r="E196" s="1" t="s">
        <v>30</v>
      </c>
      <c r="F196" s="1" t="s">
        <v>2391</v>
      </c>
      <c r="G196" s="1" t="s">
        <v>2392</v>
      </c>
      <c r="H196" s="1" t="s">
        <v>2393</v>
      </c>
      <c r="I196" t="b">
        <f>COUNTIF(Estadísticas!I:I,'centraldecomunicacion.es'!H196)&gt;0</f>
        <v>0</v>
      </c>
    </row>
    <row r="197" spans="1:9" hidden="1">
      <c r="A197" s="1" t="s">
        <v>2394</v>
      </c>
      <c r="B197" s="1" t="s">
        <v>18</v>
      </c>
      <c r="C197" s="1" t="s">
        <v>2395</v>
      </c>
      <c r="D197" s="1" t="s">
        <v>65</v>
      </c>
      <c r="E197" s="1" t="s">
        <v>65</v>
      </c>
      <c r="F197" s="1" t="s">
        <v>2396</v>
      </c>
      <c r="G197" s="1" t="s">
        <v>2397</v>
      </c>
      <c r="H197" s="1" t="s">
        <v>2398</v>
      </c>
      <c r="I197" t="b">
        <f>COUNTIF(Estadísticas!I:I,'centraldecomunicacion.es'!H197)&gt;0</f>
        <v>0</v>
      </c>
    </row>
    <row r="198" spans="1:9" hidden="1">
      <c r="A198" s="1" t="s">
        <v>2399</v>
      </c>
      <c r="B198" s="1" t="s">
        <v>10</v>
      </c>
      <c r="C198" s="1" t="s">
        <v>2400</v>
      </c>
      <c r="D198" s="1" t="s">
        <v>65</v>
      </c>
      <c r="E198" s="1" t="s">
        <v>65</v>
      </c>
      <c r="F198" s="1" t="s">
        <v>2401</v>
      </c>
      <c r="G198" s="1" t="s">
        <v>2402</v>
      </c>
      <c r="H198" s="1" t="s">
        <v>2403</v>
      </c>
      <c r="I198" t="b">
        <f>COUNTIF(Estadísticas!I:I,'centraldecomunicacion.es'!H198)&gt;0</f>
        <v>0</v>
      </c>
    </row>
    <row r="199" spans="1:9" hidden="1">
      <c r="A199" s="1" t="s">
        <v>2404</v>
      </c>
      <c r="B199" s="1" t="s">
        <v>10</v>
      </c>
      <c r="C199" s="1" t="s">
        <v>2405</v>
      </c>
      <c r="D199" s="1" t="s">
        <v>65</v>
      </c>
      <c r="E199" s="1" t="s">
        <v>65</v>
      </c>
      <c r="F199" s="1" t="s">
        <v>30</v>
      </c>
      <c r="G199" s="1" t="s">
        <v>2406</v>
      </c>
      <c r="H199" s="1" t="s">
        <v>1762</v>
      </c>
      <c r="I199" t="b">
        <f>COUNTIF(Estadísticas!I:I,'centraldecomunicacion.es'!H199)&gt;0</f>
        <v>0</v>
      </c>
    </row>
    <row r="200" spans="1:9" hidden="1">
      <c r="A200" s="1" t="s">
        <v>2407</v>
      </c>
      <c r="B200" s="1" t="s">
        <v>10</v>
      </c>
      <c r="C200" s="1" t="s">
        <v>2408</v>
      </c>
      <c r="D200" s="1" t="s">
        <v>65</v>
      </c>
      <c r="E200" s="1" t="s">
        <v>65</v>
      </c>
      <c r="F200" s="1" t="s">
        <v>30</v>
      </c>
      <c r="G200" s="1" t="s">
        <v>30</v>
      </c>
      <c r="H200" s="1" t="s">
        <v>1762</v>
      </c>
      <c r="I200" t="b">
        <f>COUNTIF(Estadísticas!I:I,'centraldecomunicacion.es'!H200)&gt;0</f>
        <v>0</v>
      </c>
    </row>
    <row r="201" spans="1:9" hidden="1">
      <c r="A201" s="1" t="s">
        <v>2409</v>
      </c>
      <c r="B201" s="1" t="s">
        <v>18</v>
      </c>
      <c r="C201" s="1" t="s">
        <v>2410</v>
      </c>
      <c r="D201" s="1" t="s">
        <v>65</v>
      </c>
      <c r="E201" s="1" t="s">
        <v>65</v>
      </c>
      <c r="F201" s="1" t="s">
        <v>2411</v>
      </c>
      <c r="G201" s="1" t="s">
        <v>2412</v>
      </c>
      <c r="H201" s="1" t="s">
        <v>2413</v>
      </c>
      <c r="I201" t="b">
        <f>COUNTIF(Estadísticas!I:I,'centraldecomunicacion.es'!H201)&gt;0</f>
        <v>0</v>
      </c>
    </row>
    <row r="202" spans="1:9" hidden="1">
      <c r="A202" s="1" t="s">
        <v>2414</v>
      </c>
      <c r="B202" s="1" t="s">
        <v>18</v>
      </c>
      <c r="C202" s="1" t="s">
        <v>2415</v>
      </c>
      <c r="D202" s="1" t="s">
        <v>65</v>
      </c>
      <c r="E202" s="1" t="s">
        <v>65</v>
      </c>
      <c r="F202" s="1" t="s">
        <v>30</v>
      </c>
      <c r="G202" s="1" t="s">
        <v>2416</v>
      </c>
      <c r="H202" s="1" t="s">
        <v>1762</v>
      </c>
      <c r="I202" t="b">
        <f>COUNTIF(Estadísticas!I:I,'centraldecomunicacion.es'!H202)&gt;0</f>
        <v>0</v>
      </c>
    </row>
    <row r="203" spans="1:9" hidden="1">
      <c r="A203" s="1" t="s">
        <v>2417</v>
      </c>
      <c r="B203" s="1" t="s">
        <v>10</v>
      </c>
      <c r="C203" s="1" t="s">
        <v>2383</v>
      </c>
      <c r="D203" s="1" t="s">
        <v>65</v>
      </c>
      <c r="E203" s="1" t="s">
        <v>65</v>
      </c>
      <c r="F203" s="1" t="s">
        <v>2418</v>
      </c>
      <c r="G203" s="1" t="s">
        <v>30</v>
      </c>
      <c r="H203" s="1" t="s">
        <v>2419</v>
      </c>
      <c r="I203" t="b">
        <f>COUNTIF(Estadísticas!I:I,'centraldecomunicacion.es'!H203)&gt;0</f>
        <v>0</v>
      </c>
    </row>
    <row r="204" spans="1:9" hidden="1">
      <c r="A204" s="1" t="s">
        <v>2420</v>
      </c>
      <c r="B204" s="1" t="s">
        <v>10</v>
      </c>
      <c r="C204" s="1" t="s">
        <v>2421</v>
      </c>
      <c r="D204" s="1" t="s">
        <v>65</v>
      </c>
      <c r="E204" s="1" t="s">
        <v>65</v>
      </c>
      <c r="F204" s="1" t="s">
        <v>30</v>
      </c>
      <c r="G204" s="1" t="s">
        <v>2422</v>
      </c>
      <c r="H204" s="1" t="s">
        <v>1762</v>
      </c>
      <c r="I204" t="b">
        <f>COUNTIF(Estadísticas!I:I,'centraldecomunicacion.es'!H204)&gt;0</f>
        <v>0</v>
      </c>
    </row>
    <row r="205" spans="1:9" hidden="1">
      <c r="A205" s="1" t="s">
        <v>2423</v>
      </c>
      <c r="B205" s="1" t="s">
        <v>10</v>
      </c>
      <c r="C205" s="1" t="s">
        <v>2424</v>
      </c>
      <c r="D205" s="1" t="s">
        <v>65</v>
      </c>
      <c r="E205" s="1" t="s">
        <v>65</v>
      </c>
      <c r="F205" s="1" t="s">
        <v>30</v>
      </c>
      <c r="G205" s="1" t="s">
        <v>2425</v>
      </c>
      <c r="H205" s="1" t="s">
        <v>1762</v>
      </c>
      <c r="I205" t="b">
        <f>COUNTIF(Estadísticas!I:I,'centraldecomunicacion.es'!H205)&gt;0</f>
        <v>0</v>
      </c>
    </row>
    <row r="206" spans="1:9" hidden="1">
      <c r="A206" s="1" t="s">
        <v>2426</v>
      </c>
      <c r="B206" s="1" t="s">
        <v>10</v>
      </c>
      <c r="C206" s="1" t="s">
        <v>2427</v>
      </c>
      <c r="D206" s="1" t="s">
        <v>65</v>
      </c>
      <c r="E206" s="1" t="s">
        <v>65</v>
      </c>
      <c r="F206" s="1" t="s">
        <v>30</v>
      </c>
      <c r="G206" s="1" t="s">
        <v>30</v>
      </c>
      <c r="H206" s="1" t="s">
        <v>1762</v>
      </c>
      <c r="I206" t="b">
        <f>COUNTIF(Estadísticas!I:I,'centraldecomunicacion.es'!H206)&gt;0</f>
        <v>0</v>
      </c>
    </row>
    <row r="207" spans="1:9" hidden="1">
      <c r="A207" s="1" t="s">
        <v>2428</v>
      </c>
      <c r="B207" s="1" t="s">
        <v>10</v>
      </c>
      <c r="C207" s="1" t="s">
        <v>2429</v>
      </c>
      <c r="D207" s="1" t="s">
        <v>65</v>
      </c>
      <c r="E207" s="1" t="s">
        <v>65</v>
      </c>
      <c r="F207" s="1" t="s">
        <v>30</v>
      </c>
      <c r="G207" s="1" t="s">
        <v>2430</v>
      </c>
      <c r="H207" s="1" t="s">
        <v>1762</v>
      </c>
      <c r="I207" t="b">
        <f>COUNTIF(Estadísticas!I:I,'centraldecomunicacion.es'!H207)&gt;0</f>
        <v>0</v>
      </c>
    </row>
    <row r="208" spans="1:9">
      <c r="A208" s="1" t="s">
        <v>74</v>
      </c>
      <c r="B208" s="1" t="s">
        <v>10</v>
      </c>
      <c r="C208" s="1" t="s">
        <v>30</v>
      </c>
      <c r="D208" s="1" t="s">
        <v>75</v>
      </c>
      <c r="E208" s="1" t="s">
        <v>30</v>
      </c>
      <c r="F208" s="1" t="s">
        <v>76</v>
      </c>
      <c r="G208" s="1" t="s">
        <v>77</v>
      </c>
      <c r="H208" s="1" t="s">
        <v>78</v>
      </c>
      <c r="I208" t="b">
        <f>COUNTIF(Estadísticas!I:I,'centraldecomunicacion.es'!H208)&gt;0</f>
        <v>1</v>
      </c>
    </row>
    <row r="209" spans="1:9" hidden="1">
      <c r="A209" s="1" t="s">
        <v>2431</v>
      </c>
      <c r="B209" s="1" t="s">
        <v>10</v>
      </c>
      <c r="C209" s="1" t="s">
        <v>2432</v>
      </c>
      <c r="D209" s="1" t="s">
        <v>65</v>
      </c>
      <c r="E209" s="1" t="s">
        <v>65</v>
      </c>
      <c r="F209" s="1" t="s">
        <v>30</v>
      </c>
      <c r="G209" s="1" t="s">
        <v>30</v>
      </c>
      <c r="H209" s="1" t="s">
        <v>1762</v>
      </c>
      <c r="I209" t="b">
        <f>COUNTIF(Estadísticas!I:I,'centraldecomunicacion.es'!H209)&gt;0</f>
        <v>0</v>
      </c>
    </row>
    <row r="210" spans="1:9" hidden="1">
      <c r="A210" s="1" t="s">
        <v>2433</v>
      </c>
      <c r="B210" s="1" t="s">
        <v>10</v>
      </c>
      <c r="C210" s="1" t="s">
        <v>2434</v>
      </c>
      <c r="D210" s="1" t="s">
        <v>65</v>
      </c>
      <c r="E210" s="1" t="s">
        <v>65</v>
      </c>
      <c r="F210" s="1" t="s">
        <v>30</v>
      </c>
      <c r="G210" s="1" t="s">
        <v>2435</v>
      </c>
      <c r="H210" s="1" t="s">
        <v>1762</v>
      </c>
      <c r="I210" t="b">
        <f>COUNTIF(Estadísticas!I:I,'centraldecomunicacion.es'!H210)&gt;0</f>
        <v>0</v>
      </c>
    </row>
    <row r="211" spans="1:9" hidden="1">
      <c r="A211" s="1" t="s">
        <v>2436</v>
      </c>
      <c r="B211" s="1" t="s">
        <v>18</v>
      </c>
      <c r="C211" s="1" t="s">
        <v>2437</v>
      </c>
      <c r="D211" s="1" t="s">
        <v>65</v>
      </c>
      <c r="E211" s="1" t="s">
        <v>65</v>
      </c>
      <c r="F211" s="1" t="s">
        <v>30</v>
      </c>
      <c r="G211" s="1" t="s">
        <v>2438</v>
      </c>
      <c r="H211" s="1" t="s">
        <v>1762</v>
      </c>
      <c r="I211" t="b">
        <f>COUNTIF(Estadísticas!I:I,'centraldecomunicacion.es'!H211)&gt;0</f>
        <v>0</v>
      </c>
    </row>
    <row r="212" spans="1:9" hidden="1">
      <c r="A212" s="1" t="s">
        <v>2439</v>
      </c>
      <c r="B212" s="1" t="s">
        <v>10</v>
      </c>
      <c r="C212" s="1" t="s">
        <v>2440</v>
      </c>
      <c r="D212" s="1" t="s">
        <v>2441</v>
      </c>
      <c r="E212" s="1" t="s">
        <v>65</v>
      </c>
      <c r="F212" s="1" t="s">
        <v>30</v>
      </c>
      <c r="G212" s="1" t="s">
        <v>2442</v>
      </c>
      <c r="H212" s="1" t="s">
        <v>1762</v>
      </c>
      <c r="I212" t="b">
        <f>COUNTIF(Estadísticas!I:I,'centraldecomunicacion.es'!H212)&gt;0</f>
        <v>0</v>
      </c>
    </row>
    <row r="213" spans="1:9" hidden="1">
      <c r="A213" s="1" t="s">
        <v>2443</v>
      </c>
      <c r="B213" s="1" t="s">
        <v>18</v>
      </c>
      <c r="C213" s="1" t="s">
        <v>30</v>
      </c>
      <c r="D213" s="1" t="s">
        <v>75</v>
      </c>
      <c r="E213" s="1" t="s">
        <v>30</v>
      </c>
      <c r="F213" s="1" t="s">
        <v>2444</v>
      </c>
      <c r="G213" s="1" t="s">
        <v>2445</v>
      </c>
      <c r="H213" s="1" t="s">
        <v>2446</v>
      </c>
      <c r="I213" t="b">
        <f>COUNTIF(Estadísticas!I:I,'centraldecomunicacion.es'!H213)&gt;0</f>
        <v>0</v>
      </c>
    </row>
    <row r="214" spans="1:9" hidden="1">
      <c r="A214" s="1" t="s">
        <v>2447</v>
      </c>
      <c r="B214" s="1" t="s">
        <v>10</v>
      </c>
      <c r="C214" s="1" t="s">
        <v>2448</v>
      </c>
      <c r="D214" s="1" t="s">
        <v>65</v>
      </c>
      <c r="E214" s="1" t="s">
        <v>65</v>
      </c>
      <c r="F214" s="1" t="s">
        <v>30</v>
      </c>
      <c r="G214" s="1" t="s">
        <v>2449</v>
      </c>
      <c r="H214" s="1" t="s">
        <v>1762</v>
      </c>
      <c r="I214" t="b">
        <f>COUNTIF(Estadísticas!I:I,'centraldecomunicacion.es'!H214)&gt;0</f>
        <v>0</v>
      </c>
    </row>
    <row r="215" spans="1:9" hidden="1">
      <c r="A215" s="1" t="s">
        <v>2450</v>
      </c>
      <c r="B215" s="1" t="s">
        <v>10</v>
      </c>
      <c r="C215" s="1" t="s">
        <v>2451</v>
      </c>
      <c r="D215" s="1" t="s">
        <v>65</v>
      </c>
      <c r="E215" s="1" t="s">
        <v>65</v>
      </c>
      <c r="F215" s="1" t="s">
        <v>30</v>
      </c>
      <c r="G215" s="1" t="s">
        <v>2452</v>
      </c>
      <c r="H215" s="1" t="s">
        <v>1762</v>
      </c>
      <c r="I215" t="b">
        <f>COUNTIF(Estadísticas!I:I,'centraldecomunicacion.es'!H215)&gt;0</f>
        <v>0</v>
      </c>
    </row>
    <row r="216" spans="1:9" hidden="1">
      <c r="A216" s="1" t="s">
        <v>2453</v>
      </c>
      <c r="B216" s="1" t="s">
        <v>10</v>
      </c>
      <c r="C216" s="1" t="s">
        <v>2454</v>
      </c>
      <c r="D216" s="1" t="s">
        <v>65</v>
      </c>
      <c r="E216" s="1" t="s">
        <v>65</v>
      </c>
      <c r="F216" s="1" t="s">
        <v>30</v>
      </c>
      <c r="G216" s="1" t="s">
        <v>2455</v>
      </c>
      <c r="H216" s="1" t="s">
        <v>1762</v>
      </c>
      <c r="I216" t="b">
        <f>COUNTIF(Estadísticas!I:I,'centraldecomunicacion.es'!H216)&gt;0</f>
        <v>0</v>
      </c>
    </row>
    <row r="217" spans="1:9" hidden="1">
      <c r="A217" s="1" t="s">
        <v>2456</v>
      </c>
      <c r="B217" s="1" t="s">
        <v>10</v>
      </c>
      <c r="C217" s="1" t="s">
        <v>2457</v>
      </c>
      <c r="D217" s="1" t="s">
        <v>65</v>
      </c>
      <c r="E217" s="1" t="s">
        <v>65</v>
      </c>
      <c r="F217" s="1" t="s">
        <v>30</v>
      </c>
      <c r="G217" s="1" t="s">
        <v>2458</v>
      </c>
      <c r="H217" s="1" t="s">
        <v>1762</v>
      </c>
      <c r="I217" t="b">
        <f>COUNTIF(Estadísticas!I:I,'centraldecomunicacion.es'!H217)&gt;0</f>
        <v>0</v>
      </c>
    </row>
    <row r="218" spans="1:9" hidden="1">
      <c r="A218" s="1" t="s">
        <v>2459</v>
      </c>
      <c r="B218" s="1" t="s">
        <v>10</v>
      </c>
      <c r="C218" s="1" t="s">
        <v>2460</v>
      </c>
      <c r="D218" s="1" t="s">
        <v>65</v>
      </c>
      <c r="E218" s="1" t="s">
        <v>65</v>
      </c>
      <c r="F218" s="1" t="s">
        <v>30</v>
      </c>
      <c r="G218" s="1" t="s">
        <v>2461</v>
      </c>
      <c r="H218" s="1" t="s">
        <v>1762</v>
      </c>
      <c r="I218" t="b">
        <f>COUNTIF(Estadísticas!I:I,'centraldecomunicacion.es'!H218)&gt;0</f>
        <v>0</v>
      </c>
    </row>
    <row r="219" spans="1:9" hidden="1">
      <c r="A219" s="1" t="s">
        <v>2462</v>
      </c>
      <c r="B219" s="1" t="s">
        <v>18</v>
      </c>
      <c r="C219" s="1" t="s">
        <v>2463</v>
      </c>
      <c r="D219" s="1" t="s">
        <v>65</v>
      </c>
      <c r="E219" s="1" t="s">
        <v>65</v>
      </c>
      <c r="F219" s="1" t="s">
        <v>1984</v>
      </c>
      <c r="G219" s="1" t="s">
        <v>2464</v>
      </c>
      <c r="H219" s="1" t="s">
        <v>1762</v>
      </c>
      <c r="I219" t="b">
        <f>COUNTIF(Estadísticas!I:I,'centraldecomunicacion.es'!H219)&gt;0</f>
        <v>0</v>
      </c>
    </row>
    <row r="220" spans="1:9" hidden="1">
      <c r="A220" s="1" t="s">
        <v>2465</v>
      </c>
      <c r="B220" s="1" t="s">
        <v>10</v>
      </c>
      <c r="C220" s="1" t="s">
        <v>2466</v>
      </c>
      <c r="D220" s="1" t="s">
        <v>2467</v>
      </c>
      <c r="E220" s="1" t="s">
        <v>65</v>
      </c>
      <c r="F220" s="1" t="s">
        <v>30</v>
      </c>
      <c r="G220" s="1" t="s">
        <v>30</v>
      </c>
      <c r="H220" s="1" t="s">
        <v>1762</v>
      </c>
      <c r="I220" t="b">
        <f>COUNTIF(Estadísticas!I:I,'centraldecomunicacion.es'!H220)&gt;0</f>
        <v>0</v>
      </c>
    </row>
    <row r="221" spans="1:9" hidden="1">
      <c r="A221" s="1" t="s">
        <v>2468</v>
      </c>
      <c r="B221" s="1" t="s">
        <v>10</v>
      </c>
      <c r="C221" s="1" t="s">
        <v>2469</v>
      </c>
      <c r="D221" s="1" t="s">
        <v>65</v>
      </c>
      <c r="E221" s="1" t="s">
        <v>65</v>
      </c>
      <c r="F221" s="1" t="s">
        <v>30</v>
      </c>
      <c r="G221" s="1" t="s">
        <v>2470</v>
      </c>
      <c r="H221" s="1" t="s">
        <v>1762</v>
      </c>
      <c r="I221" t="b">
        <f>COUNTIF(Estadísticas!I:I,'centraldecomunicacion.es'!H221)&gt;0</f>
        <v>0</v>
      </c>
    </row>
    <row r="222" spans="1:9" hidden="1">
      <c r="A222" s="1" t="s">
        <v>2471</v>
      </c>
      <c r="B222" s="1" t="s">
        <v>10</v>
      </c>
      <c r="C222" s="1" t="s">
        <v>2472</v>
      </c>
      <c r="D222" s="1" t="s">
        <v>2473</v>
      </c>
      <c r="E222" s="1" t="s">
        <v>65</v>
      </c>
      <c r="F222" s="1" t="s">
        <v>30</v>
      </c>
      <c r="G222" s="1" t="s">
        <v>2474</v>
      </c>
      <c r="H222" s="1" t="s">
        <v>1762</v>
      </c>
      <c r="I222" t="b">
        <f>COUNTIF(Estadísticas!I:I,'centraldecomunicacion.es'!H222)&gt;0</f>
        <v>0</v>
      </c>
    </row>
    <row r="223" spans="1:9" hidden="1">
      <c r="A223" s="1" t="s">
        <v>2475</v>
      </c>
      <c r="B223" s="1" t="s">
        <v>10</v>
      </c>
      <c r="C223" s="1" t="s">
        <v>2476</v>
      </c>
      <c r="D223" s="1" t="s">
        <v>65</v>
      </c>
      <c r="E223" s="1" t="s">
        <v>65</v>
      </c>
      <c r="F223" s="1" t="s">
        <v>2477</v>
      </c>
      <c r="G223" s="1" t="s">
        <v>2478</v>
      </c>
      <c r="H223" s="1" t="s">
        <v>2479</v>
      </c>
      <c r="I223" t="b">
        <f>COUNTIF(Estadísticas!I:I,'centraldecomunicacion.es'!H223)&gt;0</f>
        <v>0</v>
      </c>
    </row>
    <row r="224" spans="1:9" hidden="1">
      <c r="A224" s="1" t="s">
        <v>2480</v>
      </c>
      <c r="B224" s="1" t="s">
        <v>10</v>
      </c>
      <c r="C224" s="1" t="s">
        <v>2481</v>
      </c>
      <c r="D224" s="1" t="s">
        <v>2482</v>
      </c>
      <c r="E224" s="1" t="s">
        <v>65</v>
      </c>
      <c r="F224" s="1" t="s">
        <v>30</v>
      </c>
      <c r="G224" s="1" t="s">
        <v>2483</v>
      </c>
      <c r="H224" s="1" t="s">
        <v>1762</v>
      </c>
      <c r="I224" t="b">
        <f>COUNTIF(Estadísticas!I:I,'centraldecomunicacion.es'!H224)&gt;0</f>
        <v>0</v>
      </c>
    </row>
    <row r="225" spans="1:9" hidden="1">
      <c r="A225" s="1" t="s">
        <v>2484</v>
      </c>
      <c r="B225" s="1" t="s">
        <v>10</v>
      </c>
      <c r="C225" s="1" t="s">
        <v>2410</v>
      </c>
      <c r="D225" s="1" t="s">
        <v>65</v>
      </c>
      <c r="E225" s="1" t="s">
        <v>65</v>
      </c>
      <c r="F225" s="1" t="s">
        <v>30</v>
      </c>
      <c r="G225" s="1" t="s">
        <v>2485</v>
      </c>
      <c r="H225" s="1" t="s">
        <v>1762</v>
      </c>
      <c r="I225" t="b">
        <f>COUNTIF(Estadísticas!I:I,'centraldecomunicacion.es'!H225)&gt;0</f>
        <v>0</v>
      </c>
    </row>
    <row r="226" spans="1:9" hidden="1">
      <c r="A226" s="1" t="s">
        <v>2486</v>
      </c>
      <c r="B226" s="1" t="s">
        <v>10</v>
      </c>
      <c r="C226" s="1" t="s">
        <v>2487</v>
      </c>
      <c r="D226" s="1" t="s">
        <v>65</v>
      </c>
      <c r="E226" s="1" t="s">
        <v>65</v>
      </c>
      <c r="F226" s="1" t="s">
        <v>30</v>
      </c>
      <c r="G226" s="1" t="s">
        <v>2488</v>
      </c>
      <c r="H226" s="1" t="s">
        <v>1762</v>
      </c>
      <c r="I226" t="b">
        <f>COUNTIF(Estadísticas!I:I,'centraldecomunicacion.es'!H226)&gt;0</f>
        <v>0</v>
      </c>
    </row>
    <row r="227" spans="1:9" hidden="1">
      <c r="A227" s="1" t="s">
        <v>2489</v>
      </c>
      <c r="B227" s="1" t="s">
        <v>10</v>
      </c>
      <c r="C227" s="1" t="s">
        <v>2490</v>
      </c>
      <c r="D227" s="1" t="s">
        <v>2491</v>
      </c>
      <c r="E227" s="1" t="s">
        <v>65</v>
      </c>
      <c r="F227" s="1" t="s">
        <v>30</v>
      </c>
      <c r="G227" s="1" t="s">
        <v>2492</v>
      </c>
      <c r="H227" s="1" t="s">
        <v>1762</v>
      </c>
      <c r="I227" t="b">
        <f>COUNTIF(Estadísticas!I:I,'centraldecomunicacion.es'!H227)&gt;0</f>
        <v>0</v>
      </c>
    </row>
    <row r="228" spans="1:9" hidden="1">
      <c r="A228" s="1" t="s">
        <v>2493</v>
      </c>
      <c r="B228" s="1" t="s">
        <v>10</v>
      </c>
      <c r="C228" s="1" t="s">
        <v>2494</v>
      </c>
      <c r="D228" s="1" t="s">
        <v>2495</v>
      </c>
      <c r="E228" s="1" t="s">
        <v>65</v>
      </c>
      <c r="F228" s="1" t="s">
        <v>30</v>
      </c>
      <c r="G228" s="1" t="s">
        <v>2496</v>
      </c>
      <c r="H228" s="1" t="s">
        <v>1762</v>
      </c>
      <c r="I228" t="b">
        <f>COUNTIF(Estadísticas!I:I,'centraldecomunicacion.es'!H228)&gt;0</f>
        <v>0</v>
      </c>
    </row>
    <row r="229" spans="1:9" hidden="1">
      <c r="A229" s="1" t="s">
        <v>2497</v>
      </c>
      <c r="B229" s="1" t="s">
        <v>10</v>
      </c>
      <c r="C229" s="1" t="s">
        <v>2498</v>
      </c>
      <c r="D229" s="1" t="s">
        <v>2358</v>
      </c>
      <c r="E229" s="1" t="s">
        <v>65</v>
      </c>
      <c r="F229" s="1" t="s">
        <v>30</v>
      </c>
      <c r="G229" s="1" t="s">
        <v>2499</v>
      </c>
      <c r="H229" s="1" t="s">
        <v>1762</v>
      </c>
      <c r="I229" t="b">
        <f>COUNTIF(Estadísticas!I:I,'centraldecomunicacion.es'!H229)&gt;0</f>
        <v>0</v>
      </c>
    </row>
    <row r="230" spans="1:9" hidden="1">
      <c r="A230" s="1" t="s">
        <v>2500</v>
      </c>
      <c r="B230" s="1" t="s">
        <v>18</v>
      </c>
      <c r="C230" s="1" t="s">
        <v>2501</v>
      </c>
      <c r="D230" s="1" t="s">
        <v>65</v>
      </c>
      <c r="E230" s="1" t="s">
        <v>65</v>
      </c>
      <c r="F230" s="1" t="s">
        <v>1830</v>
      </c>
      <c r="G230" s="1" t="s">
        <v>2502</v>
      </c>
      <c r="H230" s="1" t="s">
        <v>1762</v>
      </c>
      <c r="I230" t="b">
        <f>COUNTIF(Estadísticas!I:I,'centraldecomunicacion.es'!H230)&gt;0</f>
        <v>0</v>
      </c>
    </row>
    <row r="231" spans="1:9" hidden="1">
      <c r="A231" s="1" t="s">
        <v>2503</v>
      </c>
      <c r="B231" s="1" t="s">
        <v>10</v>
      </c>
      <c r="C231" s="1" t="s">
        <v>2504</v>
      </c>
      <c r="D231" s="1" t="s">
        <v>65</v>
      </c>
      <c r="E231" s="1" t="s">
        <v>65</v>
      </c>
      <c r="F231" s="1" t="s">
        <v>30</v>
      </c>
      <c r="G231" s="1" t="s">
        <v>2505</v>
      </c>
      <c r="H231" s="1" t="s">
        <v>1762</v>
      </c>
      <c r="I231" t="b">
        <f>COUNTIF(Estadísticas!I:I,'centraldecomunicacion.es'!H231)&gt;0</f>
        <v>0</v>
      </c>
    </row>
    <row r="232" spans="1:9" hidden="1">
      <c r="A232" s="1" t="s">
        <v>2506</v>
      </c>
      <c r="B232" s="1" t="s">
        <v>10</v>
      </c>
      <c r="C232" s="1" t="s">
        <v>2507</v>
      </c>
      <c r="D232" s="1" t="s">
        <v>65</v>
      </c>
      <c r="E232" s="1" t="s">
        <v>65</v>
      </c>
      <c r="F232" s="1" t="s">
        <v>30</v>
      </c>
      <c r="G232" s="1" t="s">
        <v>2508</v>
      </c>
      <c r="H232" s="1" t="s">
        <v>1762</v>
      </c>
      <c r="I232" t="b">
        <f>COUNTIF(Estadísticas!I:I,'centraldecomunicacion.es'!H232)&gt;0</f>
        <v>0</v>
      </c>
    </row>
    <row r="233" spans="1:9" hidden="1">
      <c r="A233" s="1" t="s">
        <v>2509</v>
      </c>
      <c r="B233" s="1" t="s">
        <v>10</v>
      </c>
      <c r="C233" s="1" t="s">
        <v>2510</v>
      </c>
      <c r="D233" s="1" t="s">
        <v>2482</v>
      </c>
      <c r="E233" s="1" t="s">
        <v>65</v>
      </c>
      <c r="F233" s="1" t="s">
        <v>2511</v>
      </c>
      <c r="G233" s="1" t="s">
        <v>2512</v>
      </c>
      <c r="H233" s="1" t="s">
        <v>1762</v>
      </c>
      <c r="I233" t="b">
        <f>COUNTIF(Estadísticas!I:I,'centraldecomunicacion.es'!H233)&gt;0</f>
        <v>0</v>
      </c>
    </row>
    <row r="234" spans="1:9" hidden="1">
      <c r="A234" s="1" t="s">
        <v>2513</v>
      </c>
      <c r="B234" s="1" t="s">
        <v>18</v>
      </c>
      <c r="C234" s="1" t="s">
        <v>2514</v>
      </c>
      <c r="D234" s="1" t="s">
        <v>65</v>
      </c>
      <c r="E234" s="1" t="s">
        <v>65</v>
      </c>
      <c r="F234" s="1" t="s">
        <v>30</v>
      </c>
      <c r="G234" s="1" t="s">
        <v>2412</v>
      </c>
      <c r="H234" s="1" t="s">
        <v>1762</v>
      </c>
      <c r="I234" t="b">
        <f>COUNTIF(Estadísticas!I:I,'centraldecomunicacion.es'!H234)&gt;0</f>
        <v>0</v>
      </c>
    </row>
    <row r="235" spans="1:9" hidden="1">
      <c r="A235" s="1" t="s">
        <v>2515</v>
      </c>
      <c r="B235" s="1" t="s">
        <v>18</v>
      </c>
      <c r="C235" s="1" t="s">
        <v>2516</v>
      </c>
      <c r="D235" s="1" t="s">
        <v>65</v>
      </c>
      <c r="E235" s="1" t="s">
        <v>65</v>
      </c>
      <c r="F235" s="1" t="s">
        <v>30</v>
      </c>
      <c r="G235" s="1" t="s">
        <v>2517</v>
      </c>
      <c r="H235" s="1" t="s">
        <v>1762</v>
      </c>
      <c r="I235" t="b">
        <f>COUNTIF(Estadísticas!I:I,'centraldecomunicacion.es'!H235)&gt;0</f>
        <v>0</v>
      </c>
    </row>
    <row r="236" spans="1:9" hidden="1">
      <c r="A236" s="1" t="s">
        <v>2423</v>
      </c>
      <c r="B236" s="1" t="s">
        <v>10</v>
      </c>
      <c r="C236" s="1" t="s">
        <v>2518</v>
      </c>
      <c r="D236" s="1" t="s">
        <v>65</v>
      </c>
      <c r="E236" s="1" t="s">
        <v>65</v>
      </c>
      <c r="F236" s="1" t="s">
        <v>30</v>
      </c>
      <c r="G236" s="1" t="s">
        <v>2519</v>
      </c>
      <c r="H236" s="1" t="s">
        <v>1762</v>
      </c>
      <c r="I236" t="b">
        <f>COUNTIF(Estadísticas!I:I,'centraldecomunicacion.es'!H236)&gt;0</f>
        <v>0</v>
      </c>
    </row>
    <row r="237" spans="1:9" hidden="1">
      <c r="A237" s="1" t="s">
        <v>2520</v>
      </c>
      <c r="B237" s="1" t="s">
        <v>18</v>
      </c>
      <c r="C237" s="1" t="s">
        <v>2521</v>
      </c>
      <c r="D237" s="1" t="s">
        <v>65</v>
      </c>
      <c r="E237" s="1" t="s">
        <v>65</v>
      </c>
      <c r="F237" s="1" t="s">
        <v>30</v>
      </c>
      <c r="G237" s="1" t="s">
        <v>30</v>
      </c>
      <c r="H237" s="1" t="s">
        <v>1762</v>
      </c>
      <c r="I237" t="b">
        <f>COUNTIF(Estadísticas!I:I,'centraldecomunicacion.es'!H237)&gt;0</f>
        <v>0</v>
      </c>
    </row>
    <row r="238" spans="1:9" hidden="1">
      <c r="A238" s="1" t="s">
        <v>2522</v>
      </c>
      <c r="B238" s="1" t="s">
        <v>10</v>
      </c>
      <c r="C238" s="1" t="s">
        <v>2523</v>
      </c>
      <c r="D238" s="1" t="s">
        <v>2441</v>
      </c>
      <c r="E238" s="1" t="s">
        <v>65</v>
      </c>
      <c r="F238" s="1" t="s">
        <v>2524</v>
      </c>
      <c r="G238" s="1" t="s">
        <v>2525</v>
      </c>
      <c r="H238" s="1" t="s">
        <v>1762</v>
      </c>
      <c r="I238" t="b">
        <f>COUNTIF(Estadísticas!I:I,'centraldecomunicacion.es'!H238)&gt;0</f>
        <v>0</v>
      </c>
    </row>
    <row r="239" spans="1:9" hidden="1">
      <c r="A239" s="1" t="s">
        <v>2526</v>
      </c>
      <c r="B239" s="1" t="s">
        <v>10</v>
      </c>
      <c r="C239" s="1" t="s">
        <v>2527</v>
      </c>
      <c r="D239" s="1" t="s">
        <v>2528</v>
      </c>
      <c r="E239" s="1" t="s">
        <v>65</v>
      </c>
      <c r="F239" s="1" t="s">
        <v>30</v>
      </c>
      <c r="G239" s="1" t="s">
        <v>2529</v>
      </c>
      <c r="H239" s="1" t="s">
        <v>1762</v>
      </c>
      <c r="I239" t="b">
        <f>COUNTIF(Estadísticas!I:I,'centraldecomunicacion.es'!H239)&gt;0</f>
        <v>0</v>
      </c>
    </row>
    <row r="240" spans="1:9">
      <c r="A240" s="1" t="s">
        <v>79</v>
      </c>
      <c r="B240" s="1" t="s">
        <v>18</v>
      </c>
      <c r="C240" s="1" t="s">
        <v>80</v>
      </c>
      <c r="D240" s="1" t="s">
        <v>81</v>
      </c>
      <c r="E240" s="1" t="s">
        <v>65</v>
      </c>
      <c r="F240" s="1" t="s">
        <v>82</v>
      </c>
      <c r="G240" s="1" t="s">
        <v>83</v>
      </c>
      <c r="H240" s="1" t="s">
        <v>84</v>
      </c>
      <c r="I240" t="b">
        <f>COUNTIF(Estadísticas!I:I,'centraldecomunicacion.es'!H240)&gt;0</f>
        <v>1</v>
      </c>
    </row>
    <row r="241" spans="1:9" hidden="1">
      <c r="A241" s="1" t="s">
        <v>2530</v>
      </c>
      <c r="B241" s="1" t="s">
        <v>10</v>
      </c>
      <c r="C241" s="1" t="s">
        <v>2531</v>
      </c>
      <c r="D241" s="1" t="s">
        <v>65</v>
      </c>
      <c r="E241" s="1" t="s">
        <v>65</v>
      </c>
      <c r="F241" s="1" t="s">
        <v>30</v>
      </c>
      <c r="G241" s="1" t="s">
        <v>30</v>
      </c>
      <c r="H241" s="1" t="s">
        <v>1762</v>
      </c>
      <c r="I241" t="b">
        <f>COUNTIF(Estadísticas!I:I,'centraldecomunicacion.es'!H241)&gt;0</f>
        <v>0</v>
      </c>
    </row>
    <row r="242" spans="1:9" hidden="1">
      <c r="A242" s="1" t="s">
        <v>2532</v>
      </c>
      <c r="B242" s="1" t="s">
        <v>10</v>
      </c>
      <c r="C242" s="1" t="s">
        <v>2533</v>
      </c>
      <c r="D242" s="1" t="s">
        <v>2491</v>
      </c>
      <c r="E242" s="1" t="s">
        <v>65</v>
      </c>
      <c r="F242" s="1" t="s">
        <v>30</v>
      </c>
      <c r="G242" s="1" t="s">
        <v>30</v>
      </c>
      <c r="H242" s="1" t="s">
        <v>1762</v>
      </c>
      <c r="I242" t="b">
        <f>COUNTIF(Estadísticas!I:I,'centraldecomunicacion.es'!H242)&gt;0</f>
        <v>0</v>
      </c>
    </row>
    <row r="243" spans="1:9" hidden="1">
      <c r="A243" s="1" t="s">
        <v>2534</v>
      </c>
      <c r="B243" s="1" t="s">
        <v>10</v>
      </c>
      <c r="C243" s="1" t="s">
        <v>2535</v>
      </c>
      <c r="D243" s="1" t="s">
        <v>65</v>
      </c>
      <c r="E243" s="1" t="s">
        <v>65</v>
      </c>
      <c r="F243" s="1" t="s">
        <v>30</v>
      </c>
      <c r="G243" s="1" t="s">
        <v>2536</v>
      </c>
      <c r="H243" s="1" t="s">
        <v>1762</v>
      </c>
      <c r="I243" t="b">
        <f>COUNTIF(Estadísticas!I:I,'centraldecomunicacion.es'!H243)&gt;0</f>
        <v>0</v>
      </c>
    </row>
    <row r="244" spans="1:9" hidden="1">
      <c r="A244" s="1" t="s">
        <v>2537</v>
      </c>
      <c r="B244" s="1" t="s">
        <v>10</v>
      </c>
      <c r="C244" s="1" t="s">
        <v>2538</v>
      </c>
      <c r="D244" s="1" t="s">
        <v>65</v>
      </c>
      <c r="E244" s="1" t="s">
        <v>65</v>
      </c>
      <c r="F244" s="1" t="s">
        <v>30</v>
      </c>
      <c r="G244" s="1" t="s">
        <v>2539</v>
      </c>
      <c r="H244" s="1" t="s">
        <v>1762</v>
      </c>
      <c r="I244" t="b">
        <f>COUNTIF(Estadísticas!I:I,'centraldecomunicacion.es'!H244)&gt;0</f>
        <v>0</v>
      </c>
    </row>
    <row r="245" spans="1:9" hidden="1">
      <c r="A245" s="1" t="s">
        <v>2540</v>
      </c>
      <c r="B245" s="1" t="s">
        <v>18</v>
      </c>
      <c r="C245" s="1" t="s">
        <v>2541</v>
      </c>
      <c r="D245" s="1" t="s">
        <v>65</v>
      </c>
      <c r="E245" s="1" t="s">
        <v>65</v>
      </c>
      <c r="F245" s="1" t="s">
        <v>30</v>
      </c>
      <c r="G245" s="1" t="s">
        <v>2542</v>
      </c>
      <c r="H245" s="1" t="s">
        <v>1762</v>
      </c>
      <c r="I245" t="b">
        <f>COUNTIF(Estadísticas!I:I,'centraldecomunicacion.es'!H245)&gt;0</f>
        <v>0</v>
      </c>
    </row>
    <row r="246" spans="1:9" hidden="1">
      <c r="A246" s="1" t="s">
        <v>2543</v>
      </c>
      <c r="B246" s="1" t="s">
        <v>10</v>
      </c>
      <c r="C246" s="1" t="s">
        <v>2544</v>
      </c>
      <c r="D246" s="1" t="s">
        <v>93</v>
      </c>
      <c r="E246" s="1" t="s">
        <v>65</v>
      </c>
      <c r="F246" s="1" t="s">
        <v>30</v>
      </c>
      <c r="G246" s="1" t="s">
        <v>2545</v>
      </c>
      <c r="H246" s="1" t="s">
        <v>1762</v>
      </c>
      <c r="I246" t="b">
        <f>COUNTIF(Estadísticas!I:I,'centraldecomunicacion.es'!H246)&gt;0</f>
        <v>0</v>
      </c>
    </row>
    <row r="247" spans="1:9" hidden="1">
      <c r="A247" s="1" t="s">
        <v>2546</v>
      </c>
      <c r="B247" s="1" t="s">
        <v>18</v>
      </c>
      <c r="C247" s="1" t="s">
        <v>2547</v>
      </c>
      <c r="D247" s="1" t="s">
        <v>75</v>
      </c>
      <c r="E247" s="1" t="s">
        <v>65</v>
      </c>
      <c r="F247" s="1" t="s">
        <v>30</v>
      </c>
      <c r="G247" s="1" t="s">
        <v>2548</v>
      </c>
      <c r="H247" s="1" t="s">
        <v>1762</v>
      </c>
      <c r="I247" t="b">
        <f>COUNTIF(Estadísticas!I:I,'centraldecomunicacion.es'!H247)&gt;0</f>
        <v>0</v>
      </c>
    </row>
    <row r="248" spans="1:9" hidden="1">
      <c r="A248" s="1" t="s">
        <v>2549</v>
      </c>
      <c r="B248" s="1" t="s">
        <v>10</v>
      </c>
      <c r="C248" s="1" t="s">
        <v>2550</v>
      </c>
      <c r="D248" s="1" t="s">
        <v>65</v>
      </c>
      <c r="E248" s="1" t="s">
        <v>65</v>
      </c>
      <c r="F248" s="1" t="s">
        <v>30</v>
      </c>
      <c r="G248" s="1" t="s">
        <v>30</v>
      </c>
      <c r="H248" s="1" t="s">
        <v>1762</v>
      </c>
      <c r="I248" t="b">
        <f>COUNTIF(Estadísticas!I:I,'centraldecomunicacion.es'!H248)&gt;0</f>
        <v>0</v>
      </c>
    </row>
    <row r="249" spans="1:9" hidden="1">
      <c r="A249" s="1" t="s">
        <v>2551</v>
      </c>
      <c r="B249" s="1" t="s">
        <v>18</v>
      </c>
      <c r="C249" s="1" t="s">
        <v>2552</v>
      </c>
      <c r="D249" s="1" t="s">
        <v>65</v>
      </c>
      <c r="E249" s="1" t="s">
        <v>65</v>
      </c>
      <c r="F249" s="1" t="s">
        <v>30</v>
      </c>
      <c r="G249" s="1" t="s">
        <v>2553</v>
      </c>
      <c r="H249" s="1" t="s">
        <v>1762</v>
      </c>
      <c r="I249" t="b">
        <f>COUNTIF(Estadísticas!I:I,'centraldecomunicacion.es'!H249)&gt;0</f>
        <v>0</v>
      </c>
    </row>
    <row r="250" spans="1:9" hidden="1">
      <c r="A250" s="1" t="s">
        <v>2554</v>
      </c>
      <c r="B250" s="1" t="s">
        <v>10</v>
      </c>
      <c r="C250" s="1" t="s">
        <v>2555</v>
      </c>
      <c r="D250" s="1" t="s">
        <v>2556</v>
      </c>
      <c r="E250" s="1" t="s">
        <v>65</v>
      </c>
      <c r="F250" s="1" t="s">
        <v>30</v>
      </c>
      <c r="G250" s="1" t="s">
        <v>2557</v>
      </c>
      <c r="H250" s="1" t="s">
        <v>1762</v>
      </c>
      <c r="I250" t="b">
        <f>COUNTIF(Estadísticas!I:I,'centraldecomunicacion.es'!H250)&gt;0</f>
        <v>0</v>
      </c>
    </row>
    <row r="251" spans="1:9" hidden="1">
      <c r="A251" s="1" t="s">
        <v>2558</v>
      </c>
      <c r="B251" s="1" t="s">
        <v>10</v>
      </c>
      <c r="C251" s="1" t="s">
        <v>2559</v>
      </c>
      <c r="D251" s="1" t="s">
        <v>65</v>
      </c>
      <c r="E251" s="1" t="s">
        <v>65</v>
      </c>
      <c r="F251" s="1" t="s">
        <v>30</v>
      </c>
      <c r="G251" s="1" t="s">
        <v>2560</v>
      </c>
      <c r="H251" s="1" t="s">
        <v>1762</v>
      </c>
      <c r="I251" t="b">
        <f>COUNTIF(Estadísticas!I:I,'centraldecomunicacion.es'!H251)&gt;0</f>
        <v>0</v>
      </c>
    </row>
    <row r="252" spans="1:9" hidden="1">
      <c r="A252" s="1" t="s">
        <v>2561</v>
      </c>
      <c r="B252" s="1" t="s">
        <v>10</v>
      </c>
      <c r="C252" s="1" t="s">
        <v>2562</v>
      </c>
      <c r="D252" s="1" t="s">
        <v>93</v>
      </c>
      <c r="E252" s="1" t="s">
        <v>65</v>
      </c>
      <c r="F252" s="1" t="s">
        <v>30</v>
      </c>
      <c r="G252" s="1" t="s">
        <v>2563</v>
      </c>
      <c r="H252" s="1" t="s">
        <v>1762</v>
      </c>
      <c r="I252" t="b">
        <f>COUNTIF(Estadísticas!I:I,'centraldecomunicacion.es'!H252)&gt;0</f>
        <v>0</v>
      </c>
    </row>
    <row r="253" spans="1:9" hidden="1">
      <c r="A253" s="1" t="s">
        <v>2564</v>
      </c>
      <c r="B253" s="1" t="s">
        <v>10</v>
      </c>
      <c r="C253" s="1" t="s">
        <v>2565</v>
      </c>
      <c r="D253" s="1" t="s">
        <v>93</v>
      </c>
      <c r="E253" s="1" t="s">
        <v>65</v>
      </c>
      <c r="F253" s="1" t="s">
        <v>30</v>
      </c>
      <c r="G253" s="1" t="s">
        <v>2566</v>
      </c>
      <c r="H253" s="1" t="s">
        <v>1762</v>
      </c>
      <c r="I253" t="b">
        <f>COUNTIF(Estadísticas!I:I,'centraldecomunicacion.es'!H253)&gt;0</f>
        <v>0</v>
      </c>
    </row>
    <row r="254" spans="1:9" hidden="1">
      <c r="A254" s="1" t="s">
        <v>2567</v>
      </c>
      <c r="B254" s="1" t="s">
        <v>10</v>
      </c>
      <c r="C254" s="1" t="s">
        <v>2568</v>
      </c>
      <c r="D254" s="1" t="s">
        <v>2441</v>
      </c>
      <c r="E254" s="1" t="s">
        <v>65</v>
      </c>
      <c r="F254" s="1" t="s">
        <v>2569</v>
      </c>
      <c r="G254" s="1" t="s">
        <v>2570</v>
      </c>
      <c r="H254" s="1" t="s">
        <v>2571</v>
      </c>
      <c r="I254" t="b">
        <f>COUNTIF(Estadísticas!I:I,'centraldecomunicacion.es'!H254)&gt;0</f>
        <v>0</v>
      </c>
    </row>
    <row r="255" spans="1:9" hidden="1">
      <c r="A255" s="1" t="s">
        <v>2572</v>
      </c>
      <c r="B255" s="1" t="s">
        <v>10</v>
      </c>
      <c r="C255" s="1" t="s">
        <v>2573</v>
      </c>
      <c r="D255" s="1" t="s">
        <v>65</v>
      </c>
      <c r="E255" s="1" t="s">
        <v>65</v>
      </c>
      <c r="F255" s="1" t="s">
        <v>30</v>
      </c>
      <c r="G255" s="1" t="s">
        <v>2574</v>
      </c>
      <c r="H255" s="1" t="s">
        <v>1762</v>
      </c>
      <c r="I255" t="b">
        <f>COUNTIF(Estadísticas!I:I,'centraldecomunicacion.es'!H255)&gt;0</f>
        <v>0</v>
      </c>
    </row>
    <row r="256" spans="1:9" hidden="1">
      <c r="A256" s="1" t="s">
        <v>2575</v>
      </c>
      <c r="B256" s="1" t="s">
        <v>10</v>
      </c>
      <c r="C256" s="1" t="s">
        <v>2576</v>
      </c>
      <c r="D256" s="1" t="s">
        <v>65</v>
      </c>
      <c r="E256" s="1" t="s">
        <v>65</v>
      </c>
      <c r="F256" s="1" t="s">
        <v>30</v>
      </c>
      <c r="G256" s="1" t="s">
        <v>30</v>
      </c>
      <c r="H256" s="1" t="s">
        <v>1762</v>
      </c>
      <c r="I256" t="b">
        <f>COUNTIF(Estadísticas!I:I,'centraldecomunicacion.es'!H256)&gt;0</f>
        <v>0</v>
      </c>
    </row>
    <row r="257" spans="1:9" hidden="1">
      <c r="A257" s="1" t="s">
        <v>2577</v>
      </c>
      <c r="B257" s="1" t="s">
        <v>10</v>
      </c>
      <c r="C257" s="1" t="s">
        <v>2578</v>
      </c>
      <c r="D257" s="1" t="s">
        <v>2579</v>
      </c>
      <c r="E257" s="1" t="s">
        <v>65</v>
      </c>
      <c r="F257" s="1" t="s">
        <v>30</v>
      </c>
      <c r="G257" s="1" t="s">
        <v>30</v>
      </c>
      <c r="H257" s="1" t="s">
        <v>1762</v>
      </c>
      <c r="I257" t="b">
        <f>COUNTIF(Estadísticas!I:I,'centraldecomunicacion.es'!H257)&gt;0</f>
        <v>0</v>
      </c>
    </row>
    <row r="258" spans="1:9">
      <c r="A258" s="1" t="s">
        <v>85</v>
      </c>
      <c r="B258" s="1" t="s">
        <v>18</v>
      </c>
      <c r="C258" s="1" t="s">
        <v>86</v>
      </c>
      <c r="D258" s="1" t="s">
        <v>87</v>
      </c>
      <c r="E258" s="1" t="s">
        <v>65</v>
      </c>
      <c r="F258" s="1" t="s">
        <v>88</v>
      </c>
      <c r="G258" s="1" t="s">
        <v>89</v>
      </c>
      <c r="H258" s="1" t="s">
        <v>90</v>
      </c>
      <c r="I258" t="b">
        <f>COUNTIF(Estadísticas!I:I,'centraldecomunicacion.es'!H258)&gt;0</f>
        <v>1</v>
      </c>
    </row>
    <row r="259" spans="1:9" hidden="1">
      <c r="A259" s="1" t="s">
        <v>2580</v>
      </c>
      <c r="B259" s="1" t="s">
        <v>10</v>
      </c>
      <c r="C259" s="1" t="s">
        <v>2581</v>
      </c>
      <c r="D259" s="1" t="s">
        <v>2491</v>
      </c>
      <c r="E259" s="1" t="s">
        <v>65</v>
      </c>
      <c r="F259" s="1" t="s">
        <v>30</v>
      </c>
      <c r="G259" s="1" t="s">
        <v>30</v>
      </c>
      <c r="H259" s="1" t="s">
        <v>1762</v>
      </c>
      <c r="I259" t="b">
        <f>COUNTIF(Estadísticas!I:I,'centraldecomunicacion.es'!H259)&gt;0</f>
        <v>0</v>
      </c>
    </row>
    <row r="260" spans="1:9" hidden="1">
      <c r="A260" s="1" t="s">
        <v>2582</v>
      </c>
      <c r="B260" s="1" t="s">
        <v>18</v>
      </c>
      <c r="C260" s="1" t="s">
        <v>2583</v>
      </c>
      <c r="D260" s="1" t="s">
        <v>65</v>
      </c>
      <c r="E260" s="1" t="s">
        <v>65</v>
      </c>
      <c r="F260" s="1" t="s">
        <v>2584</v>
      </c>
      <c r="G260" s="1" t="s">
        <v>2585</v>
      </c>
      <c r="H260" s="1" t="s">
        <v>2586</v>
      </c>
      <c r="I260" t="b">
        <f>COUNTIF(Estadísticas!I:I,'centraldecomunicacion.es'!H260)&gt;0</f>
        <v>0</v>
      </c>
    </row>
    <row r="261" spans="1:9" hidden="1">
      <c r="A261" s="1" t="s">
        <v>2587</v>
      </c>
      <c r="B261" s="1" t="s">
        <v>10</v>
      </c>
      <c r="C261" s="1" t="s">
        <v>2588</v>
      </c>
      <c r="D261" s="1" t="s">
        <v>2589</v>
      </c>
      <c r="E261" s="1" t="s">
        <v>65</v>
      </c>
      <c r="F261" s="1" t="s">
        <v>30</v>
      </c>
      <c r="G261" s="1" t="s">
        <v>2590</v>
      </c>
      <c r="H261" s="1" t="s">
        <v>1762</v>
      </c>
      <c r="I261" t="b">
        <f>COUNTIF(Estadísticas!I:I,'centraldecomunicacion.es'!H261)&gt;0</f>
        <v>0</v>
      </c>
    </row>
    <row r="262" spans="1:9" hidden="1">
      <c r="A262" s="1" t="s">
        <v>2591</v>
      </c>
      <c r="B262" s="1" t="s">
        <v>10</v>
      </c>
      <c r="C262" s="1" t="s">
        <v>2592</v>
      </c>
      <c r="D262" s="1" t="s">
        <v>2579</v>
      </c>
      <c r="E262" s="1" t="s">
        <v>65</v>
      </c>
      <c r="F262" s="1" t="s">
        <v>30</v>
      </c>
      <c r="G262" s="1" t="s">
        <v>2593</v>
      </c>
      <c r="H262" s="1" t="s">
        <v>1762</v>
      </c>
      <c r="I262" t="b">
        <f>COUNTIF(Estadísticas!I:I,'centraldecomunicacion.es'!H262)&gt;0</f>
        <v>0</v>
      </c>
    </row>
    <row r="263" spans="1:9" hidden="1">
      <c r="A263" s="1" t="s">
        <v>2594</v>
      </c>
      <c r="B263" s="1" t="s">
        <v>10</v>
      </c>
      <c r="C263" s="1" t="s">
        <v>2595</v>
      </c>
      <c r="D263" s="1" t="s">
        <v>2467</v>
      </c>
      <c r="E263" s="1" t="s">
        <v>65</v>
      </c>
      <c r="F263" s="1" t="s">
        <v>2596</v>
      </c>
      <c r="G263" s="1" t="s">
        <v>2597</v>
      </c>
      <c r="H263" s="1" t="s">
        <v>2598</v>
      </c>
      <c r="I263" t="b">
        <f>COUNTIF(Estadísticas!I:I,'centraldecomunicacion.es'!H263)&gt;0</f>
        <v>0</v>
      </c>
    </row>
    <row r="264" spans="1:9" hidden="1">
      <c r="A264" s="1" t="s">
        <v>2599</v>
      </c>
      <c r="B264" s="1" t="s">
        <v>10</v>
      </c>
      <c r="C264" s="1" t="s">
        <v>2600</v>
      </c>
      <c r="D264" s="1" t="s">
        <v>65</v>
      </c>
      <c r="E264" s="1" t="s">
        <v>65</v>
      </c>
      <c r="F264" s="1" t="s">
        <v>2601</v>
      </c>
      <c r="G264" s="1" t="s">
        <v>2602</v>
      </c>
      <c r="H264" s="1" t="s">
        <v>2603</v>
      </c>
      <c r="I264" t="b">
        <f>COUNTIF(Estadísticas!I:I,'centraldecomunicacion.es'!H264)&gt;0</f>
        <v>0</v>
      </c>
    </row>
    <row r="265" spans="1:9" hidden="1">
      <c r="A265" s="1" t="s">
        <v>2604</v>
      </c>
      <c r="B265" s="1" t="s">
        <v>10</v>
      </c>
      <c r="C265" s="1" t="s">
        <v>2605</v>
      </c>
      <c r="D265" s="1" t="s">
        <v>2606</v>
      </c>
      <c r="E265" s="1" t="s">
        <v>65</v>
      </c>
      <c r="F265" s="1" t="s">
        <v>30</v>
      </c>
      <c r="G265" s="1" t="s">
        <v>30</v>
      </c>
      <c r="H265" s="1" t="s">
        <v>1762</v>
      </c>
      <c r="I265" t="b">
        <f>COUNTIF(Estadísticas!I:I,'centraldecomunicacion.es'!H265)&gt;0</f>
        <v>0</v>
      </c>
    </row>
    <row r="266" spans="1:9" hidden="1">
      <c r="A266" s="1" t="s">
        <v>2607</v>
      </c>
      <c r="B266" s="1" t="s">
        <v>10</v>
      </c>
      <c r="C266" s="1" t="s">
        <v>2608</v>
      </c>
      <c r="D266" s="1" t="s">
        <v>93</v>
      </c>
      <c r="E266" s="1" t="s">
        <v>65</v>
      </c>
      <c r="F266" s="1" t="s">
        <v>30</v>
      </c>
      <c r="G266" s="1" t="s">
        <v>30</v>
      </c>
      <c r="H266" s="1" t="s">
        <v>1762</v>
      </c>
      <c r="I266" t="b">
        <f>COUNTIF(Estadísticas!I:I,'centraldecomunicacion.es'!H266)&gt;0</f>
        <v>0</v>
      </c>
    </row>
    <row r="267" spans="1:9" hidden="1">
      <c r="A267" s="1" t="s">
        <v>2609</v>
      </c>
      <c r="B267" s="1" t="s">
        <v>10</v>
      </c>
      <c r="C267" s="1" t="s">
        <v>2610</v>
      </c>
      <c r="D267" s="1" t="s">
        <v>2441</v>
      </c>
      <c r="E267" s="1" t="s">
        <v>65</v>
      </c>
      <c r="F267" s="1" t="s">
        <v>30</v>
      </c>
      <c r="G267" s="1" t="s">
        <v>2611</v>
      </c>
      <c r="H267" s="1" t="s">
        <v>1762</v>
      </c>
      <c r="I267" t="b">
        <f>COUNTIF(Estadísticas!I:I,'centraldecomunicacion.es'!H267)&gt;0</f>
        <v>0</v>
      </c>
    </row>
    <row r="268" spans="1:9" hidden="1">
      <c r="A268" s="1" t="s">
        <v>2612</v>
      </c>
      <c r="B268" s="1" t="s">
        <v>10</v>
      </c>
      <c r="C268" s="1" t="s">
        <v>2613</v>
      </c>
      <c r="D268" s="1" t="s">
        <v>2614</v>
      </c>
      <c r="E268" s="1" t="s">
        <v>65</v>
      </c>
      <c r="F268" s="1" t="s">
        <v>30</v>
      </c>
      <c r="G268" s="1" t="s">
        <v>2615</v>
      </c>
      <c r="H268" s="1" t="s">
        <v>1762</v>
      </c>
      <c r="I268" t="b">
        <f>COUNTIF(Estadísticas!I:I,'centraldecomunicacion.es'!H268)&gt;0</f>
        <v>0</v>
      </c>
    </row>
    <row r="269" spans="1:9" hidden="1">
      <c r="A269" s="1" t="s">
        <v>2616</v>
      </c>
      <c r="B269" s="1" t="s">
        <v>10</v>
      </c>
      <c r="C269" s="1" t="s">
        <v>2617</v>
      </c>
      <c r="D269" s="1" t="s">
        <v>2441</v>
      </c>
      <c r="E269" s="1" t="s">
        <v>65</v>
      </c>
      <c r="F269" s="1" t="s">
        <v>2618</v>
      </c>
      <c r="G269" s="1" t="s">
        <v>2619</v>
      </c>
      <c r="H269" s="1" t="s">
        <v>2620</v>
      </c>
      <c r="I269" t="b">
        <f>COUNTIF(Estadísticas!I:I,'centraldecomunicacion.es'!H269)&gt;0</f>
        <v>0</v>
      </c>
    </row>
    <row r="270" spans="1:9" hidden="1">
      <c r="A270" s="1" t="s">
        <v>2621</v>
      </c>
      <c r="B270" s="1" t="s">
        <v>10</v>
      </c>
      <c r="C270" s="1" t="s">
        <v>2622</v>
      </c>
      <c r="D270" s="1" t="s">
        <v>2623</v>
      </c>
      <c r="E270" s="1" t="s">
        <v>65</v>
      </c>
      <c r="F270" s="1" t="s">
        <v>30</v>
      </c>
      <c r="G270" s="1" t="s">
        <v>2624</v>
      </c>
      <c r="H270" s="1" t="s">
        <v>1762</v>
      </c>
      <c r="I270" t="b">
        <f>COUNTIF(Estadísticas!I:I,'centraldecomunicacion.es'!H270)&gt;0</f>
        <v>0</v>
      </c>
    </row>
    <row r="271" spans="1:9" hidden="1">
      <c r="A271" s="1" t="s">
        <v>2625</v>
      </c>
      <c r="B271" s="1" t="s">
        <v>10</v>
      </c>
      <c r="C271" s="1" t="s">
        <v>2626</v>
      </c>
      <c r="D271" s="1" t="s">
        <v>81</v>
      </c>
      <c r="E271" s="1" t="s">
        <v>65</v>
      </c>
      <c r="F271" s="1" t="s">
        <v>30</v>
      </c>
      <c r="G271" s="1" t="s">
        <v>2627</v>
      </c>
      <c r="H271" s="1" t="s">
        <v>1762</v>
      </c>
      <c r="I271" t="b">
        <f>COUNTIF(Estadísticas!I:I,'centraldecomunicacion.es'!H271)&gt;0</f>
        <v>0</v>
      </c>
    </row>
    <row r="272" spans="1:9" hidden="1">
      <c r="A272" s="1" t="s">
        <v>2628</v>
      </c>
      <c r="B272" s="1" t="s">
        <v>10</v>
      </c>
      <c r="C272" s="1" t="s">
        <v>2629</v>
      </c>
      <c r="D272" s="1" t="s">
        <v>2467</v>
      </c>
      <c r="E272" s="1" t="s">
        <v>65</v>
      </c>
      <c r="F272" s="1" t="s">
        <v>30</v>
      </c>
      <c r="G272" s="1" t="s">
        <v>30</v>
      </c>
      <c r="H272" s="1" t="s">
        <v>1762</v>
      </c>
      <c r="I272" t="b">
        <f>COUNTIF(Estadísticas!I:I,'centraldecomunicacion.es'!H272)&gt;0</f>
        <v>0</v>
      </c>
    </row>
    <row r="273" spans="1:9" hidden="1">
      <c r="A273" s="1" t="s">
        <v>2630</v>
      </c>
      <c r="B273" s="1" t="s">
        <v>10</v>
      </c>
      <c r="C273" s="1" t="s">
        <v>2631</v>
      </c>
      <c r="D273" s="1" t="s">
        <v>2441</v>
      </c>
      <c r="E273" s="1" t="s">
        <v>65</v>
      </c>
      <c r="F273" s="1" t="s">
        <v>30</v>
      </c>
      <c r="G273" s="1" t="s">
        <v>2632</v>
      </c>
      <c r="H273" s="1" t="s">
        <v>1762</v>
      </c>
      <c r="I273" t="b">
        <f>COUNTIF(Estadísticas!I:I,'centraldecomunicacion.es'!H273)&gt;0</f>
        <v>0</v>
      </c>
    </row>
    <row r="274" spans="1:9" hidden="1">
      <c r="A274" s="1" t="s">
        <v>2633</v>
      </c>
      <c r="B274" s="1" t="s">
        <v>10</v>
      </c>
      <c r="C274" s="1" t="s">
        <v>2634</v>
      </c>
      <c r="D274" s="1" t="s">
        <v>2579</v>
      </c>
      <c r="E274" s="1" t="s">
        <v>65</v>
      </c>
      <c r="F274" s="1" t="s">
        <v>30</v>
      </c>
      <c r="G274" s="1" t="s">
        <v>2635</v>
      </c>
      <c r="H274" s="1" t="s">
        <v>1762</v>
      </c>
      <c r="I274" t="b">
        <f>COUNTIF(Estadísticas!I:I,'centraldecomunicacion.es'!H274)&gt;0</f>
        <v>0</v>
      </c>
    </row>
    <row r="275" spans="1:9">
      <c r="A275" s="1" t="s">
        <v>91</v>
      </c>
      <c r="B275" s="1" t="s">
        <v>18</v>
      </c>
      <c r="C275" s="1" t="s">
        <v>92</v>
      </c>
      <c r="D275" s="1" t="s">
        <v>93</v>
      </c>
      <c r="E275" s="1" t="s">
        <v>65</v>
      </c>
      <c r="F275" s="1" t="s">
        <v>94</v>
      </c>
      <c r="G275" s="1" t="s">
        <v>95</v>
      </c>
      <c r="H275" s="1" t="s">
        <v>96</v>
      </c>
      <c r="I275" t="b">
        <f>COUNTIF(Estadísticas!I:I,'centraldecomunicacion.es'!H275)&gt;0</f>
        <v>1</v>
      </c>
    </row>
    <row r="276" spans="1:9" hidden="1">
      <c r="A276" s="1" t="s">
        <v>2636</v>
      </c>
      <c r="B276" s="1" t="s">
        <v>10</v>
      </c>
      <c r="C276" s="1" t="s">
        <v>2637</v>
      </c>
      <c r="D276" s="1" t="s">
        <v>2491</v>
      </c>
      <c r="E276" s="1" t="s">
        <v>65</v>
      </c>
      <c r="F276" s="1" t="s">
        <v>30</v>
      </c>
      <c r="G276" s="1" t="s">
        <v>2638</v>
      </c>
      <c r="H276" s="1" t="s">
        <v>1762</v>
      </c>
      <c r="I276" t="b">
        <f>COUNTIF(Estadísticas!I:I,'centraldecomunicacion.es'!H276)&gt;0</f>
        <v>0</v>
      </c>
    </row>
    <row r="277" spans="1:9" hidden="1">
      <c r="A277" s="1" t="s">
        <v>2639</v>
      </c>
      <c r="B277" s="1" t="s">
        <v>10</v>
      </c>
      <c r="C277" s="1" t="s">
        <v>2640</v>
      </c>
      <c r="D277" s="1" t="s">
        <v>93</v>
      </c>
      <c r="E277" s="1" t="s">
        <v>65</v>
      </c>
      <c r="F277" s="1" t="s">
        <v>30</v>
      </c>
      <c r="G277" s="1" t="s">
        <v>30</v>
      </c>
      <c r="H277" s="1" t="s">
        <v>1762</v>
      </c>
      <c r="I277" t="b">
        <f>COUNTIF(Estadísticas!I:I,'centraldecomunicacion.es'!H277)&gt;0</f>
        <v>0</v>
      </c>
    </row>
    <row r="278" spans="1:9" hidden="1">
      <c r="A278" s="1" t="s">
        <v>2641</v>
      </c>
      <c r="B278" s="1" t="s">
        <v>10</v>
      </c>
      <c r="C278" s="1" t="s">
        <v>2642</v>
      </c>
      <c r="D278" s="1" t="s">
        <v>2643</v>
      </c>
      <c r="E278" s="1" t="s">
        <v>65</v>
      </c>
      <c r="F278" s="1" t="s">
        <v>30</v>
      </c>
      <c r="G278" s="1" t="s">
        <v>2644</v>
      </c>
      <c r="H278" s="1" t="s">
        <v>1762</v>
      </c>
      <c r="I278" t="b">
        <f>COUNTIF(Estadísticas!I:I,'centraldecomunicacion.es'!H278)&gt;0</f>
        <v>0</v>
      </c>
    </row>
    <row r="279" spans="1:9" hidden="1">
      <c r="A279" s="1" t="s">
        <v>2645</v>
      </c>
      <c r="B279" s="1" t="s">
        <v>10</v>
      </c>
      <c r="C279" s="1" t="s">
        <v>2646</v>
      </c>
      <c r="D279" s="1" t="s">
        <v>2647</v>
      </c>
      <c r="E279" s="1" t="s">
        <v>65</v>
      </c>
      <c r="F279" s="1" t="s">
        <v>30</v>
      </c>
      <c r="G279" s="1" t="s">
        <v>30</v>
      </c>
      <c r="H279" s="1" t="s">
        <v>1762</v>
      </c>
      <c r="I279" t="b">
        <f>COUNTIF(Estadísticas!I:I,'centraldecomunicacion.es'!H279)&gt;0</f>
        <v>0</v>
      </c>
    </row>
    <row r="280" spans="1:9" hidden="1">
      <c r="A280" s="1" t="s">
        <v>2648</v>
      </c>
      <c r="B280" s="1" t="s">
        <v>10</v>
      </c>
      <c r="C280" s="1" t="s">
        <v>2649</v>
      </c>
      <c r="D280" s="1" t="s">
        <v>2579</v>
      </c>
      <c r="E280" s="1" t="s">
        <v>65</v>
      </c>
      <c r="F280" s="1" t="s">
        <v>30</v>
      </c>
      <c r="G280" s="1" t="s">
        <v>30</v>
      </c>
      <c r="H280" s="1" t="s">
        <v>1762</v>
      </c>
      <c r="I280" t="b">
        <f>COUNTIF(Estadísticas!I:I,'centraldecomunicacion.es'!H280)&gt;0</f>
        <v>0</v>
      </c>
    </row>
    <row r="281" spans="1:9" hidden="1">
      <c r="A281" s="1" t="s">
        <v>2650</v>
      </c>
      <c r="B281" s="1" t="s">
        <v>10</v>
      </c>
      <c r="C281" s="1" t="s">
        <v>2651</v>
      </c>
      <c r="D281" s="1" t="s">
        <v>93</v>
      </c>
      <c r="E281" s="1" t="s">
        <v>65</v>
      </c>
      <c r="F281" s="1" t="s">
        <v>30</v>
      </c>
      <c r="G281" s="1" t="s">
        <v>30</v>
      </c>
      <c r="H281" s="1" t="s">
        <v>1762</v>
      </c>
      <c r="I281" t="b">
        <f>COUNTIF(Estadísticas!I:I,'centraldecomunicacion.es'!H281)&gt;0</f>
        <v>0</v>
      </c>
    </row>
    <row r="282" spans="1:9" hidden="1">
      <c r="A282" s="1" t="s">
        <v>2652</v>
      </c>
      <c r="B282" s="1" t="s">
        <v>10</v>
      </c>
      <c r="C282" s="1" t="s">
        <v>2653</v>
      </c>
      <c r="D282" s="1" t="s">
        <v>2654</v>
      </c>
      <c r="E282" s="1" t="s">
        <v>65</v>
      </c>
      <c r="F282" s="1" t="s">
        <v>30</v>
      </c>
      <c r="G282" s="1" t="s">
        <v>2655</v>
      </c>
      <c r="H282" s="1" t="s">
        <v>1762</v>
      </c>
      <c r="I282" t="b">
        <f>COUNTIF(Estadísticas!I:I,'centraldecomunicacion.es'!H282)&gt;0</f>
        <v>0</v>
      </c>
    </row>
    <row r="283" spans="1:9" hidden="1">
      <c r="A283" s="1" t="s">
        <v>2656</v>
      </c>
      <c r="B283" s="1" t="s">
        <v>10</v>
      </c>
      <c r="C283" s="1" t="s">
        <v>2657</v>
      </c>
      <c r="D283" s="1" t="s">
        <v>2491</v>
      </c>
      <c r="E283" s="1" t="s">
        <v>65</v>
      </c>
      <c r="F283" s="1" t="s">
        <v>30</v>
      </c>
      <c r="G283" s="1" t="s">
        <v>30</v>
      </c>
      <c r="H283" s="1" t="s">
        <v>1762</v>
      </c>
      <c r="I283" t="b">
        <f>COUNTIF(Estadísticas!I:I,'centraldecomunicacion.es'!H283)&gt;0</f>
        <v>0</v>
      </c>
    </row>
    <row r="284" spans="1:9" hidden="1">
      <c r="A284" s="1" t="s">
        <v>2658</v>
      </c>
      <c r="B284" s="1" t="s">
        <v>10</v>
      </c>
      <c r="C284" s="1" t="s">
        <v>2659</v>
      </c>
      <c r="D284" s="1" t="s">
        <v>2660</v>
      </c>
      <c r="E284" s="1" t="s">
        <v>65</v>
      </c>
      <c r="F284" s="1" t="s">
        <v>30</v>
      </c>
      <c r="G284" s="1" t="s">
        <v>30</v>
      </c>
      <c r="H284" s="1" t="s">
        <v>1762</v>
      </c>
      <c r="I284" t="b">
        <f>COUNTIF(Estadísticas!I:I,'centraldecomunicacion.es'!H284)&gt;0</f>
        <v>0</v>
      </c>
    </row>
    <row r="285" spans="1:9" hidden="1">
      <c r="A285" s="1" t="s">
        <v>2661</v>
      </c>
      <c r="B285" s="1" t="s">
        <v>10</v>
      </c>
      <c r="C285" s="1" t="s">
        <v>2662</v>
      </c>
      <c r="D285" s="1" t="s">
        <v>2441</v>
      </c>
      <c r="E285" s="1" t="s">
        <v>65</v>
      </c>
      <c r="F285" s="1" t="s">
        <v>30</v>
      </c>
      <c r="G285" s="1" t="s">
        <v>30</v>
      </c>
      <c r="H285" s="1" t="s">
        <v>1762</v>
      </c>
      <c r="I285" t="b">
        <f>COUNTIF(Estadísticas!I:I,'centraldecomunicacion.es'!H285)&gt;0</f>
        <v>0</v>
      </c>
    </row>
    <row r="286" spans="1:9" hidden="1">
      <c r="A286" s="1" t="s">
        <v>2663</v>
      </c>
      <c r="B286" s="1" t="s">
        <v>10</v>
      </c>
      <c r="C286" s="1" t="s">
        <v>2664</v>
      </c>
      <c r="D286" s="1" t="s">
        <v>2665</v>
      </c>
      <c r="E286" s="1" t="s">
        <v>65</v>
      </c>
      <c r="F286" s="1" t="s">
        <v>30</v>
      </c>
      <c r="G286" s="1" t="s">
        <v>2666</v>
      </c>
      <c r="H286" s="1" t="s">
        <v>1762</v>
      </c>
      <c r="I286" t="b">
        <f>COUNTIF(Estadísticas!I:I,'centraldecomunicacion.es'!H286)&gt;0</f>
        <v>0</v>
      </c>
    </row>
    <row r="287" spans="1:9" hidden="1">
      <c r="A287" s="1" t="s">
        <v>2667</v>
      </c>
      <c r="B287" s="1" t="s">
        <v>10</v>
      </c>
      <c r="C287" s="1" t="s">
        <v>2668</v>
      </c>
      <c r="D287" s="1" t="s">
        <v>2495</v>
      </c>
      <c r="E287" s="1" t="s">
        <v>65</v>
      </c>
      <c r="F287" s="1" t="s">
        <v>2669</v>
      </c>
      <c r="G287" s="1" t="s">
        <v>2670</v>
      </c>
      <c r="H287" s="1" t="s">
        <v>1783</v>
      </c>
      <c r="I287" t="b">
        <f>COUNTIF(Estadísticas!I:I,'centraldecomunicacion.es'!H287)&gt;0</f>
        <v>0</v>
      </c>
    </row>
    <row r="288" spans="1:9" hidden="1">
      <c r="A288" s="1" t="s">
        <v>2671</v>
      </c>
      <c r="B288" s="1" t="s">
        <v>10</v>
      </c>
      <c r="C288" s="1" t="s">
        <v>2672</v>
      </c>
      <c r="D288" s="1" t="s">
        <v>75</v>
      </c>
      <c r="E288" s="1" t="s">
        <v>65</v>
      </c>
      <c r="F288" s="1" t="s">
        <v>30</v>
      </c>
      <c r="G288" s="1" t="s">
        <v>2673</v>
      </c>
      <c r="H288" s="1" t="s">
        <v>1762</v>
      </c>
      <c r="I288" t="b">
        <f>COUNTIF(Estadísticas!I:I,'centraldecomunicacion.es'!H288)&gt;0</f>
        <v>0</v>
      </c>
    </row>
    <row r="289" spans="1:9" hidden="1">
      <c r="A289" s="1" t="s">
        <v>2674</v>
      </c>
      <c r="B289" s="1" t="s">
        <v>18</v>
      </c>
      <c r="C289" s="1" t="s">
        <v>2675</v>
      </c>
      <c r="D289" s="1" t="s">
        <v>2614</v>
      </c>
      <c r="E289" s="1" t="s">
        <v>65</v>
      </c>
      <c r="F289" s="1" t="s">
        <v>30</v>
      </c>
      <c r="G289" s="1" t="s">
        <v>30</v>
      </c>
      <c r="H289" s="1" t="s">
        <v>1762</v>
      </c>
      <c r="I289" t="b">
        <f>COUNTIF(Estadísticas!I:I,'centraldecomunicacion.es'!H289)&gt;0</f>
        <v>0</v>
      </c>
    </row>
    <row r="290" spans="1:9" hidden="1">
      <c r="A290" s="1" t="s">
        <v>2676</v>
      </c>
      <c r="B290" s="1" t="s">
        <v>10</v>
      </c>
      <c r="C290" s="1" t="s">
        <v>2677</v>
      </c>
      <c r="D290" s="1" t="s">
        <v>75</v>
      </c>
      <c r="E290" s="1" t="s">
        <v>229</v>
      </c>
      <c r="F290" s="1" t="s">
        <v>2678</v>
      </c>
      <c r="G290" s="1" t="s">
        <v>30</v>
      </c>
      <c r="H290" s="1" t="s">
        <v>1762</v>
      </c>
      <c r="I290" t="b">
        <f>COUNTIF(Estadísticas!I:I,'centraldecomunicacion.es'!H290)&gt;0</f>
        <v>0</v>
      </c>
    </row>
    <row r="291" spans="1:9">
      <c r="A291" s="1" t="s">
        <v>97</v>
      </c>
      <c r="B291" s="1" t="s">
        <v>10</v>
      </c>
      <c r="C291" s="1" t="s">
        <v>98</v>
      </c>
      <c r="D291" s="1" t="s">
        <v>65</v>
      </c>
      <c r="E291" s="1" t="s">
        <v>65</v>
      </c>
      <c r="F291" s="1" t="s">
        <v>99</v>
      </c>
      <c r="G291" s="1" t="s">
        <v>100</v>
      </c>
      <c r="H291" s="1" t="s">
        <v>101</v>
      </c>
      <c r="I291" t="b">
        <f>COUNTIF(Estadísticas!I:I,'centraldecomunicacion.es'!H291)&gt;0</f>
        <v>1</v>
      </c>
    </row>
    <row r="292" spans="1:9" hidden="1">
      <c r="A292" s="1" t="s">
        <v>2679</v>
      </c>
      <c r="B292" s="1" t="s">
        <v>10</v>
      </c>
      <c r="C292" s="1" t="s">
        <v>2680</v>
      </c>
      <c r="D292" s="1" t="s">
        <v>108</v>
      </c>
      <c r="E292" s="1" t="s">
        <v>108</v>
      </c>
      <c r="F292" s="1" t="s">
        <v>2681</v>
      </c>
      <c r="G292" s="1" t="s">
        <v>2682</v>
      </c>
      <c r="H292" s="1" t="s">
        <v>1762</v>
      </c>
      <c r="I292" t="b">
        <f>COUNTIF(Estadísticas!I:I,'centraldecomunicacion.es'!H292)&gt;0</f>
        <v>0</v>
      </c>
    </row>
    <row r="293" spans="1:9" hidden="1">
      <c r="A293" s="1" t="s">
        <v>2683</v>
      </c>
      <c r="B293" s="1" t="s">
        <v>10</v>
      </c>
      <c r="C293" s="1" t="s">
        <v>30</v>
      </c>
      <c r="D293" s="1" t="s">
        <v>103</v>
      </c>
      <c r="E293" s="1" t="s">
        <v>30</v>
      </c>
      <c r="F293" s="1" t="s">
        <v>2684</v>
      </c>
      <c r="G293" s="1" t="s">
        <v>2685</v>
      </c>
      <c r="H293" s="1" t="s">
        <v>1762</v>
      </c>
      <c r="I293" t="b">
        <f>COUNTIF(Estadísticas!I:I,'centraldecomunicacion.es'!H293)&gt;0</f>
        <v>0</v>
      </c>
    </row>
    <row r="294" spans="1:9">
      <c r="A294" s="1" t="s">
        <v>102</v>
      </c>
      <c r="B294" s="1" t="s">
        <v>10</v>
      </c>
      <c r="C294" s="1" t="s">
        <v>30</v>
      </c>
      <c r="D294" s="1" t="s">
        <v>103</v>
      </c>
      <c r="E294" s="1" t="s">
        <v>30</v>
      </c>
      <c r="F294" s="1" t="s">
        <v>102</v>
      </c>
      <c r="G294" s="1" t="s">
        <v>104</v>
      </c>
      <c r="H294" s="1" t="s">
        <v>105</v>
      </c>
      <c r="I294" t="b">
        <f>COUNTIF(Estadísticas!I:I,'centraldecomunicacion.es'!H294)&gt;0</f>
        <v>1</v>
      </c>
    </row>
    <row r="295" spans="1:9" hidden="1">
      <c r="A295" s="1" t="s">
        <v>2686</v>
      </c>
      <c r="B295" s="1" t="s">
        <v>10</v>
      </c>
      <c r="C295" s="1" t="s">
        <v>2687</v>
      </c>
      <c r="D295" s="1" t="s">
        <v>108</v>
      </c>
      <c r="E295" s="1" t="s">
        <v>108</v>
      </c>
      <c r="F295" s="1" t="s">
        <v>2688</v>
      </c>
      <c r="G295" s="1" t="s">
        <v>30</v>
      </c>
      <c r="H295" s="1" t="s">
        <v>2689</v>
      </c>
      <c r="I295" t="b">
        <f>COUNTIF(Estadísticas!I:I,'centraldecomunicacion.es'!H295)&gt;0</f>
        <v>0</v>
      </c>
    </row>
    <row r="296" spans="1:9" hidden="1">
      <c r="A296" s="1" t="s">
        <v>2690</v>
      </c>
      <c r="B296" s="1" t="s">
        <v>10</v>
      </c>
      <c r="C296" s="1" t="s">
        <v>2691</v>
      </c>
      <c r="D296" s="1" t="s">
        <v>108</v>
      </c>
      <c r="E296" s="1" t="s">
        <v>108</v>
      </c>
      <c r="F296" s="1" t="s">
        <v>2692</v>
      </c>
      <c r="G296" s="1" t="s">
        <v>2693</v>
      </c>
      <c r="H296" s="1" t="s">
        <v>1762</v>
      </c>
      <c r="I296" t="b">
        <f>COUNTIF(Estadísticas!I:I,'centraldecomunicacion.es'!H296)&gt;0</f>
        <v>0</v>
      </c>
    </row>
    <row r="297" spans="1:9" hidden="1">
      <c r="A297" s="1" t="s">
        <v>2694</v>
      </c>
      <c r="B297" s="1" t="s">
        <v>10</v>
      </c>
      <c r="C297" s="1" t="s">
        <v>2695</v>
      </c>
      <c r="D297" s="1" t="s">
        <v>108</v>
      </c>
      <c r="E297" s="1" t="s">
        <v>108</v>
      </c>
      <c r="F297" s="1" t="s">
        <v>2696</v>
      </c>
      <c r="G297" s="1" t="s">
        <v>2697</v>
      </c>
      <c r="H297" s="1" t="s">
        <v>2698</v>
      </c>
      <c r="I297" t="b">
        <f>COUNTIF(Estadísticas!I:I,'centraldecomunicacion.es'!H297)&gt;0</f>
        <v>0</v>
      </c>
    </row>
    <row r="298" spans="1:9" hidden="1">
      <c r="A298" s="1" t="s">
        <v>2699</v>
      </c>
      <c r="B298" s="1" t="s">
        <v>10</v>
      </c>
      <c r="C298" s="1" t="s">
        <v>2700</v>
      </c>
      <c r="D298" s="1" t="s">
        <v>108</v>
      </c>
      <c r="E298" s="1" t="s">
        <v>108</v>
      </c>
      <c r="F298" s="1" t="s">
        <v>30</v>
      </c>
      <c r="G298" s="1" t="s">
        <v>2701</v>
      </c>
      <c r="H298" s="1" t="s">
        <v>1762</v>
      </c>
      <c r="I298" t="b">
        <f>COUNTIF(Estadísticas!I:I,'centraldecomunicacion.es'!H298)&gt;0</f>
        <v>0</v>
      </c>
    </row>
    <row r="299" spans="1:9" hidden="1">
      <c r="A299" s="1" t="s">
        <v>2702</v>
      </c>
      <c r="B299" s="1" t="s">
        <v>10</v>
      </c>
      <c r="C299" s="1" t="s">
        <v>2703</v>
      </c>
      <c r="D299" s="1" t="s">
        <v>108</v>
      </c>
      <c r="E299" s="1" t="s">
        <v>108</v>
      </c>
      <c r="F299" s="1" t="s">
        <v>2704</v>
      </c>
      <c r="G299" s="1" t="s">
        <v>2705</v>
      </c>
      <c r="H299" s="1" t="s">
        <v>2706</v>
      </c>
      <c r="I299" t="b">
        <f>COUNTIF(Estadísticas!I:I,'centraldecomunicacion.es'!H299)&gt;0</f>
        <v>0</v>
      </c>
    </row>
    <row r="300" spans="1:9" hidden="1">
      <c r="A300" s="1" t="s">
        <v>2707</v>
      </c>
      <c r="B300" s="1" t="s">
        <v>10</v>
      </c>
      <c r="C300" s="1" t="s">
        <v>30</v>
      </c>
      <c r="D300" s="1" t="s">
        <v>103</v>
      </c>
      <c r="E300" s="1" t="s">
        <v>30</v>
      </c>
      <c r="F300" s="1" t="s">
        <v>30</v>
      </c>
      <c r="G300" s="1" t="s">
        <v>2708</v>
      </c>
      <c r="H300" s="1" t="s">
        <v>1762</v>
      </c>
      <c r="I300" t="b">
        <f>COUNTIF(Estadísticas!I:I,'centraldecomunicacion.es'!H300)&gt;0</f>
        <v>0</v>
      </c>
    </row>
    <row r="301" spans="1:9">
      <c r="A301" s="1" t="s">
        <v>106</v>
      </c>
      <c r="B301" s="1" t="s">
        <v>10</v>
      </c>
      <c r="C301" s="1" t="s">
        <v>107</v>
      </c>
      <c r="D301" s="1" t="s">
        <v>108</v>
      </c>
      <c r="E301" s="1" t="s">
        <v>108</v>
      </c>
      <c r="F301" s="1" t="s">
        <v>109</v>
      </c>
      <c r="G301" s="1" t="s">
        <v>110</v>
      </c>
      <c r="H301" s="1" t="s">
        <v>111</v>
      </c>
      <c r="I301" t="b">
        <f>COUNTIF(Estadísticas!I:I,'centraldecomunicacion.es'!H301)&gt;0</f>
        <v>1</v>
      </c>
    </row>
    <row r="302" spans="1:9" hidden="1">
      <c r="A302" s="1" t="s">
        <v>2709</v>
      </c>
      <c r="B302" s="1" t="s">
        <v>18</v>
      </c>
      <c r="C302" s="1" t="s">
        <v>2710</v>
      </c>
      <c r="D302" s="1" t="s">
        <v>108</v>
      </c>
      <c r="E302" s="1" t="s">
        <v>108</v>
      </c>
      <c r="F302" s="1" t="s">
        <v>30</v>
      </c>
      <c r="G302" s="1" t="s">
        <v>2711</v>
      </c>
      <c r="H302" s="1" t="s">
        <v>1762</v>
      </c>
      <c r="I302" t="b">
        <f>COUNTIF(Estadísticas!I:I,'centraldecomunicacion.es'!H302)&gt;0</f>
        <v>0</v>
      </c>
    </row>
    <row r="303" spans="1:9" hidden="1">
      <c r="A303" s="1" t="s">
        <v>2712</v>
      </c>
      <c r="B303" s="1" t="s">
        <v>10</v>
      </c>
      <c r="C303" s="1" t="s">
        <v>2713</v>
      </c>
      <c r="D303" s="1" t="s">
        <v>108</v>
      </c>
      <c r="E303" s="1" t="s">
        <v>108</v>
      </c>
      <c r="F303" s="1" t="s">
        <v>30</v>
      </c>
      <c r="G303" s="1" t="s">
        <v>2714</v>
      </c>
      <c r="H303" s="1" t="s">
        <v>1762</v>
      </c>
      <c r="I303" t="b">
        <f>COUNTIF(Estadísticas!I:I,'centraldecomunicacion.es'!H303)&gt;0</f>
        <v>0</v>
      </c>
    </row>
    <row r="304" spans="1:9" hidden="1">
      <c r="A304" s="1" t="s">
        <v>2715</v>
      </c>
      <c r="B304" s="1" t="s">
        <v>10</v>
      </c>
      <c r="C304" s="1" t="s">
        <v>30</v>
      </c>
      <c r="D304" s="1" t="s">
        <v>103</v>
      </c>
      <c r="E304" s="1" t="s">
        <v>30</v>
      </c>
      <c r="F304" s="1" t="s">
        <v>30</v>
      </c>
      <c r="G304" s="1" t="s">
        <v>2716</v>
      </c>
      <c r="H304" s="1" t="s">
        <v>1762</v>
      </c>
      <c r="I304" t="b">
        <f>COUNTIF(Estadísticas!I:I,'centraldecomunicacion.es'!H304)&gt;0</f>
        <v>0</v>
      </c>
    </row>
    <row r="305" spans="1:9" hidden="1">
      <c r="A305" s="1" t="s">
        <v>2717</v>
      </c>
      <c r="B305" s="1" t="s">
        <v>18</v>
      </c>
      <c r="C305" s="1" t="s">
        <v>2718</v>
      </c>
      <c r="D305" s="1" t="s">
        <v>108</v>
      </c>
      <c r="E305" s="1" t="s">
        <v>108</v>
      </c>
      <c r="F305" s="1" t="s">
        <v>30</v>
      </c>
      <c r="G305" s="1" t="s">
        <v>2719</v>
      </c>
      <c r="H305" s="1" t="s">
        <v>1762</v>
      </c>
      <c r="I305" t="b">
        <f>COUNTIF(Estadísticas!I:I,'centraldecomunicacion.es'!H305)&gt;0</f>
        <v>0</v>
      </c>
    </row>
    <row r="306" spans="1:9" hidden="1">
      <c r="A306" s="1" t="s">
        <v>2720</v>
      </c>
      <c r="B306" s="1" t="s">
        <v>10</v>
      </c>
      <c r="C306" s="1" t="s">
        <v>2721</v>
      </c>
      <c r="D306" s="1" t="s">
        <v>108</v>
      </c>
      <c r="E306" s="1" t="s">
        <v>108</v>
      </c>
      <c r="F306" s="1" t="s">
        <v>2681</v>
      </c>
      <c r="G306" s="1" t="s">
        <v>2682</v>
      </c>
      <c r="H306" s="1" t="s">
        <v>1762</v>
      </c>
      <c r="I306" t="b">
        <f>COUNTIF(Estadísticas!I:I,'centraldecomunicacion.es'!H306)&gt;0</f>
        <v>0</v>
      </c>
    </row>
    <row r="307" spans="1:9" hidden="1">
      <c r="A307" s="1" t="s">
        <v>2722</v>
      </c>
      <c r="B307" s="1" t="s">
        <v>10</v>
      </c>
      <c r="C307" s="1" t="s">
        <v>2723</v>
      </c>
      <c r="D307" s="1" t="s">
        <v>108</v>
      </c>
      <c r="E307" s="1" t="s">
        <v>108</v>
      </c>
      <c r="F307" s="1" t="s">
        <v>1984</v>
      </c>
      <c r="G307" s="1" t="s">
        <v>2724</v>
      </c>
      <c r="H307" s="1" t="s">
        <v>1762</v>
      </c>
      <c r="I307" t="b">
        <f>COUNTIF(Estadísticas!I:I,'centraldecomunicacion.es'!H307)&gt;0</f>
        <v>0</v>
      </c>
    </row>
    <row r="308" spans="1:9" hidden="1">
      <c r="A308" s="1" t="s">
        <v>2725</v>
      </c>
      <c r="B308" s="1" t="s">
        <v>10</v>
      </c>
      <c r="C308" s="1" t="s">
        <v>2726</v>
      </c>
      <c r="D308" s="1" t="s">
        <v>120</v>
      </c>
      <c r="E308" s="1" t="s">
        <v>108</v>
      </c>
      <c r="F308" s="1" t="s">
        <v>2727</v>
      </c>
      <c r="G308" s="1" t="s">
        <v>2728</v>
      </c>
      <c r="H308" s="1" t="s">
        <v>2729</v>
      </c>
      <c r="I308" t="b">
        <f>COUNTIF(Estadísticas!I:I,'centraldecomunicacion.es'!H308)&gt;0</f>
        <v>0</v>
      </c>
    </row>
    <row r="309" spans="1:9" hidden="1">
      <c r="A309" s="1" t="s">
        <v>2730</v>
      </c>
      <c r="B309" s="1" t="s">
        <v>10</v>
      </c>
      <c r="C309" s="1" t="s">
        <v>30</v>
      </c>
      <c r="D309" s="1" t="s">
        <v>103</v>
      </c>
      <c r="E309" s="1" t="s">
        <v>30</v>
      </c>
      <c r="F309" s="1" t="s">
        <v>1984</v>
      </c>
      <c r="G309" s="1" t="s">
        <v>2731</v>
      </c>
      <c r="H309" s="1" t="s">
        <v>1762</v>
      </c>
      <c r="I309" t="b">
        <f>COUNTIF(Estadísticas!I:I,'centraldecomunicacion.es'!H309)&gt;0</f>
        <v>0</v>
      </c>
    </row>
    <row r="310" spans="1:9" hidden="1">
      <c r="A310" s="1" t="s">
        <v>2732</v>
      </c>
      <c r="B310" s="1" t="s">
        <v>18</v>
      </c>
      <c r="C310" s="1" t="s">
        <v>2733</v>
      </c>
      <c r="D310" s="1" t="s">
        <v>2734</v>
      </c>
      <c r="E310" s="1" t="s">
        <v>108</v>
      </c>
      <c r="F310" s="1" t="s">
        <v>2735</v>
      </c>
      <c r="G310" s="1" t="s">
        <v>2736</v>
      </c>
      <c r="H310" s="1" t="s">
        <v>2737</v>
      </c>
      <c r="I310" t="b">
        <f>COUNTIF(Estadísticas!I:I,'centraldecomunicacion.es'!H310)&gt;0</f>
        <v>0</v>
      </c>
    </row>
    <row r="311" spans="1:9" hidden="1">
      <c r="A311" s="1" t="s">
        <v>2738</v>
      </c>
      <c r="B311" s="1" t="s">
        <v>10</v>
      </c>
      <c r="C311" s="1" t="s">
        <v>2739</v>
      </c>
      <c r="D311" s="1" t="s">
        <v>108</v>
      </c>
      <c r="E311" s="1" t="s">
        <v>108</v>
      </c>
      <c r="F311" s="1" t="s">
        <v>1830</v>
      </c>
      <c r="G311" s="1" t="s">
        <v>2740</v>
      </c>
      <c r="H311" s="1" t="s">
        <v>1762</v>
      </c>
      <c r="I311" t="b">
        <f>COUNTIF(Estadísticas!I:I,'centraldecomunicacion.es'!H311)&gt;0</f>
        <v>0</v>
      </c>
    </row>
    <row r="312" spans="1:9" hidden="1">
      <c r="A312" s="1" t="s">
        <v>2741</v>
      </c>
      <c r="B312" s="1" t="s">
        <v>18</v>
      </c>
      <c r="C312" s="1" t="s">
        <v>2742</v>
      </c>
      <c r="D312" s="1" t="s">
        <v>2743</v>
      </c>
      <c r="E312" s="1" t="s">
        <v>108</v>
      </c>
      <c r="F312" s="1" t="s">
        <v>1845</v>
      </c>
      <c r="G312" s="1" t="s">
        <v>2744</v>
      </c>
      <c r="H312" s="1" t="s">
        <v>1847</v>
      </c>
      <c r="I312" t="b">
        <f>COUNTIF(Estadísticas!I:I,'centraldecomunicacion.es'!H312)&gt;0</f>
        <v>0</v>
      </c>
    </row>
    <row r="313" spans="1:9" hidden="1">
      <c r="A313" s="1" t="s">
        <v>2745</v>
      </c>
      <c r="B313" s="1" t="s">
        <v>10</v>
      </c>
      <c r="C313" s="1" t="s">
        <v>2746</v>
      </c>
      <c r="D313" s="1" t="s">
        <v>108</v>
      </c>
      <c r="E313" s="1" t="s">
        <v>108</v>
      </c>
      <c r="F313" s="1" t="s">
        <v>30</v>
      </c>
      <c r="G313" s="1" t="s">
        <v>2747</v>
      </c>
      <c r="H313" s="1" t="s">
        <v>1762</v>
      </c>
      <c r="I313" t="b">
        <f>COUNTIF(Estadísticas!I:I,'centraldecomunicacion.es'!H313)&gt;0</f>
        <v>0</v>
      </c>
    </row>
    <row r="314" spans="1:9" hidden="1">
      <c r="A314" s="1" t="s">
        <v>2748</v>
      </c>
      <c r="B314" s="1" t="s">
        <v>18</v>
      </c>
      <c r="C314" s="1" t="s">
        <v>2749</v>
      </c>
      <c r="D314" s="1" t="s">
        <v>108</v>
      </c>
      <c r="E314" s="1" t="s">
        <v>108</v>
      </c>
      <c r="F314" s="1" t="s">
        <v>30</v>
      </c>
      <c r="G314" s="1" t="s">
        <v>2750</v>
      </c>
      <c r="H314" s="1" t="s">
        <v>1762</v>
      </c>
      <c r="I314" t="b">
        <f>COUNTIF(Estadísticas!I:I,'centraldecomunicacion.es'!H314)&gt;0</f>
        <v>0</v>
      </c>
    </row>
    <row r="315" spans="1:9" hidden="1">
      <c r="A315" s="1" t="s">
        <v>2751</v>
      </c>
      <c r="B315" s="1" t="s">
        <v>10</v>
      </c>
      <c r="C315" s="1" t="s">
        <v>30</v>
      </c>
      <c r="D315" s="1" t="s">
        <v>103</v>
      </c>
      <c r="E315" s="1" t="s">
        <v>30</v>
      </c>
      <c r="F315" s="1" t="s">
        <v>2752</v>
      </c>
      <c r="G315" s="1" t="s">
        <v>2753</v>
      </c>
      <c r="H315" s="1" t="s">
        <v>2754</v>
      </c>
      <c r="I315" t="b">
        <f>COUNTIF(Estadísticas!I:I,'centraldecomunicacion.es'!H315)&gt;0</f>
        <v>0</v>
      </c>
    </row>
    <row r="316" spans="1:9" hidden="1">
      <c r="A316" s="1" t="s">
        <v>2755</v>
      </c>
      <c r="B316" s="1" t="s">
        <v>18</v>
      </c>
      <c r="C316" s="1" t="s">
        <v>2756</v>
      </c>
      <c r="D316" s="1" t="s">
        <v>2757</v>
      </c>
      <c r="E316" s="1" t="s">
        <v>108</v>
      </c>
      <c r="F316" s="1" t="s">
        <v>1845</v>
      </c>
      <c r="G316" s="1" t="s">
        <v>2758</v>
      </c>
      <c r="H316" s="1" t="s">
        <v>1847</v>
      </c>
      <c r="I316" t="b">
        <f>COUNTIF(Estadísticas!I:I,'centraldecomunicacion.es'!H316)&gt;0</f>
        <v>0</v>
      </c>
    </row>
    <row r="317" spans="1:9" hidden="1">
      <c r="A317" s="1" t="s">
        <v>2759</v>
      </c>
      <c r="B317" s="1" t="s">
        <v>10</v>
      </c>
      <c r="C317" s="1" t="s">
        <v>2760</v>
      </c>
      <c r="D317" s="1" t="s">
        <v>120</v>
      </c>
      <c r="E317" s="1" t="s">
        <v>108</v>
      </c>
      <c r="F317" s="1" t="s">
        <v>2727</v>
      </c>
      <c r="G317" s="1" t="s">
        <v>2728</v>
      </c>
      <c r="H317" s="1" t="s">
        <v>2729</v>
      </c>
      <c r="I317" t="b">
        <f>COUNTIF(Estadísticas!I:I,'centraldecomunicacion.es'!H317)&gt;0</f>
        <v>0</v>
      </c>
    </row>
    <row r="318" spans="1:9" hidden="1">
      <c r="A318" s="1" t="s">
        <v>2761</v>
      </c>
      <c r="B318" s="1" t="s">
        <v>10</v>
      </c>
      <c r="C318" s="1" t="s">
        <v>2762</v>
      </c>
      <c r="D318" s="1" t="s">
        <v>108</v>
      </c>
      <c r="E318" s="1" t="s">
        <v>108</v>
      </c>
      <c r="F318" s="1" t="s">
        <v>30</v>
      </c>
      <c r="G318" s="1" t="s">
        <v>2763</v>
      </c>
      <c r="H318" s="1" t="s">
        <v>1762</v>
      </c>
      <c r="I318" t="b">
        <f>COUNTIF(Estadísticas!I:I,'centraldecomunicacion.es'!H318)&gt;0</f>
        <v>0</v>
      </c>
    </row>
    <row r="319" spans="1:9" hidden="1">
      <c r="A319" s="1" t="s">
        <v>2764</v>
      </c>
      <c r="B319" s="1" t="s">
        <v>10</v>
      </c>
      <c r="C319" s="1" t="s">
        <v>2765</v>
      </c>
      <c r="D319" s="1" t="s">
        <v>108</v>
      </c>
      <c r="E319" s="1" t="s">
        <v>108</v>
      </c>
      <c r="F319" s="1" t="s">
        <v>30</v>
      </c>
      <c r="G319" s="1" t="s">
        <v>2766</v>
      </c>
      <c r="H319" s="1" t="s">
        <v>1762</v>
      </c>
      <c r="I319" t="b">
        <f>COUNTIF(Estadísticas!I:I,'centraldecomunicacion.es'!H319)&gt;0</f>
        <v>0</v>
      </c>
    </row>
    <row r="320" spans="1:9" hidden="1">
      <c r="A320" s="1" t="s">
        <v>2767</v>
      </c>
      <c r="B320" s="1" t="s">
        <v>10</v>
      </c>
      <c r="C320" s="1" t="s">
        <v>2768</v>
      </c>
      <c r="D320" s="1" t="s">
        <v>108</v>
      </c>
      <c r="E320" s="1" t="s">
        <v>108</v>
      </c>
      <c r="F320" s="1" t="s">
        <v>30</v>
      </c>
      <c r="G320" s="1" t="s">
        <v>2769</v>
      </c>
      <c r="H320" s="1" t="s">
        <v>1762</v>
      </c>
      <c r="I320" t="b">
        <f>COUNTIF(Estadísticas!I:I,'centraldecomunicacion.es'!H320)&gt;0</f>
        <v>0</v>
      </c>
    </row>
    <row r="321" spans="1:9" hidden="1">
      <c r="A321" s="1" t="s">
        <v>2770</v>
      </c>
      <c r="B321" s="1" t="s">
        <v>18</v>
      </c>
      <c r="C321" s="1" t="s">
        <v>2771</v>
      </c>
      <c r="D321" s="1" t="s">
        <v>2772</v>
      </c>
      <c r="E321" s="1" t="s">
        <v>108</v>
      </c>
      <c r="F321" s="1" t="s">
        <v>2347</v>
      </c>
      <c r="G321" s="1" t="s">
        <v>2773</v>
      </c>
      <c r="H321" s="1" t="s">
        <v>1762</v>
      </c>
      <c r="I321" t="b">
        <f>COUNTIF(Estadísticas!I:I,'centraldecomunicacion.es'!H321)&gt;0</f>
        <v>0</v>
      </c>
    </row>
    <row r="322" spans="1:9" hidden="1">
      <c r="A322" s="1" t="s">
        <v>2774</v>
      </c>
      <c r="B322" s="1" t="s">
        <v>10</v>
      </c>
      <c r="C322" s="1" t="s">
        <v>2775</v>
      </c>
      <c r="D322" s="1" t="s">
        <v>120</v>
      </c>
      <c r="E322" s="1" t="s">
        <v>108</v>
      </c>
      <c r="F322" s="1" t="s">
        <v>30</v>
      </c>
      <c r="G322" s="1" t="s">
        <v>2714</v>
      </c>
      <c r="H322" s="1" t="s">
        <v>1762</v>
      </c>
      <c r="I322" t="b">
        <f>COUNTIF(Estadísticas!I:I,'centraldecomunicacion.es'!H322)&gt;0</f>
        <v>0</v>
      </c>
    </row>
    <row r="323" spans="1:9">
      <c r="A323" s="1" t="s">
        <v>112</v>
      </c>
      <c r="B323" s="1" t="s">
        <v>10</v>
      </c>
      <c r="C323" s="1" t="s">
        <v>113</v>
      </c>
      <c r="D323" s="1" t="s">
        <v>114</v>
      </c>
      <c r="E323" s="1" t="s">
        <v>108</v>
      </c>
      <c r="F323" s="1" t="s">
        <v>115</v>
      </c>
      <c r="G323" s="1" t="s">
        <v>116</v>
      </c>
      <c r="H323" s="1" t="s">
        <v>117</v>
      </c>
      <c r="I323" t="b">
        <f>COUNTIF(Estadísticas!I:I,'centraldecomunicacion.es'!H323)&gt;0</f>
        <v>1</v>
      </c>
    </row>
    <row r="324" spans="1:9" hidden="1">
      <c r="A324" s="1" t="s">
        <v>2776</v>
      </c>
      <c r="B324" s="1" t="s">
        <v>10</v>
      </c>
      <c r="C324" s="1" t="s">
        <v>2777</v>
      </c>
      <c r="D324" s="1" t="s">
        <v>2778</v>
      </c>
      <c r="E324" s="1" t="s">
        <v>108</v>
      </c>
      <c r="F324" s="1" t="s">
        <v>1984</v>
      </c>
      <c r="G324" s="1" t="s">
        <v>2779</v>
      </c>
      <c r="H324" s="1" t="s">
        <v>1762</v>
      </c>
      <c r="I324" t="b">
        <f>COUNTIF(Estadísticas!I:I,'centraldecomunicacion.es'!H324)&gt;0</f>
        <v>0</v>
      </c>
    </row>
    <row r="325" spans="1:9" hidden="1">
      <c r="A325" s="1" t="s">
        <v>2780</v>
      </c>
      <c r="B325" s="1" t="s">
        <v>10</v>
      </c>
      <c r="C325" s="1" t="s">
        <v>2781</v>
      </c>
      <c r="D325" s="1" t="s">
        <v>103</v>
      </c>
      <c r="E325" s="1" t="s">
        <v>108</v>
      </c>
      <c r="F325" s="1" t="s">
        <v>30</v>
      </c>
      <c r="G325" s="1" t="s">
        <v>2782</v>
      </c>
      <c r="H325" s="1" t="s">
        <v>1762</v>
      </c>
      <c r="I325" t="b">
        <f>COUNTIF(Estadísticas!I:I,'centraldecomunicacion.es'!H325)&gt;0</f>
        <v>0</v>
      </c>
    </row>
    <row r="326" spans="1:9" hidden="1">
      <c r="A326" s="1" t="s">
        <v>2783</v>
      </c>
      <c r="B326" s="1" t="s">
        <v>18</v>
      </c>
      <c r="C326" s="1" t="s">
        <v>2784</v>
      </c>
      <c r="D326" s="1" t="s">
        <v>2785</v>
      </c>
      <c r="E326" s="1" t="s">
        <v>2784</v>
      </c>
      <c r="F326" s="1" t="s">
        <v>30</v>
      </c>
      <c r="G326" s="1" t="s">
        <v>2786</v>
      </c>
      <c r="H326" s="1" t="s">
        <v>1762</v>
      </c>
      <c r="I326" t="b">
        <f>COUNTIF(Estadísticas!I:I,'centraldecomunicacion.es'!H326)&gt;0</f>
        <v>0</v>
      </c>
    </row>
    <row r="327" spans="1:9" hidden="1">
      <c r="A327" s="1" t="s">
        <v>2787</v>
      </c>
      <c r="B327" s="1" t="s">
        <v>10</v>
      </c>
      <c r="C327" s="1" t="s">
        <v>2788</v>
      </c>
      <c r="D327" s="1" t="s">
        <v>108</v>
      </c>
      <c r="E327" s="1" t="s">
        <v>108</v>
      </c>
      <c r="F327" s="1" t="s">
        <v>30</v>
      </c>
      <c r="G327" s="1" t="s">
        <v>2789</v>
      </c>
      <c r="H327" s="1" t="s">
        <v>1762</v>
      </c>
      <c r="I327" t="b">
        <f>COUNTIF(Estadísticas!I:I,'centraldecomunicacion.es'!H327)&gt;0</f>
        <v>0</v>
      </c>
    </row>
    <row r="328" spans="1:9" hidden="1">
      <c r="A328" s="1" t="s">
        <v>2790</v>
      </c>
      <c r="B328" s="1" t="s">
        <v>10</v>
      </c>
      <c r="C328" s="1" t="s">
        <v>2791</v>
      </c>
      <c r="D328" s="1" t="s">
        <v>108</v>
      </c>
      <c r="E328" s="1" t="s">
        <v>108</v>
      </c>
      <c r="F328" s="1" t="s">
        <v>2792</v>
      </c>
      <c r="G328" s="1" t="s">
        <v>2793</v>
      </c>
      <c r="H328" s="1" t="s">
        <v>1762</v>
      </c>
      <c r="I328" t="b">
        <f>COUNTIF(Estadísticas!I:I,'centraldecomunicacion.es'!H328)&gt;0</f>
        <v>0</v>
      </c>
    </row>
    <row r="329" spans="1:9" hidden="1">
      <c r="A329" s="1" t="s">
        <v>2794</v>
      </c>
      <c r="B329" s="1" t="s">
        <v>10</v>
      </c>
      <c r="C329" s="1" t="s">
        <v>30</v>
      </c>
      <c r="D329" s="1" t="s">
        <v>103</v>
      </c>
      <c r="E329" s="1" t="s">
        <v>30</v>
      </c>
      <c r="F329" s="1" t="s">
        <v>1984</v>
      </c>
      <c r="G329" s="1" t="s">
        <v>2795</v>
      </c>
      <c r="H329" s="1" t="s">
        <v>1762</v>
      </c>
      <c r="I329" t="b">
        <f>COUNTIF(Estadísticas!I:I,'centraldecomunicacion.es'!H329)&gt;0</f>
        <v>0</v>
      </c>
    </row>
    <row r="330" spans="1:9" hidden="1">
      <c r="A330" s="1" t="s">
        <v>2796</v>
      </c>
      <c r="B330" s="1" t="s">
        <v>10</v>
      </c>
      <c r="C330" s="1" t="s">
        <v>2797</v>
      </c>
      <c r="D330" s="1" t="s">
        <v>108</v>
      </c>
      <c r="E330" s="1" t="s">
        <v>108</v>
      </c>
      <c r="F330" s="1" t="s">
        <v>30</v>
      </c>
      <c r="G330" s="1" t="s">
        <v>2798</v>
      </c>
      <c r="H330" s="1" t="s">
        <v>1762</v>
      </c>
      <c r="I330" t="b">
        <f>COUNTIF(Estadísticas!I:I,'centraldecomunicacion.es'!H330)&gt;0</f>
        <v>0</v>
      </c>
    </row>
    <row r="331" spans="1:9">
      <c r="A331" s="1" t="s">
        <v>118</v>
      </c>
      <c r="B331" s="1" t="s">
        <v>10</v>
      </c>
      <c r="C331" s="1" t="s">
        <v>119</v>
      </c>
      <c r="D331" s="1" t="s">
        <v>120</v>
      </c>
      <c r="E331" s="1" t="s">
        <v>108</v>
      </c>
      <c r="F331" s="1" t="s">
        <v>121</v>
      </c>
      <c r="G331" s="1" t="s">
        <v>122</v>
      </c>
      <c r="H331" s="1" t="s">
        <v>123</v>
      </c>
      <c r="I331" t="b">
        <f>COUNTIF(Estadísticas!I:I,'centraldecomunicacion.es'!H331)&gt;0</f>
        <v>1</v>
      </c>
    </row>
    <row r="332" spans="1:9" hidden="1">
      <c r="A332" s="1" t="s">
        <v>2799</v>
      </c>
      <c r="B332" s="1" t="s">
        <v>10</v>
      </c>
      <c r="C332" s="1" t="s">
        <v>2800</v>
      </c>
      <c r="D332" s="1" t="s">
        <v>2801</v>
      </c>
      <c r="E332" s="1" t="s">
        <v>108</v>
      </c>
      <c r="F332" s="1" t="s">
        <v>30</v>
      </c>
      <c r="G332" s="1" t="s">
        <v>2802</v>
      </c>
      <c r="H332" s="1" t="s">
        <v>1762</v>
      </c>
      <c r="I332" t="b">
        <f>COUNTIF(Estadísticas!I:I,'centraldecomunicacion.es'!H332)&gt;0</f>
        <v>0</v>
      </c>
    </row>
    <row r="333" spans="1:9" hidden="1">
      <c r="A333" s="1" t="s">
        <v>2803</v>
      </c>
      <c r="B333" s="1" t="s">
        <v>10</v>
      </c>
      <c r="C333" s="1" t="s">
        <v>2804</v>
      </c>
      <c r="D333" s="1" t="s">
        <v>2805</v>
      </c>
      <c r="E333" s="1" t="s">
        <v>108</v>
      </c>
      <c r="F333" s="1" t="s">
        <v>1984</v>
      </c>
      <c r="G333" s="1" t="s">
        <v>2806</v>
      </c>
      <c r="H333" s="1" t="s">
        <v>1762</v>
      </c>
      <c r="I333" t="b">
        <f>COUNTIF(Estadísticas!I:I,'centraldecomunicacion.es'!H333)&gt;0</f>
        <v>0</v>
      </c>
    </row>
    <row r="334" spans="1:9">
      <c r="A334" s="1" t="s">
        <v>124</v>
      </c>
      <c r="B334" s="1" t="s">
        <v>18</v>
      </c>
      <c r="C334" s="1" t="s">
        <v>125</v>
      </c>
      <c r="D334" s="1" t="s">
        <v>126</v>
      </c>
      <c r="E334" s="1" t="s">
        <v>108</v>
      </c>
      <c r="F334" s="1" t="s">
        <v>127</v>
      </c>
      <c r="G334" s="1" t="s">
        <v>128</v>
      </c>
      <c r="H334" s="1" t="s">
        <v>129</v>
      </c>
      <c r="I334" t="b">
        <f>COUNTIF(Estadísticas!I:I,'centraldecomunicacion.es'!H334)&gt;0</f>
        <v>1</v>
      </c>
    </row>
    <row r="335" spans="1:9" hidden="1">
      <c r="A335" s="1" t="s">
        <v>2807</v>
      </c>
      <c r="B335" s="1" t="s">
        <v>10</v>
      </c>
      <c r="C335" s="1" t="s">
        <v>2808</v>
      </c>
      <c r="D335" s="1" t="s">
        <v>108</v>
      </c>
      <c r="E335" s="1" t="s">
        <v>108</v>
      </c>
      <c r="F335" s="1" t="s">
        <v>30</v>
      </c>
      <c r="G335" s="1" t="s">
        <v>2809</v>
      </c>
      <c r="H335" s="1" t="s">
        <v>1762</v>
      </c>
      <c r="I335" t="b">
        <f>COUNTIF(Estadísticas!I:I,'centraldecomunicacion.es'!H335)&gt;0</f>
        <v>0</v>
      </c>
    </row>
    <row r="336" spans="1:9">
      <c r="A336" s="1" t="s">
        <v>130</v>
      </c>
      <c r="B336" s="1" t="s">
        <v>10</v>
      </c>
      <c r="C336" s="1" t="s">
        <v>30</v>
      </c>
      <c r="D336" s="1" t="s">
        <v>103</v>
      </c>
      <c r="E336" s="1" t="s">
        <v>30</v>
      </c>
      <c r="F336" s="1" t="s">
        <v>131</v>
      </c>
      <c r="G336" s="1" t="s">
        <v>132</v>
      </c>
      <c r="H336" s="1" t="s">
        <v>133</v>
      </c>
      <c r="I336" t="b">
        <f>COUNTIF(Estadísticas!I:I,'centraldecomunicacion.es'!H336)&gt;0</f>
        <v>1</v>
      </c>
    </row>
    <row r="337" spans="1:9" hidden="1">
      <c r="A337" s="1" t="s">
        <v>2810</v>
      </c>
      <c r="B337" s="1" t="s">
        <v>10</v>
      </c>
      <c r="C337" s="1" t="s">
        <v>30</v>
      </c>
      <c r="D337" s="1" t="s">
        <v>103</v>
      </c>
      <c r="E337" s="1" t="s">
        <v>30</v>
      </c>
      <c r="F337" s="1" t="s">
        <v>30</v>
      </c>
      <c r="G337" s="1" t="s">
        <v>2811</v>
      </c>
      <c r="H337" s="1" t="s">
        <v>1762</v>
      </c>
      <c r="I337" t="b">
        <f>COUNTIF(Estadísticas!I:I,'centraldecomunicacion.es'!H337)&gt;0</f>
        <v>0</v>
      </c>
    </row>
    <row r="338" spans="1:9">
      <c r="A338" s="1" t="s">
        <v>134</v>
      </c>
      <c r="B338" s="1" t="s">
        <v>10</v>
      </c>
      <c r="C338" s="1" t="s">
        <v>135</v>
      </c>
      <c r="D338" s="1" t="s">
        <v>108</v>
      </c>
      <c r="E338" s="1" t="s">
        <v>108</v>
      </c>
      <c r="F338" s="1" t="s">
        <v>136</v>
      </c>
      <c r="G338" s="1" t="s">
        <v>137</v>
      </c>
      <c r="H338" s="1" t="s">
        <v>138</v>
      </c>
      <c r="I338" t="b">
        <f>COUNTIF(Estadísticas!I:I,'centraldecomunicacion.es'!H338)&gt;0</f>
        <v>1</v>
      </c>
    </row>
    <row r="339" spans="1:9" hidden="1">
      <c r="A339" s="1" t="s">
        <v>2812</v>
      </c>
      <c r="B339" s="1" t="s">
        <v>10</v>
      </c>
      <c r="C339" s="1" t="s">
        <v>2813</v>
      </c>
      <c r="D339" s="1" t="s">
        <v>108</v>
      </c>
      <c r="E339" s="1" t="s">
        <v>108</v>
      </c>
      <c r="F339" s="1" t="s">
        <v>30</v>
      </c>
      <c r="G339" s="1" t="s">
        <v>30</v>
      </c>
      <c r="H339" s="1" t="s">
        <v>1762</v>
      </c>
      <c r="I339" t="b">
        <f>COUNTIF(Estadísticas!I:I,'centraldecomunicacion.es'!H339)&gt;0</f>
        <v>0</v>
      </c>
    </row>
    <row r="340" spans="1:9" hidden="1">
      <c r="A340" s="1" t="s">
        <v>2814</v>
      </c>
      <c r="B340" s="1" t="s">
        <v>10</v>
      </c>
      <c r="C340" s="1" t="s">
        <v>2815</v>
      </c>
      <c r="D340" s="1" t="s">
        <v>126</v>
      </c>
      <c r="E340" s="1" t="s">
        <v>108</v>
      </c>
      <c r="F340" s="1" t="s">
        <v>2816</v>
      </c>
      <c r="G340" s="1" t="s">
        <v>2817</v>
      </c>
      <c r="H340" s="1" t="s">
        <v>1762</v>
      </c>
      <c r="I340" t="b">
        <f>COUNTIF(Estadísticas!I:I,'centraldecomunicacion.es'!H340)&gt;0</f>
        <v>0</v>
      </c>
    </row>
    <row r="341" spans="1:9" hidden="1">
      <c r="A341" s="1" t="s">
        <v>2818</v>
      </c>
      <c r="B341" s="1" t="s">
        <v>10</v>
      </c>
      <c r="C341" s="1" t="s">
        <v>2819</v>
      </c>
      <c r="D341" s="1" t="s">
        <v>120</v>
      </c>
      <c r="E341" s="1" t="s">
        <v>108</v>
      </c>
      <c r="F341" s="1" t="s">
        <v>2727</v>
      </c>
      <c r="G341" s="1" t="s">
        <v>2728</v>
      </c>
      <c r="H341" s="1" t="s">
        <v>2729</v>
      </c>
      <c r="I341" t="b">
        <f>COUNTIF(Estadísticas!I:I,'centraldecomunicacion.es'!H341)&gt;0</f>
        <v>0</v>
      </c>
    </row>
    <row r="342" spans="1:9" hidden="1">
      <c r="A342" s="1" t="s">
        <v>2820</v>
      </c>
      <c r="B342" s="1" t="s">
        <v>10</v>
      </c>
      <c r="C342" s="1" t="s">
        <v>2821</v>
      </c>
      <c r="D342" s="1" t="s">
        <v>2772</v>
      </c>
      <c r="E342" s="1" t="s">
        <v>108</v>
      </c>
      <c r="F342" s="1" t="s">
        <v>2822</v>
      </c>
      <c r="G342" s="1" t="s">
        <v>2823</v>
      </c>
      <c r="H342" s="1" t="s">
        <v>1762</v>
      </c>
      <c r="I342" t="b">
        <f>COUNTIF(Estadísticas!I:I,'centraldecomunicacion.es'!H342)&gt;0</f>
        <v>0</v>
      </c>
    </row>
    <row r="343" spans="1:9" hidden="1">
      <c r="A343" s="1" t="s">
        <v>2824</v>
      </c>
      <c r="B343" s="1" t="s">
        <v>10</v>
      </c>
      <c r="C343" s="1" t="s">
        <v>2760</v>
      </c>
      <c r="D343" s="1" t="s">
        <v>120</v>
      </c>
      <c r="E343" s="1" t="s">
        <v>108</v>
      </c>
      <c r="F343" s="1" t="s">
        <v>2727</v>
      </c>
      <c r="G343" s="1" t="s">
        <v>2728</v>
      </c>
      <c r="H343" s="1" t="s">
        <v>2729</v>
      </c>
      <c r="I343" t="b">
        <f>COUNTIF(Estadísticas!I:I,'centraldecomunicacion.es'!H343)&gt;0</f>
        <v>0</v>
      </c>
    </row>
    <row r="344" spans="1:9" hidden="1">
      <c r="A344" s="1" t="s">
        <v>2825</v>
      </c>
      <c r="B344" s="1" t="s">
        <v>10</v>
      </c>
      <c r="C344" s="1" t="s">
        <v>2826</v>
      </c>
      <c r="D344" s="1" t="s">
        <v>108</v>
      </c>
      <c r="E344" s="1" t="s">
        <v>108</v>
      </c>
      <c r="F344" s="1" t="s">
        <v>2827</v>
      </c>
      <c r="G344" s="1" t="s">
        <v>2828</v>
      </c>
      <c r="H344" s="1" t="s">
        <v>2829</v>
      </c>
      <c r="I344" t="b">
        <f>COUNTIF(Estadísticas!I:I,'centraldecomunicacion.es'!H344)&gt;0</f>
        <v>0</v>
      </c>
    </row>
    <row r="345" spans="1:9" hidden="1">
      <c r="A345" s="1" t="s">
        <v>2830</v>
      </c>
      <c r="B345" s="1" t="s">
        <v>10</v>
      </c>
      <c r="C345" s="1" t="s">
        <v>2831</v>
      </c>
      <c r="D345" s="1" t="s">
        <v>2785</v>
      </c>
      <c r="E345" s="1" t="s">
        <v>108</v>
      </c>
      <c r="F345" s="1" t="s">
        <v>30</v>
      </c>
      <c r="G345" s="1" t="s">
        <v>2832</v>
      </c>
      <c r="H345" s="1" t="s">
        <v>1762</v>
      </c>
      <c r="I345" t="b">
        <f>COUNTIF(Estadísticas!I:I,'centraldecomunicacion.es'!H345)&gt;0</f>
        <v>0</v>
      </c>
    </row>
    <row r="346" spans="1:9" hidden="1">
      <c r="A346" s="1" t="s">
        <v>2833</v>
      </c>
      <c r="B346" s="1" t="s">
        <v>10</v>
      </c>
      <c r="C346" s="1" t="s">
        <v>2834</v>
      </c>
      <c r="D346" s="1" t="s">
        <v>2835</v>
      </c>
      <c r="E346" s="1" t="s">
        <v>108</v>
      </c>
      <c r="F346" s="1" t="s">
        <v>30</v>
      </c>
      <c r="G346" s="1" t="s">
        <v>30</v>
      </c>
      <c r="H346" s="1" t="s">
        <v>1762</v>
      </c>
      <c r="I346" t="b">
        <f>COUNTIF(Estadísticas!I:I,'centraldecomunicacion.es'!H346)&gt;0</f>
        <v>0</v>
      </c>
    </row>
    <row r="347" spans="1:9" hidden="1">
      <c r="A347" s="1" t="s">
        <v>2836</v>
      </c>
      <c r="B347" s="1" t="s">
        <v>10</v>
      </c>
      <c r="C347" s="1" t="s">
        <v>2837</v>
      </c>
      <c r="D347" s="1" t="s">
        <v>2838</v>
      </c>
      <c r="E347" s="1" t="s">
        <v>108</v>
      </c>
      <c r="F347" s="1" t="s">
        <v>1857</v>
      </c>
      <c r="G347" s="1" t="s">
        <v>1858</v>
      </c>
      <c r="H347" s="1" t="s">
        <v>1859</v>
      </c>
      <c r="I347" t="b">
        <f>COUNTIF(Estadísticas!I:I,'centraldecomunicacion.es'!H347)&gt;0</f>
        <v>0</v>
      </c>
    </row>
    <row r="348" spans="1:9" hidden="1">
      <c r="A348" s="1" t="s">
        <v>2839</v>
      </c>
      <c r="B348" s="1" t="s">
        <v>10</v>
      </c>
      <c r="C348" s="1" t="s">
        <v>2840</v>
      </c>
      <c r="D348" s="1" t="s">
        <v>2841</v>
      </c>
      <c r="E348" s="1" t="s">
        <v>108</v>
      </c>
      <c r="F348" s="1" t="s">
        <v>30</v>
      </c>
      <c r="G348" s="1" t="s">
        <v>30</v>
      </c>
      <c r="H348" s="1" t="s">
        <v>1762</v>
      </c>
      <c r="I348" t="b">
        <f>COUNTIF(Estadísticas!I:I,'centraldecomunicacion.es'!H348)&gt;0</f>
        <v>0</v>
      </c>
    </row>
    <row r="349" spans="1:9" hidden="1">
      <c r="A349" s="1" t="s">
        <v>2842</v>
      </c>
      <c r="B349" s="1" t="s">
        <v>10</v>
      </c>
      <c r="C349" s="1" t="s">
        <v>2843</v>
      </c>
      <c r="D349" s="1" t="s">
        <v>126</v>
      </c>
      <c r="E349" s="1" t="s">
        <v>108</v>
      </c>
      <c r="F349" s="1" t="s">
        <v>30</v>
      </c>
      <c r="G349" s="1" t="s">
        <v>2844</v>
      </c>
      <c r="H349" s="1" t="s">
        <v>1762</v>
      </c>
      <c r="I349" t="b">
        <f>COUNTIF(Estadísticas!I:I,'centraldecomunicacion.es'!H349)&gt;0</f>
        <v>0</v>
      </c>
    </row>
    <row r="350" spans="1:9" hidden="1">
      <c r="A350" s="1" t="s">
        <v>2845</v>
      </c>
      <c r="B350" s="1" t="s">
        <v>10</v>
      </c>
      <c r="C350" s="1" t="s">
        <v>2846</v>
      </c>
      <c r="D350" s="1" t="s">
        <v>2757</v>
      </c>
      <c r="E350" s="1" t="s">
        <v>108</v>
      </c>
      <c r="F350" s="1" t="s">
        <v>30</v>
      </c>
      <c r="G350" s="1" t="s">
        <v>2847</v>
      </c>
      <c r="H350" s="1" t="s">
        <v>1762</v>
      </c>
      <c r="I350" t="b">
        <f>COUNTIF(Estadísticas!I:I,'centraldecomunicacion.es'!H350)&gt;0</f>
        <v>0</v>
      </c>
    </row>
    <row r="351" spans="1:9" hidden="1">
      <c r="A351" s="1" t="s">
        <v>2848</v>
      </c>
      <c r="B351" s="1" t="s">
        <v>10</v>
      </c>
      <c r="C351" s="1" t="s">
        <v>2849</v>
      </c>
      <c r="D351" s="1" t="s">
        <v>2850</v>
      </c>
      <c r="E351" s="1" t="s">
        <v>108</v>
      </c>
      <c r="F351" s="1" t="s">
        <v>2851</v>
      </c>
      <c r="G351" s="1" t="s">
        <v>2852</v>
      </c>
      <c r="H351" s="1" t="s">
        <v>1762</v>
      </c>
      <c r="I351" t="b">
        <f>COUNTIF(Estadísticas!I:I,'centraldecomunicacion.es'!H351)&gt;0</f>
        <v>0</v>
      </c>
    </row>
    <row r="352" spans="1:9" hidden="1">
      <c r="A352" s="1" t="s">
        <v>2853</v>
      </c>
      <c r="B352" s="1" t="s">
        <v>10</v>
      </c>
      <c r="C352" s="1" t="s">
        <v>2831</v>
      </c>
      <c r="D352" s="1" t="s">
        <v>2785</v>
      </c>
      <c r="E352" s="1" t="s">
        <v>108</v>
      </c>
      <c r="F352" s="1" t="s">
        <v>2854</v>
      </c>
      <c r="G352" s="1" t="s">
        <v>2832</v>
      </c>
      <c r="H352" s="1" t="s">
        <v>2855</v>
      </c>
      <c r="I352" t="b">
        <f>COUNTIF(Estadísticas!I:I,'centraldecomunicacion.es'!H352)&gt;0</f>
        <v>0</v>
      </c>
    </row>
    <row r="353" spans="1:9" hidden="1">
      <c r="A353" s="1" t="s">
        <v>2856</v>
      </c>
      <c r="B353" s="1" t="s">
        <v>10</v>
      </c>
      <c r="C353" s="1" t="s">
        <v>2857</v>
      </c>
      <c r="D353" s="1" t="s">
        <v>2785</v>
      </c>
      <c r="E353" s="1" t="s">
        <v>108</v>
      </c>
      <c r="F353" s="1" t="s">
        <v>1857</v>
      </c>
      <c r="G353" s="1" t="s">
        <v>2823</v>
      </c>
      <c r="H353" s="1" t="s">
        <v>1859</v>
      </c>
      <c r="I353" t="b">
        <f>COUNTIF(Estadísticas!I:I,'centraldecomunicacion.es'!H353)&gt;0</f>
        <v>0</v>
      </c>
    </row>
    <row r="354" spans="1:9" hidden="1">
      <c r="A354" s="1" t="s">
        <v>2858</v>
      </c>
      <c r="B354" s="1" t="s">
        <v>18</v>
      </c>
      <c r="C354" s="1" t="s">
        <v>2859</v>
      </c>
      <c r="D354" s="1" t="s">
        <v>2841</v>
      </c>
      <c r="E354" s="1" t="s">
        <v>108</v>
      </c>
      <c r="F354" s="1" t="s">
        <v>2860</v>
      </c>
      <c r="G354" s="1" t="s">
        <v>2861</v>
      </c>
      <c r="H354" s="1" t="s">
        <v>1762</v>
      </c>
      <c r="I354" t="b">
        <f>COUNTIF(Estadísticas!I:I,'centraldecomunicacion.es'!H354)&gt;0</f>
        <v>0</v>
      </c>
    </row>
    <row r="355" spans="1:9" hidden="1">
      <c r="A355" s="1" t="s">
        <v>2862</v>
      </c>
      <c r="B355" s="1" t="s">
        <v>10</v>
      </c>
      <c r="C355" s="1" t="s">
        <v>2863</v>
      </c>
      <c r="D355" s="1" t="s">
        <v>2785</v>
      </c>
      <c r="E355" s="1" t="s">
        <v>108</v>
      </c>
      <c r="F355" s="1" t="s">
        <v>30</v>
      </c>
      <c r="G355" s="1" t="s">
        <v>30</v>
      </c>
      <c r="H355" s="1" t="s">
        <v>1762</v>
      </c>
      <c r="I355" t="b">
        <f>COUNTIF(Estadísticas!I:I,'centraldecomunicacion.es'!H355)&gt;0</f>
        <v>0</v>
      </c>
    </row>
    <row r="356" spans="1:9" hidden="1">
      <c r="A356" s="1" t="s">
        <v>2864</v>
      </c>
      <c r="B356" s="1" t="s">
        <v>10</v>
      </c>
      <c r="C356" s="1" t="s">
        <v>30</v>
      </c>
      <c r="D356" s="1" t="s">
        <v>103</v>
      </c>
      <c r="E356" s="1" t="s">
        <v>30</v>
      </c>
      <c r="F356" s="1" t="s">
        <v>30</v>
      </c>
      <c r="G356" s="1" t="s">
        <v>2865</v>
      </c>
      <c r="H356" s="1" t="s">
        <v>1762</v>
      </c>
      <c r="I356" t="b">
        <f>COUNTIF(Estadísticas!I:I,'centraldecomunicacion.es'!H356)&gt;0</f>
        <v>0</v>
      </c>
    </row>
    <row r="357" spans="1:9" hidden="1">
      <c r="A357" s="1" t="s">
        <v>2866</v>
      </c>
      <c r="B357" s="1" t="s">
        <v>10</v>
      </c>
      <c r="C357" s="1" t="s">
        <v>2867</v>
      </c>
      <c r="D357" s="1" t="s">
        <v>2835</v>
      </c>
      <c r="E357" s="1" t="s">
        <v>108</v>
      </c>
      <c r="F357" s="1" t="s">
        <v>30</v>
      </c>
      <c r="G357" s="1" t="s">
        <v>2868</v>
      </c>
      <c r="H357" s="1" t="s">
        <v>1762</v>
      </c>
      <c r="I357" t="b">
        <f>COUNTIF(Estadísticas!I:I,'centraldecomunicacion.es'!H357)&gt;0</f>
        <v>0</v>
      </c>
    </row>
    <row r="358" spans="1:9" hidden="1">
      <c r="A358" s="1" t="s">
        <v>2869</v>
      </c>
      <c r="B358" s="1" t="s">
        <v>10</v>
      </c>
      <c r="C358" s="1" t="s">
        <v>2870</v>
      </c>
      <c r="D358" s="1" t="s">
        <v>2871</v>
      </c>
      <c r="E358" s="1" t="s">
        <v>108</v>
      </c>
      <c r="F358" s="1" t="s">
        <v>1857</v>
      </c>
      <c r="G358" s="1" t="s">
        <v>1858</v>
      </c>
      <c r="H358" s="1" t="s">
        <v>1859</v>
      </c>
      <c r="I358" t="b">
        <f>COUNTIF(Estadísticas!I:I,'centraldecomunicacion.es'!H358)&gt;0</f>
        <v>0</v>
      </c>
    </row>
    <row r="359" spans="1:9" hidden="1">
      <c r="A359" s="1" t="s">
        <v>2872</v>
      </c>
      <c r="B359" s="1" t="s">
        <v>10</v>
      </c>
      <c r="C359" s="1" t="s">
        <v>2873</v>
      </c>
      <c r="D359" s="1" t="s">
        <v>2871</v>
      </c>
      <c r="E359" s="1" t="s">
        <v>108</v>
      </c>
      <c r="F359" s="1" t="s">
        <v>30</v>
      </c>
      <c r="G359" s="1" t="s">
        <v>2874</v>
      </c>
      <c r="H359" s="1" t="s">
        <v>1762</v>
      </c>
      <c r="I359" t="b">
        <f>COUNTIF(Estadísticas!I:I,'centraldecomunicacion.es'!H359)&gt;0</f>
        <v>0</v>
      </c>
    </row>
    <row r="360" spans="1:9" hidden="1">
      <c r="A360" s="1" t="s">
        <v>2875</v>
      </c>
      <c r="B360" s="1" t="s">
        <v>10</v>
      </c>
      <c r="C360" s="1" t="s">
        <v>2876</v>
      </c>
      <c r="D360" s="1" t="s">
        <v>2835</v>
      </c>
      <c r="E360" s="1" t="s">
        <v>108</v>
      </c>
      <c r="F360" s="1" t="s">
        <v>30</v>
      </c>
      <c r="G360" s="1" t="s">
        <v>2877</v>
      </c>
      <c r="H360" s="1" t="s">
        <v>1762</v>
      </c>
      <c r="I360" t="b">
        <f>COUNTIF(Estadísticas!I:I,'centraldecomunicacion.es'!H360)&gt;0</f>
        <v>0</v>
      </c>
    </row>
    <row r="361" spans="1:9" hidden="1">
      <c r="A361" s="1" t="s">
        <v>2878</v>
      </c>
      <c r="B361" s="1" t="s">
        <v>10</v>
      </c>
      <c r="C361" s="1" t="s">
        <v>2879</v>
      </c>
      <c r="D361" s="1" t="s">
        <v>2880</v>
      </c>
      <c r="E361" s="1" t="s">
        <v>108</v>
      </c>
      <c r="F361" s="1" t="s">
        <v>30</v>
      </c>
      <c r="G361" s="1" t="s">
        <v>2881</v>
      </c>
      <c r="H361" s="1" t="s">
        <v>1762</v>
      </c>
      <c r="I361" t="b">
        <f>COUNTIF(Estadísticas!I:I,'centraldecomunicacion.es'!H361)&gt;0</f>
        <v>0</v>
      </c>
    </row>
    <row r="362" spans="1:9" hidden="1">
      <c r="A362" s="1" t="s">
        <v>2882</v>
      </c>
      <c r="B362" s="1" t="s">
        <v>10</v>
      </c>
      <c r="C362" s="1" t="s">
        <v>2883</v>
      </c>
      <c r="D362" s="1" t="s">
        <v>126</v>
      </c>
      <c r="E362" s="1" t="s">
        <v>108</v>
      </c>
      <c r="F362" s="1" t="s">
        <v>30</v>
      </c>
      <c r="G362" s="1" t="s">
        <v>2884</v>
      </c>
      <c r="H362" s="1" t="s">
        <v>1762</v>
      </c>
      <c r="I362" t="b">
        <f>COUNTIF(Estadísticas!I:I,'centraldecomunicacion.es'!H362)&gt;0</f>
        <v>0</v>
      </c>
    </row>
    <row r="363" spans="1:9" hidden="1">
      <c r="A363" s="1" t="s">
        <v>2885</v>
      </c>
      <c r="B363" s="1" t="s">
        <v>18</v>
      </c>
      <c r="C363" s="1" t="s">
        <v>2886</v>
      </c>
      <c r="D363" s="1" t="s">
        <v>2743</v>
      </c>
      <c r="E363" s="1" t="s">
        <v>108</v>
      </c>
      <c r="F363" s="1" t="s">
        <v>30</v>
      </c>
      <c r="G363" s="1" t="s">
        <v>2887</v>
      </c>
      <c r="H363" s="1" t="s">
        <v>1762</v>
      </c>
      <c r="I363" t="b">
        <f>COUNTIF(Estadísticas!I:I,'centraldecomunicacion.es'!H363)&gt;0</f>
        <v>0</v>
      </c>
    </row>
    <row r="364" spans="1:9" hidden="1">
      <c r="A364" s="1" t="s">
        <v>2888</v>
      </c>
      <c r="B364" s="1" t="s">
        <v>10</v>
      </c>
      <c r="C364" s="1" t="s">
        <v>2889</v>
      </c>
      <c r="D364" s="1" t="s">
        <v>2890</v>
      </c>
      <c r="E364" s="1" t="s">
        <v>108</v>
      </c>
      <c r="F364" s="1" t="s">
        <v>30</v>
      </c>
      <c r="G364" s="1" t="s">
        <v>2891</v>
      </c>
      <c r="H364" s="1" t="s">
        <v>1762</v>
      </c>
      <c r="I364" t="b">
        <f>COUNTIF(Estadísticas!I:I,'centraldecomunicacion.es'!H364)&gt;0</f>
        <v>0</v>
      </c>
    </row>
    <row r="365" spans="1:9" hidden="1">
      <c r="A365" s="1" t="s">
        <v>2892</v>
      </c>
      <c r="B365" s="1" t="s">
        <v>10</v>
      </c>
      <c r="C365" s="1" t="s">
        <v>2893</v>
      </c>
      <c r="D365" s="1" t="s">
        <v>2835</v>
      </c>
      <c r="E365" s="1" t="s">
        <v>108</v>
      </c>
      <c r="F365" s="1" t="s">
        <v>30</v>
      </c>
      <c r="G365" s="1" t="s">
        <v>2894</v>
      </c>
      <c r="H365" s="1" t="s">
        <v>1762</v>
      </c>
      <c r="I365" t="b">
        <f>COUNTIF(Estadísticas!I:I,'centraldecomunicacion.es'!H365)&gt;0</f>
        <v>0</v>
      </c>
    </row>
    <row r="366" spans="1:9" hidden="1">
      <c r="A366" s="1" t="s">
        <v>2895</v>
      </c>
      <c r="B366" s="1" t="s">
        <v>10</v>
      </c>
      <c r="C366" s="1" t="s">
        <v>30</v>
      </c>
      <c r="D366" s="1" t="s">
        <v>103</v>
      </c>
      <c r="E366" s="1" t="s">
        <v>30</v>
      </c>
      <c r="F366" s="1" t="s">
        <v>2896</v>
      </c>
      <c r="G366" s="1" t="s">
        <v>2897</v>
      </c>
      <c r="H366" s="1" t="s">
        <v>1762</v>
      </c>
      <c r="I366" t="b">
        <f>COUNTIF(Estadísticas!I:I,'centraldecomunicacion.es'!H366)&gt;0</f>
        <v>0</v>
      </c>
    </row>
    <row r="367" spans="1:9" hidden="1">
      <c r="A367" s="1" t="s">
        <v>2898</v>
      </c>
      <c r="B367" s="1" t="s">
        <v>10</v>
      </c>
      <c r="C367" s="1" t="s">
        <v>2899</v>
      </c>
      <c r="D367" s="1" t="s">
        <v>2900</v>
      </c>
      <c r="E367" s="1" t="s">
        <v>108</v>
      </c>
      <c r="F367" s="1" t="s">
        <v>30</v>
      </c>
      <c r="G367" s="1" t="s">
        <v>2901</v>
      </c>
      <c r="H367" s="1" t="s">
        <v>1762</v>
      </c>
      <c r="I367" t="b">
        <f>COUNTIF(Estadísticas!I:I,'centraldecomunicacion.es'!H367)&gt;0</f>
        <v>0</v>
      </c>
    </row>
    <row r="368" spans="1:9" hidden="1">
      <c r="A368" s="1" t="s">
        <v>2902</v>
      </c>
      <c r="B368" s="1" t="s">
        <v>10</v>
      </c>
      <c r="C368" s="1" t="s">
        <v>2903</v>
      </c>
      <c r="D368" s="1" t="s">
        <v>2904</v>
      </c>
      <c r="E368" s="1" t="s">
        <v>108</v>
      </c>
      <c r="F368" s="1" t="s">
        <v>2905</v>
      </c>
      <c r="G368" s="1" t="s">
        <v>2906</v>
      </c>
      <c r="H368" s="1" t="s">
        <v>1762</v>
      </c>
      <c r="I368" t="b">
        <f>COUNTIF(Estadísticas!I:I,'centraldecomunicacion.es'!H368)&gt;0</f>
        <v>0</v>
      </c>
    </row>
    <row r="369" spans="1:9" hidden="1">
      <c r="A369" s="1" t="s">
        <v>2907</v>
      </c>
      <c r="B369" s="1" t="s">
        <v>18</v>
      </c>
      <c r="C369" s="1" t="s">
        <v>2908</v>
      </c>
      <c r="D369" s="1" t="s">
        <v>120</v>
      </c>
      <c r="E369" s="1" t="s">
        <v>108</v>
      </c>
      <c r="F369" s="1" t="s">
        <v>30</v>
      </c>
      <c r="G369" s="1" t="s">
        <v>30</v>
      </c>
      <c r="H369" s="1" t="s">
        <v>1762</v>
      </c>
      <c r="I369" t="b">
        <f>COUNTIF(Estadísticas!I:I,'centraldecomunicacion.es'!H369)&gt;0</f>
        <v>0</v>
      </c>
    </row>
    <row r="370" spans="1:9" hidden="1">
      <c r="A370" s="1" t="s">
        <v>2909</v>
      </c>
      <c r="B370" s="1" t="s">
        <v>10</v>
      </c>
      <c r="C370" s="1" t="s">
        <v>30</v>
      </c>
      <c r="D370" s="1" t="s">
        <v>103</v>
      </c>
      <c r="E370" s="1" t="s">
        <v>30</v>
      </c>
      <c r="F370" s="1" t="s">
        <v>2692</v>
      </c>
      <c r="G370" s="1" t="s">
        <v>2910</v>
      </c>
      <c r="H370" s="1" t="s">
        <v>1762</v>
      </c>
      <c r="I370" t="b">
        <f>COUNTIF(Estadísticas!I:I,'centraldecomunicacion.es'!H370)&gt;0</f>
        <v>0</v>
      </c>
    </row>
    <row r="371" spans="1:9" hidden="1">
      <c r="A371" s="1" t="s">
        <v>2911</v>
      </c>
      <c r="B371" s="1" t="s">
        <v>18</v>
      </c>
      <c r="C371" s="1" t="s">
        <v>2912</v>
      </c>
      <c r="D371" s="1" t="s">
        <v>2913</v>
      </c>
      <c r="E371" s="1" t="s">
        <v>108</v>
      </c>
      <c r="F371" s="1" t="s">
        <v>1845</v>
      </c>
      <c r="G371" s="1" t="s">
        <v>2914</v>
      </c>
      <c r="H371" s="1" t="s">
        <v>1847</v>
      </c>
      <c r="I371" t="b">
        <f>COUNTIF(Estadísticas!I:I,'centraldecomunicacion.es'!H371)&gt;0</f>
        <v>0</v>
      </c>
    </row>
    <row r="372" spans="1:9" hidden="1">
      <c r="A372" s="1" t="s">
        <v>2915</v>
      </c>
      <c r="B372" s="1" t="s">
        <v>10</v>
      </c>
      <c r="C372" s="1" t="s">
        <v>2916</v>
      </c>
      <c r="D372" s="1" t="s">
        <v>2904</v>
      </c>
      <c r="E372" s="1" t="s">
        <v>108</v>
      </c>
      <c r="F372" s="1" t="s">
        <v>30</v>
      </c>
      <c r="G372" s="1" t="s">
        <v>2917</v>
      </c>
      <c r="H372" s="1" t="s">
        <v>1762</v>
      </c>
      <c r="I372" t="b">
        <f>COUNTIF(Estadísticas!I:I,'centraldecomunicacion.es'!H372)&gt;0</f>
        <v>0</v>
      </c>
    </row>
    <row r="373" spans="1:9" hidden="1">
      <c r="A373" s="1" t="s">
        <v>2918</v>
      </c>
      <c r="B373" s="1" t="s">
        <v>10</v>
      </c>
      <c r="C373" s="1" t="s">
        <v>2919</v>
      </c>
      <c r="D373" s="1" t="s">
        <v>2920</v>
      </c>
      <c r="E373" s="1" t="s">
        <v>108</v>
      </c>
      <c r="F373" s="1" t="s">
        <v>2921</v>
      </c>
      <c r="G373" s="1" t="s">
        <v>2922</v>
      </c>
      <c r="H373" s="1" t="s">
        <v>1762</v>
      </c>
      <c r="I373" t="b">
        <f>COUNTIF(Estadísticas!I:I,'centraldecomunicacion.es'!H373)&gt;0</f>
        <v>0</v>
      </c>
    </row>
    <row r="374" spans="1:9" hidden="1">
      <c r="A374" s="1" t="s">
        <v>2923</v>
      </c>
      <c r="B374" s="1" t="s">
        <v>10</v>
      </c>
      <c r="C374" s="1" t="s">
        <v>30</v>
      </c>
      <c r="D374" s="1" t="s">
        <v>103</v>
      </c>
      <c r="E374" s="1" t="s">
        <v>30</v>
      </c>
      <c r="F374" s="1" t="s">
        <v>30</v>
      </c>
      <c r="G374" s="1" t="s">
        <v>2924</v>
      </c>
      <c r="H374" s="1" t="s">
        <v>1762</v>
      </c>
      <c r="I374" t="b">
        <f>COUNTIF(Estadísticas!I:I,'centraldecomunicacion.es'!H374)&gt;0</f>
        <v>0</v>
      </c>
    </row>
    <row r="375" spans="1:9" hidden="1">
      <c r="A375" s="1" t="s">
        <v>2925</v>
      </c>
      <c r="B375" s="1" t="s">
        <v>10</v>
      </c>
      <c r="C375" s="1" t="s">
        <v>2926</v>
      </c>
      <c r="D375" s="1" t="s">
        <v>141</v>
      </c>
      <c r="E375" s="1" t="s">
        <v>141</v>
      </c>
      <c r="F375" s="1" t="s">
        <v>30</v>
      </c>
      <c r="G375" s="1" t="s">
        <v>2927</v>
      </c>
      <c r="H375" s="1" t="s">
        <v>1762</v>
      </c>
      <c r="I375" t="b">
        <f>COUNTIF(Estadísticas!I:I,'centraldecomunicacion.es'!H375)&gt;0</f>
        <v>0</v>
      </c>
    </row>
    <row r="376" spans="1:9" hidden="1">
      <c r="A376" s="1" t="s">
        <v>2928</v>
      </c>
      <c r="B376" s="1" t="s">
        <v>10</v>
      </c>
      <c r="C376" s="1" t="s">
        <v>2929</v>
      </c>
      <c r="D376" s="1" t="s">
        <v>141</v>
      </c>
      <c r="E376" s="1" t="s">
        <v>141</v>
      </c>
      <c r="F376" s="1" t="s">
        <v>2930</v>
      </c>
      <c r="G376" s="1" t="s">
        <v>2931</v>
      </c>
      <c r="H376" s="1" t="s">
        <v>1762</v>
      </c>
      <c r="I376" t="b">
        <f>COUNTIF(Estadísticas!I:I,'centraldecomunicacion.es'!H376)&gt;0</f>
        <v>0</v>
      </c>
    </row>
    <row r="377" spans="1:9" hidden="1">
      <c r="A377" s="1" t="s">
        <v>2932</v>
      </c>
      <c r="B377" s="1" t="s">
        <v>10</v>
      </c>
      <c r="C377" s="1" t="s">
        <v>2933</v>
      </c>
      <c r="D377" s="1" t="s">
        <v>141</v>
      </c>
      <c r="E377" s="1" t="s">
        <v>141</v>
      </c>
      <c r="F377" s="1" t="s">
        <v>2934</v>
      </c>
      <c r="G377" s="1" t="s">
        <v>2935</v>
      </c>
      <c r="H377" s="1" t="s">
        <v>1762</v>
      </c>
      <c r="I377" t="b">
        <f>COUNTIF(Estadísticas!I:I,'centraldecomunicacion.es'!H377)&gt;0</f>
        <v>0</v>
      </c>
    </row>
    <row r="378" spans="1:9" hidden="1">
      <c r="A378" s="1" t="s">
        <v>2936</v>
      </c>
      <c r="B378" s="1" t="s">
        <v>10</v>
      </c>
      <c r="C378" s="1" t="s">
        <v>2937</v>
      </c>
      <c r="D378" s="1" t="s">
        <v>141</v>
      </c>
      <c r="E378" s="1" t="s">
        <v>141</v>
      </c>
      <c r="F378" s="1" t="s">
        <v>1984</v>
      </c>
      <c r="G378" s="1" t="s">
        <v>2938</v>
      </c>
      <c r="H378" s="1" t="s">
        <v>1762</v>
      </c>
      <c r="I378" t="b">
        <f>COUNTIF(Estadísticas!I:I,'centraldecomunicacion.es'!H378)&gt;0</f>
        <v>0</v>
      </c>
    </row>
    <row r="379" spans="1:9" hidden="1">
      <c r="A379" s="1" t="s">
        <v>2939</v>
      </c>
      <c r="B379" s="1" t="s">
        <v>10</v>
      </c>
      <c r="C379" s="1" t="s">
        <v>2940</v>
      </c>
      <c r="D379" s="1" t="s">
        <v>141</v>
      </c>
      <c r="E379" s="1" t="s">
        <v>141</v>
      </c>
      <c r="F379" s="1" t="s">
        <v>2941</v>
      </c>
      <c r="G379" s="1" t="s">
        <v>2942</v>
      </c>
      <c r="H379" s="1" t="s">
        <v>2943</v>
      </c>
      <c r="I379" t="b">
        <f>COUNTIF(Estadísticas!I:I,'centraldecomunicacion.es'!H379)&gt;0</f>
        <v>0</v>
      </c>
    </row>
    <row r="380" spans="1:9" hidden="1">
      <c r="A380" s="1" t="s">
        <v>2944</v>
      </c>
      <c r="B380" s="1" t="s">
        <v>10</v>
      </c>
      <c r="C380" s="1" t="s">
        <v>2945</v>
      </c>
      <c r="D380" s="1" t="s">
        <v>141</v>
      </c>
      <c r="E380" s="1" t="s">
        <v>141</v>
      </c>
      <c r="F380" s="1" t="s">
        <v>2946</v>
      </c>
      <c r="G380" s="1" t="s">
        <v>889</v>
      </c>
      <c r="H380" s="1" t="s">
        <v>1762</v>
      </c>
      <c r="I380" t="b">
        <f>COUNTIF(Estadísticas!I:I,'centraldecomunicacion.es'!H380)&gt;0</f>
        <v>0</v>
      </c>
    </row>
    <row r="381" spans="1:9" hidden="1">
      <c r="A381" s="1" t="s">
        <v>2947</v>
      </c>
      <c r="B381" s="1" t="s">
        <v>10</v>
      </c>
      <c r="C381" s="1" t="s">
        <v>30</v>
      </c>
      <c r="D381" s="1" t="s">
        <v>146</v>
      </c>
      <c r="E381" s="1" t="s">
        <v>30</v>
      </c>
      <c r="F381" s="1" t="s">
        <v>30</v>
      </c>
      <c r="G381" s="1" t="s">
        <v>2948</v>
      </c>
      <c r="H381" s="1" t="s">
        <v>1762</v>
      </c>
      <c r="I381" t="b">
        <f>COUNTIF(Estadísticas!I:I,'centraldecomunicacion.es'!H381)&gt;0</f>
        <v>0</v>
      </c>
    </row>
    <row r="382" spans="1:9" hidden="1">
      <c r="A382" s="1" t="s">
        <v>2949</v>
      </c>
      <c r="B382" s="1" t="s">
        <v>18</v>
      </c>
      <c r="C382" s="1" t="s">
        <v>2950</v>
      </c>
      <c r="D382" s="1" t="s">
        <v>141</v>
      </c>
      <c r="E382" s="1" t="s">
        <v>141</v>
      </c>
      <c r="F382" s="1" t="s">
        <v>30</v>
      </c>
      <c r="G382" s="1" t="s">
        <v>2951</v>
      </c>
      <c r="H382" s="1" t="s">
        <v>1762</v>
      </c>
      <c r="I382" t="b">
        <f>COUNTIF(Estadísticas!I:I,'centraldecomunicacion.es'!H382)&gt;0</f>
        <v>0</v>
      </c>
    </row>
    <row r="383" spans="1:9" hidden="1">
      <c r="A383" s="1" t="s">
        <v>2952</v>
      </c>
      <c r="B383" s="1" t="s">
        <v>18</v>
      </c>
      <c r="C383" s="1" t="s">
        <v>2953</v>
      </c>
      <c r="D383" s="1" t="s">
        <v>141</v>
      </c>
      <c r="E383" s="1" t="s">
        <v>141</v>
      </c>
      <c r="F383" s="1" t="s">
        <v>30</v>
      </c>
      <c r="G383" s="1" t="s">
        <v>2954</v>
      </c>
      <c r="H383" s="1" t="s">
        <v>1762</v>
      </c>
      <c r="I383" t="b">
        <f>COUNTIF(Estadísticas!I:I,'centraldecomunicacion.es'!H383)&gt;0</f>
        <v>0</v>
      </c>
    </row>
    <row r="384" spans="1:9" hidden="1">
      <c r="A384" s="1" t="s">
        <v>2955</v>
      </c>
      <c r="B384" s="1" t="s">
        <v>10</v>
      </c>
      <c r="C384" s="1" t="s">
        <v>2956</v>
      </c>
      <c r="D384" s="1" t="s">
        <v>141</v>
      </c>
      <c r="E384" s="1" t="s">
        <v>141</v>
      </c>
      <c r="F384" s="1" t="s">
        <v>2957</v>
      </c>
      <c r="G384" s="1" t="s">
        <v>2958</v>
      </c>
      <c r="H384" s="1" t="s">
        <v>1762</v>
      </c>
      <c r="I384" t="b">
        <f>COUNTIF(Estadísticas!I:I,'centraldecomunicacion.es'!H384)&gt;0</f>
        <v>0</v>
      </c>
    </row>
    <row r="385" spans="1:9" hidden="1">
      <c r="A385" s="1" t="s">
        <v>2959</v>
      </c>
      <c r="B385" s="1" t="s">
        <v>10</v>
      </c>
      <c r="C385" s="1" t="s">
        <v>2960</v>
      </c>
      <c r="D385" s="1" t="s">
        <v>141</v>
      </c>
      <c r="E385" s="1" t="s">
        <v>141</v>
      </c>
      <c r="F385" s="1" t="s">
        <v>30</v>
      </c>
      <c r="G385" s="1" t="s">
        <v>2961</v>
      </c>
      <c r="H385" s="1" t="s">
        <v>1762</v>
      </c>
      <c r="I385" t="b">
        <f>COUNTIF(Estadísticas!I:I,'centraldecomunicacion.es'!H385)&gt;0</f>
        <v>0</v>
      </c>
    </row>
    <row r="386" spans="1:9" hidden="1">
      <c r="A386" s="1" t="s">
        <v>2962</v>
      </c>
      <c r="B386" s="1" t="s">
        <v>10</v>
      </c>
      <c r="C386" s="1" t="s">
        <v>2963</v>
      </c>
      <c r="D386" s="1" t="s">
        <v>141</v>
      </c>
      <c r="E386" s="1" t="s">
        <v>141</v>
      </c>
      <c r="F386" s="1" t="s">
        <v>30</v>
      </c>
      <c r="G386" s="1" t="s">
        <v>2964</v>
      </c>
      <c r="H386" s="1" t="s">
        <v>1762</v>
      </c>
      <c r="I386" t="b">
        <f>COUNTIF(Estadísticas!I:I,'centraldecomunicacion.es'!H386)&gt;0</f>
        <v>0</v>
      </c>
    </row>
    <row r="387" spans="1:9" hidden="1">
      <c r="A387" s="1" t="s">
        <v>2965</v>
      </c>
      <c r="B387" s="1" t="s">
        <v>10</v>
      </c>
      <c r="C387" s="1" t="s">
        <v>2966</v>
      </c>
      <c r="D387" s="1" t="s">
        <v>141</v>
      </c>
      <c r="E387" s="1" t="s">
        <v>141</v>
      </c>
      <c r="F387" s="1" t="s">
        <v>1830</v>
      </c>
      <c r="G387" s="1" t="s">
        <v>2967</v>
      </c>
      <c r="H387" s="1" t="s">
        <v>1762</v>
      </c>
      <c r="I387" t="b">
        <f>COUNTIF(Estadísticas!I:I,'centraldecomunicacion.es'!H387)&gt;0</f>
        <v>0</v>
      </c>
    </row>
    <row r="388" spans="1:9" hidden="1">
      <c r="A388" s="1" t="s">
        <v>2968</v>
      </c>
      <c r="B388" s="1" t="s">
        <v>10</v>
      </c>
      <c r="C388" s="1" t="s">
        <v>30</v>
      </c>
      <c r="D388" s="1" t="s">
        <v>146</v>
      </c>
      <c r="E388" s="1" t="s">
        <v>30</v>
      </c>
      <c r="F388" s="1" t="s">
        <v>2969</v>
      </c>
      <c r="G388" s="1" t="s">
        <v>2970</v>
      </c>
      <c r="H388" s="1" t="s">
        <v>2971</v>
      </c>
      <c r="I388" t="b">
        <f>COUNTIF(Estadísticas!I:I,'centraldecomunicacion.es'!H388)&gt;0</f>
        <v>0</v>
      </c>
    </row>
    <row r="389" spans="1:9" hidden="1">
      <c r="A389" s="1" t="s">
        <v>2972</v>
      </c>
      <c r="B389" s="1" t="s">
        <v>10</v>
      </c>
      <c r="C389" s="1" t="s">
        <v>2973</v>
      </c>
      <c r="D389" s="1" t="s">
        <v>141</v>
      </c>
      <c r="E389" s="1" t="s">
        <v>141</v>
      </c>
      <c r="F389" s="1" t="s">
        <v>30</v>
      </c>
      <c r="G389" s="1" t="s">
        <v>2974</v>
      </c>
      <c r="H389" s="1" t="s">
        <v>1762</v>
      </c>
      <c r="I389" t="b">
        <f>COUNTIF(Estadísticas!I:I,'centraldecomunicacion.es'!H389)&gt;0</f>
        <v>0</v>
      </c>
    </row>
    <row r="390" spans="1:9" hidden="1">
      <c r="A390" s="1" t="s">
        <v>2975</v>
      </c>
      <c r="B390" s="1" t="s">
        <v>10</v>
      </c>
      <c r="C390" s="1" t="s">
        <v>2976</v>
      </c>
      <c r="D390" s="1" t="s">
        <v>141</v>
      </c>
      <c r="E390" s="1" t="s">
        <v>141</v>
      </c>
      <c r="F390" s="1" t="s">
        <v>30</v>
      </c>
      <c r="G390" s="1" t="s">
        <v>2977</v>
      </c>
      <c r="H390" s="1" t="s">
        <v>1762</v>
      </c>
      <c r="I390" t="b">
        <f>COUNTIF(Estadísticas!I:I,'centraldecomunicacion.es'!H390)&gt;0</f>
        <v>0</v>
      </c>
    </row>
    <row r="391" spans="1:9" hidden="1">
      <c r="A391" s="1" t="s">
        <v>2978</v>
      </c>
      <c r="B391" s="1" t="s">
        <v>10</v>
      </c>
      <c r="C391" s="1" t="s">
        <v>2979</v>
      </c>
      <c r="D391" s="1" t="s">
        <v>141</v>
      </c>
      <c r="E391" s="1" t="s">
        <v>141</v>
      </c>
      <c r="F391" s="1" t="s">
        <v>2851</v>
      </c>
      <c r="G391" s="1" t="s">
        <v>2980</v>
      </c>
      <c r="H391" s="1" t="s">
        <v>1762</v>
      </c>
      <c r="I391" t="b">
        <f>COUNTIF(Estadísticas!I:I,'centraldecomunicacion.es'!H391)&gt;0</f>
        <v>0</v>
      </c>
    </row>
    <row r="392" spans="1:9" hidden="1">
      <c r="A392" s="1" t="s">
        <v>2981</v>
      </c>
      <c r="B392" s="1" t="s">
        <v>10</v>
      </c>
      <c r="C392" s="1" t="s">
        <v>2982</v>
      </c>
      <c r="D392" s="1" t="s">
        <v>141</v>
      </c>
      <c r="E392" s="1" t="s">
        <v>141</v>
      </c>
      <c r="F392" s="1" t="s">
        <v>30</v>
      </c>
      <c r="G392" s="1" t="s">
        <v>2983</v>
      </c>
      <c r="H392" s="1" t="s">
        <v>1762</v>
      </c>
      <c r="I392" t="b">
        <f>COUNTIF(Estadísticas!I:I,'centraldecomunicacion.es'!H392)&gt;0</f>
        <v>0</v>
      </c>
    </row>
    <row r="393" spans="1:9" hidden="1">
      <c r="A393" s="1" t="s">
        <v>2984</v>
      </c>
      <c r="B393" s="1" t="s">
        <v>18</v>
      </c>
      <c r="C393" s="1" t="s">
        <v>2985</v>
      </c>
      <c r="D393" s="1" t="s">
        <v>141</v>
      </c>
      <c r="E393" s="1" t="s">
        <v>141</v>
      </c>
      <c r="F393" s="1" t="s">
        <v>1984</v>
      </c>
      <c r="G393" s="1" t="s">
        <v>2986</v>
      </c>
      <c r="H393" s="1" t="s">
        <v>1762</v>
      </c>
      <c r="I393" t="b">
        <f>COUNTIF(Estadísticas!I:I,'centraldecomunicacion.es'!H393)&gt;0</f>
        <v>0</v>
      </c>
    </row>
    <row r="394" spans="1:9">
      <c r="A394" s="1" t="s">
        <v>139</v>
      </c>
      <c r="B394" s="1" t="s">
        <v>10</v>
      </c>
      <c r="C394" s="1" t="s">
        <v>140</v>
      </c>
      <c r="D394" s="1" t="s">
        <v>141</v>
      </c>
      <c r="E394" s="1" t="s">
        <v>141</v>
      </c>
      <c r="F394" s="1" t="s">
        <v>142</v>
      </c>
      <c r="G394" s="1" t="s">
        <v>143</v>
      </c>
      <c r="H394" s="1" t="s">
        <v>144</v>
      </c>
      <c r="I394" t="b">
        <f>COUNTIF(Estadísticas!I:I,'centraldecomunicacion.es'!H394)&gt;0</f>
        <v>1</v>
      </c>
    </row>
    <row r="395" spans="1:9" hidden="1">
      <c r="A395" s="1" t="s">
        <v>2987</v>
      </c>
      <c r="B395" s="1" t="s">
        <v>10</v>
      </c>
      <c r="C395" s="1" t="s">
        <v>30</v>
      </c>
      <c r="D395" s="1" t="s">
        <v>146</v>
      </c>
      <c r="E395" s="1" t="s">
        <v>30</v>
      </c>
      <c r="F395" s="1" t="s">
        <v>30</v>
      </c>
      <c r="G395" s="1" t="s">
        <v>2988</v>
      </c>
      <c r="H395" s="1" t="s">
        <v>1762</v>
      </c>
      <c r="I395" t="b">
        <f>COUNTIF(Estadísticas!I:I,'centraldecomunicacion.es'!H395)&gt;0</f>
        <v>0</v>
      </c>
    </row>
    <row r="396" spans="1:9" hidden="1">
      <c r="A396" s="1" t="s">
        <v>2989</v>
      </c>
      <c r="B396" s="1" t="s">
        <v>10</v>
      </c>
      <c r="C396" s="1" t="s">
        <v>2990</v>
      </c>
      <c r="D396" s="1" t="s">
        <v>141</v>
      </c>
      <c r="E396" s="1" t="s">
        <v>141</v>
      </c>
      <c r="F396" s="1" t="s">
        <v>30</v>
      </c>
      <c r="G396" s="1" t="s">
        <v>2991</v>
      </c>
      <c r="H396" s="1" t="s">
        <v>1762</v>
      </c>
      <c r="I396" t="b">
        <f>COUNTIF(Estadísticas!I:I,'centraldecomunicacion.es'!H396)&gt;0</f>
        <v>0</v>
      </c>
    </row>
    <row r="397" spans="1:9" hidden="1">
      <c r="A397" s="1" t="s">
        <v>2992</v>
      </c>
      <c r="B397" s="1" t="s">
        <v>10</v>
      </c>
      <c r="C397" s="1" t="s">
        <v>2993</v>
      </c>
      <c r="D397" s="1" t="s">
        <v>141</v>
      </c>
      <c r="E397" s="1" t="s">
        <v>141</v>
      </c>
      <c r="F397" s="1" t="s">
        <v>30</v>
      </c>
      <c r="G397" s="1" t="s">
        <v>2994</v>
      </c>
      <c r="H397" s="1" t="s">
        <v>1762</v>
      </c>
      <c r="I397" t="b">
        <f>COUNTIF(Estadísticas!I:I,'centraldecomunicacion.es'!H397)&gt;0</f>
        <v>0</v>
      </c>
    </row>
    <row r="398" spans="1:9" hidden="1">
      <c r="A398" s="1" t="s">
        <v>2995</v>
      </c>
      <c r="B398" s="1" t="s">
        <v>10</v>
      </c>
      <c r="C398" s="1" t="s">
        <v>2996</v>
      </c>
      <c r="D398" s="1" t="s">
        <v>141</v>
      </c>
      <c r="E398" s="1" t="s">
        <v>141</v>
      </c>
      <c r="F398" s="1" t="s">
        <v>1864</v>
      </c>
      <c r="G398" s="1" t="s">
        <v>1865</v>
      </c>
      <c r="H398" s="1" t="s">
        <v>1762</v>
      </c>
      <c r="I398" t="b">
        <f>COUNTIF(Estadísticas!I:I,'centraldecomunicacion.es'!H398)&gt;0</f>
        <v>0</v>
      </c>
    </row>
    <row r="399" spans="1:9" hidden="1">
      <c r="A399" s="1" t="s">
        <v>2997</v>
      </c>
      <c r="B399" s="1" t="s">
        <v>10</v>
      </c>
      <c r="C399" s="1" t="s">
        <v>2993</v>
      </c>
      <c r="D399" s="1" t="s">
        <v>141</v>
      </c>
      <c r="E399" s="1" t="s">
        <v>141</v>
      </c>
      <c r="F399" s="1" t="s">
        <v>30</v>
      </c>
      <c r="G399" s="1" t="s">
        <v>2994</v>
      </c>
      <c r="H399" s="1" t="s">
        <v>1762</v>
      </c>
      <c r="I399" t="b">
        <f>COUNTIF(Estadísticas!I:I,'centraldecomunicacion.es'!H399)&gt;0</f>
        <v>0</v>
      </c>
    </row>
    <row r="400" spans="1:9" hidden="1">
      <c r="A400" s="1" t="s">
        <v>2998</v>
      </c>
      <c r="B400" s="1" t="s">
        <v>10</v>
      </c>
      <c r="C400" s="1" t="s">
        <v>2999</v>
      </c>
      <c r="D400" s="1" t="s">
        <v>141</v>
      </c>
      <c r="E400" s="1" t="s">
        <v>141</v>
      </c>
      <c r="F400" s="1" t="s">
        <v>30</v>
      </c>
      <c r="G400" s="1" t="s">
        <v>3000</v>
      </c>
      <c r="H400" s="1" t="s">
        <v>1762</v>
      </c>
      <c r="I400" t="b">
        <f>COUNTIF(Estadísticas!I:I,'centraldecomunicacion.es'!H400)&gt;0</f>
        <v>0</v>
      </c>
    </row>
    <row r="401" spans="1:9" hidden="1">
      <c r="A401" s="1" t="s">
        <v>3001</v>
      </c>
      <c r="B401" s="1" t="s">
        <v>10</v>
      </c>
      <c r="C401" s="1" t="s">
        <v>3002</v>
      </c>
      <c r="D401" s="1" t="s">
        <v>141</v>
      </c>
      <c r="E401" s="1" t="s">
        <v>141</v>
      </c>
      <c r="F401" s="1" t="s">
        <v>30</v>
      </c>
      <c r="G401" s="1" t="s">
        <v>30</v>
      </c>
      <c r="H401" s="1" t="s">
        <v>1762</v>
      </c>
      <c r="I401" t="b">
        <f>COUNTIF(Estadísticas!I:I,'centraldecomunicacion.es'!H401)&gt;0</f>
        <v>0</v>
      </c>
    </row>
    <row r="402" spans="1:9" hidden="1">
      <c r="A402" s="1" t="s">
        <v>3003</v>
      </c>
      <c r="B402" s="1" t="s">
        <v>10</v>
      </c>
      <c r="C402" s="1" t="s">
        <v>3004</v>
      </c>
      <c r="D402" s="1" t="s">
        <v>3005</v>
      </c>
      <c r="E402" s="1" t="s">
        <v>141</v>
      </c>
      <c r="F402" s="1" t="s">
        <v>3006</v>
      </c>
      <c r="G402" s="1" t="s">
        <v>3007</v>
      </c>
      <c r="H402" s="1" t="s">
        <v>1762</v>
      </c>
      <c r="I402" t="b">
        <f>COUNTIF(Estadísticas!I:I,'centraldecomunicacion.es'!H402)&gt;0</f>
        <v>0</v>
      </c>
    </row>
    <row r="403" spans="1:9" hidden="1">
      <c r="A403" s="1" t="s">
        <v>3008</v>
      </c>
      <c r="B403" s="1" t="s">
        <v>10</v>
      </c>
      <c r="C403" s="1" t="s">
        <v>30</v>
      </c>
      <c r="D403" s="1" t="s">
        <v>146</v>
      </c>
      <c r="E403" s="1" t="s">
        <v>30</v>
      </c>
      <c r="F403" s="1" t="s">
        <v>1984</v>
      </c>
      <c r="G403" s="1" t="s">
        <v>3009</v>
      </c>
      <c r="H403" s="1" t="s">
        <v>1762</v>
      </c>
      <c r="I403" t="b">
        <f>COUNTIF(Estadísticas!I:I,'centraldecomunicacion.es'!H403)&gt;0</f>
        <v>0</v>
      </c>
    </row>
    <row r="404" spans="1:9" hidden="1">
      <c r="A404" s="1" t="s">
        <v>3010</v>
      </c>
      <c r="B404" s="1" t="s">
        <v>10</v>
      </c>
      <c r="C404" s="1" t="s">
        <v>3011</v>
      </c>
      <c r="D404" s="1" t="s">
        <v>3012</v>
      </c>
      <c r="E404" s="1" t="s">
        <v>141</v>
      </c>
      <c r="F404" s="1" t="s">
        <v>3013</v>
      </c>
      <c r="G404" s="1" t="s">
        <v>3014</v>
      </c>
      <c r="H404" s="1" t="s">
        <v>1762</v>
      </c>
      <c r="I404" t="b">
        <f>COUNTIF(Estadísticas!I:I,'centraldecomunicacion.es'!H404)&gt;0</f>
        <v>0</v>
      </c>
    </row>
    <row r="405" spans="1:9" hidden="1">
      <c r="A405" s="1" t="s">
        <v>3015</v>
      </c>
      <c r="B405" s="1" t="s">
        <v>10</v>
      </c>
      <c r="C405" s="1" t="s">
        <v>3016</v>
      </c>
      <c r="D405" s="1" t="s">
        <v>3017</v>
      </c>
      <c r="E405" s="1" t="s">
        <v>141</v>
      </c>
      <c r="F405" s="1" t="s">
        <v>3018</v>
      </c>
      <c r="G405" s="1" t="s">
        <v>3019</v>
      </c>
      <c r="H405" s="1" t="s">
        <v>1762</v>
      </c>
      <c r="I405" t="b">
        <f>COUNTIF(Estadísticas!I:I,'centraldecomunicacion.es'!H405)&gt;0</f>
        <v>0</v>
      </c>
    </row>
    <row r="406" spans="1:9" hidden="1">
      <c r="A406" s="1" t="s">
        <v>3020</v>
      </c>
      <c r="B406" s="1" t="s">
        <v>10</v>
      </c>
      <c r="C406" s="1" t="s">
        <v>3021</v>
      </c>
      <c r="D406" s="1" t="s">
        <v>3022</v>
      </c>
      <c r="E406" s="1" t="s">
        <v>141</v>
      </c>
      <c r="F406" s="1" t="s">
        <v>3023</v>
      </c>
      <c r="G406" s="1" t="s">
        <v>2964</v>
      </c>
      <c r="H406" s="1" t="s">
        <v>1762</v>
      </c>
      <c r="I406" t="b">
        <f>COUNTIF(Estadísticas!I:I,'centraldecomunicacion.es'!H406)&gt;0</f>
        <v>0</v>
      </c>
    </row>
    <row r="407" spans="1:9" hidden="1">
      <c r="A407" s="1" t="s">
        <v>3024</v>
      </c>
      <c r="B407" s="1" t="s">
        <v>10</v>
      </c>
      <c r="C407" s="1" t="s">
        <v>3025</v>
      </c>
      <c r="D407" s="1" t="s">
        <v>3026</v>
      </c>
      <c r="E407" s="1" t="s">
        <v>141</v>
      </c>
      <c r="F407" s="1" t="s">
        <v>30</v>
      </c>
      <c r="G407" s="1" t="s">
        <v>3027</v>
      </c>
      <c r="H407" s="1" t="s">
        <v>1762</v>
      </c>
      <c r="I407" t="b">
        <f>COUNTIF(Estadísticas!I:I,'centraldecomunicacion.es'!H407)&gt;0</f>
        <v>0</v>
      </c>
    </row>
    <row r="408" spans="1:9" hidden="1">
      <c r="A408" s="1" t="s">
        <v>3028</v>
      </c>
      <c r="B408" s="1" t="s">
        <v>10</v>
      </c>
      <c r="C408" s="1" t="s">
        <v>3029</v>
      </c>
      <c r="D408" s="1" t="s">
        <v>3012</v>
      </c>
      <c r="E408" s="1" t="s">
        <v>141</v>
      </c>
      <c r="F408" s="1" t="s">
        <v>30</v>
      </c>
      <c r="G408" s="1" t="s">
        <v>3030</v>
      </c>
      <c r="H408" s="1" t="s">
        <v>1762</v>
      </c>
      <c r="I408" t="b">
        <f>COUNTIF(Estadísticas!I:I,'centraldecomunicacion.es'!H408)&gt;0</f>
        <v>0</v>
      </c>
    </row>
    <row r="409" spans="1:9" hidden="1">
      <c r="A409" s="1" t="s">
        <v>3031</v>
      </c>
      <c r="B409" s="1" t="s">
        <v>10</v>
      </c>
      <c r="C409" s="1" t="s">
        <v>3032</v>
      </c>
      <c r="D409" s="1" t="s">
        <v>3033</v>
      </c>
      <c r="E409" s="1" t="s">
        <v>141</v>
      </c>
      <c r="F409" s="1" t="s">
        <v>1830</v>
      </c>
      <c r="G409" s="1" t="s">
        <v>3034</v>
      </c>
      <c r="H409" s="1" t="s">
        <v>1762</v>
      </c>
      <c r="I409" t="b">
        <f>COUNTIF(Estadísticas!I:I,'centraldecomunicacion.es'!H409)&gt;0</f>
        <v>0</v>
      </c>
    </row>
    <row r="410" spans="1:9">
      <c r="A410" s="1" t="s">
        <v>145</v>
      </c>
      <c r="B410" s="1" t="s">
        <v>10</v>
      </c>
      <c r="C410" s="1" t="s">
        <v>30</v>
      </c>
      <c r="D410" s="1" t="s">
        <v>146</v>
      </c>
      <c r="E410" s="1" t="s">
        <v>30</v>
      </c>
      <c r="F410" s="1" t="s">
        <v>147</v>
      </c>
      <c r="G410" s="1" t="s">
        <v>148</v>
      </c>
      <c r="H410" s="1" t="s">
        <v>149</v>
      </c>
      <c r="I410" t="b">
        <f>COUNTIF(Estadísticas!I:I,'centraldecomunicacion.es'!H410)&gt;0</f>
        <v>1</v>
      </c>
    </row>
    <row r="411" spans="1:9" hidden="1">
      <c r="A411" s="1" t="s">
        <v>3035</v>
      </c>
      <c r="B411" s="1" t="s">
        <v>18</v>
      </c>
      <c r="C411" s="1" t="s">
        <v>3036</v>
      </c>
      <c r="D411" s="1" t="s">
        <v>141</v>
      </c>
      <c r="E411" s="1" t="s">
        <v>141</v>
      </c>
      <c r="F411" s="1" t="s">
        <v>3037</v>
      </c>
      <c r="G411" s="1" t="s">
        <v>3038</v>
      </c>
      <c r="H411" s="1" t="s">
        <v>1762</v>
      </c>
      <c r="I411" t="b">
        <f>COUNTIF(Estadísticas!I:I,'centraldecomunicacion.es'!H411)&gt;0</f>
        <v>0</v>
      </c>
    </row>
    <row r="412" spans="1:9" hidden="1">
      <c r="A412" s="1" t="s">
        <v>3039</v>
      </c>
      <c r="B412" s="1" t="s">
        <v>10</v>
      </c>
      <c r="C412" s="1" t="s">
        <v>3040</v>
      </c>
      <c r="D412" s="1" t="s">
        <v>3041</v>
      </c>
      <c r="E412" s="1" t="s">
        <v>141</v>
      </c>
      <c r="F412" s="1" t="s">
        <v>30</v>
      </c>
      <c r="G412" s="1" t="s">
        <v>30</v>
      </c>
      <c r="H412" s="1" t="s">
        <v>1762</v>
      </c>
      <c r="I412" t="b">
        <f>COUNTIF(Estadísticas!I:I,'centraldecomunicacion.es'!H412)&gt;0</f>
        <v>0</v>
      </c>
    </row>
    <row r="413" spans="1:9" hidden="1">
      <c r="A413" s="1" t="s">
        <v>3042</v>
      </c>
      <c r="B413" s="1" t="s">
        <v>10</v>
      </c>
      <c r="C413" s="1" t="s">
        <v>3043</v>
      </c>
      <c r="D413" s="1" t="s">
        <v>3012</v>
      </c>
      <c r="E413" s="1" t="s">
        <v>141</v>
      </c>
      <c r="F413" s="1" t="s">
        <v>3044</v>
      </c>
      <c r="G413" s="1" t="s">
        <v>3045</v>
      </c>
      <c r="H413" s="1" t="s">
        <v>1762</v>
      </c>
      <c r="I413" t="b">
        <f>COUNTIF(Estadísticas!I:I,'centraldecomunicacion.es'!H413)&gt;0</f>
        <v>0</v>
      </c>
    </row>
    <row r="414" spans="1:9" hidden="1">
      <c r="A414" s="1" t="s">
        <v>3046</v>
      </c>
      <c r="B414" s="1" t="s">
        <v>10</v>
      </c>
      <c r="C414" s="1" t="s">
        <v>3047</v>
      </c>
      <c r="D414" s="1" t="s">
        <v>3033</v>
      </c>
      <c r="E414" s="1" t="s">
        <v>141</v>
      </c>
      <c r="F414" s="1" t="s">
        <v>30</v>
      </c>
      <c r="G414" s="1" t="s">
        <v>3048</v>
      </c>
      <c r="H414" s="1" t="s">
        <v>1762</v>
      </c>
      <c r="I414" t="b">
        <f>COUNTIF(Estadísticas!I:I,'centraldecomunicacion.es'!H414)&gt;0</f>
        <v>0</v>
      </c>
    </row>
    <row r="415" spans="1:9" hidden="1">
      <c r="A415" s="1" t="s">
        <v>3049</v>
      </c>
      <c r="B415" s="1" t="s">
        <v>3050</v>
      </c>
      <c r="C415" s="1" t="s">
        <v>3051</v>
      </c>
      <c r="D415" s="1" t="s">
        <v>141</v>
      </c>
      <c r="E415" s="1" t="s">
        <v>141</v>
      </c>
      <c r="F415" s="1" t="s">
        <v>3052</v>
      </c>
      <c r="G415" s="1" t="s">
        <v>3053</v>
      </c>
      <c r="H415" s="1" t="s">
        <v>3054</v>
      </c>
      <c r="I415" t="b">
        <f>COUNTIF(Estadísticas!I:I,'centraldecomunicacion.es'!H415)&gt;0</f>
        <v>0</v>
      </c>
    </row>
    <row r="416" spans="1:9" hidden="1">
      <c r="A416" s="1" t="s">
        <v>3055</v>
      </c>
      <c r="B416" s="1" t="s">
        <v>10</v>
      </c>
      <c r="C416" s="1" t="s">
        <v>3056</v>
      </c>
      <c r="D416" s="1" t="s">
        <v>3057</v>
      </c>
      <c r="E416" s="1" t="s">
        <v>141</v>
      </c>
      <c r="F416" s="1" t="s">
        <v>30</v>
      </c>
      <c r="G416" s="1" t="s">
        <v>30</v>
      </c>
      <c r="H416" s="1" t="s">
        <v>1762</v>
      </c>
      <c r="I416" t="b">
        <f>COUNTIF(Estadísticas!I:I,'centraldecomunicacion.es'!H416)&gt;0</f>
        <v>0</v>
      </c>
    </row>
    <row r="417" spans="1:9" hidden="1">
      <c r="A417" s="1" t="s">
        <v>3058</v>
      </c>
      <c r="B417" s="1" t="s">
        <v>18</v>
      </c>
      <c r="C417" s="1" t="s">
        <v>3059</v>
      </c>
      <c r="D417" s="1" t="s">
        <v>3026</v>
      </c>
      <c r="E417" s="1" t="s">
        <v>141</v>
      </c>
      <c r="F417" s="1" t="s">
        <v>30</v>
      </c>
      <c r="G417" s="1" t="s">
        <v>3060</v>
      </c>
      <c r="H417" s="1" t="s">
        <v>1762</v>
      </c>
      <c r="I417" t="b">
        <f>COUNTIF(Estadísticas!I:I,'centraldecomunicacion.es'!H417)&gt;0</f>
        <v>0</v>
      </c>
    </row>
    <row r="418" spans="1:9" hidden="1">
      <c r="A418" s="1" t="s">
        <v>3061</v>
      </c>
      <c r="B418" s="1" t="s">
        <v>10</v>
      </c>
      <c r="C418" s="1" t="s">
        <v>30</v>
      </c>
      <c r="D418" s="1" t="s">
        <v>146</v>
      </c>
      <c r="E418" s="1" t="s">
        <v>30</v>
      </c>
      <c r="F418" s="1" t="s">
        <v>30</v>
      </c>
      <c r="G418" s="1" t="s">
        <v>3062</v>
      </c>
      <c r="H418" s="1" t="s">
        <v>1762</v>
      </c>
      <c r="I418" t="b">
        <f>COUNTIF(Estadísticas!I:I,'centraldecomunicacion.es'!H418)&gt;0</f>
        <v>0</v>
      </c>
    </row>
    <row r="419" spans="1:9" hidden="1">
      <c r="A419" s="1" t="s">
        <v>3063</v>
      </c>
      <c r="B419" s="1" t="s">
        <v>10</v>
      </c>
      <c r="C419" s="1" t="s">
        <v>3064</v>
      </c>
      <c r="D419" s="1" t="s">
        <v>3005</v>
      </c>
      <c r="E419" s="1" t="s">
        <v>141</v>
      </c>
      <c r="F419" s="1" t="s">
        <v>30</v>
      </c>
      <c r="G419" s="1" t="s">
        <v>30</v>
      </c>
      <c r="H419" s="1" t="s">
        <v>1762</v>
      </c>
      <c r="I419" t="b">
        <f>COUNTIF(Estadísticas!I:I,'centraldecomunicacion.es'!H419)&gt;0</f>
        <v>0</v>
      </c>
    </row>
    <row r="420" spans="1:9" hidden="1">
      <c r="A420" s="1" t="s">
        <v>3065</v>
      </c>
      <c r="B420" s="1" t="s">
        <v>18</v>
      </c>
      <c r="C420" s="1" t="s">
        <v>3066</v>
      </c>
      <c r="D420" s="1" t="s">
        <v>3026</v>
      </c>
      <c r="E420" s="1" t="s">
        <v>141</v>
      </c>
      <c r="F420" s="1" t="s">
        <v>3067</v>
      </c>
      <c r="G420" s="1" t="s">
        <v>3068</v>
      </c>
      <c r="H420" s="1" t="s">
        <v>3069</v>
      </c>
      <c r="I420" t="b">
        <f>COUNTIF(Estadísticas!I:I,'centraldecomunicacion.es'!H420)&gt;0</f>
        <v>0</v>
      </c>
    </row>
    <row r="421" spans="1:9" hidden="1">
      <c r="A421" s="1" t="s">
        <v>3003</v>
      </c>
      <c r="B421" s="1" t="s">
        <v>10</v>
      </c>
      <c r="C421" s="1" t="s">
        <v>3070</v>
      </c>
      <c r="D421" s="1" t="s">
        <v>3022</v>
      </c>
      <c r="E421" s="1" t="s">
        <v>141</v>
      </c>
      <c r="F421" s="1" t="s">
        <v>30</v>
      </c>
      <c r="G421" s="1" t="s">
        <v>30</v>
      </c>
      <c r="H421" s="1" t="s">
        <v>1762</v>
      </c>
      <c r="I421" t="b">
        <f>COUNTIF(Estadísticas!I:I,'centraldecomunicacion.es'!H421)&gt;0</f>
        <v>0</v>
      </c>
    </row>
    <row r="422" spans="1:9" hidden="1">
      <c r="A422" s="1" t="s">
        <v>3071</v>
      </c>
      <c r="B422" s="1" t="s">
        <v>10</v>
      </c>
      <c r="C422" s="1" t="s">
        <v>3072</v>
      </c>
      <c r="D422" s="1" t="s">
        <v>3033</v>
      </c>
      <c r="E422" s="1" t="s">
        <v>141</v>
      </c>
      <c r="F422" s="1" t="s">
        <v>1984</v>
      </c>
      <c r="G422" s="1" t="s">
        <v>2073</v>
      </c>
      <c r="H422" s="1" t="s">
        <v>1762</v>
      </c>
      <c r="I422" t="b">
        <f>COUNTIF(Estadísticas!I:I,'centraldecomunicacion.es'!H422)&gt;0</f>
        <v>0</v>
      </c>
    </row>
    <row r="423" spans="1:9" hidden="1">
      <c r="A423" s="1" t="s">
        <v>3073</v>
      </c>
      <c r="B423" s="1" t="s">
        <v>10</v>
      </c>
      <c r="C423" s="1" t="s">
        <v>3074</v>
      </c>
      <c r="D423" s="1" t="s">
        <v>146</v>
      </c>
      <c r="E423" s="1" t="s">
        <v>141</v>
      </c>
      <c r="F423" s="1" t="s">
        <v>30</v>
      </c>
      <c r="G423" s="1" t="s">
        <v>30</v>
      </c>
      <c r="H423" s="1" t="s">
        <v>1762</v>
      </c>
      <c r="I423" t="b">
        <f>COUNTIF(Estadísticas!I:I,'centraldecomunicacion.es'!H423)&gt;0</f>
        <v>0</v>
      </c>
    </row>
    <row r="424" spans="1:9" hidden="1">
      <c r="A424" s="1" t="s">
        <v>3075</v>
      </c>
      <c r="B424" s="1" t="s">
        <v>18</v>
      </c>
      <c r="C424" s="1" t="s">
        <v>3076</v>
      </c>
      <c r="D424" s="1" t="s">
        <v>3077</v>
      </c>
      <c r="E424" s="1" t="s">
        <v>141</v>
      </c>
      <c r="F424" s="1" t="s">
        <v>1830</v>
      </c>
      <c r="G424" s="1" t="s">
        <v>3078</v>
      </c>
      <c r="H424" s="1" t="s">
        <v>1762</v>
      </c>
      <c r="I424" t="b">
        <f>COUNTIF(Estadísticas!I:I,'centraldecomunicacion.es'!H424)&gt;0</f>
        <v>0</v>
      </c>
    </row>
    <row r="425" spans="1:9" hidden="1">
      <c r="A425" s="1" t="s">
        <v>3079</v>
      </c>
      <c r="B425" s="1" t="s">
        <v>10</v>
      </c>
      <c r="C425" s="1" t="s">
        <v>3080</v>
      </c>
      <c r="D425" s="1" t="s">
        <v>3081</v>
      </c>
      <c r="E425" s="1" t="s">
        <v>141</v>
      </c>
      <c r="F425" s="1" t="s">
        <v>30</v>
      </c>
      <c r="G425" s="1" t="s">
        <v>3082</v>
      </c>
      <c r="H425" s="1" t="s">
        <v>1762</v>
      </c>
      <c r="I425" t="b">
        <f>COUNTIF(Estadísticas!I:I,'centraldecomunicacion.es'!H425)&gt;0</f>
        <v>0</v>
      </c>
    </row>
    <row r="426" spans="1:9" hidden="1">
      <c r="A426" s="1" t="s">
        <v>3083</v>
      </c>
      <c r="B426" s="1" t="s">
        <v>10</v>
      </c>
      <c r="C426" s="1" t="s">
        <v>3084</v>
      </c>
      <c r="D426" s="1" t="s">
        <v>3085</v>
      </c>
      <c r="E426" s="1" t="s">
        <v>141</v>
      </c>
      <c r="F426" s="1" t="s">
        <v>30</v>
      </c>
      <c r="G426" s="1" t="s">
        <v>30</v>
      </c>
      <c r="H426" s="1" t="s">
        <v>1762</v>
      </c>
      <c r="I426" t="b">
        <f>COUNTIF(Estadísticas!I:I,'centraldecomunicacion.es'!H426)&gt;0</f>
        <v>0</v>
      </c>
    </row>
    <row r="427" spans="1:9" hidden="1">
      <c r="A427" s="1" t="s">
        <v>3086</v>
      </c>
      <c r="B427" s="1" t="s">
        <v>10</v>
      </c>
      <c r="C427" s="1" t="s">
        <v>3087</v>
      </c>
      <c r="D427" s="1" t="s">
        <v>3088</v>
      </c>
      <c r="E427" s="1" t="s">
        <v>141</v>
      </c>
      <c r="F427" s="1" t="s">
        <v>30</v>
      </c>
      <c r="G427" s="1" t="s">
        <v>30</v>
      </c>
      <c r="H427" s="1" t="s">
        <v>1762</v>
      </c>
      <c r="I427" t="b">
        <f>COUNTIF(Estadísticas!I:I,'centraldecomunicacion.es'!H427)&gt;0</f>
        <v>0</v>
      </c>
    </row>
    <row r="428" spans="1:9" hidden="1">
      <c r="A428" s="1" t="s">
        <v>3089</v>
      </c>
      <c r="B428" s="1" t="s">
        <v>10</v>
      </c>
      <c r="C428" s="1" t="s">
        <v>3090</v>
      </c>
      <c r="D428" s="1" t="s">
        <v>3091</v>
      </c>
      <c r="E428" s="1" t="s">
        <v>141</v>
      </c>
      <c r="F428" s="1" t="s">
        <v>30</v>
      </c>
      <c r="G428" s="1" t="s">
        <v>3092</v>
      </c>
      <c r="H428" s="1" t="s">
        <v>1762</v>
      </c>
      <c r="I428" t="b">
        <f>COUNTIF(Estadísticas!I:I,'centraldecomunicacion.es'!H428)&gt;0</f>
        <v>0</v>
      </c>
    </row>
    <row r="429" spans="1:9" hidden="1">
      <c r="A429" s="1" t="s">
        <v>3093</v>
      </c>
      <c r="B429" s="1" t="s">
        <v>10</v>
      </c>
      <c r="C429" s="1" t="s">
        <v>3094</v>
      </c>
      <c r="D429" s="1" t="s">
        <v>3081</v>
      </c>
      <c r="E429" s="1" t="s">
        <v>141</v>
      </c>
      <c r="F429" s="1" t="s">
        <v>3013</v>
      </c>
      <c r="G429" s="1" t="s">
        <v>3095</v>
      </c>
      <c r="H429" s="1" t="s">
        <v>1762</v>
      </c>
      <c r="I429" t="b">
        <f>COUNTIF(Estadísticas!I:I,'centraldecomunicacion.es'!H429)&gt;0</f>
        <v>0</v>
      </c>
    </row>
    <row r="430" spans="1:9" hidden="1">
      <c r="A430" s="1" t="s">
        <v>3096</v>
      </c>
      <c r="B430" s="1" t="s">
        <v>10</v>
      </c>
      <c r="C430" s="1" t="s">
        <v>3097</v>
      </c>
      <c r="D430" s="1" t="s">
        <v>3098</v>
      </c>
      <c r="E430" s="1" t="s">
        <v>141</v>
      </c>
      <c r="F430" s="1" t="s">
        <v>30</v>
      </c>
      <c r="G430" s="1" t="s">
        <v>3099</v>
      </c>
      <c r="H430" s="1" t="s">
        <v>1762</v>
      </c>
      <c r="I430" t="b">
        <f>COUNTIF(Estadísticas!I:I,'centraldecomunicacion.es'!H430)&gt;0</f>
        <v>0</v>
      </c>
    </row>
    <row r="431" spans="1:9" hidden="1">
      <c r="A431" s="1" t="s">
        <v>3100</v>
      </c>
      <c r="B431" s="1" t="s">
        <v>10</v>
      </c>
      <c r="C431" s="1" t="s">
        <v>3101</v>
      </c>
      <c r="D431" s="1" t="s">
        <v>3026</v>
      </c>
      <c r="E431" s="1" t="s">
        <v>141</v>
      </c>
      <c r="F431" s="1" t="s">
        <v>30</v>
      </c>
      <c r="G431" s="1" t="s">
        <v>3102</v>
      </c>
      <c r="H431" s="1" t="s">
        <v>1762</v>
      </c>
      <c r="I431" t="b">
        <f>COUNTIF(Estadísticas!I:I,'centraldecomunicacion.es'!H431)&gt;0</f>
        <v>0</v>
      </c>
    </row>
    <row r="432" spans="1:9" hidden="1">
      <c r="A432" s="1" t="s">
        <v>3103</v>
      </c>
      <c r="B432" s="1" t="s">
        <v>18</v>
      </c>
      <c r="C432" s="1" t="s">
        <v>3104</v>
      </c>
      <c r="D432" s="1" t="s">
        <v>3105</v>
      </c>
      <c r="E432" s="1" t="s">
        <v>141</v>
      </c>
      <c r="F432" s="1" t="s">
        <v>30</v>
      </c>
      <c r="G432" s="1" t="s">
        <v>3106</v>
      </c>
      <c r="H432" s="1" t="s">
        <v>1762</v>
      </c>
      <c r="I432" t="b">
        <f>COUNTIF(Estadísticas!I:I,'centraldecomunicacion.es'!H432)&gt;0</f>
        <v>0</v>
      </c>
    </row>
    <row r="433" spans="1:9">
      <c r="A433" s="1" t="s">
        <v>150</v>
      </c>
      <c r="B433" s="1" t="s">
        <v>10</v>
      </c>
      <c r="C433" s="1" t="s">
        <v>151</v>
      </c>
      <c r="D433" s="1" t="s">
        <v>152</v>
      </c>
      <c r="E433" s="1" t="s">
        <v>141</v>
      </c>
      <c r="F433" s="1" t="s">
        <v>153</v>
      </c>
      <c r="G433" s="1" t="s">
        <v>154</v>
      </c>
      <c r="H433" s="1" t="s">
        <v>155</v>
      </c>
      <c r="I433" t="b">
        <f>COUNTIF(Estadísticas!I:I,'centraldecomunicacion.es'!H433)&gt;0</f>
        <v>1</v>
      </c>
    </row>
    <row r="434" spans="1:9" hidden="1">
      <c r="A434" s="1" t="s">
        <v>3107</v>
      </c>
      <c r="B434" s="1" t="s">
        <v>10</v>
      </c>
      <c r="C434" s="1" t="s">
        <v>3108</v>
      </c>
      <c r="D434" s="1" t="s">
        <v>3026</v>
      </c>
      <c r="E434" s="1" t="s">
        <v>141</v>
      </c>
      <c r="F434" s="1" t="s">
        <v>1984</v>
      </c>
      <c r="G434" s="1" t="s">
        <v>3109</v>
      </c>
      <c r="H434" s="1" t="s">
        <v>1762</v>
      </c>
      <c r="I434" t="b">
        <f>COUNTIF(Estadísticas!I:I,'centraldecomunicacion.es'!H434)&gt;0</f>
        <v>0</v>
      </c>
    </row>
    <row r="435" spans="1:9">
      <c r="A435" s="1" t="s">
        <v>156</v>
      </c>
      <c r="B435" s="1" t="s">
        <v>10</v>
      </c>
      <c r="C435" s="1" t="s">
        <v>157</v>
      </c>
      <c r="D435" s="1" t="s">
        <v>158</v>
      </c>
      <c r="E435" s="1" t="s">
        <v>141</v>
      </c>
      <c r="F435" s="1" t="s">
        <v>159</v>
      </c>
      <c r="G435" s="1" t="s">
        <v>160</v>
      </c>
      <c r="H435" s="1" t="s">
        <v>161</v>
      </c>
      <c r="I435" t="b">
        <f>COUNTIF(Estadísticas!I:I,'centraldecomunicacion.es'!H435)&gt;0</f>
        <v>1</v>
      </c>
    </row>
    <row r="436" spans="1:9" hidden="1">
      <c r="A436" s="1" t="s">
        <v>3110</v>
      </c>
      <c r="B436" s="1" t="s">
        <v>10</v>
      </c>
      <c r="C436" s="1" t="s">
        <v>3111</v>
      </c>
      <c r="D436" s="1" t="s">
        <v>3098</v>
      </c>
      <c r="E436" s="1" t="s">
        <v>141</v>
      </c>
      <c r="F436" s="1" t="s">
        <v>30</v>
      </c>
      <c r="G436" s="1" t="s">
        <v>3112</v>
      </c>
      <c r="H436" s="1" t="s">
        <v>1762</v>
      </c>
      <c r="I436" t="b">
        <f>COUNTIF(Estadísticas!I:I,'centraldecomunicacion.es'!H436)&gt;0</f>
        <v>0</v>
      </c>
    </row>
    <row r="437" spans="1:9" hidden="1">
      <c r="A437" s="1" t="s">
        <v>3113</v>
      </c>
      <c r="B437" s="1" t="s">
        <v>10</v>
      </c>
      <c r="C437" s="1" t="s">
        <v>3114</v>
      </c>
      <c r="D437" s="1" t="s">
        <v>3088</v>
      </c>
      <c r="E437" s="1" t="s">
        <v>141</v>
      </c>
      <c r="F437" s="1" t="s">
        <v>3115</v>
      </c>
      <c r="G437" s="1" t="s">
        <v>3116</v>
      </c>
      <c r="H437" s="1" t="s">
        <v>1762</v>
      </c>
      <c r="I437" t="b">
        <f>COUNTIF(Estadísticas!I:I,'centraldecomunicacion.es'!H437)&gt;0</f>
        <v>0</v>
      </c>
    </row>
    <row r="438" spans="1:9">
      <c r="A438" s="1" t="s">
        <v>162</v>
      </c>
      <c r="B438" s="1" t="s">
        <v>10</v>
      </c>
      <c r="C438" s="1" t="s">
        <v>163</v>
      </c>
      <c r="D438" s="1" t="s">
        <v>164</v>
      </c>
      <c r="E438" s="1" t="s">
        <v>141</v>
      </c>
      <c r="F438" s="1" t="s">
        <v>165</v>
      </c>
      <c r="G438" s="1" t="s">
        <v>166</v>
      </c>
      <c r="H438" s="1" t="s">
        <v>167</v>
      </c>
      <c r="I438" t="b">
        <f>COUNTIF(Estadísticas!I:I,'centraldecomunicacion.es'!H438)&gt;0</f>
        <v>1</v>
      </c>
    </row>
    <row r="439" spans="1:9" hidden="1">
      <c r="A439" s="1" t="s">
        <v>3117</v>
      </c>
      <c r="B439" s="1" t="s">
        <v>10</v>
      </c>
      <c r="C439" s="1" t="s">
        <v>3118</v>
      </c>
      <c r="D439" s="1" t="s">
        <v>164</v>
      </c>
      <c r="E439" s="1" t="s">
        <v>141</v>
      </c>
      <c r="F439" s="1" t="s">
        <v>30</v>
      </c>
      <c r="G439" s="1" t="s">
        <v>3009</v>
      </c>
      <c r="H439" s="1" t="s">
        <v>1762</v>
      </c>
      <c r="I439" t="b">
        <f>COUNTIF(Estadísticas!I:I,'centraldecomunicacion.es'!H439)&gt;0</f>
        <v>0</v>
      </c>
    </row>
    <row r="440" spans="1:9" hidden="1">
      <c r="A440" s="1" t="s">
        <v>3119</v>
      </c>
      <c r="B440" s="1" t="s">
        <v>10</v>
      </c>
      <c r="C440" s="1" t="s">
        <v>3120</v>
      </c>
      <c r="D440" s="1" t="s">
        <v>164</v>
      </c>
      <c r="E440" s="1" t="s">
        <v>141</v>
      </c>
      <c r="F440" s="1" t="s">
        <v>30</v>
      </c>
      <c r="G440" s="1" t="s">
        <v>3121</v>
      </c>
      <c r="H440" s="1" t="s">
        <v>1762</v>
      </c>
      <c r="I440" t="b">
        <f>COUNTIF(Estadísticas!I:I,'centraldecomunicacion.es'!H440)&gt;0</f>
        <v>0</v>
      </c>
    </row>
    <row r="441" spans="1:9" hidden="1">
      <c r="A441" s="1" t="s">
        <v>3122</v>
      </c>
      <c r="B441" s="1" t="s">
        <v>10</v>
      </c>
      <c r="C441" s="1" t="s">
        <v>3123</v>
      </c>
      <c r="D441" s="1" t="s">
        <v>3088</v>
      </c>
      <c r="E441" s="1" t="s">
        <v>141</v>
      </c>
      <c r="F441" s="1" t="s">
        <v>30</v>
      </c>
      <c r="G441" s="1" t="s">
        <v>30</v>
      </c>
      <c r="H441" s="1" t="s">
        <v>1762</v>
      </c>
      <c r="I441" t="b">
        <f>COUNTIF(Estadísticas!I:I,'centraldecomunicacion.es'!H441)&gt;0</f>
        <v>0</v>
      </c>
    </row>
    <row r="442" spans="1:9" hidden="1">
      <c r="A442" s="1" t="s">
        <v>3124</v>
      </c>
      <c r="B442" s="1" t="s">
        <v>10</v>
      </c>
      <c r="C442" s="1" t="s">
        <v>3125</v>
      </c>
      <c r="D442" s="1" t="s">
        <v>3033</v>
      </c>
      <c r="E442" s="1" t="s">
        <v>141</v>
      </c>
      <c r="F442" s="1" t="s">
        <v>30</v>
      </c>
      <c r="G442" s="1" t="s">
        <v>30</v>
      </c>
      <c r="H442" s="1" t="s">
        <v>1762</v>
      </c>
      <c r="I442" t="b">
        <f>COUNTIF(Estadísticas!I:I,'centraldecomunicacion.es'!H442)&gt;0</f>
        <v>0</v>
      </c>
    </row>
    <row r="443" spans="1:9" hidden="1">
      <c r="A443" s="1" t="s">
        <v>3126</v>
      </c>
      <c r="B443" s="1" t="s">
        <v>10</v>
      </c>
      <c r="C443" s="1" t="s">
        <v>3127</v>
      </c>
      <c r="D443" s="1" t="s">
        <v>3128</v>
      </c>
      <c r="E443" s="1" t="s">
        <v>141</v>
      </c>
      <c r="F443" s="1" t="s">
        <v>30</v>
      </c>
      <c r="G443" s="1" t="s">
        <v>3129</v>
      </c>
      <c r="H443" s="1" t="s">
        <v>1762</v>
      </c>
      <c r="I443" t="b">
        <f>COUNTIF(Estadísticas!I:I,'centraldecomunicacion.es'!H443)&gt;0</f>
        <v>0</v>
      </c>
    </row>
    <row r="444" spans="1:9" hidden="1">
      <c r="A444" s="1" t="s">
        <v>3130</v>
      </c>
      <c r="B444" s="1" t="s">
        <v>10</v>
      </c>
      <c r="C444" s="1" t="s">
        <v>3131</v>
      </c>
      <c r="D444" s="1" t="s">
        <v>164</v>
      </c>
      <c r="E444" s="1" t="s">
        <v>141</v>
      </c>
      <c r="F444" s="1" t="s">
        <v>30</v>
      </c>
      <c r="G444" s="1" t="s">
        <v>30</v>
      </c>
      <c r="H444" s="1" t="s">
        <v>1762</v>
      </c>
      <c r="I444" t="b">
        <f>COUNTIF(Estadísticas!I:I,'centraldecomunicacion.es'!H444)&gt;0</f>
        <v>0</v>
      </c>
    </row>
    <row r="445" spans="1:9" hidden="1">
      <c r="A445" s="1" t="s">
        <v>3132</v>
      </c>
      <c r="B445" s="1" t="s">
        <v>10</v>
      </c>
      <c r="C445" s="1" t="s">
        <v>3133</v>
      </c>
      <c r="D445" s="1" t="s">
        <v>3134</v>
      </c>
      <c r="E445" s="1" t="s">
        <v>141</v>
      </c>
      <c r="F445" s="1" t="s">
        <v>30</v>
      </c>
      <c r="G445" s="1" t="s">
        <v>30</v>
      </c>
      <c r="H445" s="1" t="s">
        <v>1762</v>
      </c>
      <c r="I445" t="b">
        <f>COUNTIF(Estadísticas!I:I,'centraldecomunicacion.es'!H445)&gt;0</f>
        <v>0</v>
      </c>
    </row>
    <row r="446" spans="1:9" hidden="1">
      <c r="A446" s="1" t="s">
        <v>3135</v>
      </c>
      <c r="B446" s="1" t="s">
        <v>10</v>
      </c>
      <c r="C446" s="1" t="s">
        <v>3136</v>
      </c>
      <c r="D446" s="1" t="s">
        <v>164</v>
      </c>
      <c r="E446" s="1" t="s">
        <v>141</v>
      </c>
      <c r="F446" s="1" t="s">
        <v>30</v>
      </c>
      <c r="G446" s="1" t="s">
        <v>3137</v>
      </c>
      <c r="H446" s="1" t="s">
        <v>1762</v>
      </c>
      <c r="I446" t="b">
        <f>COUNTIF(Estadísticas!I:I,'centraldecomunicacion.es'!H446)&gt;0</f>
        <v>0</v>
      </c>
    </row>
    <row r="447" spans="1:9" hidden="1">
      <c r="A447" s="1" t="s">
        <v>3138</v>
      </c>
      <c r="B447" s="1" t="s">
        <v>18</v>
      </c>
      <c r="C447" s="1" t="s">
        <v>3139</v>
      </c>
      <c r="D447" s="1" t="s">
        <v>229</v>
      </c>
      <c r="E447" s="1" t="s">
        <v>229</v>
      </c>
      <c r="F447" s="1" t="s">
        <v>3140</v>
      </c>
      <c r="G447" s="1" t="s">
        <v>3141</v>
      </c>
      <c r="H447" s="1" t="s">
        <v>1762</v>
      </c>
      <c r="I447" t="b">
        <f>COUNTIF(Estadísticas!I:I,'centraldecomunicacion.es'!H447)&gt;0</f>
        <v>0</v>
      </c>
    </row>
    <row r="448" spans="1:9" hidden="1">
      <c r="A448" s="1" t="s">
        <v>3142</v>
      </c>
      <c r="B448" s="1" t="s">
        <v>18</v>
      </c>
      <c r="C448" s="1" t="s">
        <v>3143</v>
      </c>
      <c r="D448" s="1" t="s">
        <v>164</v>
      </c>
      <c r="E448" s="1" t="s">
        <v>141</v>
      </c>
      <c r="F448" s="1" t="s">
        <v>30</v>
      </c>
      <c r="G448" s="1" t="s">
        <v>3144</v>
      </c>
      <c r="H448" s="1" t="s">
        <v>1762</v>
      </c>
      <c r="I448" t="b">
        <f>COUNTIF(Estadísticas!I:I,'centraldecomunicacion.es'!H448)&gt;0</f>
        <v>0</v>
      </c>
    </row>
    <row r="449" spans="1:9" hidden="1">
      <c r="A449" s="1" t="s">
        <v>3145</v>
      </c>
      <c r="B449" s="1" t="s">
        <v>18</v>
      </c>
      <c r="C449" s="1" t="s">
        <v>3146</v>
      </c>
      <c r="D449" s="1" t="s">
        <v>3147</v>
      </c>
      <c r="E449" s="1" t="s">
        <v>229</v>
      </c>
      <c r="F449" s="1" t="s">
        <v>3148</v>
      </c>
      <c r="G449" s="1" t="s">
        <v>3149</v>
      </c>
      <c r="H449" s="1" t="s">
        <v>3150</v>
      </c>
      <c r="I449" t="b">
        <f>COUNTIF(Estadísticas!I:I,'centraldecomunicacion.es'!H449)&gt;0</f>
        <v>0</v>
      </c>
    </row>
    <row r="450" spans="1:9" hidden="1">
      <c r="A450" s="1" t="s">
        <v>3151</v>
      </c>
      <c r="B450" s="1" t="s">
        <v>10</v>
      </c>
      <c r="C450" s="1" t="s">
        <v>3152</v>
      </c>
      <c r="D450" s="1" t="s">
        <v>3153</v>
      </c>
      <c r="E450" s="1" t="s">
        <v>229</v>
      </c>
      <c r="F450" s="1" t="s">
        <v>30</v>
      </c>
      <c r="G450" s="1" t="s">
        <v>3154</v>
      </c>
      <c r="H450" s="1" t="s">
        <v>1762</v>
      </c>
      <c r="I450" t="b">
        <f>COUNTIF(Estadísticas!I:I,'centraldecomunicacion.es'!H450)&gt;0</f>
        <v>0</v>
      </c>
    </row>
    <row r="451" spans="1:9" hidden="1">
      <c r="A451" s="1" t="s">
        <v>3155</v>
      </c>
      <c r="B451" s="1" t="s">
        <v>10</v>
      </c>
      <c r="C451" s="1" t="s">
        <v>3156</v>
      </c>
      <c r="D451" s="1" t="s">
        <v>171</v>
      </c>
      <c r="E451" s="1" t="s">
        <v>171</v>
      </c>
      <c r="F451" s="1" t="s">
        <v>30</v>
      </c>
      <c r="G451" s="1" t="s">
        <v>3157</v>
      </c>
      <c r="H451" s="1" t="s">
        <v>1762</v>
      </c>
      <c r="I451" t="b">
        <f>COUNTIF(Estadísticas!I:I,'centraldecomunicacion.es'!H451)&gt;0</f>
        <v>0</v>
      </c>
    </row>
    <row r="452" spans="1:9" hidden="1">
      <c r="A452" s="1" t="s">
        <v>3158</v>
      </c>
      <c r="B452" s="1" t="s">
        <v>10</v>
      </c>
      <c r="C452" s="1" t="s">
        <v>3159</v>
      </c>
      <c r="D452" s="1" t="s">
        <v>171</v>
      </c>
      <c r="E452" s="1" t="s">
        <v>171</v>
      </c>
      <c r="F452" s="1" t="s">
        <v>30</v>
      </c>
      <c r="G452" s="1" t="s">
        <v>3160</v>
      </c>
      <c r="H452" s="1" t="s">
        <v>1762</v>
      </c>
      <c r="I452" t="b">
        <f>COUNTIF(Estadísticas!I:I,'centraldecomunicacion.es'!H452)&gt;0</f>
        <v>0</v>
      </c>
    </row>
    <row r="453" spans="1:9" hidden="1">
      <c r="A453" s="1" t="s">
        <v>3161</v>
      </c>
      <c r="B453" s="1" t="s">
        <v>10</v>
      </c>
      <c r="C453" s="1" t="s">
        <v>3162</v>
      </c>
      <c r="D453" s="1" t="s">
        <v>171</v>
      </c>
      <c r="E453" s="1" t="s">
        <v>171</v>
      </c>
      <c r="F453" s="1" t="s">
        <v>1830</v>
      </c>
      <c r="G453" s="1" t="s">
        <v>3163</v>
      </c>
      <c r="H453" s="1" t="s">
        <v>1762</v>
      </c>
      <c r="I453" t="b">
        <f>COUNTIF(Estadísticas!I:I,'centraldecomunicacion.es'!H453)&gt;0</f>
        <v>0</v>
      </c>
    </row>
    <row r="454" spans="1:9" hidden="1">
      <c r="A454" s="1" t="s">
        <v>3164</v>
      </c>
      <c r="B454" s="1" t="s">
        <v>18</v>
      </c>
      <c r="C454" s="1" t="s">
        <v>3165</v>
      </c>
      <c r="D454" s="1" t="s">
        <v>171</v>
      </c>
      <c r="E454" s="1" t="s">
        <v>171</v>
      </c>
      <c r="F454" s="1" t="s">
        <v>3166</v>
      </c>
      <c r="G454" s="1" t="s">
        <v>3167</v>
      </c>
      <c r="H454" s="1" t="s">
        <v>3168</v>
      </c>
      <c r="I454" t="b">
        <f>COUNTIF(Estadísticas!I:I,'centraldecomunicacion.es'!H454)&gt;0</f>
        <v>0</v>
      </c>
    </row>
    <row r="455" spans="1:9" hidden="1">
      <c r="A455" s="1" t="s">
        <v>3169</v>
      </c>
      <c r="B455" s="1" t="s">
        <v>10</v>
      </c>
      <c r="C455" s="1" t="s">
        <v>3170</v>
      </c>
      <c r="D455" s="1" t="s">
        <v>171</v>
      </c>
      <c r="E455" s="1" t="s">
        <v>171</v>
      </c>
      <c r="F455" s="1" t="s">
        <v>30</v>
      </c>
      <c r="G455" s="1" t="s">
        <v>3171</v>
      </c>
      <c r="H455" s="1" t="s">
        <v>1762</v>
      </c>
      <c r="I455" t="b">
        <f>COUNTIF(Estadísticas!I:I,'centraldecomunicacion.es'!H455)&gt;0</f>
        <v>0</v>
      </c>
    </row>
    <row r="456" spans="1:9" hidden="1">
      <c r="A456" s="1" t="s">
        <v>3172</v>
      </c>
      <c r="B456" s="1" t="s">
        <v>18</v>
      </c>
      <c r="C456" s="1" t="s">
        <v>3173</v>
      </c>
      <c r="D456" s="1" t="s">
        <v>171</v>
      </c>
      <c r="E456" s="1" t="s">
        <v>171</v>
      </c>
      <c r="F456" s="1" t="s">
        <v>30</v>
      </c>
      <c r="G456" s="1" t="s">
        <v>3174</v>
      </c>
      <c r="H456" s="1" t="s">
        <v>1762</v>
      </c>
      <c r="I456" t="b">
        <f>COUNTIF(Estadísticas!I:I,'centraldecomunicacion.es'!H456)&gt;0</f>
        <v>0</v>
      </c>
    </row>
    <row r="457" spans="1:9" hidden="1">
      <c r="A457" s="1" t="s">
        <v>3175</v>
      </c>
      <c r="B457" s="1" t="s">
        <v>10</v>
      </c>
      <c r="C457" s="1" t="s">
        <v>3176</v>
      </c>
      <c r="D457" s="1" t="s">
        <v>171</v>
      </c>
      <c r="E457" s="1" t="s">
        <v>171</v>
      </c>
      <c r="F457" s="1" t="s">
        <v>1857</v>
      </c>
      <c r="G457" s="1" t="s">
        <v>1858</v>
      </c>
      <c r="H457" s="1" t="s">
        <v>1859</v>
      </c>
      <c r="I457" t="b">
        <f>COUNTIF(Estadísticas!I:I,'centraldecomunicacion.es'!H457)&gt;0</f>
        <v>0</v>
      </c>
    </row>
    <row r="458" spans="1:9" hidden="1">
      <c r="A458" s="1" t="s">
        <v>3177</v>
      </c>
      <c r="B458" s="1" t="s">
        <v>10</v>
      </c>
      <c r="C458" s="1" t="s">
        <v>3178</v>
      </c>
      <c r="D458" s="1" t="s">
        <v>171</v>
      </c>
      <c r="E458" s="1" t="s">
        <v>171</v>
      </c>
      <c r="F458" s="1" t="s">
        <v>3179</v>
      </c>
      <c r="G458" s="1" t="s">
        <v>3180</v>
      </c>
      <c r="H458" s="1" t="s">
        <v>1762</v>
      </c>
      <c r="I458" t="b">
        <f>COUNTIF(Estadísticas!I:I,'centraldecomunicacion.es'!H458)&gt;0</f>
        <v>0</v>
      </c>
    </row>
    <row r="459" spans="1:9" hidden="1">
      <c r="A459" s="1" t="s">
        <v>3181</v>
      </c>
      <c r="B459" s="1" t="s">
        <v>10</v>
      </c>
      <c r="C459" s="1" t="s">
        <v>3182</v>
      </c>
      <c r="D459" s="1" t="s">
        <v>171</v>
      </c>
      <c r="E459" s="1" t="s">
        <v>171</v>
      </c>
      <c r="F459" s="1" t="s">
        <v>30</v>
      </c>
      <c r="G459" s="1" t="s">
        <v>30</v>
      </c>
      <c r="H459" s="1" t="s">
        <v>1762</v>
      </c>
      <c r="I459" t="b">
        <f>COUNTIF(Estadísticas!I:I,'centraldecomunicacion.es'!H459)&gt;0</f>
        <v>0</v>
      </c>
    </row>
    <row r="460" spans="1:9" hidden="1">
      <c r="A460" s="1" t="s">
        <v>3183</v>
      </c>
      <c r="B460" s="1" t="s">
        <v>10</v>
      </c>
      <c r="C460" s="1" t="s">
        <v>3184</v>
      </c>
      <c r="D460" s="1" t="s">
        <v>171</v>
      </c>
      <c r="E460" s="1" t="s">
        <v>171</v>
      </c>
      <c r="F460" s="1" t="s">
        <v>30</v>
      </c>
      <c r="G460" s="1" t="s">
        <v>3185</v>
      </c>
      <c r="H460" s="1" t="s">
        <v>1762</v>
      </c>
      <c r="I460" t="b">
        <f>COUNTIF(Estadísticas!I:I,'centraldecomunicacion.es'!H460)&gt;0</f>
        <v>0</v>
      </c>
    </row>
    <row r="461" spans="1:9" hidden="1">
      <c r="A461" s="1" t="s">
        <v>3186</v>
      </c>
      <c r="B461" s="1" t="s">
        <v>10</v>
      </c>
      <c r="C461" s="1" t="s">
        <v>3187</v>
      </c>
      <c r="D461" s="1" t="s">
        <v>171</v>
      </c>
      <c r="E461" s="1" t="s">
        <v>171</v>
      </c>
      <c r="F461" s="1" t="s">
        <v>30</v>
      </c>
      <c r="G461" s="1" t="s">
        <v>3188</v>
      </c>
      <c r="H461" s="1" t="s">
        <v>1762</v>
      </c>
      <c r="I461" t="b">
        <f>COUNTIF(Estadísticas!I:I,'centraldecomunicacion.es'!H461)&gt;0</f>
        <v>0</v>
      </c>
    </row>
    <row r="462" spans="1:9" hidden="1">
      <c r="A462" s="1" t="s">
        <v>3189</v>
      </c>
      <c r="B462" s="1" t="s">
        <v>10</v>
      </c>
      <c r="C462" s="1" t="s">
        <v>3190</v>
      </c>
      <c r="D462" s="1" t="s">
        <v>171</v>
      </c>
      <c r="E462" s="1" t="s">
        <v>171</v>
      </c>
      <c r="F462" s="1" t="s">
        <v>30</v>
      </c>
      <c r="G462" s="1" t="s">
        <v>3191</v>
      </c>
      <c r="H462" s="1" t="s">
        <v>1762</v>
      </c>
      <c r="I462" t="b">
        <f>COUNTIF(Estadísticas!I:I,'centraldecomunicacion.es'!H462)&gt;0</f>
        <v>0</v>
      </c>
    </row>
    <row r="463" spans="1:9" hidden="1">
      <c r="A463" s="1" t="s">
        <v>3192</v>
      </c>
      <c r="B463" s="1" t="s">
        <v>10</v>
      </c>
      <c r="C463" s="1" t="s">
        <v>3193</v>
      </c>
      <c r="D463" s="1" t="s">
        <v>171</v>
      </c>
      <c r="E463" s="1" t="s">
        <v>171</v>
      </c>
      <c r="F463" s="1" t="s">
        <v>30</v>
      </c>
      <c r="G463" s="1" t="s">
        <v>3194</v>
      </c>
      <c r="H463" s="1" t="s">
        <v>1762</v>
      </c>
      <c r="I463" t="b">
        <f>COUNTIF(Estadísticas!I:I,'centraldecomunicacion.es'!H463)&gt;0</f>
        <v>0</v>
      </c>
    </row>
    <row r="464" spans="1:9" hidden="1">
      <c r="A464" s="1" t="s">
        <v>3195</v>
      </c>
      <c r="B464" s="1" t="s">
        <v>10</v>
      </c>
      <c r="C464" s="1" t="s">
        <v>3196</v>
      </c>
      <c r="D464" s="1" t="s">
        <v>171</v>
      </c>
      <c r="E464" s="1" t="s">
        <v>171</v>
      </c>
      <c r="F464" s="1" t="s">
        <v>3197</v>
      </c>
      <c r="G464" s="1" t="s">
        <v>3198</v>
      </c>
      <c r="H464" s="1" t="s">
        <v>3199</v>
      </c>
      <c r="I464" t="b">
        <f>COUNTIF(Estadísticas!I:I,'centraldecomunicacion.es'!H464)&gt;0</f>
        <v>0</v>
      </c>
    </row>
    <row r="465" spans="1:9" hidden="1">
      <c r="A465" s="1" t="s">
        <v>3200</v>
      </c>
      <c r="B465" s="1" t="s">
        <v>10</v>
      </c>
      <c r="C465" s="1" t="s">
        <v>3201</v>
      </c>
      <c r="D465" s="1" t="s">
        <v>171</v>
      </c>
      <c r="E465" s="1" t="s">
        <v>171</v>
      </c>
      <c r="F465" s="1" t="s">
        <v>30</v>
      </c>
      <c r="G465" s="1" t="s">
        <v>3202</v>
      </c>
      <c r="H465" s="1" t="s">
        <v>1762</v>
      </c>
      <c r="I465" t="b">
        <f>COUNTIF(Estadísticas!I:I,'centraldecomunicacion.es'!H465)&gt;0</f>
        <v>0</v>
      </c>
    </row>
    <row r="466" spans="1:9" hidden="1">
      <c r="A466" s="1" t="s">
        <v>3203</v>
      </c>
      <c r="B466" s="1" t="s">
        <v>10</v>
      </c>
      <c r="C466" s="1" t="s">
        <v>3204</v>
      </c>
      <c r="D466" s="1" t="s">
        <v>171</v>
      </c>
      <c r="E466" s="1" t="s">
        <v>171</v>
      </c>
      <c r="F466" s="1" t="s">
        <v>1984</v>
      </c>
      <c r="G466" s="1" t="s">
        <v>3205</v>
      </c>
      <c r="H466" s="1" t="s">
        <v>1762</v>
      </c>
      <c r="I466" t="b">
        <f>COUNTIF(Estadísticas!I:I,'centraldecomunicacion.es'!H466)&gt;0</f>
        <v>0</v>
      </c>
    </row>
    <row r="467" spans="1:9" hidden="1">
      <c r="A467" s="1" t="s">
        <v>3206</v>
      </c>
      <c r="B467" s="1" t="s">
        <v>18</v>
      </c>
      <c r="C467" s="1" t="s">
        <v>3207</v>
      </c>
      <c r="D467" s="1" t="s">
        <v>171</v>
      </c>
      <c r="E467" s="1" t="s">
        <v>171</v>
      </c>
      <c r="F467" s="1" t="s">
        <v>30</v>
      </c>
      <c r="G467" s="1" t="s">
        <v>3208</v>
      </c>
      <c r="H467" s="1" t="s">
        <v>1762</v>
      </c>
      <c r="I467" t="b">
        <f>COUNTIF(Estadísticas!I:I,'centraldecomunicacion.es'!H467)&gt;0</f>
        <v>0</v>
      </c>
    </row>
    <row r="468" spans="1:9" hidden="1">
      <c r="A468" s="1" t="s">
        <v>3209</v>
      </c>
      <c r="B468" s="1" t="s">
        <v>10</v>
      </c>
      <c r="C468" s="1" t="s">
        <v>3204</v>
      </c>
      <c r="D468" s="1" t="s">
        <v>171</v>
      </c>
      <c r="E468" s="1" t="s">
        <v>171</v>
      </c>
      <c r="F468" s="1" t="s">
        <v>1984</v>
      </c>
      <c r="G468" s="1" t="s">
        <v>3205</v>
      </c>
      <c r="H468" s="1" t="s">
        <v>1762</v>
      </c>
      <c r="I468" t="b">
        <f>COUNTIF(Estadísticas!I:I,'centraldecomunicacion.es'!H468)&gt;0</f>
        <v>0</v>
      </c>
    </row>
    <row r="469" spans="1:9" hidden="1">
      <c r="A469" s="1" t="s">
        <v>3210</v>
      </c>
      <c r="B469" s="1" t="s">
        <v>18</v>
      </c>
      <c r="C469" s="1" t="s">
        <v>3211</v>
      </c>
      <c r="D469" s="1" t="s">
        <v>171</v>
      </c>
      <c r="E469" s="1" t="s">
        <v>171</v>
      </c>
      <c r="F469" s="1" t="s">
        <v>30</v>
      </c>
      <c r="G469" s="1" t="s">
        <v>3212</v>
      </c>
      <c r="H469" s="1" t="s">
        <v>1762</v>
      </c>
      <c r="I469" t="b">
        <f>COUNTIF(Estadísticas!I:I,'centraldecomunicacion.es'!H469)&gt;0</f>
        <v>0</v>
      </c>
    </row>
    <row r="470" spans="1:9" hidden="1">
      <c r="A470" s="1" t="s">
        <v>3213</v>
      </c>
      <c r="B470" s="1" t="s">
        <v>18</v>
      </c>
      <c r="C470" s="1" t="s">
        <v>3214</v>
      </c>
      <c r="D470" s="1" t="s">
        <v>171</v>
      </c>
      <c r="E470" s="1" t="s">
        <v>171</v>
      </c>
      <c r="F470" s="1" t="s">
        <v>30</v>
      </c>
      <c r="G470" s="1" t="s">
        <v>3215</v>
      </c>
      <c r="H470" s="1" t="s">
        <v>1762</v>
      </c>
      <c r="I470" t="b">
        <f>COUNTIF(Estadísticas!I:I,'centraldecomunicacion.es'!H470)&gt;0</f>
        <v>0</v>
      </c>
    </row>
    <row r="471" spans="1:9" hidden="1">
      <c r="A471" s="1" t="s">
        <v>3216</v>
      </c>
      <c r="B471" s="1" t="s">
        <v>10</v>
      </c>
      <c r="C471" s="1" t="s">
        <v>3217</v>
      </c>
      <c r="D471" s="1" t="s">
        <v>171</v>
      </c>
      <c r="E471" s="1" t="s">
        <v>171</v>
      </c>
      <c r="F471" s="1" t="s">
        <v>30</v>
      </c>
      <c r="G471" s="1" t="s">
        <v>3218</v>
      </c>
      <c r="H471" s="1" t="s">
        <v>1762</v>
      </c>
      <c r="I471" t="b">
        <f>COUNTIF(Estadísticas!I:I,'centraldecomunicacion.es'!H471)&gt;0</f>
        <v>0</v>
      </c>
    </row>
    <row r="472" spans="1:9" hidden="1">
      <c r="A472" s="1" t="s">
        <v>3219</v>
      </c>
      <c r="B472" s="1" t="s">
        <v>18</v>
      </c>
      <c r="C472" s="1" t="s">
        <v>3220</v>
      </c>
      <c r="D472" s="1" t="s">
        <v>171</v>
      </c>
      <c r="E472" s="1" t="s">
        <v>171</v>
      </c>
      <c r="F472" s="1" t="s">
        <v>30</v>
      </c>
      <c r="G472" s="1" t="s">
        <v>3221</v>
      </c>
      <c r="H472" s="1" t="s">
        <v>1762</v>
      </c>
      <c r="I472" t="b">
        <f>COUNTIF(Estadísticas!I:I,'centraldecomunicacion.es'!H472)&gt;0</f>
        <v>0</v>
      </c>
    </row>
    <row r="473" spans="1:9" hidden="1">
      <c r="A473" s="1" t="s">
        <v>3222</v>
      </c>
      <c r="B473" s="1" t="s">
        <v>10</v>
      </c>
      <c r="C473" s="1" t="s">
        <v>3223</v>
      </c>
      <c r="D473" s="1" t="s">
        <v>3224</v>
      </c>
      <c r="E473" s="1" t="s">
        <v>171</v>
      </c>
      <c r="F473" s="1" t="s">
        <v>3225</v>
      </c>
      <c r="G473" s="1" t="s">
        <v>3226</v>
      </c>
      <c r="H473" s="1" t="s">
        <v>1762</v>
      </c>
      <c r="I473" t="b">
        <f>COUNTIF(Estadísticas!I:I,'centraldecomunicacion.es'!H473)&gt;0</f>
        <v>0</v>
      </c>
    </row>
    <row r="474" spans="1:9" hidden="1">
      <c r="A474" s="1" t="s">
        <v>3227</v>
      </c>
      <c r="B474" s="1" t="s">
        <v>10</v>
      </c>
      <c r="C474" s="1" t="s">
        <v>3228</v>
      </c>
      <c r="D474" s="1" t="s">
        <v>3229</v>
      </c>
      <c r="E474" s="1" t="s">
        <v>171</v>
      </c>
      <c r="F474" s="1" t="s">
        <v>30</v>
      </c>
      <c r="G474" s="1" t="s">
        <v>3230</v>
      </c>
      <c r="H474" s="1" t="s">
        <v>1762</v>
      </c>
      <c r="I474" t="b">
        <f>COUNTIF(Estadísticas!I:I,'centraldecomunicacion.es'!H474)&gt;0</f>
        <v>0</v>
      </c>
    </row>
    <row r="475" spans="1:9" hidden="1">
      <c r="A475" s="1" t="s">
        <v>3231</v>
      </c>
      <c r="B475" s="1" t="s">
        <v>10</v>
      </c>
      <c r="C475" s="1" t="s">
        <v>3232</v>
      </c>
      <c r="D475" s="1" t="s">
        <v>3233</v>
      </c>
      <c r="E475" s="1" t="s">
        <v>171</v>
      </c>
      <c r="F475" s="1" t="s">
        <v>30</v>
      </c>
      <c r="G475" s="1" t="s">
        <v>3234</v>
      </c>
      <c r="H475" s="1" t="s">
        <v>1762</v>
      </c>
      <c r="I475" t="b">
        <f>COUNTIF(Estadísticas!I:I,'centraldecomunicacion.es'!H475)&gt;0</f>
        <v>0</v>
      </c>
    </row>
    <row r="476" spans="1:9" hidden="1">
      <c r="A476" s="1" t="s">
        <v>3235</v>
      </c>
      <c r="B476" s="1" t="s">
        <v>10</v>
      </c>
      <c r="C476" s="1" t="s">
        <v>3236</v>
      </c>
      <c r="D476" s="1" t="s">
        <v>3237</v>
      </c>
      <c r="E476" s="1" t="s">
        <v>171</v>
      </c>
      <c r="F476" s="1" t="s">
        <v>3238</v>
      </c>
      <c r="G476" s="1" t="s">
        <v>3239</v>
      </c>
      <c r="H476" s="1" t="s">
        <v>1762</v>
      </c>
      <c r="I476" t="b">
        <f>COUNTIF(Estadísticas!I:I,'centraldecomunicacion.es'!H476)&gt;0</f>
        <v>0</v>
      </c>
    </row>
    <row r="477" spans="1:9" hidden="1">
      <c r="A477" s="1" t="s">
        <v>3240</v>
      </c>
      <c r="B477" s="1" t="s">
        <v>10</v>
      </c>
      <c r="C477" s="1" t="s">
        <v>3241</v>
      </c>
      <c r="D477" s="1" t="s">
        <v>3233</v>
      </c>
      <c r="E477" s="1" t="s">
        <v>171</v>
      </c>
      <c r="F477" s="1" t="s">
        <v>1984</v>
      </c>
      <c r="G477" s="1" t="s">
        <v>3242</v>
      </c>
      <c r="H477" s="1" t="s">
        <v>1762</v>
      </c>
      <c r="I477" t="b">
        <f>COUNTIF(Estadísticas!I:I,'centraldecomunicacion.es'!H477)&gt;0</f>
        <v>0</v>
      </c>
    </row>
    <row r="478" spans="1:9" hidden="1">
      <c r="A478" s="1" t="s">
        <v>3243</v>
      </c>
      <c r="B478" s="1" t="s">
        <v>10</v>
      </c>
      <c r="C478" s="1" t="s">
        <v>3244</v>
      </c>
      <c r="D478" s="1" t="s">
        <v>3245</v>
      </c>
      <c r="E478" s="1" t="s">
        <v>171</v>
      </c>
      <c r="F478" s="1" t="s">
        <v>30</v>
      </c>
      <c r="G478" s="1" t="s">
        <v>3246</v>
      </c>
      <c r="H478" s="1" t="s">
        <v>1762</v>
      </c>
      <c r="I478" t="b">
        <f>COUNTIF(Estadísticas!I:I,'centraldecomunicacion.es'!H478)&gt;0</f>
        <v>0</v>
      </c>
    </row>
    <row r="479" spans="1:9" hidden="1">
      <c r="A479" s="1" t="s">
        <v>3247</v>
      </c>
      <c r="B479" s="1" t="s">
        <v>10</v>
      </c>
      <c r="C479" s="1" t="s">
        <v>3248</v>
      </c>
      <c r="D479" s="1" t="s">
        <v>3233</v>
      </c>
      <c r="E479" s="1" t="s">
        <v>171</v>
      </c>
      <c r="F479" s="1" t="s">
        <v>30</v>
      </c>
      <c r="G479" s="1" t="s">
        <v>3249</v>
      </c>
      <c r="H479" s="1" t="s">
        <v>1762</v>
      </c>
      <c r="I479" t="b">
        <f>COUNTIF(Estadísticas!I:I,'centraldecomunicacion.es'!H479)&gt;0</f>
        <v>0</v>
      </c>
    </row>
    <row r="480" spans="1:9" hidden="1">
      <c r="A480" s="1" t="s">
        <v>3250</v>
      </c>
      <c r="B480" s="1" t="s">
        <v>10</v>
      </c>
      <c r="C480" s="1" t="s">
        <v>3251</v>
      </c>
      <c r="D480" s="1" t="s">
        <v>3252</v>
      </c>
      <c r="E480" s="1" t="s">
        <v>171</v>
      </c>
      <c r="F480" s="1" t="s">
        <v>30</v>
      </c>
      <c r="G480" s="1" t="s">
        <v>3249</v>
      </c>
      <c r="H480" s="1" t="s">
        <v>1762</v>
      </c>
      <c r="I480" t="b">
        <f>COUNTIF(Estadísticas!I:I,'centraldecomunicacion.es'!H480)&gt;0</f>
        <v>0</v>
      </c>
    </row>
    <row r="481" spans="1:9" hidden="1">
      <c r="A481" s="1" t="s">
        <v>3253</v>
      </c>
      <c r="B481" s="1" t="s">
        <v>18</v>
      </c>
      <c r="C481" s="1" t="s">
        <v>3254</v>
      </c>
      <c r="D481" s="1" t="s">
        <v>3255</v>
      </c>
      <c r="E481" s="1" t="s">
        <v>171</v>
      </c>
      <c r="F481" s="1" t="s">
        <v>3256</v>
      </c>
      <c r="G481" s="1" t="s">
        <v>3257</v>
      </c>
      <c r="H481" s="1" t="s">
        <v>1762</v>
      </c>
      <c r="I481" t="b">
        <f>COUNTIF(Estadísticas!I:I,'centraldecomunicacion.es'!H481)&gt;0</f>
        <v>0</v>
      </c>
    </row>
    <row r="482" spans="1:9" hidden="1">
      <c r="A482" s="1" t="s">
        <v>3258</v>
      </c>
      <c r="B482" s="1" t="s">
        <v>10</v>
      </c>
      <c r="C482" s="1" t="s">
        <v>3259</v>
      </c>
      <c r="D482" s="1" t="s">
        <v>3260</v>
      </c>
      <c r="E482" s="1" t="s">
        <v>171</v>
      </c>
      <c r="F482" s="1" t="s">
        <v>30</v>
      </c>
      <c r="G482" s="1" t="s">
        <v>3261</v>
      </c>
      <c r="H482" s="1" t="s">
        <v>1762</v>
      </c>
      <c r="I482" t="b">
        <f>COUNTIF(Estadísticas!I:I,'centraldecomunicacion.es'!H482)&gt;0</f>
        <v>0</v>
      </c>
    </row>
    <row r="483" spans="1:9" hidden="1">
      <c r="A483" s="1" t="s">
        <v>3262</v>
      </c>
      <c r="B483" s="1" t="s">
        <v>10</v>
      </c>
      <c r="C483" s="1" t="s">
        <v>3263</v>
      </c>
      <c r="D483" s="1" t="s">
        <v>3264</v>
      </c>
      <c r="E483" s="1" t="s">
        <v>171</v>
      </c>
      <c r="F483" s="1" t="s">
        <v>30</v>
      </c>
      <c r="G483" s="1" t="s">
        <v>30</v>
      </c>
      <c r="H483" s="1" t="s">
        <v>1762</v>
      </c>
      <c r="I483" t="b">
        <f>COUNTIF(Estadísticas!I:I,'centraldecomunicacion.es'!H483)&gt;0</f>
        <v>0</v>
      </c>
    </row>
    <row r="484" spans="1:9" hidden="1">
      <c r="A484" s="1" t="s">
        <v>3265</v>
      </c>
      <c r="B484" s="1" t="s">
        <v>10</v>
      </c>
      <c r="C484" s="1" t="s">
        <v>30</v>
      </c>
      <c r="D484" s="1" t="s">
        <v>3266</v>
      </c>
      <c r="E484" s="1" t="s">
        <v>30</v>
      </c>
      <c r="F484" s="1" t="s">
        <v>1984</v>
      </c>
      <c r="G484" s="1" t="s">
        <v>3267</v>
      </c>
      <c r="H484" s="1" t="s">
        <v>1762</v>
      </c>
      <c r="I484" t="b">
        <f>COUNTIF(Estadísticas!I:I,'centraldecomunicacion.es'!H484)&gt;0</f>
        <v>0</v>
      </c>
    </row>
    <row r="485" spans="1:9" hidden="1">
      <c r="A485" s="1" t="s">
        <v>3268</v>
      </c>
      <c r="B485" s="1" t="s">
        <v>18</v>
      </c>
      <c r="C485" s="1" t="s">
        <v>3269</v>
      </c>
      <c r="D485" s="1" t="s">
        <v>3270</v>
      </c>
      <c r="E485" s="1" t="s">
        <v>171</v>
      </c>
      <c r="F485" s="1" t="s">
        <v>30</v>
      </c>
      <c r="G485" s="1" t="s">
        <v>3271</v>
      </c>
      <c r="H485" s="1" t="s">
        <v>1762</v>
      </c>
      <c r="I485" t="b">
        <f>COUNTIF(Estadísticas!I:I,'centraldecomunicacion.es'!H485)&gt;0</f>
        <v>0</v>
      </c>
    </row>
    <row r="486" spans="1:9" hidden="1">
      <c r="A486" s="1" t="s">
        <v>3272</v>
      </c>
      <c r="B486" s="1" t="s">
        <v>10</v>
      </c>
      <c r="C486" s="1" t="s">
        <v>3273</v>
      </c>
      <c r="D486" s="1" t="s">
        <v>3255</v>
      </c>
      <c r="E486" s="1" t="s">
        <v>171</v>
      </c>
      <c r="F486" s="1" t="s">
        <v>30</v>
      </c>
      <c r="G486" s="1" t="s">
        <v>3274</v>
      </c>
      <c r="H486" s="1" t="s">
        <v>1762</v>
      </c>
      <c r="I486" t="b">
        <f>COUNTIF(Estadísticas!I:I,'centraldecomunicacion.es'!H486)&gt;0</f>
        <v>0</v>
      </c>
    </row>
    <row r="487" spans="1:9" hidden="1">
      <c r="A487" s="1" t="s">
        <v>3275</v>
      </c>
      <c r="B487" s="1" t="s">
        <v>10</v>
      </c>
      <c r="C487" s="1" t="s">
        <v>3276</v>
      </c>
      <c r="D487" s="1" t="s">
        <v>3277</v>
      </c>
      <c r="E487" s="1" t="s">
        <v>171</v>
      </c>
      <c r="F487" s="1" t="s">
        <v>1984</v>
      </c>
      <c r="G487" s="1" t="s">
        <v>3278</v>
      </c>
      <c r="H487" s="1" t="s">
        <v>1762</v>
      </c>
      <c r="I487" t="b">
        <f>COUNTIF(Estadísticas!I:I,'centraldecomunicacion.es'!H487)&gt;0</f>
        <v>0</v>
      </c>
    </row>
    <row r="488" spans="1:9" hidden="1">
      <c r="A488" s="1" t="s">
        <v>3279</v>
      </c>
      <c r="B488" s="1" t="s">
        <v>10</v>
      </c>
      <c r="C488" s="1" t="s">
        <v>3280</v>
      </c>
      <c r="D488" s="1" t="s">
        <v>170</v>
      </c>
      <c r="E488" s="1" t="s">
        <v>171</v>
      </c>
      <c r="F488" s="1" t="s">
        <v>3281</v>
      </c>
      <c r="G488" s="1" t="s">
        <v>3282</v>
      </c>
      <c r="H488" s="1" t="s">
        <v>3283</v>
      </c>
      <c r="I488" t="b">
        <f>COUNTIF(Estadísticas!I:I,'centraldecomunicacion.es'!H488)&gt;0</f>
        <v>0</v>
      </c>
    </row>
    <row r="489" spans="1:9" hidden="1">
      <c r="A489" s="1" t="s">
        <v>3284</v>
      </c>
      <c r="B489" s="1" t="s">
        <v>10</v>
      </c>
      <c r="C489" s="1" t="s">
        <v>3285</v>
      </c>
      <c r="D489" s="1" t="s">
        <v>3260</v>
      </c>
      <c r="E489" s="1" t="s">
        <v>171</v>
      </c>
      <c r="F489" s="1" t="s">
        <v>3286</v>
      </c>
      <c r="G489" s="1" t="s">
        <v>3287</v>
      </c>
      <c r="H489" s="1" t="s">
        <v>3288</v>
      </c>
      <c r="I489" t="b">
        <f>COUNTIF(Estadísticas!I:I,'centraldecomunicacion.es'!H489)&gt;0</f>
        <v>0</v>
      </c>
    </row>
    <row r="490" spans="1:9" hidden="1">
      <c r="A490" s="1" t="s">
        <v>3289</v>
      </c>
      <c r="B490" s="1" t="s">
        <v>10</v>
      </c>
      <c r="C490" s="1" t="s">
        <v>3290</v>
      </c>
      <c r="D490" s="1" t="s">
        <v>3291</v>
      </c>
      <c r="E490" s="1" t="s">
        <v>171</v>
      </c>
      <c r="F490" s="1" t="s">
        <v>3292</v>
      </c>
      <c r="G490" s="1" t="s">
        <v>3293</v>
      </c>
      <c r="H490" s="1" t="s">
        <v>1762</v>
      </c>
      <c r="I490" t="b">
        <f>COUNTIF(Estadísticas!I:I,'centraldecomunicacion.es'!H490)&gt;0</f>
        <v>0</v>
      </c>
    </row>
    <row r="491" spans="1:9">
      <c r="A491" s="1" t="s">
        <v>168</v>
      </c>
      <c r="B491" s="1" t="s">
        <v>10</v>
      </c>
      <c r="C491" s="1" t="s">
        <v>169</v>
      </c>
      <c r="D491" s="1" t="s">
        <v>170</v>
      </c>
      <c r="E491" s="1" t="s">
        <v>171</v>
      </c>
      <c r="F491" s="1" t="s">
        <v>172</v>
      </c>
      <c r="G491" s="1" t="s">
        <v>173</v>
      </c>
      <c r="H491" s="1" t="s">
        <v>174</v>
      </c>
      <c r="I491" t="b">
        <f>COUNTIF(Estadísticas!I:I,'centraldecomunicacion.es'!H491)&gt;0</f>
        <v>1</v>
      </c>
    </row>
    <row r="492" spans="1:9" hidden="1">
      <c r="A492" s="1" t="s">
        <v>3294</v>
      </c>
      <c r="B492" s="1" t="s">
        <v>10</v>
      </c>
      <c r="C492" s="1" t="s">
        <v>3295</v>
      </c>
      <c r="D492" s="1" t="s">
        <v>170</v>
      </c>
      <c r="E492" s="1" t="s">
        <v>171</v>
      </c>
      <c r="F492" s="1" t="s">
        <v>30</v>
      </c>
      <c r="G492" s="1" t="s">
        <v>3296</v>
      </c>
      <c r="H492" s="1" t="s">
        <v>1762</v>
      </c>
      <c r="I492" t="b">
        <f>COUNTIF(Estadísticas!I:I,'centraldecomunicacion.es'!H492)&gt;0</f>
        <v>0</v>
      </c>
    </row>
    <row r="493" spans="1:9" hidden="1">
      <c r="A493" s="1" t="s">
        <v>3297</v>
      </c>
      <c r="B493" s="1" t="s">
        <v>10</v>
      </c>
      <c r="C493" s="1" t="s">
        <v>3298</v>
      </c>
      <c r="D493" s="1" t="s">
        <v>3260</v>
      </c>
      <c r="E493" s="1" t="s">
        <v>171</v>
      </c>
      <c r="F493" s="1" t="s">
        <v>30</v>
      </c>
      <c r="G493" s="1" t="s">
        <v>30</v>
      </c>
      <c r="H493" s="1" t="s">
        <v>1762</v>
      </c>
      <c r="I493" t="b">
        <f>COUNTIF(Estadísticas!I:I,'centraldecomunicacion.es'!H493)&gt;0</f>
        <v>0</v>
      </c>
    </row>
    <row r="494" spans="1:9" hidden="1">
      <c r="A494" s="1" t="s">
        <v>3299</v>
      </c>
      <c r="B494" s="1" t="s">
        <v>18</v>
      </c>
      <c r="C494" s="1" t="s">
        <v>3300</v>
      </c>
      <c r="D494" s="1" t="s">
        <v>3260</v>
      </c>
      <c r="E494" s="1" t="s">
        <v>171</v>
      </c>
      <c r="F494" s="1" t="s">
        <v>3301</v>
      </c>
      <c r="G494" s="1" t="s">
        <v>3302</v>
      </c>
      <c r="H494" s="1" t="s">
        <v>1762</v>
      </c>
      <c r="I494" t="b">
        <f>COUNTIF(Estadísticas!I:I,'centraldecomunicacion.es'!H494)&gt;0</f>
        <v>0</v>
      </c>
    </row>
    <row r="495" spans="1:9" hidden="1">
      <c r="A495" s="1" t="s">
        <v>3303</v>
      </c>
      <c r="B495" s="1" t="s">
        <v>10</v>
      </c>
      <c r="C495" s="1" t="s">
        <v>3304</v>
      </c>
      <c r="D495" s="1" t="s">
        <v>3305</v>
      </c>
      <c r="E495" s="1" t="s">
        <v>171</v>
      </c>
      <c r="F495" s="1" t="s">
        <v>3306</v>
      </c>
      <c r="G495" s="1" t="s">
        <v>3307</v>
      </c>
      <c r="H495" s="1" t="s">
        <v>3308</v>
      </c>
      <c r="I495" t="b">
        <f>COUNTIF(Estadísticas!I:I,'centraldecomunicacion.es'!H495)&gt;0</f>
        <v>0</v>
      </c>
    </row>
    <row r="496" spans="1:9" hidden="1">
      <c r="A496" s="1" t="s">
        <v>3309</v>
      </c>
      <c r="B496" s="1" t="s">
        <v>10</v>
      </c>
      <c r="C496" s="1" t="s">
        <v>3310</v>
      </c>
      <c r="D496" s="1" t="s">
        <v>3260</v>
      </c>
      <c r="E496" s="1" t="s">
        <v>171</v>
      </c>
      <c r="F496" s="1" t="s">
        <v>30</v>
      </c>
      <c r="G496" s="1" t="s">
        <v>3311</v>
      </c>
      <c r="H496" s="1" t="s">
        <v>1762</v>
      </c>
      <c r="I496" t="b">
        <f>COUNTIF(Estadísticas!I:I,'centraldecomunicacion.es'!H496)&gt;0</f>
        <v>0</v>
      </c>
    </row>
    <row r="497" spans="1:9" hidden="1">
      <c r="A497" s="1" t="s">
        <v>3312</v>
      </c>
      <c r="B497" s="1" t="s">
        <v>10</v>
      </c>
      <c r="C497" s="1" t="s">
        <v>3313</v>
      </c>
      <c r="D497" s="1" t="s">
        <v>3314</v>
      </c>
      <c r="E497" s="1" t="s">
        <v>171</v>
      </c>
      <c r="F497" s="1" t="s">
        <v>30</v>
      </c>
      <c r="G497" s="1" t="s">
        <v>30</v>
      </c>
      <c r="H497" s="1" t="s">
        <v>1762</v>
      </c>
      <c r="I497" t="b">
        <f>COUNTIF(Estadísticas!I:I,'centraldecomunicacion.es'!H497)&gt;0</f>
        <v>0</v>
      </c>
    </row>
    <row r="498" spans="1:9" hidden="1">
      <c r="A498" s="1" t="s">
        <v>3315</v>
      </c>
      <c r="B498" s="1" t="s">
        <v>10</v>
      </c>
      <c r="C498" s="1" t="s">
        <v>3316</v>
      </c>
      <c r="D498" s="1" t="s">
        <v>3260</v>
      </c>
      <c r="E498" s="1" t="s">
        <v>171</v>
      </c>
      <c r="F498" s="1" t="s">
        <v>1984</v>
      </c>
      <c r="G498" s="1" t="s">
        <v>3317</v>
      </c>
      <c r="H498" s="1" t="s">
        <v>1762</v>
      </c>
      <c r="I498" t="b">
        <f>COUNTIF(Estadísticas!I:I,'centraldecomunicacion.es'!H498)&gt;0</f>
        <v>0</v>
      </c>
    </row>
    <row r="499" spans="1:9" hidden="1">
      <c r="A499" s="1" t="s">
        <v>3318</v>
      </c>
      <c r="B499" s="1" t="s">
        <v>10</v>
      </c>
      <c r="C499" s="1" t="s">
        <v>3319</v>
      </c>
      <c r="D499" s="1" t="s">
        <v>3320</v>
      </c>
      <c r="E499" s="1" t="s">
        <v>171</v>
      </c>
      <c r="F499" s="1" t="s">
        <v>30</v>
      </c>
      <c r="G499" s="1" t="s">
        <v>30</v>
      </c>
      <c r="H499" s="1" t="s">
        <v>1762</v>
      </c>
      <c r="I499" t="b">
        <f>COUNTIF(Estadísticas!I:I,'centraldecomunicacion.es'!H499)&gt;0</f>
        <v>0</v>
      </c>
    </row>
    <row r="500" spans="1:9" hidden="1">
      <c r="A500" s="1" t="s">
        <v>3321</v>
      </c>
      <c r="B500" s="1" t="s">
        <v>10</v>
      </c>
      <c r="C500" s="1" t="s">
        <v>3322</v>
      </c>
      <c r="D500" s="1" t="s">
        <v>3323</v>
      </c>
      <c r="E500" s="1" t="s">
        <v>171</v>
      </c>
      <c r="F500" s="1" t="s">
        <v>30</v>
      </c>
      <c r="G500" s="1" t="s">
        <v>3324</v>
      </c>
      <c r="H500" s="1" t="s">
        <v>1762</v>
      </c>
      <c r="I500" t="b">
        <f>COUNTIF(Estadísticas!I:I,'centraldecomunicacion.es'!H500)&gt;0</f>
        <v>0</v>
      </c>
    </row>
    <row r="501" spans="1:9" hidden="1">
      <c r="A501" s="1" t="s">
        <v>3325</v>
      </c>
      <c r="B501" s="1" t="s">
        <v>10</v>
      </c>
      <c r="C501" s="1" t="s">
        <v>3326</v>
      </c>
      <c r="D501" s="1" t="s">
        <v>3320</v>
      </c>
      <c r="E501" s="1" t="s">
        <v>171</v>
      </c>
      <c r="F501" s="1" t="s">
        <v>30</v>
      </c>
      <c r="G501" s="1" t="s">
        <v>3327</v>
      </c>
      <c r="H501" s="1" t="s">
        <v>1762</v>
      </c>
      <c r="I501" t="b">
        <f>COUNTIF(Estadísticas!I:I,'centraldecomunicacion.es'!H501)&gt;0</f>
        <v>0</v>
      </c>
    </row>
    <row r="502" spans="1:9" hidden="1">
      <c r="A502" s="1" t="s">
        <v>3328</v>
      </c>
      <c r="B502" s="1" t="s">
        <v>10</v>
      </c>
      <c r="C502" s="1" t="s">
        <v>3329</v>
      </c>
      <c r="D502" s="1" t="s">
        <v>3330</v>
      </c>
      <c r="E502" s="1" t="s">
        <v>108</v>
      </c>
      <c r="F502" s="1" t="s">
        <v>1857</v>
      </c>
      <c r="G502" s="1" t="s">
        <v>1858</v>
      </c>
      <c r="H502" s="1" t="s">
        <v>1859</v>
      </c>
      <c r="I502" t="b">
        <f>COUNTIF(Estadísticas!I:I,'centraldecomunicacion.es'!H502)&gt;0</f>
        <v>0</v>
      </c>
    </row>
    <row r="503" spans="1:9" hidden="1">
      <c r="A503" s="1" t="s">
        <v>3331</v>
      </c>
      <c r="B503" s="1" t="s">
        <v>10</v>
      </c>
      <c r="C503" s="1" t="s">
        <v>3332</v>
      </c>
      <c r="D503" s="1" t="s">
        <v>3237</v>
      </c>
      <c r="E503" s="1" t="s">
        <v>171</v>
      </c>
      <c r="F503" s="1" t="s">
        <v>30</v>
      </c>
      <c r="G503" s="1" t="s">
        <v>3333</v>
      </c>
      <c r="H503" s="1" t="s">
        <v>1762</v>
      </c>
      <c r="I503" t="b">
        <f>COUNTIF(Estadísticas!I:I,'centraldecomunicacion.es'!H503)&gt;0</f>
        <v>0</v>
      </c>
    </row>
    <row r="504" spans="1:9" hidden="1">
      <c r="A504" s="1" t="s">
        <v>3334</v>
      </c>
      <c r="B504" s="1" t="s">
        <v>10</v>
      </c>
      <c r="C504" s="1" t="s">
        <v>3335</v>
      </c>
      <c r="D504" s="1" t="s">
        <v>3336</v>
      </c>
      <c r="E504" s="1" t="s">
        <v>171</v>
      </c>
      <c r="F504" s="1" t="s">
        <v>30</v>
      </c>
      <c r="G504" s="1" t="s">
        <v>3337</v>
      </c>
      <c r="H504" s="1" t="s">
        <v>1762</v>
      </c>
      <c r="I504" t="b">
        <f>COUNTIF(Estadísticas!I:I,'centraldecomunicacion.es'!H504)&gt;0</f>
        <v>0</v>
      </c>
    </row>
    <row r="505" spans="1:9" hidden="1">
      <c r="A505" s="1" t="s">
        <v>3338</v>
      </c>
      <c r="B505" s="1" t="s">
        <v>18</v>
      </c>
      <c r="C505" s="1" t="s">
        <v>3339</v>
      </c>
      <c r="D505" s="1" t="s">
        <v>3270</v>
      </c>
      <c r="E505" s="1" t="s">
        <v>171</v>
      </c>
      <c r="F505" s="1" t="s">
        <v>30</v>
      </c>
      <c r="G505" s="1" t="s">
        <v>3340</v>
      </c>
      <c r="H505" s="1" t="s">
        <v>1762</v>
      </c>
      <c r="I505" t="b">
        <f>COUNTIF(Estadísticas!I:I,'centraldecomunicacion.es'!H505)&gt;0</f>
        <v>0</v>
      </c>
    </row>
    <row r="506" spans="1:9" hidden="1">
      <c r="A506" s="1" t="s">
        <v>3341</v>
      </c>
      <c r="B506" s="1" t="s">
        <v>18</v>
      </c>
      <c r="C506" s="1" t="s">
        <v>3342</v>
      </c>
      <c r="D506" s="1" t="s">
        <v>93</v>
      </c>
      <c r="E506" s="1" t="s">
        <v>65</v>
      </c>
      <c r="F506" s="1" t="s">
        <v>30</v>
      </c>
      <c r="G506" s="1" t="s">
        <v>3343</v>
      </c>
      <c r="H506" s="1" t="s">
        <v>1762</v>
      </c>
      <c r="I506" t="b">
        <f>COUNTIF(Estadísticas!I:I,'centraldecomunicacion.es'!H506)&gt;0</f>
        <v>0</v>
      </c>
    </row>
    <row r="507" spans="1:9">
      <c r="A507" s="1" t="s">
        <v>175</v>
      </c>
      <c r="B507" s="1" t="s">
        <v>10</v>
      </c>
      <c r="C507" s="1" t="s">
        <v>176</v>
      </c>
      <c r="D507" s="1" t="s">
        <v>177</v>
      </c>
      <c r="E507" s="1" t="s">
        <v>177</v>
      </c>
      <c r="F507" s="1" t="s">
        <v>178</v>
      </c>
      <c r="G507" s="1" t="s">
        <v>179</v>
      </c>
      <c r="H507" s="1" t="s">
        <v>180</v>
      </c>
      <c r="I507" t="b">
        <f>COUNTIF(Estadísticas!I:I,'centraldecomunicacion.es'!H507)&gt;0</f>
        <v>1</v>
      </c>
    </row>
    <row r="508" spans="1:9" hidden="1">
      <c r="A508" s="1" t="s">
        <v>3344</v>
      </c>
      <c r="B508" s="1" t="s">
        <v>10</v>
      </c>
      <c r="C508" s="1" t="s">
        <v>3345</v>
      </c>
      <c r="D508" s="1" t="s">
        <v>177</v>
      </c>
      <c r="E508" s="1" t="s">
        <v>177</v>
      </c>
      <c r="F508" s="1" t="s">
        <v>1984</v>
      </c>
      <c r="G508" s="1" t="s">
        <v>3346</v>
      </c>
      <c r="H508" s="1" t="s">
        <v>1762</v>
      </c>
      <c r="I508" t="b">
        <f>COUNTIF(Estadísticas!I:I,'centraldecomunicacion.es'!H508)&gt;0</f>
        <v>0</v>
      </c>
    </row>
    <row r="509" spans="1:9" hidden="1">
      <c r="A509" s="1" t="s">
        <v>3347</v>
      </c>
      <c r="B509" s="1" t="s">
        <v>10</v>
      </c>
      <c r="C509" s="1" t="s">
        <v>3348</v>
      </c>
      <c r="D509" s="1" t="s">
        <v>177</v>
      </c>
      <c r="E509" s="1" t="s">
        <v>177</v>
      </c>
      <c r="F509" s="1" t="s">
        <v>3349</v>
      </c>
      <c r="G509" s="1" t="s">
        <v>3350</v>
      </c>
      <c r="H509" s="1" t="s">
        <v>3351</v>
      </c>
      <c r="I509" t="b">
        <f>COUNTIF(Estadísticas!I:I,'centraldecomunicacion.es'!H509)&gt;0</f>
        <v>0</v>
      </c>
    </row>
    <row r="510" spans="1:9" hidden="1">
      <c r="A510" s="1" t="s">
        <v>3352</v>
      </c>
      <c r="B510" s="1" t="s">
        <v>10</v>
      </c>
      <c r="C510" s="1" t="s">
        <v>3353</v>
      </c>
      <c r="D510" s="1" t="s">
        <v>177</v>
      </c>
      <c r="E510" s="1" t="s">
        <v>177</v>
      </c>
      <c r="F510" s="1" t="s">
        <v>3354</v>
      </c>
      <c r="G510" s="1" t="s">
        <v>3355</v>
      </c>
      <c r="H510" s="1" t="s">
        <v>3356</v>
      </c>
      <c r="I510" t="b">
        <f>COUNTIF(Estadísticas!I:I,'centraldecomunicacion.es'!H510)&gt;0</f>
        <v>0</v>
      </c>
    </row>
    <row r="511" spans="1:9" hidden="1">
      <c r="A511" s="1" t="s">
        <v>3357</v>
      </c>
      <c r="B511" s="1" t="s">
        <v>10</v>
      </c>
      <c r="C511" s="1" t="s">
        <v>3358</v>
      </c>
      <c r="D511" s="1" t="s">
        <v>177</v>
      </c>
      <c r="E511" s="1" t="s">
        <v>177</v>
      </c>
      <c r="F511" s="1" t="s">
        <v>3359</v>
      </c>
      <c r="G511" s="1" t="s">
        <v>3360</v>
      </c>
      <c r="H511" s="1" t="s">
        <v>1762</v>
      </c>
      <c r="I511" t="b">
        <f>COUNTIF(Estadísticas!I:I,'centraldecomunicacion.es'!H511)&gt;0</f>
        <v>0</v>
      </c>
    </row>
    <row r="512" spans="1:9" hidden="1">
      <c r="A512" s="1" t="s">
        <v>3361</v>
      </c>
      <c r="B512" s="1" t="s">
        <v>18</v>
      </c>
      <c r="C512" s="1" t="s">
        <v>3362</v>
      </c>
      <c r="D512" s="1" t="s">
        <v>177</v>
      </c>
      <c r="E512" s="1" t="s">
        <v>177</v>
      </c>
      <c r="F512" s="1" t="s">
        <v>2347</v>
      </c>
      <c r="G512" s="1" t="s">
        <v>3363</v>
      </c>
      <c r="H512" s="1" t="s">
        <v>1762</v>
      </c>
      <c r="I512" t="b">
        <f>COUNTIF(Estadísticas!I:I,'centraldecomunicacion.es'!H512)&gt;0</f>
        <v>0</v>
      </c>
    </row>
    <row r="513" spans="1:9" hidden="1">
      <c r="A513" s="1" t="s">
        <v>3364</v>
      </c>
      <c r="B513" s="1" t="s">
        <v>10</v>
      </c>
      <c r="C513" s="1" t="s">
        <v>3365</v>
      </c>
      <c r="D513" s="1" t="s">
        <v>177</v>
      </c>
      <c r="E513" s="1" t="s">
        <v>177</v>
      </c>
      <c r="F513" s="1" t="s">
        <v>3366</v>
      </c>
      <c r="G513" s="1" t="s">
        <v>3367</v>
      </c>
      <c r="H513" s="1" t="s">
        <v>1762</v>
      </c>
      <c r="I513" t="b">
        <f>COUNTIF(Estadísticas!I:I,'centraldecomunicacion.es'!H513)&gt;0</f>
        <v>0</v>
      </c>
    </row>
    <row r="514" spans="1:9" hidden="1">
      <c r="A514" s="1" t="s">
        <v>3368</v>
      </c>
      <c r="B514" s="1" t="s">
        <v>10</v>
      </c>
      <c r="C514" s="1" t="s">
        <v>3369</v>
      </c>
      <c r="D514" s="1" t="s">
        <v>177</v>
      </c>
      <c r="E514" s="1" t="s">
        <v>177</v>
      </c>
      <c r="F514" s="1" t="s">
        <v>30</v>
      </c>
      <c r="G514" s="1" t="s">
        <v>3370</v>
      </c>
      <c r="H514" s="1" t="s">
        <v>1762</v>
      </c>
      <c r="I514" t="b">
        <f>COUNTIF(Estadísticas!I:I,'centraldecomunicacion.es'!H514)&gt;0</f>
        <v>0</v>
      </c>
    </row>
    <row r="515" spans="1:9" hidden="1">
      <c r="A515" s="1" t="s">
        <v>3371</v>
      </c>
      <c r="B515" s="1" t="s">
        <v>10</v>
      </c>
      <c r="C515" s="1" t="s">
        <v>3372</v>
      </c>
      <c r="D515" s="1" t="s">
        <v>177</v>
      </c>
      <c r="E515" s="1" t="s">
        <v>177</v>
      </c>
      <c r="F515" s="1" t="s">
        <v>3373</v>
      </c>
      <c r="G515" s="1" t="s">
        <v>3374</v>
      </c>
      <c r="H515" s="1" t="s">
        <v>1762</v>
      </c>
      <c r="I515" t="b">
        <f>COUNTIF(Estadísticas!I:I,'centraldecomunicacion.es'!H515)&gt;0</f>
        <v>0</v>
      </c>
    </row>
    <row r="516" spans="1:9" hidden="1">
      <c r="A516" s="1" t="s">
        <v>3375</v>
      </c>
      <c r="B516" s="1" t="s">
        <v>18</v>
      </c>
      <c r="C516" s="1" t="s">
        <v>3376</v>
      </c>
      <c r="D516" s="1" t="s">
        <v>177</v>
      </c>
      <c r="E516" s="1" t="s">
        <v>177</v>
      </c>
      <c r="F516" s="1" t="s">
        <v>2347</v>
      </c>
      <c r="G516" s="1" t="s">
        <v>3377</v>
      </c>
      <c r="H516" s="1" t="s">
        <v>1762</v>
      </c>
      <c r="I516" t="b">
        <f>COUNTIF(Estadísticas!I:I,'centraldecomunicacion.es'!H516)&gt;0</f>
        <v>0</v>
      </c>
    </row>
    <row r="517" spans="1:9" hidden="1">
      <c r="A517" s="1" t="s">
        <v>3378</v>
      </c>
      <c r="B517" s="1" t="s">
        <v>10</v>
      </c>
      <c r="C517" s="1" t="s">
        <v>30</v>
      </c>
      <c r="D517" s="1" t="s">
        <v>3379</v>
      </c>
      <c r="E517" s="1" t="s">
        <v>30</v>
      </c>
      <c r="F517" s="1" t="s">
        <v>3380</v>
      </c>
      <c r="G517" s="1" t="s">
        <v>3381</v>
      </c>
      <c r="H517" s="1" t="s">
        <v>3382</v>
      </c>
      <c r="I517" t="b">
        <f>COUNTIF(Estadísticas!I:I,'centraldecomunicacion.es'!H517)&gt;0</f>
        <v>0</v>
      </c>
    </row>
    <row r="518" spans="1:9" hidden="1">
      <c r="A518" s="1" t="s">
        <v>3383</v>
      </c>
      <c r="B518" s="1" t="s">
        <v>10</v>
      </c>
      <c r="C518" s="1" t="s">
        <v>3384</v>
      </c>
      <c r="D518" s="1" t="s">
        <v>177</v>
      </c>
      <c r="E518" s="1" t="s">
        <v>177</v>
      </c>
      <c r="F518" s="1" t="s">
        <v>3385</v>
      </c>
      <c r="G518" s="1" t="s">
        <v>3386</v>
      </c>
      <c r="H518" s="1" t="s">
        <v>1762</v>
      </c>
      <c r="I518" t="b">
        <f>COUNTIF(Estadísticas!I:I,'centraldecomunicacion.es'!H518)&gt;0</f>
        <v>0</v>
      </c>
    </row>
    <row r="519" spans="1:9" hidden="1">
      <c r="A519" s="1" t="s">
        <v>3387</v>
      </c>
      <c r="B519" s="1" t="s">
        <v>10</v>
      </c>
      <c r="C519" s="1" t="s">
        <v>3388</v>
      </c>
      <c r="D519" s="1" t="s">
        <v>183</v>
      </c>
      <c r="E519" s="1" t="s">
        <v>177</v>
      </c>
      <c r="F519" s="1" t="s">
        <v>30</v>
      </c>
      <c r="G519" s="1" t="s">
        <v>30</v>
      </c>
      <c r="H519" s="1" t="s">
        <v>1762</v>
      </c>
      <c r="I519" t="b">
        <f>COUNTIF(Estadísticas!I:I,'centraldecomunicacion.es'!H519)&gt;0</f>
        <v>0</v>
      </c>
    </row>
    <row r="520" spans="1:9" hidden="1">
      <c r="A520" s="1" t="s">
        <v>3389</v>
      </c>
      <c r="B520" s="1" t="s">
        <v>10</v>
      </c>
      <c r="C520" s="1" t="s">
        <v>3390</v>
      </c>
      <c r="D520" s="1" t="s">
        <v>177</v>
      </c>
      <c r="E520" s="1" t="s">
        <v>177</v>
      </c>
      <c r="F520" s="1" t="s">
        <v>3391</v>
      </c>
      <c r="G520" s="1" t="s">
        <v>3392</v>
      </c>
      <c r="H520" s="1" t="s">
        <v>3393</v>
      </c>
      <c r="I520" t="b">
        <f>COUNTIF(Estadísticas!I:I,'centraldecomunicacion.es'!H520)&gt;0</f>
        <v>0</v>
      </c>
    </row>
    <row r="521" spans="1:9" hidden="1">
      <c r="A521" s="1" t="s">
        <v>3394</v>
      </c>
      <c r="B521" s="1" t="s">
        <v>10</v>
      </c>
      <c r="C521" s="1" t="s">
        <v>3395</v>
      </c>
      <c r="D521" s="1" t="s">
        <v>177</v>
      </c>
      <c r="E521" s="1" t="s">
        <v>177</v>
      </c>
      <c r="F521" s="1" t="s">
        <v>3396</v>
      </c>
      <c r="G521" s="1" t="s">
        <v>3397</v>
      </c>
      <c r="H521" s="1" t="s">
        <v>3398</v>
      </c>
      <c r="I521" t="b">
        <f>COUNTIF(Estadísticas!I:I,'centraldecomunicacion.es'!H521)&gt;0</f>
        <v>0</v>
      </c>
    </row>
    <row r="522" spans="1:9" hidden="1">
      <c r="A522" s="1" t="s">
        <v>3399</v>
      </c>
      <c r="B522" s="1" t="s">
        <v>18</v>
      </c>
      <c r="C522" s="1" t="s">
        <v>3400</v>
      </c>
      <c r="D522" s="1" t="s">
        <v>177</v>
      </c>
      <c r="E522" s="1" t="s">
        <v>177</v>
      </c>
      <c r="F522" s="1" t="s">
        <v>2347</v>
      </c>
      <c r="G522" s="1" t="s">
        <v>3401</v>
      </c>
      <c r="H522" s="1" t="s">
        <v>1762</v>
      </c>
      <c r="I522" t="b">
        <f>COUNTIF(Estadísticas!I:I,'centraldecomunicacion.es'!H522)&gt;0</f>
        <v>0</v>
      </c>
    </row>
    <row r="523" spans="1:9" hidden="1">
      <c r="A523" s="1" t="s">
        <v>3402</v>
      </c>
      <c r="B523" s="1" t="s">
        <v>18</v>
      </c>
      <c r="C523" s="1" t="s">
        <v>3403</v>
      </c>
      <c r="D523" s="1" t="s">
        <v>177</v>
      </c>
      <c r="E523" s="1" t="s">
        <v>177</v>
      </c>
      <c r="F523" s="1" t="s">
        <v>3404</v>
      </c>
      <c r="G523" s="1" t="s">
        <v>3405</v>
      </c>
      <c r="H523" s="1" t="s">
        <v>3406</v>
      </c>
      <c r="I523" t="b">
        <f>COUNTIF(Estadísticas!I:I,'centraldecomunicacion.es'!H523)&gt;0</f>
        <v>0</v>
      </c>
    </row>
    <row r="524" spans="1:9" hidden="1">
      <c r="A524" s="1" t="s">
        <v>3407</v>
      </c>
      <c r="B524" s="1" t="s">
        <v>10</v>
      </c>
      <c r="C524" s="1" t="s">
        <v>3408</v>
      </c>
      <c r="D524" s="1" t="s">
        <v>177</v>
      </c>
      <c r="E524" s="1" t="s">
        <v>177</v>
      </c>
      <c r="F524" s="1" t="s">
        <v>3409</v>
      </c>
      <c r="G524" s="1" t="s">
        <v>3410</v>
      </c>
      <c r="H524" s="1" t="s">
        <v>1762</v>
      </c>
      <c r="I524" t="b">
        <f>COUNTIF(Estadísticas!I:I,'centraldecomunicacion.es'!H524)&gt;0</f>
        <v>0</v>
      </c>
    </row>
    <row r="525" spans="1:9" hidden="1">
      <c r="A525" s="1" t="s">
        <v>3411</v>
      </c>
      <c r="B525" s="1" t="s">
        <v>18</v>
      </c>
      <c r="C525" s="1" t="s">
        <v>3412</v>
      </c>
      <c r="D525" s="1" t="s">
        <v>177</v>
      </c>
      <c r="E525" s="1" t="s">
        <v>177</v>
      </c>
      <c r="F525" s="1" t="s">
        <v>3413</v>
      </c>
      <c r="G525" s="1" t="s">
        <v>3414</v>
      </c>
      <c r="H525" s="1" t="s">
        <v>3415</v>
      </c>
      <c r="I525" t="b">
        <f>COUNTIF(Estadísticas!I:I,'centraldecomunicacion.es'!H525)&gt;0</f>
        <v>0</v>
      </c>
    </row>
    <row r="526" spans="1:9" hidden="1">
      <c r="A526" s="1" t="s">
        <v>3416</v>
      </c>
      <c r="B526" s="1" t="s">
        <v>10</v>
      </c>
      <c r="C526" s="1" t="s">
        <v>30</v>
      </c>
      <c r="D526" s="1" t="s">
        <v>3379</v>
      </c>
      <c r="E526" s="1" t="s">
        <v>30</v>
      </c>
      <c r="F526" s="1" t="s">
        <v>3417</v>
      </c>
      <c r="G526" s="1" t="s">
        <v>3418</v>
      </c>
      <c r="H526" s="1" t="s">
        <v>3419</v>
      </c>
      <c r="I526" t="b">
        <f>COUNTIF(Estadísticas!I:I,'centraldecomunicacion.es'!H526)&gt;0</f>
        <v>0</v>
      </c>
    </row>
    <row r="527" spans="1:9">
      <c r="A527" s="1" t="s">
        <v>181</v>
      </c>
      <c r="B527" s="1" t="s">
        <v>10</v>
      </c>
      <c r="C527" s="1" t="s">
        <v>182</v>
      </c>
      <c r="D527" s="1" t="s">
        <v>183</v>
      </c>
      <c r="E527" s="1" t="s">
        <v>177</v>
      </c>
      <c r="F527" s="1" t="s">
        <v>184</v>
      </c>
      <c r="G527" s="1" t="s">
        <v>185</v>
      </c>
      <c r="H527" s="1" t="s">
        <v>186</v>
      </c>
      <c r="I527" t="b">
        <f>COUNTIF(Estadísticas!I:I,'centraldecomunicacion.es'!H527)&gt;0</f>
        <v>1</v>
      </c>
    </row>
    <row r="528" spans="1:9" hidden="1">
      <c r="A528" s="1" t="s">
        <v>3420</v>
      </c>
      <c r="B528" s="1" t="s">
        <v>10</v>
      </c>
      <c r="C528" s="1" t="s">
        <v>3421</v>
      </c>
      <c r="D528" s="1" t="s">
        <v>177</v>
      </c>
      <c r="E528" s="1" t="s">
        <v>177</v>
      </c>
      <c r="F528" s="1" t="s">
        <v>3422</v>
      </c>
      <c r="G528" s="1" t="s">
        <v>3423</v>
      </c>
      <c r="H528" s="1" t="s">
        <v>1762</v>
      </c>
      <c r="I528" t="b">
        <f>COUNTIF(Estadísticas!I:I,'centraldecomunicacion.es'!H528)&gt;0</f>
        <v>0</v>
      </c>
    </row>
    <row r="529" spans="1:9" hidden="1">
      <c r="A529" s="1" t="s">
        <v>3424</v>
      </c>
      <c r="B529" s="1" t="s">
        <v>10</v>
      </c>
      <c r="C529" s="1" t="s">
        <v>3425</v>
      </c>
      <c r="D529" s="1" t="s">
        <v>183</v>
      </c>
      <c r="E529" s="1" t="s">
        <v>177</v>
      </c>
      <c r="F529" s="1" t="s">
        <v>3426</v>
      </c>
      <c r="G529" s="1" t="s">
        <v>3427</v>
      </c>
      <c r="H529" s="1" t="s">
        <v>1762</v>
      </c>
      <c r="I529" t="b">
        <f>COUNTIF(Estadísticas!I:I,'centraldecomunicacion.es'!H529)&gt;0</f>
        <v>0</v>
      </c>
    </row>
    <row r="530" spans="1:9" hidden="1">
      <c r="A530" s="1" t="s">
        <v>3428</v>
      </c>
      <c r="B530" s="1" t="s">
        <v>18</v>
      </c>
      <c r="C530" s="1" t="s">
        <v>3429</v>
      </c>
      <c r="D530" s="1" t="s">
        <v>177</v>
      </c>
      <c r="E530" s="1" t="s">
        <v>177</v>
      </c>
      <c r="F530" s="1" t="s">
        <v>30</v>
      </c>
      <c r="G530" s="1" t="s">
        <v>3430</v>
      </c>
      <c r="H530" s="1" t="s">
        <v>1762</v>
      </c>
      <c r="I530" t="b">
        <f>COUNTIF(Estadísticas!I:I,'centraldecomunicacion.es'!H530)&gt;0</f>
        <v>0</v>
      </c>
    </row>
    <row r="531" spans="1:9" hidden="1">
      <c r="A531" s="1" t="s">
        <v>3431</v>
      </c>
      <c r="B531" s="1" t="s">
        <v>10</v>
      </c>
      <c r="C531" s="1" t="s">
        <v>3432</v>
      </c>
      <c r="D531" s="1" t="s">
        <v>177</v>
      </c>
      <c r="E531" s="1" t="s">
        <v>177</v>
      </c>
      <c r="F531" s="1" t="s">
        <v>3433</v>
      </c>
      <c r="G531" s="1" t="s">
        <v>3434</v>
      </c>
      <c r="H531" s="1" t="s">
        <v>1762</v>
      </c>
      <c r="I531" t="b">
        <f>COUNTIF(Estadísticas!I:I,'centraldecomunicacion.es'!H531)&gt;0</f>
        <v>0</v>
      </c>
    </row>
    <row r="532" spans="1:9" hidden="1">
      <c r="A532" s="1" t="s">
        <v>3435</v>
      </c>
      <c r="B532" s="1" t="s">
        <v>18</v>
      </c>
      <c r="C532" s="1" t="s">
        <v>3436</v>
      </c>
      <c r="D532" s="1" t="s">
        <v>3437</v>
      </c>
      <c r="E532" s="1" t="s">
        <v>177</v>
      </c>
      <c r="F532" s="1" t="s">
        <v>3438</v>
      </c>
      <c r="G532" s="1" t="s">
        <v>3439</v>
      </c>
      <c r="H532" s="1" t="s">
        <v>3440</v>
      </c>
      <c r="I532" t="b">
        <f>COUNTIF(Estadísticas!I:I,'centraldecomunicacion.es'!H532)&gt;0</f>
        <v>0</v>
      </c>
    </row>
    <row r="533" spans="1:9" hidden="1">
      <c r="A533" s="1" t="s">
        <v>3441</v>
      </c>
      <c r="B533" s="1" t="s">
        <v>10</v>
      </c>
      <c r="C533" s="1" t="s">
        <v>3442</v>
      </c>
      <c r="D533" s="1" t="s">
        <v>177</v>
      </c>
      <c r="E533" s="1" t="s">
        <v>177</v>
      </c>
      <c r="F533" s="1" t="s">
        <v>1984</v>
      </c>
      <c r="G533" s="1" t="s">
        <v>3443</v>
      </c>
      <c r="H533" s="1" t="s">
        <v>1762</v>
      </c>
      <c r="I533" t="b">
        <f>COUNTIF(Estadísticas!I:I,'centraldecomunicacion.es'!H533)&gt;0</f>
        <v>0</v>
      </c>
    </row>
    <row r="534" spans="1:9" hidden="1">
      <c r="A534" s="1" t="s">
        <v>3444</v>
      </c>
      <c r="B534" s="1" t="s">
        <v>10</v>
      </c>
      <c r="C534" s="1" t="s">
        <v>3445</v>
      </c>
      <c r="D534" s="1" t="s">
        <v>177</v>
      </c>
      <c r="E534" s="1" t="s">
        <v>177</v>
      </c>
      <c r="F534" s="1" t="s">
        <v>30</v>
      </c>
      <c r="G534" s="1" t="s">
        <v>30</v>
      </c>
      <c r="H534" s="1" t="s">
        <v>1762</v>
      </c>
      <c r="I534" t="b">
        <f>COUNTIF(Estadísticas!I:I,'centraldecomunicacion.es'!H534)&gt;0</f>
        <v>0</v>
      </c>
    </row>
    <row r="535" spans="1:9" hidden="1">
      <c r="A535" s="1" t="s">
        <v>3446</v>
      </c>
      <c r="B535" s="1" t="s">
        <v>10</v>
      </c>
      <c r="C535" s="1" t="s">
        <v>3447</v>
      </c>
      <c r="D535" s="1" t="s">
        <v>177</v>
      </c>
      <c r="E535" s="1" t="s">
        <v>177</v>
      </c>
      <c r="F535" s="1" t="s">
        <v>30</v>
      </c>
      <c r="G535" s="1" t="s">
        <v>3448</v>
      </c>
      <c r="H535" s="1" t="s">
        <v>1762</v>
      </c>
      <c r="I535" t="b">
        <f>COUNTIF(Estadísticas!I:I,'centraldecomunicacion.es'!H535)&gt;0</f>
        <v>0</v>
      </c>
    </row>
    <row r="536" spans="1:9" hidden="1">
      <c r="A536" s="1" t="s">
        <v>3449</v>
      </c>
      <c r="B536" s="1" t="s">
        <v>10</v>
      </c>
      <c r="C536" s="1" t="s">
        <v>3450</v>
      </c>
      <c r="D536" s="1" t="s">
        <v>211</v>
      </c>
      <c r="E536" s="1" t="s">
        <v>177</v>
      </c>
      <c r="F536" s="1" t="s">
        <v>30</v>
      </c>
      <c r="G536" s="1" t="s">
        <v>3451</v>
      </c>
      <c r="H536" s="1" t="s">
        <v>1762</v>
      </c>
      <c r="I536" t="b">
        <f>COUNTIF(Estadísticas!I:I,'centraldecomunicacion.es'!H536)&gt;0</f>
        <v>0</v>
      </c>
    </row>
    <row r="537" spans="1:9" hidden="1">
      <c r="A537" s="1" t="s">
        <v>3452</v>
      </c>
      <c r="B537" s="1" t="s">
        <v>10</v>
      </c>
      <c r="C537" s="1" t="s">
        <v>3453</v>
      </c>
      <c r="D537" s="1" t="s">
        <v>177</v>
      </c>
      <c r="E537" s="1" t="s">
        <v>177</v>
      </c>
      <c r="F537" s="1" t="s">
        <v>3454</v>
      </c>
      <c r="G537" s="1" t="s">
        <v>3455</v>
      </c>
      <c r="H537" s="1" t="s">
        <v>3456</v>
      </c>
      <c r="I537" t="b">
        <f>COUNTIF(Estadísticas!I:I,'centraldecomunicacion.es'!H537)&gt;0</f>
        <v>0</v>
      </c>
    </row>
    <row r="538" spans="1:9" hidden="1">
      <c r="A538" s="1" t="s">
        <v>3457</v>
      </c>
      <c r="B538" s="1" t="s">
        <v>10</v>
      </c>
      <c r="C538" s="1" t="s">
        <v>3458</v>
      </c>
      <c r="D538" s="1" t="s">
        <v>177</v>
      </c>
      <c r="E538" s="1" t="s">
        <v>177</v>
      </c>
      <c r="F538" s="1" t="s">
        <v>3459</v>
      </c>
      <c r="G538" s="1" t="s">
        <v>3460</v>
      </c>
      <c r="H538" s="1" t="s">
        <v>3461</v>
      </c>
      <c r="I538" t="b">
        <f>COUNTIF(Estadísticas!I:I,'centraldecomunicacion.es'!H538)&gt;0</f>
        <v>0</v>
      </c>
    </row>
    <row r="539" spans="1:9">
      <c r="A539" s="1" t="s">
        <v>187</v>
      </c>
      <c r="B539" s="1" t="s">
        <v>10</v>
      </c>
      <c r="C539" s="1" t="s">
        <v>188</v>
      </c>
      <c r="D539" s="1" t="s">
        <v>177</v>
      </c>
      <c r="E539" s="1" t="s">
        <v>177</v>
      </c>
      <c r="F539" s="1" t="s">
        <v>189</v>
      </c>
      <c r="G539" s="1" t="s">
        <v>190</v>
      </c>
      <c r="H539" s="1" t="s">
        <v>191</v>
      </c>
      <c r="I539" t="b">
        <f>COUNTIF(Estadísticas!I:I,'centraldecomunicacion.es'!H539)&gt;0</f>
        <v>1</v>
      </c>
    </row>
    <row r="540" spans="1:9" hidden="1">
      <c r="A540" s="1" t="s">
        <v>3462</v>
      </c>
      <c r="B540" s="1" t="s">
        <v>10</v>
      </c>
      <c r="C540" s="1" t="s">
        <v>30</v>
      </c>
      <c r="D540" s="1" t="s">
        <v>3379</v>
      </c>
      <c r="E540" s="1" t="s">
        <v>30</v>
      </c>
      <c r="F540" s="1" t="s">
        <v>3463</v>
      </c>
      <c r="G540" s="1" t="s">
        <v>3464</v>
      </c>
      <c r="H540" s="1" t="s">
        <v>1762</v>
      </c>
      <c r="I540" t="b">
        <f>COUNTIF(Estadísticas!I:I,'centraldecomunicacion.es'!H540)&gt;0</f>
        <v>0</v>
      </c>
    </row>
    <row r="541" spans="1:9">
      <c r="A541" s="1" t="s">
        <v>192</v>
      </c>
      <c r="B541" s="1" t="s">
        <v>18</v>
      </c>
      <c r="C541" s="1" t="s">
        <v>193</v>
      </c>
      <c r="D541" s="1" t="s">
        <v>194</v>
      </c>
      <c r="E541" s="1" t="s">
        <v>177</v>
      </c>
      <c r="F541" s="1" t="s">
        <v>195</v>
      </c>
      <c r="G541" s="1" t="s">
        <v>196</v>
      </c>
      <c r="H541" s="1" t="s">
        <v>197</v>
      </c>
      <c r="I541" t="b">
        <f>COUNTIF(Estadísticas!I:I,'centraldecomunicacion.es'!H541)&gt;0</f>
        <v>1</v>
      </c>
    </row>
    <row r="542" spans="1:9" hidden="1">
      <c r="A542" s="1" t="s">
        <v>3465</v>
      </c>
      <c r="B542" s="1" t="s">
        <v>10</v>
      </c>
      <c r="C542" s="1" t="s">
        <v>3466</v>
      </c>
      <c r="D542" s="1" t="s">
        <v>177</v>
      </c>
      <c r="E542" s="1" t="s">
        <v>177</v>
      </c>
      <c r="F542" s="1" t="s">
        <v>30</v>
      </c>
      <c r="G542" s="1" t="s">
        <v>30</v>
      </c>
      <c r="H542" s="1" t="s">
        <v>1762</v>
      </c>
      <c r="I542" t="b">
        <f>COUNTIF(Estadísticas!I:I,'centraldecomunicacion.es'!H542)&gt;0</f>
        <v>0</v>
      </c>
    </row>
    <row r="543" spans="1:9">
      <c r="A543" s="1" t="s">
        <v>3467</v>
      </c>
      <c r="B543" s="1" t="s">
        <v>10</v>
      </c>
      <c r="C543" s="1" t="s">
        <v>3468</v>
      </c>
      <c r="D543" s="1" t="s">
        <v>3469</v>
      </c>
      <c r="E543" s="1" t="s">
        <v>177</v>
      </c>
      <c r="F543" s="1" t="s">
        <v>3470</v>
      </c>
      <c r="G543" s="1" t="s">
        <v>185</v>
      </c>
      <c r="H543" s="1" t="s">
        <v>186</v>
      </c>
      <c r="I543" t="b">
        <f>COUNTIF(Estadísticas!I:I,'centraldecomunicacion.es'!H543)&gt;0</f>
        <v>1</v>
      </c>
    </row>
    <row r="544" spans="1:9" hidden="1">
      <c r="A544" s="1" t="s">
        <v>3471</v>
      </c>
      <c r="B544" s="1" t="s">
        <v>10</v>
      </c>
      <c r="C544" s="1" t="s">
        <v>3472</v>
      </c>
      <c r="D544" s="1" t="s">
        <v>183</v>
      </c>
      <c r="E544" s="1" t="s">
        <v>177</v>
      </c>
      <c r="F544" s="1" t="s">
        <v>30</v>
      </c>
      <c r="G544" s="1" t="s">
        <v>3473</v>
      </c>
      <c r="H544" s="1" t="s">
        <v>1762</v>
      </c>
      <c r="I544" t="b">
        <f>COUNTIF(Estadísticas!I:I,'centraldecomunicacion.es'!H544)&gt;0</f>
        <v>0</v>
      </c>
    </row>
    <row r="545" spans="1:9" hidden="1">
      <c r="A545" s="1" t="s">
        <v>3474</v>
      </c>
      <c r="B545" s="1" t="s">
        <v>10</v>
      </c>
      <c r="C545" s="1" t="s">
        <v>3475</v>
      </c>
      <c r="D545" s="1" t="s">
        <v>177</v>
      </c>
      <c r="E545" s="1" t="s">
        <v>177</v>
      </c>
      <c r="F545" s="1" t="s">
        <v>30</v>
      </c>
      <c r="G545" s="1" t="s">
        <v>3476</v>
      </c>
      <c r="H545" s="1" t="s">
        <v>1762</v>
      </c>
      <c r="I545" t="b">
        <f>COUNTIF(Estadísticas!I:I,'centraldecomunicacion.es'!H545)&gt;0</f>
        <v>0</v>
      </c>
    </row>
    <row r="546" spans="1:9" hidden="1">
      <c r="A546" s="1" t="s">
        <v>3477</v>
      </c>
      <c r="B546" s="1" t="s">
        <v>10</v>
      </c>
      <c r="C546" s="1" t="s">
        <v>3478</v>
      </c>
      <c r="D546" s="1" t="s">
        <v>177</v>
      </c>
      <c r="E546" s="1" t="s">
        <v>177</v>
      </c>
      <c r="F546" s="1" t="s">
        <v>3479</v>
      </c>
      <c r="G546" s="1" t="s">
        <v>3480</v>
      </c>
      <c r="H546" s="1" t="s">
        <v>3481</v>
      </c>
      <c r="I546" t="b">
        <f>COUNTIF(Estadísticas!I:I,'centraldecomunicacion.es'!H546)&gt;0</f>
        <v>0</v>
      </c>
    </row>
    <row r="547" spans="1:9" hidden="1">
      <c r="A547" s="1" t="s">
        <v>3482</v>
      </c>
      <c r="B547" s="1" t="s">
        <v>10</v>
      </c>
      <c r="C547" s="1" t="s">
        <v>3483</v>
      </c>
      <c r="D547" s="1" t="s">
        <v>177</v>
      </c>
      <c r="E547" s="1" t="s">
        <v>177</v>
      </c>
      <c r="F547" s="1" t="s">
        <v>3484</v>
      </c>
      <c r="G547" s="1" t="s">
        <v>3485</v>
      </c>
      <c r="H547" s="1" t="s">
        <v>3486</v>
      </c>
      <c r="I547" t="b">
        <f>COUNTIF(Estadísticas!I:I,'centraldecomunicacion.es'!H547)&gt;0</f>
        <v>0</v>
      </c>
    </row>
    <row r="548" spans="1:9" hidden="1">
      <c r="A548" s="1" t="s">
        <v>3487</v>
      </c>
      <c r="B548" s="1" t="s">
        <v>10</v>
      </c>
      <c r="C548" s="1" t="s">
        <v>3488</v>
      </c>
      <c r="D548" s="1" t="s">
        <v>177</v>
      </c>
      <c r="E548" s="1" t="s">
        <v>177</v>
      </c>
      <c r="F548" s="1" t="s">
        <v>3489</v>
      </c>
      <c r="G548" s="1" t="s">
        <v>3490</v>
      </c>
      <c r="H548" s="1" t="s">
        <v>3491</v>
      </c>
      <c r="I548" t="b">
        <f>COUNTIF(Estadísticas!I:I,'centraldecomunicacion.es'!H548)&gt;0</f>
        <v>0</v>
      </c>
    </row>
    <row r="549" spans="1:9" hidden="1">
      <c r="A549" s="1" t="s">
        <v>3492</v>
      </c>
      <c r="B549" s="1" t="s">
        <v>10</v>
      </c>
      <c r="C549" s="1" t="s">
        <v>3493</v>
      </c>
      <c r="D549" s="1" t="s">
        <v>177</v>
      </c>
      <c r="E549" s="1" t="s">
        <v>177</v>
      </c>
      <c r="F549" s="1" t="s">
        <v>30</v>
      </c>
      <c r="G549" s="1" t="s">
        <v>3494</v>
      </c>
      <c r="H549" s="1" t="s">
        <v>1762</v>
      </c>
      <c r="I549" t="b">
        <f>COUNTIF(Estadísticas!I:I,'centraldecomunicacion.es'!H549)&gt;0</f>
        <v>0</v>
      </c>
    </row>
    <row r="550" spans="1:9" hidden="1">
      <c r="A550" s="1" t="s">
        <v>3495</v>
      </c>
      <c r="B550" s="1" t="s">
        <v>10</v>
      </c>
      <c r="C550" s="1" t="s">
        <v>3496</v>
      </c>
      <c r="D550" s="1" t="s">
        <v>177</v>
      </c>
      <c r="E550" s="1" t="s">
        <v>177</v>
      </c>
      <c r="F550" s="1" t="s">
        <v>3497</v>
      </c>
      <c r="G550" s="1" t="s">
        <v>3410</v>
      </c>
      <c r="H550" s="1" t="s">
        <v>3498</v>
      </c>
      <c r="I550" t="b">
        <f>COUNTIF(Estadísticas!I:I,'centraldecomunicacion.es'!H550)&gt;0</f>
        <v>0</v>
      </c>
    </row>
    <row r="551" spans="1:9">
      <c r="A551" s="1" t="s">
        <v>198</v>
      </c>
      <c r="B551" s="1" t="s">
        <v>10</v>
      </c>
      <c r="C551" s="1" t="s">
        <v>199</v>
      </c>
      <c r="D551" s="1" t="s">
        <v>200</v>
      </c>
      <c r="E551" s="1" t="s">
        <v>177</v>
      </c>
      <c r="F551" s="1" t="s">
        <v>201</v>
      </c>
      <c r="G551" s="1" t="s">
        <v>202</v>
      </c>
      <c r="H551" s="1" t="s">
        <v>203</v>
      </c>
      <c r="I551" t="b">
        <f>COUNTIF(Estadísticas!I:I,'centraldecomunicacion.es'!H551)&gt;0</f>
        <v>1</v>
      </c>
    </row>
    <row r="552" spans="1:9">
      <c r="A552" s="1" t="s">
        <v>3499</v>
      </c>
      <c r="B552" s="1" t="s">
        <v>10</v>
      </c>
      <c r="C552" s="1" t="s">
        <v>3500</v>
      </c>
      <c r="D552" s="1" t="s">
        <v>194</v>
      </c>
      <c r="E552" s="1" t="s">
        <v>177</v>
      </c>
      <c r="F552" s="1" t="s">
        <v>3501</v>
      </c>
      <c r="G552" s="1" t="s">
        <v>3410</v>
      </c>
      <c r="H552" s="1" t="s">
        <v>186</v>
      </c>
      <c r="I552" t="b">
        <f>COUNTIF(Estadísticas!I:I,'centraldecomunicacion.es'!H552)&gt;0</f>
        <v>1</v>
      </c>
    </row>
    <row r="553" spans="1:9" hidden="1">
      <c r="A553" s="1" t="s">
        <v>3502</v>
      </c>
      <c r="B553" s="1" t="s">
        <v>10</v>
      </c>
      <c r="C553" s="1" t="s">
        <v>30</v>
      </c>
      <c r="D553" s="1" t="s">
        <v>3379</v>
      </c>
      <c r="E553" s="1" t="s">
        <v>30</v>
      </c>
      <c r="F553" s="1" t="s">
        <v>1984</v>
      </c>
      <c r="G553" s="1" t="s">
        <v>3503</v>
      </c>
      <c r="H553" s="1" t="s">
        <v>1762</v>
      </c>
      <c r="I553" t="b">
        <f>COUNTIF(Estadísticas!I:I,'centraldecomunicacion.es'!H553)&gt;0</f>
        <v>0</v>
      </c>
    </row>
    <row r="554" spans="1:9" hidden="1">
      <c r="A554" s="1" t="s">
        <v>3504</v>
      </c>
      <c r="B554" s="1" t="s">
        <v>10</v>
      </c>
      <c r="C554" s="1" t="s">
        <v>3505</v>
      </c>
      <c r="D554" s="1" t="s">
        <v>177</v>
      </c>
      <c r="E554" s="1" t="s">
        <v>177</v>
      </c>
      <c r="F554" s="1" t="s">
        <v>3506</v>
      </c>
      <c r="G554" s="1" t="s">
        <v>3507</v>
      </c>
      <c r="H554" s="1" t="s">
        <v>3508</v>
      </c>
      <c r="I554" t="b">
        <f>COUNTIF(Estadísticas!I:I,'centraldecomunicacion.es'!H554)&gt;0</f>
        <v>0</v>
      </c>
    </row>
    <row r="555" spans="1:9" hidden="1">
      <c r="A555" s="1" t="s">
        <v>3509</v>
      </c>
      <c r="B555" s="1" t="s">
        <v>10</v>
      </c>
      <c r="C555" s="1" t="s">
        <v>3510</v>
      </c>
      <c r="D555" s="1" t="s">
        <v>3511</v>
      </c>
      <c r="E555" s="1" t="s">
        <v>177</v>
      </c>
      <c r="F555" s="1" t="s">
        <v>3349</v>
      </c>
      <c r="G555" s="1" t="s">
        <v>3350</v>
      </c>
      <c r="H555" s="1" t="s">
        <v>3351</v>
      </c>
      <c r="I555" t="b">
        <f>COUNTIF(Estadísticas!I:I,'centraldecomunicacion.es'!H555)&gt;0</f>
        <v>0</v>
      </c>
    </row>
    <row r="556" spans="1:9">
      <c r="A556" s="1" t="s">
        <v>3512</v>
      </c>
      <c r="B556" s="1" t="s">
        <v>10</v>
      </c>
      <c r="C556" s="1" t="s">
        <v>3513</v>
      </c>
      <c r="D556" s="1" t="s">
        <v>3514</v>
      </c>
      <c r="E556" s="1" t="s">
        <v>177</v>
      </c>
      <c r="F556" s="1" t="s">
        <v>3515</v>
      </c>
      <c r="G556" s="1" t="s">
        <v>3410</v>
      </c>
      <c r="H556" s="1" t="s">
        <v>186</v>
      </c>
      <c r="I556" t="b">
        <f>COUNTIF(Estadísticas!I:I,'centraldecomunicacion.es'!H556)&gt;0</f>
        <v>1</v>
      </c>
    </row>
    <row r="557" spans="1:9" hidden="1">
      <c r="A557" s="1" t="s">
        <v>3516</v>
      </c>
      <c r="B557" s="1" t="s">
        <v>10</v>
      </c>
      <c r="C557" s="1" t="s">
        <v>3517</v>
      </c>
      <c r="D557" s="1" t="s">
        <v>3469</v>
      </c>
      <c r="E557" s="1" t="s">
        <v>177</v>
      </c>
      <c r="F557" s="1" t="s">
        <v>3518</v>
      </c>
      <c r="G557" s="1" t="s">
        <v>3519</v>
      </c>
      <c r="H557" s="1" t="s">
        <v>3520</v>
      </c>
      <c r="I557" t="b">
        <f>COUNTIF(Estadísticas!I:I,'centraldecomunicacion.es'!H557)&gt;0</f>
        <v>0</v>
      </c>
    </row>
    <row r="558" spans="1:9" hidden="1">
      <c r="A558" s="1" t="s">
        <v>3521</v>
      </c>
      <c r="B558" s="1" t="s">
        <v>10</v>
      </c>
      <c r="C558" s="1" t="s">
        <v>3522</v>
      </c>
      <c r="D558" s="1" t="s">
        <v>183</v>
      </c>
      <c r="E558" s="1" t="s">
        <v>177</v>
      </c>
      <c r="F558" s="1" t="s">
        <v>30</v>
      </c>
      <c r="G558" s="1" t="s">
        <v>3386</v>
      </c>
      <c r="H558" s="1" t="s">
        <v>1762</v>
      </c>
      <c r="I558" t="b">
        <f>COUNTIF(Estadísticas!I:I,'centraldecomunicacion.es'!H558)&gt;0</f>
        <v>0</v>
      </c>
    </row>
    <row r="559" spans="1:9" hidden="1">
      <c r="A559" s="1" t="s">
        <v>3523</v>
      </c>
      <c r="B559" s="1" t="s">
        <v>10</v>
      </c>
      <c r="C559" s="1" t="s">
        <v>3524</v>
      </c>
      <c r="D559" s="1" t="s">
        <v>177</v>
      </c>
      <c r="E559" s="1" t="s">
        <v>177</v>
      </c>
      <c r="F559" s="1" t="s">
        <v>1984</v>
      </c>
      <c r="G559" s="1" t="s">
        <v>3525</v>
      </c>
      <c r="H559" s="1" t="s">
        <v>1762</v>
      </c>
      <c r="I559" t="b">
        <f>COUNTIF(Estadísticas!I:I,'centraldecomunicacion.es'!H559)&gt;0</f>
        <v>0</v>
      </c>
    </row>
    <row r="560" spans="1:9" hidden="1">
      <c r="A560" s="1" t="s">
        <v>3526</v>
      </c>
      <c r="B560" s="1" t="s">
        <v>10</v>
      </c>
      <c r="C560" s="1" t="s">
        <v>3527</v>
      </c>
      <c r="D560" s="1" t="s">
        <v>177</v>
      </c>
      <c r="E560" s="1" t="s">
        <v>177</v>
      </c>
      <c r="F560" s="1" t="s">
        <v>30</v>
      </c>
      <c r="G560" s="1" t="s">
        <v>3528</v>
      </c>
      <c r="H560" s="1" t="s">
        <v>1762</v>
      </c>
      <c r="I560" t="b">
        <f>COUNTIF(Estadísticas!I:I,'centraldecomunicacion.es'!H560)&gt;0</f>
        <v>0</v>
      </c>
    </row>
    <row r="561" spans="1:9">
      <c r="A561" s="1" t="s">
        <v>204</v>
      </c>
      <c r="B561" s="1" t="s">
        <v>18</v>
      </c>
      <c r="C561" s="1" t="s">
        <v>205</v>
      </c>
      <c r="D561" s="1" t="s">
        <v>177</v>
      </c>
      <c r="E561" s="1" t="s">
        <v>177</v>
      </c>
      <c r="F561" s="1" t="s">
        <v>206</v>
      </c>
      <c r="G561" s="1" t="s">
        <v>207</v>
      </c>
      <c r="H561" s="1" t="s">
        <v>208</v>
      </c>
      <c r="I561" t="b">
        <f>COUNTIF(Estadísticas!I:I,'centraldecomunicacion.es'!H561)&gt;0</f>
        <v>1</v>
      </c>
    </row>
    <row r="562" spans="1:9" hidden="1">
      <c r="A562" s="1" t="s">
        <v>3529</v>
      </c>
      <c r="B562" s="1" t="s">
        <v>10</v>
      </c>
      <c r="C562" s="1" t="s">
        <v>3530</v>
      </c>
      <c r="D562" s="1" t="s">
        <v>183</v>
      </c>
      <c r="E562" s="1" t="s">
        <v>177</v>
      </c>
      <c r="F562" s="1" t="s">
        <v>30</v>
      </c>
      <c r="G562" s="1" t="s">
        <v>3531</v>
      </c>
      <c r="H562" s="1" t="s">
        <v>1762</v>
      </c>
      <c r="I562" t="b">
        <f>COUNTIF(Estadísticas!I:I,'centraldecomunicacion.es'!H562)&gt;0</f>
        <v>0</v>
      </c>
    </row>
    <row r="563" spans="1:9" hidden="1">
      <c r="A563" s="1" t="s">
        <v>3532</v>
      </c>
      <c r="B563" s="1" t="s">
        <v>18</v>
      </c>
      <c r="C563" s="1" t="s">
        <v>3533</v>
      </c>
      <c r="D563" s="1" t="s">
        <v>177</v>
      </c>
      <c r="E563" s="1" t="s">
        <v>177</v>
      </c>
      <c r="F563" s="1" t="s">
        <v>3534</v>
      </c>
      <c r="G563" s="1" t="s">
        <v>3535</v>
      </c>
      <c r="H563" s="1" t="s">
        <v>3536</v>
      </c>
      <c r="I563" t="b">
        <f>COUNTIF(Estadísticas!I:I,'centraldecomunicacion.es'!H563)&gt;0</f>
        <v>0</v>
      </c>
    </row>
    <row r="564" spans="1:9" hidden="1">
      <c r="A564" s="1" t="s">
        <v>3537</v>
      </c>
      <c r="B564" s="1" t="s">
        <v>10</v>
      </c>
      <c r="C564" s="1" t="s">
        <v>3538</v>
      </c>
      <c r="D564" s="1" t="s">
        <v>177</v>
      </c>
      <c r="E564" s="1" t="s">
        <v>177</v>
      </c>
      <c r="F564" s="1" t="s">
        <v>30</v>
      </c>
      <c r="G564" s="1" t="s">
        <v>3539</v>
      </c>
      <c r="H564" s="1" t="s">
        <v>1762</v>
      </c>
      <c r="I564" t="b">
        <f>COUNTIF(Estadísticas!I:I,'centraldecomunicacion.es'!H564)&gt;0</f>
        <v>0</v>
      </c>
    </row>
    <row r="565" spans="1:9" hidden="1">
      <c r="A565" s="1" t="s">
        <v>3540</v>
      </c>
      <c r="B565" s="1" t="s">
        <v>10</v>
      </c>
      <c r="C565" s="1" t="s">
        <v>3541</v>
      </c>
      <c r="D565" s="1" t="s">
        <v>177</v>
      </c>
      <c r="E565" s="1" t="s">
        <v>177</v>
      </c>
      <c r="F565" s="1" t="s">
        <v>30</v>
      </c>
      <c r="G565" s="1" t="s">
        <v>3542</v>
      </c>
      <c r="H565" s="1" t="s">
        <v>1762</v>
      </c>
      <c r="I565" t="b">
        <f>COUNTIF(Estadísticas!I:I,'centraldecomunicacion.es'!H565)&gt;0</f>
        <v>0</v>
      </c>
    </row>
    <row r="566" spans="1:9" hidden="1">
      <c r="A566" s="1" t="s">
        <v>3543</v>
      </c>
      <c r="B566" s="1" t="s">
        <v>10</v>
      </c>
      <c r="C566" s="1" t="s">
        <v>3544</v>
      </c>
      <c r="D566" s="1" t="s">
        <v>183</v>
      </c>
      <c r="E566" s="1" t="s">
        <v>177</v>
      </c>
      <c r="F566" s="1" t="s">
        <v>30</v>
      </c>
      <c r="G566" s="1" t="s">
        <v>3386</v>
      </c>
      <c r="H566" s="1" t="s">
        <v>1762</v>
      </c>
      <c r="I566" t="b">
        <f>COUNTIF(Estadísticas!I:I,'centraldecomunicacion.es'!H566)&gt;0</f>
        <v>0</v>
      </c>
    </row>
    <row r="567" spans="1:9" hidden="1">
      <c r="A567" s="1" t="s">
        <v>3545</v>
      </c>
      <c r="B567" s="1" t="s">
        <v>10</v>
      </c>
      <c r="C567" s="1" t="s">
        <v>3546</v>
      </c>
      <c r="D567" s="1" t="s">
        <v>177</v>
      </c>
      <c r="E567" s="1" t="s">
        <v>177</v>
      </c>
      <c r="F567" s="1" t="s">
        <v>1984</v>
      </c>
      <c r="G567" s="1" t="s">
        <v>3547</v>
      </c>
      <c r="H567" s="1" t="s">
        <v>1762</v>
      </c>
      <c r="I567" t="b">
        <f>COUNTIF(Estadísticas!I:I,'centraldecomunicacion.es'!H567)&gt;0</f>
        <v>0</v>
      </c>
    </row>
    <row r="568" spans="1:9" hidden="1">
      <c r="A568" s="1" t="s">
        <v>3548</v>
      </c>
      <c r="B568" s="1" t="s">
        <v>18</v>
      </c>
      <c r="C568" s="1" t="s">
        <v>3549</v>
      </c>
      <c r="D568" s="1" t="s">
        <v>3550</v>
      </c>
      <c r="E568" s="1" t="s">
        <v>177</v>
      </c>
      <c r="F568" s="1" t="s">
        <v>3404</v>
      </c>
      <c r="G568" s="1" t="s">
        <v>3551</v>
      </c>
      <c r="H568" s="1" t="s">
        <v>3406</v>
      </c>
      <c r="I568" t="b">
        <f>COUNTIF(Estadísticas!I:I,'centraldecomunicacion.es'!H568)&gt;0</f>
        <v>0</v>
      </c>
    </row>
    <row r="569" spans="1:9" hidden="1">
      <c r="A569" s="1" t="s">
        <v>3552</v>
      </c>
      <c r="B569" s="1" t="s">
        <v>10</v>
      </c>
      <c r="C569" s="1" t="s">
        <v>3553</v>
      </c>
      <c r="D569" s="1" t="s">
        <v>177</v>
      </c>
      <c r="E569" s="1" t="s">
        <v>177</v>
      </c>
      <c r="F569" s="1" t="s">
        <v>1984</v>
      </c>
      <c r="G569" s="1" t="s">
        <v>3554</v>
      </c>
      <c r="H569" s="1" t="s">
        <v>1762</v>
      </c>
      <c r="I569" t="b">
        <f>COUNTIF(Estadísticas!I:I,'centraldecomunicacion.es'!H569)&gt;0</f>
        <v>0</v>
      </c>
    </row>
    <row r="570" spans="1:9" hidden="1">
      <c r="A570" s="1" t="s">
        <v>3555</v>
      </c>
      <c r="B570" s="1" t="s">
        <v>18</v>
      </c>
      <c r="C570" s="1" t="s">
        <v>3556</v>
      </c>
      <c r="D570" s="1" t="s">
        <v>3469</v>
      </c>
      <c r="E570" s="1" t="s">
        <v>177</v>
      </c>
      <c r="F570" s="1" t="s">
        <v>2347</v>
      </c>
      <c r="G570" s="1" t="s">
        <v>3557</v>
      </c>
      <c r="H570" s="1" t="s">
        <v>1762</v>
      </c>
      <c r="I570" t="b">
        <f>COUNTIF(Estadísticas!I:I,'centraldecomunicacion.es'!H570)&gt;0</f>
        <v>0</v>
      </c>
    </row>
    <row r="571" spans="1:9" hidden="1">
      <c r="A571" s="1" t="s">
        <v>3558</v>
      </c>
      <c r="B571" s="1" t="s">
        <v>18</v>
      </c>
      <c r="C571" s="1" t="s">
        <v>3559</v>
      </c>
      <c r="D571" s="1" t="s">
        <v>183</v>
      </c>
      <c r="E571" s="1" t="s">
        <v>177</v>
      </c>
      <c r="F571" s="1" t="s">
        <v>3560</v>
      </c>
      <c r="G571" s="1" t="s">
        <v>3561</v>
      </c>
      <c r="H571" s="1" t="s">
        <v>3562</v>
      </c>
      <c r="I571" t="b">
        <f>COUNTIF(Estadísticas!I:I,'centraldecomunicacion.es'!H571)&gt;0</f>
        <v>0</v>
      </c>
    </row>
    <row r="572" spans="1:9" hidden="1">
      <c r="A572" s="1" t="s">
        <v>3563</v>
      </c>
      <c r="B572" s="1" t="s">
        <v>10</v>
      </c>
      <c r="C572" s="1" t="s">
        <v>3564</v>
      </c>
      <c r="D572" s="1" t="s">
        <v>177</v>
      </c>
      <c r="E572" s="1" t="s">
        <v>177</v>
      </c>
      <c r="F572" s="1" t="s">
        <v>3565</v>
      </c>
      <c r="G572" s="1" t="s">
        <v>3566</v>
      </c>
      <c r="H572" s="1" t="s">
        <v>3491</v>
      </c>
      <c r="I572" t="b">
        <f>COUNTIF(Estadísticas!I:I,'centraldecomunicacion.es'!H572)&gt;0</f>
        <v>0</v>
      </c>
    </row>
    <row r="573" spans="1:9" hidden="1">
      <c r="A573" s="1" t="s">
        <v>3567</v>
      </c>
      <c r="B573" s="1" t="s">
        <v>10</v>
      </c>
      <c r="C573" s="1" t="s">
        <v>3568</v>
      </c>
      <c r="D573" s="1" t="s">
        <v>3437</v>
      </c>
      <c r="E573" s="1" t="s">
        <v>177</v>
      </c>
      <c r="F573" s="1" t="s">
        <v>30</v>
      </c>
      <c r="G573" s="1" t="s">
        <v>3569</v>
      </c>
      <c r="H573" s="1" t="s">
        <v>1762</v>
      </c>
      <c r="I573" t="b">
        <f>COUNTIF(Estadísticas!I:I,'centraldecomunicacion.es'!H573)&gt;0</f>
        <v>0</v>
      </c>
    </row>
    <row r="574" spans="1:9" hidden="1">
      <c r="A574" s="1" t="s">
        <v>3570</v>
      </c>
      <c r="B574" s="1" t="s">
        <v>10</v>
      </c>
      <c r="C574" s="1" t="s">
        <v>3571</v>
      </c>
      <c r="D574" s="1" t="s">
        <v>3469</v>
      </c>
      <c r="E574" s="1" t="s">
        <v>177</v>
      </c>
      <c r="F574" s="1" t="s">
        <v>3572</v>
      </c>
      <c r="G574" s="1" t="s">
        <v>3573</v>
      </c>
      <c r="H574" s="1" t="s">
        <v>3574</v>
      </c>
      <c r="I574" t="b">
        <f>COUNTIF(Estadísticas!I:I,'centraldecomunicacion.es'!H574)&gt;0</f>
        <v>0</v>
      </c>
    </row>
    <row r="575" spans="1:9" hidden="1">
      <c r="A575" s="1" t="s">
        <v>3575</v>
      </c>
      <c r="B575" s="1" t="s">
        <v>10</v>
      </c>
      <c r="C575" s="1" t="s">
        <v>30</v>
      </c>
      <c r="D575" s="1" t="s">
        <v>3379</v>
      </c>
      <c r="E575" s="1" t="s">
        <v>30</v>
      </c>
      <c r="F575" s="1" t="s">
        <v>30</v>
      </c>
      <c r="G575" s="1" t="s">
        <v>3576</v>
      </c>
      <c r="H575" s="1" t="s">
        <v>1762</v>
      </c>
      <c r="I575" t="b">
        <f>COUNTIF(Estadísticas!I:I,'centraldecomunicacion.es'!H575)&gt;0</f>
        <v>0</v>
      </c>
    </row>
    <row r="576" spans="1:9" hidden="1">
      <c r="A576" s="1" t="s">
        <v>3577</v>
      </c>
      <c r="B576" s="1" t="s">
        <v>10</v>
      </c>
      <c r="C576" s="1" t="s">
        <v>3578</v>
      </c>
      <c r="D576" s="1" t="s">
        <v>177</v>
      </c>
      <c r="E576" s="1" t="s">
        <v>177</v>
      </c>
      <c r="F576" s="1" t="s">
        <v>30</v>
      </c>
      <c r="G576" s="1" t="s">
        <v>30</v>
      </c>
      <c r="H576" s="1" t="s">
        <v>1762</v>
      </c>
      <c r="I576" t="b">
        <f>COUNTIF(Estadísticas!I:I,'centraldecomunicacion.es'!H576)&gt;0</f>
        <v>0</v>
      </c>
    </row>
    <row r="577" spans="1:9" hidden="1">
      <c r="A577" s="1" t="s">
        <v>3579</v>
      </c>
      <c r="B577" s="1" t="s">
        <v>10</v>
      </c>
      <c r="C577" s="1" t="s">
        <v>3580</v>
      </c>
      <c r="D577" s="1" t="s">
        <v>211</v>
      </c>
      <c r="E577" s="1" t="s">
        <v>177</v>
      </c>
      <c r="F577" s="1" t="s">
        <v>30</v>
      </c>
      <c r="G577" s="1" t="s">
        <v>3581</v>
      </c>
      <c r="H577" s="1" t="s">
        <v>1762</v>
      </c>
      <c r="I577" t="b">
        <f>COUNTIF(Estadísticas!I:I,'centraldecomunicacion.es'!H577)&gt;0</f>
        <v>0</v>
      </c>
    </row>
    <row r="578" spans="1:9" hidden="1">
      <c r="A578" s="1" t="s">
        <v>3582</v>
      </c>
      <c r="B578" s="1" t="s">
        <v>10</v>
      </c>
      <c r="C578" s="1" t="s">
        <v>3583</v>
      </c>
      <c r="D578" s="1" t="s">
        <v>177</v>
      </c>
      <c r="E578" s="1" t="s">
        <v>177</v>
      </c>
      <c r="F578" s="1" t="s">
        <v>30</v>
      </c>
      <c r="G578" s="1" t="s">
        <v>3584</v>
      </c>
      <c r="H578" s="1" t="s">
        <v>1762</v>
      </c>
      <c r="I578" t="b">
        <f>COUNTIF(Estadísticas!I:I,'centraldecomunicacion.es'!H578)&gt;0</f>
        <v>0</v>
      </c>
    </row>
    <row r="579" spans="1:9" hidden="1">
      <c r="A579" s="1" t="s">
        <v>3585</v>
      </c>
      <c r="B579" s="1" t="s">
        <v>10</v>
      </c>
      <c r="C579" s="1" t="s">
        <v>3586</v>
      </c>
      <c r="D579" s="1" t="s">
        <v>183</v>
      </c>
      <c r="E579" s="1" t="s">
        <v>177</v>
      </c>
      <c r="F579" s="1" t="s">
        <v>30</v>
      </c>
      <c r="G579" s="1" t="s">
        <v>3386</v>
      </c>
      <c r="H579" s="1" t="s">
        <v>1762</v>
      </c>
      <c r="I579" t="b">
        <f>COUNTIF(Estadísticas!I:I,'centraldecomunicacion.es'!H579)&gt;0</f>
        <v>0</v>
      </c>
    </row>
    <row r="580" spans="1:9" hidden="1">
      <c r="A580" s="1" t="s">
        <v>3587</v>
      </c>
      <c r="B580" s="1" t="s">
        <v>10</v>
      </c>
      <c r="C580" s="1" t="s">
        <v>3588</v>
      </c>
      <c r="D580" s="1" t="s">
        <v>177</v>
      </c>
      <c r="E580" s="1" t="s">
        <v>177</v>
      </c>
      <c r="F580" s="1" t="s">
        <v>30</v>
      </c>
      <c r="G580" s="1" t="s">
        <v>77</v>
      </c>
      <c r="H580" s="1" t="s">
        <v>1762</v>
      </c>
      <c r="I580" t="b">
        <f>COUNTIF(Estadísticas!I:I,'centraldecomunicacion.es'!H580)&gt;0</f>
        <v>0</v>
      </c>
    </row>
    <row r="581" spans="1:9">
      <c r="A581" s="1" t="s">
        <v>209</v>
      </c>
      <c r="B581" s="1" t="s">
        <v>10</v>
      </c>
      <c r="C581" s="1" t="s">
        <v>210</v>
      </c>
      <c r="D581" s="1" t="s">
        <v>211</v>
      </c>
      <c r="E581" s="1" t="s">
        <v>177</v>
      </c>
      <c r="F581" s="1" t="s">
        <v>212</v>
      </c>
      <c r="G581" s="1" t="s">
        <v>213</v>
      </c>
      <c r="H581" s="1" t="s">
        <v>214</v>
      </c>
      <c r="I581" t="b">
        <f>COUNTIF(Estadísticas!I:I,'centraldecomunicacion.es'!H581)&gt;0</f>
        <v>1</v>
      </c>
    </row>
    <row r="582" spans="1:9" hidden="1">
      <c r="A582" s="1" t="s">
        <v>3589</v>
      </c>
      <c r="B582" s="1" t="s">
        <v>10</v>
      </c>
      <c r="C582" s="1" t="s">
        <v>3590</v>
      </c>
      <c r="D582" s="1" t="s">
        <v>3437</v>
      </c>
      <c r="E582" s="1" t="s">
        <v>177</v>
      </c>
      <c r="F582" s="1" t="s">
        <v>2851</v>
      </c>
      <c r="G582" s="1" t="s">
        <v>3350</v>
      </c>
      <c r="H582" s="1" t="s">
        <v>1762</v>
      </c>
      <c r="I582" t="b">
        <f>COUNTIF(Estadísticas!I:I,'centraldecomunicacion.es'!H582)&gt;0</f>
        <v>0</v>
      </c>
    </row>
    <row r="583" spans="1:9" hidden="1">
      <c r="A583" s="1" t="s">
        <v>3591</v>
      </c>
      <c r="B583" s="1" t="s">
        <v>10</v>
      </c>
      <c r="C583" s="1" t="s">
        <v>3592</v>
      </c>
      <c r="D583" s="1" t="s">
        <v>177</v>
      </c>
      <c r="E583" s="1" t="s">
        <v>177</v>
      </c>
      <c r="F583" s="1" t="s">
        <v>30</v>
      </c>
      <c r="G583" s="1" t="s">
        <v>3386</v>
      </c>
      <c r="H583" s="1" t="s">
        <v>1762</v>
      </c>
      <c r="I583" t="b">
        <f>COUNTIF(Estadísticas!I:I,'centraldecomunicacion.es'!H583)&gt;0</f>
        <v>0</v>
      </c>
    </row>
    <row r="584" spans="1:9" hidden="1">
      <c r="A584" s="1" t="s">
        <v>3593</v>
      </c>
      <c r="B584" s="1" t="s">
        <v>10</v>
      </c>
      <c r="C584" s="1" t="s">
        <v>3594</v>
      </c>
      <c r="D584" s="1" t="s">
        <v>211</v>
      </c>
      <c r="E584" s="1" t="s">
        <v>177</v>
      </c>
      <c r="F584" s="1" t="s">
        <v>3595</v>
      </c>
      <c r="G584" s="1" t="s">
        <v>3596</v>
      </c>
      <c r="H584" s="1" t="s">
        <v>3597</v>
      </c>
      <c r="I584" t="b">
        <f>COUNTIF(Estadísticas!I:I,'centraldecomunicacion.es'!H584)&gt;0</f>
        <v>0</v>
      </c>
    </row>
    <row r="585" spans="1:9" hidden="1">
      <c r="A585" s="1" t="s">
        <v>3482</v>
      </c>
      <c r="B585" s="1" t="s">
        <v>10</v>
      </c>
      <c r="C585" s="1" t="s">
        <v>3598</v>
      </c>
      <c r="D585" s="1" t="s">
        <v>177</v>
      </c>
      <c r="E585" s="1" t="s">
        <v>177</v>
      </c>
      <c r="F585" s="1" t="s">
        <v>30</v>
      </c>
      <c r="G585" s="1" t="s">
        <v>3386</v>
      </c>
      <c r="H585" s="1" t="s">
        <v>1762</v>
      </c>
      <c r="I585" t="b">
        <f>COUNTIF(Estadísticas!I:I,'centraldecomunicacion.es'!H585)&gt;0</f>
        <v>0</v>
      </c>
    </row>
    <row r="586" spans="1:9" hidden="1">
      <c r="A586" s="1" t="s">
        <v>3599</v>
      </c>
      <c r="B586" s="1" t="s">
        <v>10</v>
      </c>
      <c r="C586" s="1" t="s">
        <v>30</v>
      </c>
      <c r="D586" s="1" t="s">
        <v>3379</v>
      </c>
      <c r="E586" s="1" t="s">
        <v>30</v>
      </c>
      <c r="F586" s="1" t="s">
        <v>30</v>
      </c>
      <c r="G586" s="1" t="s">
        <v>3386</v>
      </c>
      <c r="H586" s="1" t="s">
        <v>1762</v>
      </c>
      <c r="I586" t="b">
        <f>COUNTIF(Estadísticas!I:I,'centraldecomunicacion.es'!H586)&gt;0</f>
        <v>0</v>
      </c>
    </row>
    <row r="587" spans="1:9" hidden="1">
      <c r="A587" s="1" t="s">
        <v>3600</v>
      </c>
      <c r="B587" s="1" t="s">
        <v>10</v>
      </c>
      <c r="C587" s="1" t="s">
        <v>3601</v>
      </c>
      <c r="D587" s="1" t="s">
        <v>3602</v>
      </c>
      <c r="E587" s="1" t="s">
        <v>177</v>
      </c>
      <c r="F587" s="1" t="s">
        <v>1984</v>
      </c>
      <c r="G587" s="1" t="s">
        <v>3603</v>
      </c>
      <c r="H587" s="1" t="s">
        <v>1762</v>
      </c>
      <c r="I587" t="b">
        <f>COUNTIF(Estadísticas!I:I,'centraldecomunicacion.es'!H587)&gt;0</f>
        <v>0</v>
      </c>
    </row>
    <row r="588" spans="1:9" hidden="1">
      <c r="A588" s="1" t="s">
        <v>3604</v>
      </c>
      <c r="B588" s="1" t="s">
        <v>10</v>
      </c>
      <c r="C588" s="1" t="s">
        <v>3605</v>
      </c>
      <c r="D588" s="1" t="s">
        <v>194</v>
      </c>
      <c r="E588" s="1" t="s">
        <v>177</v>
      </c>
      <c r="F588" s="1" t="s">
        <v>30</v>
      </c>
      <c r="G588" s="1" t="s">
        <v>30</v>
      </c>
      <c r="H588" s="1" t="s">
        <v>1762</v>
      </c>
      <c r="I588" t="b">
        <f>COUNTIF(Estadísticas!I:I,'centraldecomunicacion.es'!H588)&gt;0</f>
        <v>0</v>
      </c>
    </row>
    <row r="589" spans="1:9" hidden="1">
      <c r="A589" s="1" t="s">
        <v>3606</v>
      </c>
      <c r="B589" s="1" t="s">
        <v>10</v>
      </c>
      <c r="C589" s="1" t="s">
        <v>3607</v>
      </c>
      <c r="D589" s="1" t="s">
        <v>177</v>
      </c>
      <c r="E589" s="1" t="s">
        <v>177</v>
      </c>
      <c r="F589" s="1" t="s">
        <v>30</v>
      </c>
      <c r="G589" s="1" t="s">
        <v>30</v>
      </c>
      <c r="H589" s="1" t="s">
        <v>1762</v>
      </c>
      <c r="I589" t="b">
        <f>COUNTIF(Estadísticas!I:I,'centraldecomunicacion.es'!H589)&gt;0</f>
        <v>0</v>
      </c>
    </row>
    <row r="590" spans="1:9" hidden="1">
      <c r="A590" s="1" t="s">
        <v>3608</v>
      </c>
      <c r="B590" s="1" t="s">
        <v>10</v>
      </c>
      <c r="C590" s="1" t="s">
        <v>3609</v>
      </c>
      <c r="D590" s="1" t="s">
        <v>200</v>
      </c>
      <c r="E590" s="1" t="s">
        <v>177</v>
      </c>
      <c r="F590" s="1" t="s">
        <v>3610</v>
      </c>
      <c r="G590" s="1" t="s">
        <v>202</v>
      </c>
      <c r="H590" s="1" t="s">
        <v>3611</v>
      </c>
      <c r="I590" t="b">
        <f>COUNTIF(Estadísticas!I:I,'centraldecomunicacion.es'!H590)&gt;0</f>
        <v>0</v>
      </c>
    </row>
    <row r="591" spans="1:9" hidden="1">
      <c r="A591" s="1" t="s">
        <v>3612</v>
      </c>
      <c r="B591" s="1" t="s">
        <v>10</v>
      </c>
      <c r="C591" s="1" t="s">
        <v>3613</v>
      </c>
      <c r="D591" s="1" t="s">
        <v>177</v>
      </c>
      <c r="E591" s="1" t="s">
        <v>177</v>
      </c>
      <c r="F591" s="1" t="s">
        <v>1864</v>
      </c>
      <c r="G591" s="1" t="s">
        <v>1865</v>
      </c>
      <c r="H591" s="1" t="s">
        <v>1762</v>
      </c>
      <c r="I591" t="b">
        <f>COUNTIF(Estadísticas!I:I,'centraldecomunicacion.es'!H591)&gt;0</f>
        <v>0</v>
      </c>
    </row>
    <row r="592" spans="1:9" hidden="1">
      <c r="A592" s="1" t="s">
        <v>3614</v>
      </c>
      <c r="B592" s="1" t="s">
        <v>10</v>
      </c>
      <c r="C592" s="1" t="s">
        <v>30</v>
      </c>
      <c r="D592" s="1" t="s">
        <v>3379</v>
      </c>
      <c r="E592" s="1" t="s">
        <v>30</v>
      </c>
      <c r="F592" s="1" t="s">
        <v>1984</v>
      </c>
      <c r="G592" s="1" t="s">
        <v>3615</v>
      </c>
      <c r="H592" s="1" t="s">
        <v>1762</v>
      </c>
      <c r="I592" t="b">
        <f>COUNTIF(Estadísticas!I:I,'centraldecomunicacion.es'!H592)&gt;0</f>
        <v>0</v>
      </c>
    </row>
    <row r="593" spans="1:9" hidden="1">
      <c r="A593" s="1" t="s">
        <v>3616</v>
      </c>
      <c r="B593" s="1" t="s">
        <v>10</v>
      </c>
      <c r="C593" s="1" t="s">
        <v>3617</v>
      </c>
      <c r="D593" s="1" t="s">
        <v>177</v>
      </c>
      <c r="E593" s="1" t="s">
        <v>177</v>
      </c>
      <c r="F593" s="1" t="s">
        <v>3618</v>
      </c>
      <c r="G593" s="1" t="s">
        <v>3619</v>
      </c>
      <c r="H593" s="1" t="s">
        <v>1762</v>
      </c>
      <c r="I593" t="b">
        <f>COUNTIF(Estadísticas!I:I,'centraldecomunicacion.es'!H593)&gt;0</f>
        <v>0</v>
      </c>
    </row>
    <row r="594" spans="1:9" hidden="1">
      <c r="A594" s="1" t="s">
        <v>3620</v>
      </c>
      <c r="B594" s="1" t="s">
        <v>10</v>
      </c>
      <c r="C594" s="1" t="s">
        <v>3621</v>
      </c>
      <c r="D594" s="1" t="s">
        <v>3437</v>
      </c>
      <c r="E594" s="1" t="s">
        <v>177</v>
      </c>
      <c r="F594" s="1" t="s">
        <v>3622</v>
      </c>
      <c r="G594" s="1" t="s">
        <v>3569</v>
      </c>
      <c r="H594" s="1" t="s">
        <v>3623</v>
      </c>
      <c r="I594" t="b">
        <f>COUNTIF(Estadísticas!I:I,'centraldecomunicacion.es'!H594)&gt;0</f>
        <v>0</v>
      </c>
    </row>
    <row r="595" spans="1:9" hidden="1">
      <c r="A595" s="1" t="s">
        <v>3624</v>
      </c>
      <c r="B595" s="1" t="s">
        <v>10</v>
      </c>
      <c r="C595" s="1" t="s">
        <v>3625</v>
      </c>
      <c r="D595" s="1" t="s">
        <v>3626</v>
      </c>
      <c r="E595" s="1" t="s">
        <v>177</v>
      </c>
      <c r="F595" s="1" t="s">
        <v>3627</v>
      </c>
      <c r="G595" s="1" t="s">
        <v>3628</v>
      </c>
      <c r="H595" s="1" t="s">
        <v>3629</v>
      </c>
      <c r="I595" t="b">
        <f>COUNTIF(Estadísticas!I:I,'centraldecomunicacion.es'!H595)&gt;0</f>
        <v>0</v>
      </c>
    </row>
    <row r="596" spans="1:9" hidden="1">
      <c r="A596" s="1" t="s">
        <v>3630</v>
      </c>
      <c r="B596" s="1" t="s">
        <v>10</v>
      </c>
      <c r="C596" s="1" t="s">
        <v>3631</v>
      </c>
      <c r="D596" s="1" t="s">
        <v>177</v>
      </c>
      <c r="E596" s="1" t="s">
        <v>177</v>
      </c>
      <c r="F596" s="1" t="s">
        <v>30</v>
      </c>
      <c r="G596" s="1" t="s">
        <v>30</v>
      </c>
      <c r="H596" s="1" t="s">
        <v>1762</v>
      </c>
      <c r="I596" t="b">
        <f>COUNTIF(Estadísticas!I:I,'centraldecomunicacion.es'!H596)&gt;0</f>
        <v>0</v>
      </c>
    </row>
    <row r="597" spans="1:9" hidden="1">
      <c r="A597" s="1" t="s">
        <v>3632</v>
      </c>
      <c r="B597" s="1" t="s">
        <v>10</v>
      </c>
      <c r="C597" s="1" t="s">
        <v>3633</v>
      </c>
      <c r="D597" s="1" t="s">
        <v>177</v>
      </c>
      <c r="E597" s="1" t="s">
        <v>177</v>
      </c>
      <c r="F597" s="1" t="s">
        <v>30</v>
      </c>
      <c r="G597" s="1" t="s">
        <v>3634</v>
      </c>
      <c r="H597" s="1" t="s">
        <v>1762</v>
      </c>
      <c r="I597" t="b">
        <f>COUNTIF(Estadísticas!I:I,'centraldecomunicacion.es'!H597)&gt;0</f>
        <v>0</v>
      </c>
    </row>
    <row r="598" spans="1:9" hidden="1">
      <c r="A598" s="1" t="s">
        <v>3635</v>
      </c>
      <c r="B598" s="1" t="s">
        <v>10</v>
      </c>
      <c r="C598" s="1" t="s">
        <v>3636</v>
      </c>
      <c r="D598" s="1" t="s">
        <v>177</v>
      </c>
      <c r="E598" s="1" t="s">
        <v>177</v>
      </c>
      <c r="F598" s="1" t="s">
        <v>30</v>
      </c>
      <c r="G598" s="1" t="s">
        <v>30</v>
      </c>
      <c r="H598" s="1" t="s">
        <v>1762</v>
      </c>
      <c r="I598" t="b">
        <f>COUNTIF(Estadísticas!I:I,'centraldecomunicacion.es'!H598)&gt;0</f>
        <v>0</v>
      </c>
    </row>
    <row r="599" spans="1:9" hidden="1">
      <c r="A599" s="1" t="s">
        <v>3637</v>
      </c>
      <c r="B599" s="1" t="s">
        <v>10</v>
      </c>
      <c r="C599" s="1" t="s">
        <v>3638</v>
      </c>
      <c r="D599" s="1" t="s">
        <v>3639</v>
      </c>
      <c r="E599" s="1" t="s">
        <v>177</v>
      </c>
      <c r="F599" s="1" t="s">
        <v>30</v>
      </c>
      <c r="G599" s="1" t="s">
        <v>3640</v>
      </c>
      <c r="H599" s="1" t="s">
        <v>1762</v>
      </c>
      <c r="I599" t="b">
        <f>COUNTIF(Estadísticas!I:I,'centraldecomunicacion.es'!H599)&gt;0</f>
        <v>0</v>
      </c>
    </row>
    <row r="600" spans="1:9" hidden="1">
      <c r="A600" s="1" t="s">
        <v>3641</v>
      </c>
      <c r="B600" s="1" t="s">
        <v>10</v>
      </c>
      <c r="C600" s="1" t="s">
        <v>3642</v>
      </c>
      <c r="D600" s="1" t="s">
        <v>177</v>
      </c>
      <c r="E600" s="1" t="s">
        <v>177</v>
      </c>
      <c r="F600" s="1" t="s">
        <v>1984</v>
      </c>
      <c r="G600" s="1" t="s">
        <v>3643</v>
      </c>
      <c r="H600" s="1" t="s">
        <v>1762</v>
      </c>
      <c r="I600" t="b">
        <f>COUNTIF(Estadísticas!I:I,'centraldecomunicacion.es'!H600)&gt;0</f>
        <v>0</v>
      </c>
    </row>
    <row r="601" spans="1:9" hidden="1">
      <c r="A601" s="1" t="s">
        <v>3644</v>
      </c>
      <c r="B601" s="1" t="s">
        <v>10</v>
      </c>
      <c r="C601" s="1" t="s">
        <v>3645</v>
      </c>
      <c r="D601" s="1" t="s">
        <v>177</v>
      </c>
      <c r="E601" s="1" t="s">
        <v>177</v>
      </c>
      <c r="F601" s="1" t="s">
        <v>30</v>
      </c>
      <c r="G601" s="1" t="s">
        <v>3646</v>
      </c>
      <c r="H601" s="1" t="s">
        <v>1762</v>
      </c>
      <c r="I601" t="b">
        <f>COUNTIF(Estadísticas!I:I,'centraldecomunicacion.es'!H601)&gt;0</f>
        <v>0</v>
      </c>
    </row>
    <row r="602" spans="1:9" hidden="1">
      <c r="A602" s="1" t="s">
        <v>3647</v>
      </c>
      <c r="B602" s="1" t="s">
        <v>10</v>
      </c>
      <c r="C602" s="1" t="s">
        <v>3648</v>
      </c>
      <c r="D602" s="1" t="s">
        <v>177</v>
      </c>
      <c r="E602" s="1" t="s">
        <v>177</v>
      </c>
      <c r="F602" s="1" t="s">
        <v>30</v>
      </c>
      <c r="G602" s="1" t="s">
        <v>30</v>
      </c>
      <c r="H602" s="1" t="s">
        <v>1762</v>
      </c>
      <c r="I602" t="b">
        <f>COUNTIF(Estadísticas!I:I,'centraldecomunicacion.es'!H602)&gt;0</f>
        <v>0</v>
      </c>
    </row>
    <row r="603" spans="1:9" hidden="1">
      <c r="A603" s="1" t="s">
        <v>3649</v>
      </c>
      <c r="B603" s="1" t="s">
        <v>10</v>
      </c>
      <c r="C603" s="1" t="s">
        <v>3650</v>
      </c>
      <c r="D603" s="1" t="s">
        <v>177</v>
      </c>
      <c r="E603" s="1" t="s">
        <v>177</v>
      </c>
      <c r="F603" s="1" t="s">
        <v>30</v>
      </c>
      <c r="G603" s="1" t="s">
        <v>30</v>
      </c>
      <c r="H603" s="1" t="s">
        <v>1762</v>
      </c>
      <c r="I603" t="b">
        <f>COUNTIF(Estadísticas!I:I,'centraldecomunicacion.es'!H603)&gt;0</f>
        <v>0</v>
      </c>
    </row>
    <row r="604" spans="1:9" hidden="1">
      <c r="A604" s="1" t="s">
        <v>3651</v>
      </c>
      <c r="B604" s="1" t="s">
        <v>10</v>
      </c>
      <c r="C604" s="1" t="s">
        <v>3652</v>
      </c>
      <c r="D604" s="1" t="s">
        <v>177</v>
      </c>
      <c r="E604" s="1" t="s">
        <v>177</v>
      </c>
      <c r="F604" s="1" t="s">
        <v>30</v>
      </c>
      <c r="G604" s="1" t="s">
        <v>3653</v>
      </c>
      <c r="H604" s="1" t="s">
        <v>1762</v>
      </c>
      <c r="I604" t="b">
        <f>COUNTIF(Estadísticas!I:I,'centraldecomunicacion.es'!H604)&gt;0</f>
        <v>0</v>
      </c>
    </row>
    <row r="605" spans="1:9" hidden="1">
      <c r="A605" s="1" t="s">
        <v>3654</v>
      </c>
      <c r="B605" s="1" t="s">
        <v>10</v>
      </c>
      <c r="C605" s="1" t="s">
        <v>3655</v>
      </c>
      <c r="D605" s="1" t="s">
        <v>177</v>
      </c>
      <c r="E605" s="1" t="s">
        <v>177</v>
      </c>
      <c r="F605" s="1" t="s">
        <v>30</v>
      </c>
      <c r="G605" s="1" t="s">
        <v>3656</v>
      </c>
      <c r="H605" s="1" t="s">
        <v>1762</v>
      </c>
      <c r="I605" t="b">
        <f>COUNTIF(Estadísticas!I:I,'centraldecomunicacion.es'!H605)&gt;0</f>
        <v>0</v>
      </c>
    </row>
    <row r="606" spans="1:9" hidden="1">
      <c r="A606" s="1" t="s">
        <v>3657</v>
      </c>
      <c r="B606" s="1" t="s">
        <v>10</v>
      </c>
      <c r="C606" s="1" t="s">
        <v>3658</v>
      </c>
      <c r="D606" s="1" t="s">
        <v>183</v>
      </c>
      <c r="E606" s="1" t="s">
        <v>177</v>
      </c>
      <c r="F606" s="1" t="s">
        <v>3659</v>
      </c>
      <c r="G606" s="1" t="s">
        <v>3427</v>
      </c>
      <c r="H606" s="1" t="s">
        <v>3660</v>
      </c>
      <c r="I606" t="b">
        <f>COUNTIF(Estadísticas!I:I,'centraldecomunicacion.es'!H606)&gt;0</f>
        <v>0</v>
      </c>
    </row>
    <row r="607" spans="1:9" hidden="1">
      <c r="A607" s="1" t="s">
        <v>3661</v>
      </c>
      <c r="B607" s="1" t="s">
        <v>10</v>
      </c>
      <c r="C607" s="1" t="s">
        <v>3662</v>
      </c>
      <c r="D607" s="1" t="s">
        <v>3663</v>
      </c>
      <c r="E607" s="1" t="s">
        <v>177</v>
      </c>
      <c r="F607" s="1" t="s">
        <v>3664</v>
      </c>
      <c r="G607" s="1" t="s">
        <v>3665</v>
      </c>
      <c r="H607" s="1" t="s">
        <v>3666</v>
      </c>
      <c r="I607" t="b">
        <f>COUNTIF(Estadísticas!I:I,'centraldecomunicacion.es'!H607)&gt;0</f>
        <v>0</v>
      </c>
    </row>
    <row r="608" spans="1:9" hidden="1">
      <c r="A608" s="1" t="s">
        <v>3667</v>
      </c>
      <c r="B608" s="1" t="s">
        <v>10</v>
      </c>
      <c r="C608" s="1" t="s">
        <v>3668</v>
      </c>
      <c r="D608" s="1" t="s">
        <v>183</v>
      </c>
      <c r="E608" s="1" t="s">
        <v>177</v>
      </c>
      <c r="F608" s="1" t="s">
        <v>30</v>
      </c>
      <c r="G608" s="1" t="s">
        <v>30</v>
      </c>
      <c r="H608" s="1" t="s">
        <v>1762</v>
      </c>
      <c r="I608" t="b">
        <f>COUNTIF(Estadísticas!I:I,'centraldecomunicacion.es'!H608)&gt;0</f>
        <v>0</v>
      </c>
    </row>
    <row r="609" spans="1:9" hidden="1">
      <c r="A609" s="1" t="s">
        <v>3669</v>
      </c>
      <c r="B609" s="1" t="s">
        <v>10</v>
      </c>
      <c r="C609" s="1" t="s">
        <v>3670</v>
      </c>
      <c r="D609" s="1" t="s">
        <v>177</v>
      </c>
      <c r="E609" s="1" t="s">
        <v>177</v>
      </c>
      <c r="F609" s="1" t="s">
        <v>30</v>
      </c>
      <c r="G609" s="1" t="s">
        <v>3671</v>
      </c>
      <c r="H609" s="1" t="s">
        <v>1762</v>
      </c>
      <c r="I609" t="b">
        <f>COUNTIF(Estadísticas!I:I,'centraldecomunicacion.es'!H609)&gt;0</f>
        <v>0</v>
      </c>
    </row>
    <row r="610" spans="1:9" hidden="1">
      <c r="A610" s="1" t="s">
        <v>3672</v>
      </c>
      <c r="B610" s="1" t="s">
        <v>10</v>
      </c>
      <c r="C610" s="1" t="s">
        <v>3673</v>
      </c>
      <c r="D610" s="1" t="s">
        <v>177</v>
      </c>
      <c r="E610" s="1" t="s">
        <v>177</v>
      </c>
      <c r="F610" s="1" t="s">
        <v>30</v>
      </c>
      <c r="G610" s="1" t="s">
        <v>3674</v>
      </c>
      <c r="H610" s="1" t="s">
        <v>1762</v>
      </c>
      <c r="I610" t="b">
        <f>COUNTIF(Estadísticas!I:I,'centraldecomunicacion.es'!H610)&gt;0</f>
        <v>0</v>
      </c>
    </row>
    <row r="611" spans="1:9" hidden="1">
      <c r="A611" s="1" t="s">
        <v>3675</v>
      </c>
      <c r="B611" s="1" t="s">
        <v>10</v>
      </c>
      <c r="C611" s="1" t="s">
        <v>3676</v>
      </c>
      <c r="D611" s="1" t="s">
        <v>177</v>
      </c>
      <c r="E611" s="1" t="s">
        <v>177</v>
      </c>
      <c r="F611" s="1" t="s">
        <v>30</v>
      </c>
      <c r="G611" s="1" t="s">
        <v>30</v>
      </c>
      <c r="H611" s="1" t="s">
        <v>1762</v>
      </c>
      <c r="I611" t="b">
        <f>COUNTIF(Estadísticas!I:I,'centraldecomunicacion.es'!H611)&gt;0</f>
        <v>0</v>
      </c>
    </row>
    <row r="612" spans="1:9" hidden="1">
      <c r="A612" s="1" t="s">
        <v>3677</v>
      </c>
      <c r="B612" s="1" t="s">
        <v>18</v>
      </c>
      <c r="C612" s="1" t="s">
        <v>3678</v>
      </c>
      <c r="D612" s="1" t="s">
        <v>177</v>
      </c>
      <c r="E612" s="1" t="s">
        <v>177</v>
      </c>
      <c r="F612" s="1" t="s">
        <v>3679</v>
      </c>
      <c r="G612" s="1" t="s">
        <v>3680</v>
      </c>
      <c r="H612" s="1" t="s">
        <v>3681</v>
      </c>
      <c r="I612" t="b">
        <f>COUNTIF(Estadísticas!I:I,'centraldecomunicacion.es'!H612)&gt;0</f>
        <v>0</v>
      </c>
    </row>
    <row r="613" spans="1:9" hidden="1">
      <c r="A613" s="1" t="s">
        <v>3682</v>
      </c>
      <c r="B613" s="1" t="s">
        <v>10</v>
      </c>
      <c r="C613" s="1" t="s">
        <v>3683</v>
      </c>
      <c r="D613" s="1" t="s">
        <v>177</v>
      </c>
      <c r="E613" s="1" t="s">
        <v>177</v>
      </c>
      <c r="F613" s="1" t="s">
        <v>30</v>
      </c>
      <c r="G613" s="1" t="s">
        <v>3684</v>
      </c>
      <c r="H613" s="1" t="s">
        <v>1762</v>
      </c>
      <c r="I613" t="b">
        <f>COUNTIF(Estadísticas!I:I,'centraldecomunicacion.es'!H613)&gt;0</f>
        <v>0</v>
      </c>
    </row>
    <row r="614" spans="1:9" hidden="1">
      <c r="A614" s="1" t="s">
        <v>3685</v>
      </c>
      <c r="B614" s="1" t="s">
        <v>10</v>
      </c>
      <c r="C614" s="1" t="s">
        <v>3686</v>
      </c>
      <c r="D614" s="1" t="s">
        <v>177</v>
      </c>
      <c r="E614" s="1" t="s">
        <v>177</v>
      </c>
      <c r="F614" s="1" t="s">
        <v>30</v>
      </c>
      <c r="G614" s="1" t="s">
        <v>3687</v>
      </c>
      <c r="H614" s="1" t="s">
        <v>1762</v>
      </c>
      <c r="I614" t="b">
        <f>COUNTIF(Estadísticas!I:I,'centraldecomunicacion.es'!H614)&gt;0</f>
        <v>0</v>
      </c>
    </row>
    <row r="615" spans="1:9" hidden="1">
      <c r="A615" s="1" t="s">
        <v>3688</v>
      </c>
      <c r="B615" s="1" t="s">
        <v>10</v>
      </c>
      <c r="C615" s="1" t="s">
        <v>30</v>
      </c>
      <c r="D615" s="1" t="s">
        <v>3379</v>
      </c>
      <c r="E615" s="1" t="s">
        <v>30</v>
      </c>
      <c r="F615" s="1" t="s">
        <v>3689</v>
      </c>
      <c r="G615" s="1" t="s">
        <v>3690</v>
      </c>
      <c r="H615" s="1" t="s">
        <v>3691</v>
      </c>
      <c r="I615" t="b">
        <f>COUNTIF(Estadísticas!I:I,'centraldecomunicacion.es'!H615)&gt;0</f>
        <v>0</v>
      </c>
    </row>
    <row r="616" spans="1:9" hidden="1">
      <c r="A616" s="1" t="s">
        <v>3692</v>
      </c>
      <c r="B616" s="1" t="s">
        <v>10</v>
      </c>
      <c r="C616" s="1" t="s">
        <v>3693</v>
      </c>
      <c r="D616" s="1" t="s">
        <v>177</v>
      </c>
      <c r="E616" s="1" t="s">
        <v>177</v>
      </c>
      <c r="F616" s="1" t="s">
        <v>30</v>
      </c>
      <c r="G616" s="1" t="s">
        <v>3694</v>
      </c>
      <c r="H616" s="1" t="s">
        <v>1762</v>
      </c>
      <c r="I616" t="b">
        <f>COUNTIF(Estadísticas!I:I,'centraldecomunicacion.es'!H616)&gt;0</f>
        <v>0</v>
      </c>
    </row>
    <row r="617" spans="1:9" hidden="1">
      <c r="A617" s="1" t="s">
        <v>3695</v>
      </c>
      <c r="B617" s="1" t="s">
        <v>10</v>
      </c>
      <c r="C617" s="1" t="s">
        <v>30</v>
      </c>
      <c r="D617" s="1" t="s">
        <v>3379</v>
      </c>
      <c r="E617" s="1" t="s">
        <v>30</v>
      </c>
      <c r="F617" s="1" t="s">
        <v>3349</v>
      </c>
      <c r="G617" s="1" t="s">
        <v>3350</v>
      </c>
      <c r="H617" s="1" t="s">
        <v>3351</v>
      </c>
      <c r="I617" t="b">
        <f>COUNTIF(Estadísticas!I:I,'centraldecomunicacion.es'!H617)&gt;0</f>
        <v>0</v>
      </c>
    </row>
    <row r="618" spans="1:9" hidden="1">
      <c r="A618" s="1" t="s">
        <v>3696</v>
      </c>
      <c r="B618" s="1" t="s">
        <v>10</v>
      </c>
      <c r="C618" s="1" t="s">
        <v>3697</v>
      </c>
      <c r="D618" s="1" t="s">
        <v>3698</v>
      </c>
      <c r="E618" s="1" t="s">
        <v>177</v>
      </c>
      <c r="F618" s="1" t="s">
        <v>30</v>
      </c>
      <c r="G618" s="1" t="s">
        <v>3699</v>
      </c>
      <c r="H618" s="1" t="s">
        <v>1762</v>
      </c>
      <c r="I618" t="b">
        <f>COUNTIF(Estadísticas!I:I,'centraldecomunicacion.es'!H618)&gt;0</f>
        <v>0</v>
      </c>
    </row>
    <row r="619" spans="1:9">
      <c r="A619" s="1" t="s">
        <v>215</v>
      </c>
      <c r="B619" s="1" t="s">
        <v>18</v>
      </c>
      <c r="C619" s="1" t="s">
        <v>216</v>
      </c>
      <c r="D619" s="1" t="s">
        <v>217</v>
      </c>
      <c r="E619" s="1" t="s">
        <v>177</v>
      </c>
      <c r="F619" s="1" t="s">
        <v>218</v>
      </c>
      <c r="G619" s="1" t="s">
        <v>219</v>
      </c>
      <c r="H619" s="1" t="s">
        <v>220</v>
      </c>
      <c r="I619" t="b">
        <f>COUNTIF(Estadísticas!I:I,'centraldecomunicacion.es'!H619)&gt;0</f>
        <v>1</v>
      </c>
    </row>
    <row r="620" spans="1:9" hidden="1">
      <c r="A620" s="1" t="s">
        <v>3700</v>
      </c>
      <c r="B620" s="1" t="s">
        <v>18</v>
      </c>
      <c r="C620" s="1" t="s">
        <v>3701</v>
      </c>
      <c r="D620" s="1" t="s">
        <v>177</v>
      </c>
      <c r="E620" s="1" t="s">
        <v>177</v>
      </c>
      <c r="F620" s="1" t="s">
        <v>30</v>
      </c>
      <c r="G620" s="1" t="s">
        <v>3702</v>
      </c>
      <c r="H620" s="1" t="s">
        <v>1762</v>
      </c>
      <c r="I620" t="b">
        <f>COUNTIF(Estadísticas!I:I,'centraldecomunicacion.es'!H620)&gt;0</f>
        <v>0</v>
      </c>
    </row>
    <row r="621" spans="1:9" hidden="1">
      <c r="A621" s="1" t="s">
        <v>3703</v>
      </c>
      <c r="B621" s="1" t="s">
        <v>10</v>
      </c>
      <c r="C621" s="1" t="s">
        <v>3704</v>
      </c>
      <c r="D621" s="1" t="s">
        <v>177</v>
      </c>
      <c r="E621" s="1" t="s">
        <v>177</v>
      </c>
      <c r="F621" s="1" t="s">
        <v>30</v>
      </c>
      <c r="G621" s="1" t="s">
        <v>3705</v>
      </c>
      <c r="H621" s="1" t="s">
        <v>1762</v>
      </c>
      <c r="I621" t="b">
        <f>COUNTIF(Estadísticas!I:I,'centraldecomunicacion.es'!H621)&gt;0</f>
        <v>0</v>
      </c>
    </row>
    <row r="622" spans="1:9" hidden="1">
      <c r="A622" s="1" t="s">
        <v>3706</v>
      </c>
      <c r="B622" s="1" t="s">
        <v>10</v>
      </c>
      <c r="C622" s="1" t="s">
        <v>3707</v>
      </c>
      <c r="D622" s="1" t="s">
        <v>3437</v>
      </c>
      <c r="E622" s="1" t="s">
        <v>177</v>
      </c>
      <c r="F622" s="1" t="s">
        <v>30</v>
      </c>
      <c r="G622" s="1" t="s">
        <v>30</v>
      </c>
      <c r="H622" s="1" t="s">
        <v>1762</v>
      </c>
      <c r="I622" t="b">
        <f>COUNTIF(Estadísticas!I:I,'centraldecomunicacion.es'!H622)&gt;0</f>
        <v>0</v>
      </c>
    </row>
    <row r="623" spans="1:9" hidden="1">
      <c r="A623" s="1" t="s">
        <v>3708</v>
      </c>
      <c r="B623" s="1" t="s">
        <v>10</v>
      </c>
      <c r="C623" s="1" t="s">
        <v>3709</v>
      </c>
      <c r="D623" s="1" t="s">
        <v>177</v>
      </c>
      <c r="E623" s="1" t="s">
        <v>177</v>
      </c>
      <c r="F623" s="1" t="s">
        <v>30</v>
      </c>
      <c r="G623" s="1" t="s">
        <v>30</v>
      </c>
      <c r="H623" s="1" t="s">
        <v>1762</v>
      </c>
      <c r="I623" t="b">
        <f>COUNTIF(Estadísticas!I:I,'centraldecomunicacion.es'!H623)&gt;0</f>
        <v>0</v>
      </c>
    </row>
    <row r="624" spans="1:9" hidden="1">
      <c r="A624" s="1" t="s">
        <v>3710</v>
      </c>
      <c r="B624" s="1" t="s">
        <v>10</v>
      </c>
      <c r="C624" s="1" t="s">
        <v>3711</v>
      </c>
      <c r="D624" s="1" t="s">
        <v>177</v>
      </c>
      <c r="E624" s="1" t="s">
        <v>177</v>
      </c>
      <c r="F624" s="1" t="s">
        <v>30</v>
      </c>
      <c r="G624" s="1" t="s">
        <v>30</v>
      </c>
      <c r="H624" s="1" t="s">
        <v>1762</v>
      </c>
      <c r="I624" t="b">
        <f>COUNTIF(Estadísticas!I:I,'centraldecomunicacion.es'!H624)&gt;0</f>
        <v>0</v>
      </c>
    </row>
    <row r="625" spans="1:9" hidden="1">
      <c r="A625" s="1" t="s">
        <v>3712</v>
      </c>
      <c r="B625" s="1" t="s">
        <v>10</v>
      </c>
      <c r="C625" s="1" t="s">
        <v>3713</v>
      </c>
      <c r="D625" s="1" t="s">
        <v>3437</v>
      </c>
      <c r="E625" s="1" t="s">
        <v>177</v>
      </c>
      <c r="F625" s="1" t="s">
        <v>30</v>
      </c>
      <c r="G625" s="1" t="s">
        <v>3714</v>
      </c>
      <c r="H625" s="1" t="s">
        <v>1762</v>
      </c>
      <c r="I625" t="b">
        <f>COUNTIF(Estadísticas!I:I,'centraldecomunicacion.es'!H625)&gt;0</f>
        <v>0</v>
      </c>
    </row>
    <row r="626" spans="1:9">
      <c r="A626" s="1" t="s">
        <v>221</v>
      </c>
      <c r="B626" s="1" t="s">
        <v>10</v>
      </c>
      <c r="C626" s="1" t="s">
        <v>222</v>
      </c>
      <c r="D626" s="1" t="s">
        <v>223</v>
      </c>
      <c r="E626" s="1" t="s">
        <v>177</v>
      </c>
      <c r="F626" s="1" t="s">
        <v>224</v>
      </c>
      <c r="G626" s="1" t="s">
        <v>225</v>
      </c>
      <c r="H626" s="1" t="s">
        <v>226</v>
      </c>
      <c r="I626" t="b">
        <f>COUNTIF(Estadísticas!I:I,'centraldecomunicacion.es'!H626)&gt;0</f>
        <v>1</v>
      </c>
    </row>
    <row r="627" spans="1:9" hidden="1">
      <c r="A627" s="1" t="s">
        <v>3715</v>
      </c>
      <c r="B627" s="1" t="s">
        <v>10</v>
      </c>
      <c r="C627" s="1" t="s">
        <v>3716</v>
      </c>
      <c r="D627" s="1" t="s">
        <v>177</v>
      </c>
      <c r="E627" s="1" t="s">
        <v>177</v>
      </c>
      <c r="F627" s="1" t="s">
        <v>3717</v>
      </c>
      <c r="G627" s="1" t="s">
        <v>3718</v>
      </c>
      <c r="H627" s="1" t="s">
        <v>3719</v>
      </c>
      <c r="I627" t="b">
        <f>COUNTIF(Estadísticas!I:I,'centraldecomunicacion.es'!H627)&gt;0</f>
        <v>0</v>
      </c>
    </row>
    <row r="628" spans="1:9" hidden="1">
      <c r="A628" s="1" t="s">
        <v>3720</v>
      </c>
      <c r="B628" s="1" t="s">
        <v>18</v>
      </c>
      <c r="C628" s="1" t="s">
        <v>3721</v>
      </c>
      <c r="D628" s="1" t="s">
        <v>177</v>
      </c>
      <c r="E628" s="1" t="s">
        <v>177</v>
      </c>
      <c r="F628" s="1" t="s">
        <v>3722</v>
      </c>
      <c r="G628" s="1" t="s">
        <v>3723</v>
      </c>
      <c r="H628" s="1" t="s">
        <v>3724</v>
      </c>
      <c r="I628" t="b">
        <f>COUNTIF(Estadísticas!I:I,'centraldecomunicacion.es'!H628)&gt;0</f>
        <v>0</v>
      </c>
    </row>
    <row r="629" spans="1:9" hidden="1">
      <c r="A629" s="1" t="s">
        <v>3725</v>
      </c>
      <c r="B629" s="1" t="s">
        <v>10</v>
      </c>
      <c r="C629" s="1" t="s">
        <v>3726</v>
      </c>
      <c r="D629" s="1" t="s">
        <v>3727</v>
      </c>
      <c r="E629" s="1" t="s">
        <v>177</v>
      </c>
      <c r="F629" s="1" t="s">
        <v>30</v>
      </c>
      <c r="G629" s="1" t="s">
        <v>3728</v>
      </c>
      <c r="H629" s="1" t="s">
        <v>1762</v>
      </c>
      <c r="I629" t="b">
        <f>COUNTIF(Estadísticas!I:I,'centraldecomunicacion.es'!H629)&gt;0</f>
        <v>0</v>
      </c>
    </row>
    <row r="630" spans="1:9" hidden="1">
      <c r="A630" s="1" t="s">
        <v>3729</v>
      </c>
      <c r="B630" s="1" t="s">
        <v>10</v>
      </c>
      <c r="C630" s="1" t="s">
        <v>3730</v>
      </c>
      <c r="D630" s="1" t="s">
        <v>177</v>
      </c>
      <c r="E630" s="1" t="s">
        <v>177</v>
      </c>
      <c r="F630" s="1" t="s">
        <v>30</v>
      </c>
      <c r="G630" s="1" t="s">
        <v>3731</v>
      </c>
      <c r="H630" s="1" t="s">
        <v>1762</v>
      </c>
      <c r="I630" t="b">
        <f>COUNTIF(Estadísticas!I:I,'centraldecomunicacion.es'!H630)&gt;0</f>
        <v>0</v>
      </c>
    </row>
    <row r="631" spans="1:9" hidden="1">
      <c r="A631" s="1" t="s">
        <v>3732</v>
      </c>
      <c r="B631" s="1" t="s">
        <v>10</v>
      </c>
      <c r="C631" s="1" t="s">
        <v>3733</v>
      </c>
      <c r="D631" s="1" t="s">
        <v>177</v>
      </c>
      <c r="E631" s="1" t="s">
        <v>177</v>
      </c>
      <c r="F631" s="1" t="s">
        <v>1857</v>
      </c>
      <c r="G631" s="1" t="s">
        <v>1858</v>
      </c>
      <c r="H631" s="1" t="s">
        <v>1859</v>
      </c>
      <c r="I631" t="b">
        <f>COUNTIF(Estadísticas!I:I,'centraldecomunicacion.es'!H631)&gt;0</f>
        <v>0</v>
      </c>
    </row>
    <row r="632" spans="1:9" hidden="1">
      <c r="A632" s="1" t="s">
        <v>3734</v>
      </c>
      <c r="B632" s="1" t="s">
        <v>10</v>
      </c>
      <c r="C632" s="1" t="s">
        <v>3735</v>
      </c>
      <c r="D632" s="1" t="s">
        <v>177</v>
      </c>
      <c r="E632" s="1" t="s">
        <v>177</v>
      </c>
      <c r="F632" s="1" t="s">
        <v>1984</v>
      </c>
      <c r="G632" s="1" t="s">
        <v>30</v>
      </c>
      <c r="H632" s="1" t="s">
        <v>1762</v>
      </c>
      <c r="I632" t="b">
        <f>COUNTIF(Estadísticas!I:I,'centraldecomunicacion.es'!H632)&gt;0</f>
        <v>0</v>
      </c>
    </row>
    <row r="633" spans="1:9" hidden="1">
      <c r="A633" s="1" t="s">
        <v>3736</v>
      </c>
      <c r="B633" s="1" t="s">
        <v>10</v>
      </c>
      <c r="C633" s="1" t="s">
        <v>3737</v>
      </c>
      <c r="D633" s="1" t="s">
        <v>3738</v>
      </c>
      <c r="E633" s="1" t="s">
        <v>177</v>
      </c>
      <c r="F633" s="1" t="s">
        <v>30</v>
      </c>
      <c r="G633" s="1" t="s">
        <v>3739</v>
      </c>
      <c r="H633" s="1" t="s">
        <v>1762</v>
      </c>
      <c r="I633" t="b">
        <f>COUNTIF(Estadísticas!I:I,'centraldecomunicacion.es'!H633)&gt;0</f>
        <v>0</v>
      </c>
    </row>
    <row r="634" spans="1:9" hidden="1">
      <c r="A634" s="1" t="s">
        <v>3740</v>
      </c>
      <c r="B634" s="1" t="s">
        <v>10</v>
      </c>
      <c r="C634" s="1" t="s">
        <v>3741</v>
      </c>
      <c r="D634" s="1" t="s">
        <v>3626</v>
      </c>
      <c r="E634" s="1" t="s">
        <v>177</v>
      </c>
      <c r="F634" s="1" t="s">
        <v>30</v>
      </c>
      <c r="G634" s="1" t="s">
        <v>3742</v>
      </c>
      <c r="H634" s="1" t="s">
        <v>1762</v>
      </c>
      <c r="I634" t="b">
        <f>COUNTIF(Estadísticas!I:I,'centraldecomunicacion.es'!H634)&gt;0</f>
        <v>0</v>
      </c>
    </row>
    <row r="635" spans="1:9" hidden="1">
      <c r="A635" s="1" t="s">
        <v>3743</v>
      </c>
      <c r="B635" s="1" t="s">
        <v>18</v>
      </c>
      <c r="C635" s="1" t="s">
        <v>3744</v>
      </c>
      <c r="D635" s="1" t="s">
        <v>177</v>
      </c>
      <c r="E635" s="1" t="s">
        <v>177</v>
      </c>
      <c r="F635" s="1" t="s">
        <v>3745</v>
      </c>
      <c r="G635" s="1" t="s">
        <v>3746</v>
      </c>
      <c r="H635" s="1" t="s">
        <v>1762</v>
      </c>
      <c r="I635" t="b">
        <f>COUNTIF(Estadísticas!I:I,'centraldecomunicacion.es'!H635)&gt;0</f>
        <v>0</v>
      </c>
    </row>
    <row r="636" spans="1:9" hidden="1">
      <c r="A636" s="1" t="s">
        <v>3747</v>
      </c>
      <c r="B636" s="1" t="s">
        <v>10</v>
      </c>
      <c r="C636" s="1" t="s">
        <v>3748</v>
      </c>
      <c r="D636" s="1" t="s">
        <v>177</v>
      </c>
      <c r="E636" s="1" t="s">
        <v>177</v>
      </c>
      <c r="F636" s="1" t="s">
        <v>30</v>
      </c>
      <c r="G636" s="1" t="s">
        <v>3749</v>
      </c>
      <c r="H636" s="1" t="s">
        <v>1762</v>
      </c>
      <c r="I636" t="b">
        <f>COUNTIF(Estadísticas!I:I,'centraldecomunicacion.es'!H636)&gt;0</f>
        <v>0</v>
      </c>
    </row>
    <row r="637" spans="1:9" hidden="1">
      <c r="A637" s="1" t="s">
        <v>3750</v>
      </c>
      <c r="B637" s="1" t="s">
        <v>18</v>
      </c>
      <c r="C637" s="1" t="s">
        <v>3751</v>
      </c>
      <c r="D637" s="1" t="s">
        <v>177</v>
      </c>
      <c r="E637" s="1" t="s">
        <v>177</v>
      </c>
      <c r="F637" s="1" t="s">
        <v>30</v>
      </c>
      <c r="G637" s="1" t="s">
        <v>3752</v>
      </c>
      <c r="H637" s="1" t="s">
        <v>1762</v>
      </c>
      <c r="I637" t="b">
        <f>COUNTIF(Estadísticas!I:I,'centraldecomunicacion.es'!H637)&gt;0</f>
        <v>0</v>
      </c>
    </row>
    <row r="638" spans="1:9" hidden="1">
      <c r="A638" s="1" t="s">
        <v>3753</v>
      </c>
      <c r="B638" s="1" t="s">
        <v>10</v>
      </c>
      <c r="C638" s="1" t="s">
        <v>3754</v>
      </c>
      <c r="D638" s="1" t="s">
        <v>211</v>
      </c>
      <c r="E638" s="1" t="s">
        <v>177</v>
      </c>
      <c r="F638" s="1" t="s">
        <v>3618</v>
      </c>
      <c r="G638" s="1" t="s">
        <v>3755</v>
      </c>
      <c r="H638" s="1" t="s">
        <v>1762</v>
      </c>
      <c r="I638" t="b">
        <f>COUNTIF(Estadísticas!I:I,'centraldecomunicacion.es'!H638)&gt;0</f>
        <v>0</v>
      </c>
    </row>
    <row r="639" spans="1:9" hidden="1">
      <c r="A639" s="1" t="s">
        <v>3756</v>
      </c>
      <c r="B639" s="1" t="s">
        <v>10</v>
      </c>
      <c r="C639" s="1" t="s">
        <v>3757</v>
      </c>
      <c r="D639" s="1" t="s">
        <v>3626</v>
      </c>
      <c r="E639" s="1" t="s">
        <v>177</v>
      </c>
      <c r="F639" s="1" t="s">
        <v>30</v>
      </c>
      <c r="G639" s="1" t="s">
        <v>3758</v>
      </c>
      <c r="H639" s="1" t="s">
        <v>1762</v>
      </c>
      <c r="I639" t="b">
        <f>COUNTIF(Estadísticas!I:I,'centraldecomunicacion.es'!H639)&gt;0</f>
        <v>0</v>
      </c>
    </row>
    <row r="640" spans="1:9" hidden="1">
      <c r="A640" s="1" t="s">
        <v>3759</v>
      </c>
      <c r="B640" s="1" t="s">
        <v>10</v>
      </c>
      <c r="C640" s="1" t="s">
        <v>3760</v>
      </c>
      <c r="D640" s="1" t="s">
        <v>3761</v>
      </c>
      <c r="E640" s="1" t="s">
        <v>177</v>
      </c>
      <c r="F640" s="1" t="s">
        <v>3762</v>
      </c>
      <c r="G640" s="1" t="s">
        <v>3763</v>
      </c>
      <c r="H640" s="1" t="s">
        <v>1762</v>
      </c>
      <c r="I640" t="b">
        <f>COUNTIF(Estadísticas!I:I,'centraldecomunicacion.es'!H640)&gt;0</f>
        <v>0</v>
      </c>
    </row>
    <row r="641" spans="1:9" hidden="1">
      <c r="A641" s="1" t="s">
        <v>3764</v>
      </c>
      <c r="B641" s="1" t="s">
        <v>10</v>
      </c>
      <c r="C641" s="1" t="s">
        <v>3765</v>
      </c>
      <c r="D641" s="1" t="s">
        <v>3469</v>
      </c>
      <c r="E641" s="1" t="s">
        <v>177</v>
      </c>
      <c r="F641" s="1" t="s">
        <v>30</v>
      </c>
      <c r="G641" s="1" t="s">
        <v>3766</v>
      </c>
      <c r="H641" s="1" t="s">
        <v>1762</v>
      </c>
      <c r="I641" t="b">
        <f>COUNTIF(Estadísticas!I:I,'centraldecomunicacion.es'!H641)&gt;0</f>
        <v>0</v>
      </c>
    </row>
    <row r="642" spans="1:9" hidden="1">
      <c r="A642" s="1" t="s">
        <v>3767</v>
      </c>
      <c r="B642" s="1" t="s">
        <v>10</v>
      </c>
      <c r="C642" s="1" t="s">
        <v>3768</v>
      </c>
      <c r="D642" s="1" t="s">
        <v>183</v>
      </c>
      <c r="E642" s="1" t="s">
        <v>177</v>
      </c>
      <c r="F642" s="1" t="s">
        <v>3769</v>
      </c>
      <c r="G642" s="1" t="s">
        <v>3770</v>
      </c>
      <c r="H642" s="1" t="s">
        <v>1762</v>
      </c>
      <c r="I642" t="b">
        <f>COUNTIF(Estadísticas!I:I,'centraldecomunicacion.es'!H642)&gt;0</f>
        <v>0</v>
      </c>
    </row>
    <row r="643" spans="1:9" hidden="1">
      <c r="A643" s="1" t="s">
        <v>3771</v>
      </c>
      <c r="B643" s="1" t="s">
        <v>10</v>
      </c>
      <c r="C643" s="1" t="s">
        <v>3772</v>
      </c>
      <c r="D643" s="1" t="s">
        <v>3773</v>
      </c>
      <c r="E643" s="1" t="s">
        <v>177</v>
      </c>
      <c r="F643" s="1" t="s">
        <v>30</v>
      </c>
      <c r="G643" s="1" t="s">
        <v>30</v>
      </c>
      <c r="H643" s="1" t="s">
        <v>1762</v>
      </c>
      <c r="I643" t="b">
        <f>COUNTIF(Estadísticas!I:I,'centraldecomunicacion.es'!H643)&gt;0</f>
        <v>0</v>
      </c>
    </row>
    <row r="644" spans="1:9" hidden="1">
      <c r="A644" s="1" t="s">
        <v>3774</v>
      </c>
      <c r="B644" s="1" t="s">
        <v>10</v>
      </c>
      <c r="C644" s="1" t="s">
        <v>3775</v>
      </c>
      <c r="D644" s="1" t="s">
        <v>3776</v>
      </c>
      <c r="E644" s="1" t="s">
        <v>177</v>
      </c>
      <c r="F644" s="1" t="s">
        <v>30</v>
      </c>
      <c r="G644" s="1" t="s">
        <v>30</v>
      </c>
      <c r="H644" s="1" t="s">
        <v>1762</v>
      </c>
      <c r="I644" t="b">
        <f>COUNTIF(Estadísticas!I:I,'centraldecomunicacion.es'!H644)&gt;0</f>
        <v>0</v>
      </c>
    </row>
    <row r="645" spans="1:9" hidden="1">
      <c r="A645" s="1" t="s">
        <v>3777</v>
      </c>
      <c r="B645" s="1" t="s">
        <v>10</v>
      </c>
      <c r="C645" s="1" t="s">
        <v>3778</v>
      </c>
      <c r="D645" s="1" t="s">
        <v>183</v>
      </c>
      <c r="E645" s="1" t="s">
        <v>177</v>
      </c>
      <c r="F645" s="1" t="s">
        <v>30</v>
      </c>
      <c r="G645" s="1" t="s">
        <v>30</v>
      </c>
      <c r="H645" s="1" t="s">
        <v>1762</v>
      </c>
      <c r="I645" t="b">
        <f>COUNTIF(Estadísticas!I:I,'centraldecomunicacion.es'!H645)&gt;0</f>
        <v>0</v>
      </c>
    </row>
    <row r="646" spans="1:9" hidden="1">
      <c r="A646" s="1" t="s">
        <v>3779</v>
      </c>
      <c r="B646" s="1" t="s">
        <v>10</v>
      </c>
      <c r="C646" s="1" t="s">
        <v>3780</v>
      </c>
      <c r="D646" s="1" t="s">
        <v>3379</v>
      </c>
      <c r="E646" s="1" t="s">
        <v>177</v>
      </c>
      <c r="F646" s="1" t="s">
        <v>3781</v>
      </c>
      <c r="G646" s="1" t="s">
        <v>3782</v>
      </c>
      <c r="H646" s="1" t="s">
        <v>3783</v>
      </c>
      <c r="I646" t="b">
        <f>COUNTIF(Estadísticas!I:I,'centraldecomunicacion.es'!H646)&gt;0</f>
        <v>0</v>
      </c>
    </row>
    <row r="647" spans="1:9" hidden="1">
      <c r="A647" s="1" t="s">
        <v>3784</v>
      </c>
      <c r="B647" s="1" t="s">
        <v>18</v>
      </c>
      <c r="C647" s="1" t="s">
        <v>3785</v>
      </c>
      <c r="D647" s="1" t="s">
        <v>223</v>
      </c>
      <c r="E647" s="1" t="s">
        <v>177</v>
      </c>
      <c r="F647" s="1" t="s">
        <v>3786</v>
      </c>
      <c r="G647" s="1" t="s">
        <v>219</v>
      </c>
      <c r="H647" s="1" t="s">
        <v>1762</v>
      </c>
      <c r="I647" t="b">
        <f>COUNTIF(Estadísticas!I:I,'centraldecomunicacion.es'!H647)&gt;0</f>
        <v>0</v>
      </c>
    </row>
    <row r="648" spans="1:9" hidden="1">
      <c r="A648" s="1" t="s">
        <v>3787</v>
      </c>
      <c r="B648" s="1" t="s">
        <v>10</v>
      </c>
      <c r="C648" s="1" t="s">
        <v>3788</v>
      </c>
      <c r="D648" s="1" t="s">
        <v>223</v>
      </c>
      <c r="E648" s="1" t="s">
        <v>177</v>
      </c>
      <c r="F648" s="1" t="s">
        <v>30</v>
      </c>
      <c r="G648" s="1" t="s">
        <v>30</v>
      </c>
      <c r="H648" s="1" t="s">
        <v>1762</v>
      </c>
      <c r="I648" t="b">
        <f>COUNTIF(Estadísticas!I:I,'centraldecomunicacion.es'!H648)&gt;0</f>
        <v>0</v>
      </c>
    </row>
    <row r="649" spans="1:9" hidden="1">
      <c r="A649" s="1" t="s">
        <v>3789</v>
      </c>
      <c r="B649" s="1" t="s">
        <v>18</v>
      </c>
      <c r="C649" s="1" t="s">
        <v>3790</v>
      </c>
      <c r="D649" s="1" t="s">
        <v>177</v>
      </c>
      <c r="E649" s="1" t="s">
        <v>177</v>
      </c>
      <c r="F649" s="1" t="s">
        <v>30</v>
      </c>
      <c r="G649" s="1" t="s">
        <v>3791</v>
      </c>
      <c r="H649" s="1" t="s">
        <v>1762</v>
      </c>
      <c r="I649" t="b">
        <f>COUNTIF(Estadísticas!I:I,'centraldecomunicacion.es'!H649)&gt;0</f>
        <v>0</v>
      </c>
    </row>
    <row r="650" spans="1:9" hidden="1">
      <c r="A650" s="1" t="s">
        <v>3792</v>
      </c>
      <c r="B650" s="1" t="s">
        <v>10</v>
      </c>
      <c r="C650" s="1" t="s">
        <v>30</v>
      </c>
      <c r="D650" s="1" t="s">
        <v>3379</v>
      </c>
      <c r="E650" s="1" t="s">
        <v>30</v>
      </c>
      <c r="F650" s="1" t="s">
        <v>3793</v>
      </c>
      <c r="G650" s="1" t="s">
        <v>3794</v>
      </c>
      <c r="H650" s="1" t="s">
        <v>3795</v>
      </c>
      <c r="I650" t="b">
        <f>COUNTIF(Estadísticas!I:I,'centraldecomunicacion.es'!H650)&gt;0</f>
        <v>0</v>
      </c>
    </row>
    <row r="651" spans="1:9" hidden="1">
      <c r="A651" s="1" t="s">
        <v>3796</v>
      </c>
      <c r="B651" s="1" t="s">
        <v>18</v>
      </c>
      <c r="C651" s="1" t="s">
        <v>3797</v>
      </c>
      <c r="D651" s="1" t="s">
        <v>3550</v>
      </c>
      <c r="E651" s="1" t="s">
        <v>177</v>
      </c>
      <c r="F651" s="1" t="s">
        <v>3798</v>
      </c>
      <c r="G651" s="1" t="s">
        <v>3799</v>
      </c>
      <c r="H651" s="1" t="s">
        <v>3800</v>
      </c>
      <c r="I651" t="b">
        <f>COUNTIF(Estadísticas!I:I,'centraldecomunicacion.es'!H651)&gt;0</f>
        <v>0</v>
      </c>
    </row>
    <row r="652" spans="1:9" hidden="1">
      <c r="A652" s="1" t="s">
        <v>3801</v>
      </c>
      <c r="B652" s="1" t="s">
        <v>10</v>
      </c>
      <c r="C652" s="1" t="s">
        <v>3802</v>
      </c>
      <c r="D652" s="1" t="s">
        <v>229</v>
      </c>
      <c r="E652" s="1" t="s">
        <v>229</v>
      </c>
      <c r="F652" s="1" t="s">
        <v>3803</v>
      </c>
      <c r="G652" s="1" t="s">
        <v>3804</v>
      </c>
      <c r="H652" s="1" t="s">
        <v>3805</v>
      </c>
      <c r="I652" t="b">
        <f>COUNTIF(Estadísticas!I:I,'centraldecomunicacion.es'!H652)&gt;0</f>
        <v>0</v>
      </c>
    </row>
    <row r="653" spans="1:9" hidden="1">
      <c r="A653" s="1" t="s">
        <v>3806</v>
      </c>
      <c r="B653" s="1" t="s">
        <v>10</v>
      </c>
      <c r="C653" s="1" t="s">
        <v>3807</v>
      </c>
      <c r="D653" s="1" t="s">
        <v>229</v>
      </c>
      <c r="E653" s="1" t="s">
        <v>229</v>
      </c>
      <c r="F653" s="1" t="s">
        <v>3808</v>
      </c>
      <c r="G653" s="1" t="s">
        <v>3809</v>
      </c>
      <c r="H653" s="1" t="s">
        <v>1762</v>
      </c>
      <c r="I653" t="b">
        <f>COUNTIF(Estadísticas!I:I,'centraldecomunicacion.es'!H653)&gt;0</f>
        <v>0</v>
      </c>
    </row>
    <row r="654" spans="1:9" hidden="1">
      <c r="A654" s="1" t="s">
        <v>3810</v>
      </c>
      <c r="B654" s="1" t="s">
        <v>10</v>
      </c>
      <c r="C654" s="1" t="s">
        <v>3811</v>
      </c>
      <c r="D654" s="1" t="s">
        <v>229</v>
      </c>
      <c r="E654" s="1" t="s">
        <v>229</v>
      </c>
      <c r="F654" s="1" t="s">
        <v>3812</v>
      </c>
      <c r="G654" s="1" t="s">
        <v>3813</v>
      </c>
      <c r="H654" s="1" t="s">
        <v>1762</v>
      </c>
      <c r="I654" t="b">
        <f>COUNTIF(Estadísticas!I:I,'centraldecomunicacion.es'!H654)&gt;0</f>
        <v>0</v>
      </c>
    </row>
    <row r="655" spans="1:9" hidden="1">
      <c r="A655" s="1" t="s">
        <v>3814</v>
      </c>
      <c r="B655" s="1" t="s">
        <v>18</v>
      </c>
      <c r="C655" s="1" t="s">
        <v>3815</v>
      </c>
      <c r="D655" s="1" t="s">
        <v>229</v>
      </c>
      <c r="E655" s="1" t="s">
        <v>229</v>
      </c>
      <c r="F655" s="1" t="s">
        <v>30</v>
      </c>
      <c r="G655" s="1" t="s">
        <v>3816</v>
      </c>
      <c r="H655" s="1" t="s">
        <v>1762</v>
      </c>
      <c r="I655" t="b">
        <f>COUNTIF(Estadísticas!I:I,'centraldecomunicacion.es'!H655)&gt;0</f>
        <v>0</v>
      </c>
    </row>
    <row r="656" spans="1:9" hidden="1">
      <c r="A656" s="1" t="s">
        <v>3817</v>
      </c>
      <c r="B656" s="1" t="s">
        <v>10</v>
      </c>
      <c r="C656" s="1" t="s">
        <v>3818</v>
      </c>
      <c r="D656" s="1" t="s">
        <v>229</v>
      </c>
      <c r="E656" s="1" t="s">
        <v>229</v>
      </c>
      <c r="F656" s="1" t="s">
        <v>30</v>
      </c>
      <c r="G656" s="1" t="s">
        <v>3819</v>
      </c>
      <c r="H656" s="1" t="s">
        <v>1762</v>
      </c>
      <c r="I656" t="b">
        <f>COUNTIF(Estadísticas!I:I,'centraldecomunicacion.es'!H656)&gt;0</f>
        <v>0</v>
      </c>
    </row>
    <row r="657" spans="1:9" hidden="1">
      <c r="A657" s="1" t="s">
        <v>3820</v>
      </c>
      <c r="B657" s="1" t="s">
        <v>18</v>
      </c>
      <c r="C657" s="1" t="s">
        <v>3821</v>
      </c>
      <c r="D657" s="1" t="s">
        <v>229</v>
      </c>
      <c r="E657" s="1" t="s">
        <v>229</v>
      </c>
      <c r="F657" s="1" t="s">
        <v>30</v>
      </c>
      <c r="G657" s="1" t="s">
        <v>3822</v>
      </c>
      <c r="H657" s="1" t="s">
        <v>1762</v>
      </c>
      <c r="I657" t="b">
        <f>COUNTIF(Estadísticas!I:I,'centraldecomunicacion.es'!H657)&gt;0</f>
        <v>0</v>
      </c>
    </row>
    <row r="658" spans="1:9" hidden="1">
      <c r="A658" s="1" t="s">
        <v>3823</v>
      </c>
      <c r="B658" s="1" t="s">
        <v>10</v>
      </c>
      <c r="C658" s="1" t="s">
        <v>3824</v>
      </c>
      <c r="D658" s="1" t="s">
        <v>229</v>
      </c>
      <c r="E658" s="1" t="s">
        <v>229</v>
      </c>
      <c r="F658" s="1" t="s">
        <v>3825</v>
      </c>
      <c r="G658" s="1" t="s">
        <v>3826</v>
      </c>
      <c r="H658" s="1" t="s">
        <v>1762</v>
      </c>
      <c r="I658" t="b">
        <f>COUNTIF(Estadísticas!I:I,'centraldecomunicacion.es'!H658)&gt;0</f>
        <v>0</v>
      </c>
    </row>
    <row r="659" spans="1:9" hidden="1">
      <c r="A659" s="1" t="s">
        <v>3827</v>
      </c>
      <c r="B659" s="1" t="s">
        <v>18</v>
      </c>
      <c r="C659" s="1" t="s">
        <v>3828</v>
      </c>
      <c r="D659" s="1" t="s">
        <v>229</v>
      </c>
      <c r="E659" s="1" t="s">
        <v>229</v>
      </c>
      <c r="F659" s="1" t="s">
        <v>3829</v>
      </c>
      <c r="G659" s="1" t="s">
        <v>3830</v>
      </c>
      <c r="H659" s="1" t="s">
        <v>3831</v>
      </c>
      <c r="I659" t="b">
        <f>COUNTIF(Estadísticas!I:I,'centraldecomunicacion.es'!H659)&gt;0</f>
        <v>0</v>
      </c>
    </row>
    <row r="660" spans="1:9" hidden="1">
      <c r="A660" s="1" t="s">
        <v>3138</v>
      </c>
      <c r="B660" s="1" t="s">
        <v>18</v>
      </c>
      <c r="C660" s="1" t="s">
        <v>3832</v>
      </c>
      <c r="D660" s="1" t="s">
        <v>229</v>
      </c>
      <c r="E660" s="1" t="s">
        <v>229</v>
      </c>
      <c r="F660" s="1" t="s">
        <v>3140</v>
      </c>
      <c r="G660" s="1" t="s">
        <v>3833</v>
      </c>
      <c r="H660" s="1" t="s">
        <v>1762</v>
      </c>
      <c r="I660" t="b">
        <f>COUNTIF(Estadísticas!I:I,'centraldecomunicacion.es'!H660)&gt;0</f>
        <v>0</v>
      </c>
    </row>
    <row r="661" spans="1:9" hidden="1">
      <c r="A661" s="1" t="s">
        <v>3834</v>
      </c>
      <c r="B661" s="1" t="s">
        <v>10</v>
      </c>
      <c r="C661" s="1" t="s">
        <v>3835</v>
      </c>
      <c r="D661" s="1" t="s">
        <v>229</v>
      </c>
      <c r="E661" s="1" t="s">
        <v>229</v>
      </c>
      <c r="F661" s="1" t="s">
        <v>1984</v>
      </c>
      <c r="G661" s="1" t="s">
        <v>3836</v>
      </c>
      <c r="H661" s="1" t="s">
        <v>1762</v>
      </c>
      <c r="I661" t="b">
        <f>COUNTIF(Estadísticas!I:I,'centraldecomunicacion.es'!H661)&gt;0</f>
        <v>0</v>
      </c>
    </row>
    <row r="662" spans="1:9" hidden="1">
      <c r="A662" s="1" t="s">
        <v>3837</v>
      </c>
      <c r="B662" s="1" t="s">
        <v>10</v>
      </c>
      <c r="C662" s="1" t="s">
        <v>3838</v>
      </c>
      <c r="D662" s="1" t="s">
        <v>229</v>
      </c>
      <c r="E662" s="1" t="s">
        <v>229</v>
      </c>
      <c r="F662" s="1" t="s">
        <v>30</v>
      </c>
      <c r="G662" s="1" t="s">
        <v>3839</v>
      </c>
      <c r="H662" s="1" t="s">
        <v>1762</v>
      </c>
      <c r="I662" t="b">
        <f>COUNTIF(Estadísticas!I:I,'centraldecomunicacion.es'!H662)&gt;0</f>
        <v>0</v>
      </c>
    </row>
    <row r="663" spans="1:9" hidden="1">
      <c r="A663" s="1" t="s">
        <v>3840</v>
      </c>
      <c r="B663" s="1" t="s">
        <v>10</v>
      </c>
      <c r="C663" s="1" t="s">
        <v>3841</v>
      </c>
      <c r="D663" s="1" t="s">
        <v>229</v>
      </c>
      <c r="E663" s="1" t="s">
        <v>229</v>
      </c>
      <c r="F663" s="1" t="s">
        <v>3842</v>
      </c>
      <c r="G663" s="1" t="s">
        <v>3843</v>
      </c>
      <c r="H663" s="1" t="s">
        <v>1783</v>
      </c>
      <c r="I663" t="b">
        <f>COUNTIF(Estadísticas!I:I,'centraldecomunicacion.es'!H663)&gt;0</f>
        <v>0</v>
      </c>
    </row>
    <row r="664" spans="1:9" hidden="1">
      <c r="A664" s="1" t="s">
        <v>3844</v>
      </c>
      <c r="B664" s="1" t="s">
        <v>18</v>
      </c>
      <c r="C664" s="1" t="s">
        <v>3845</v>
      </c>
      <c r="D664" s="1" t="s">
        <v>229</v>
      </c>
      <c r="E664" s="1" t="s">
        <v>229</v>
      </c>
      <c r="F664" s="1" t="s">
        <v>30</v>
      </c>
      <c r="G664" s="1" t="s">
        <v>3846</v>
      </c>
      <c r="H664" s="1" t="s">
        <v>1762</v>
      </c>
      <c r="I664" t="b">
        <f>COUNTIF(Estadísticas!I:I,'centraldecomunicacion.es'!H664)&gt;0</f>
        <v>0</v>
      </c>
    </row>
    <row r="665" spans="1:9" hidden="1">
      <c r="A665" s="1" t="s">
        <v>3847</v>
      </c>
      <c r="B665" s="1" t="s">
        <v>10</v>
      </c>
      <c r="C665" s="1" t="s">
        <v>3811</v>
      </c>
      <c r="D665" s="1" t="s">
        <v>229</v>
      </c>
      <c r="E665" s="1" t="s">
        <v>229</v>
      </c>
      <c r="F665" s="1" t="s">
        <v>1984</v>
      </c>
      <c r="G665" s="1" t="s">
        <v>3813</v>
      </c>
      <c r="H665" s="1" t="s">
        <v>1762</v>
      </c>
      <c r="I665" t="b">
        <f>COUNTIF(Estadísticas!I:I,'centraldecomunicacion.es'!H665)&gt;0</f>
        <v>0</v>
      </c>
    </row>
    <row r="666" spans="1:9" hidden="1">
      <c r="A666" s="1" t="s">
        <v>3848</v>
      </c>
      <c r="B666" s="1" t="s">
        <v>18</v>
      </c>
      <c r="C666" s="1" t="s">
        <v>3849</v>
      </c>
      <c r="D666" s="1" t="s">
        <v>229</v>
      </c>
      <c r="E666" s="1" t="s">
        <v>229</v>
      </c>
      <c r="F666" s="1" t="s">
        <v>2347</v>
      </c>
      <c r="G666" s="1" t="s">
        <v>3850</v>
      </c>
      <c r="H666" s="1" t="s">
        <v>1762</v>
      </c>
      <c r="I666" t="b">
        <f>COUNTIF(Estadísticas!I:I,'centraldecomunicacion.es'!H666)&gt;0</f>
        <v>0</v>
      </c>
    </row>
    <row r="667" spans="1:9" hidden="1">
      <c r="A667" s="1" t="s">
        <v>3851</v>
      </c>
      <c r="B667" s="1" t="s">
        <v>10</v>
      </c>
      <c r="C667" s="1" t="s">
        <v>3852</v>
      </c>
      <c r="D667" s="1" t="s">
        <v>229</v>
      </c>
      <c r="E667" s="1" t="s">
        <v>229</v>
      </c>
      <c r="F667" s="1" t="s">
        <v>3853</v>
      </c>
      <c r="G667" s="1" t="s">
        <v>3854</v>
      </c>
      <c r="H667" s="1" t="s">
        <v>1762</v>
      </c>
      <c r="I667" t="b">
        <f>COUNTIF(Estadísticas!I:I,'centraldecomunicacion.es'!H667)&gt;0</f>
        <v>0</v>
      </c>
    </row>
    <row r="668" spans="1:9" hidden="1">
      <c r="A668" s="1" t="s">
        <v>3855</v>
      </c>
      <c r="B668" s="1" t="s">
        <v>10</v>
      </c>
      <c r="C668" s="1" t="s">
        <v>3856</v>
      </c>
      <c r="D668" s="1" t="s">
        <v>229</v>
      </c>
      <c r="E668" s="1" t="s">
        <v>229</v>
      </c>
      <c r="F668" s="1" t="s">
        <v>3857</v>
      </c>
      <c r="G668" s="1" t="s">
        <v>3858</v>
      </c>
      <c r="H668" s="1" t="s">
        <v>1762</v>
      </c>
      <c r="I668" t="b">
        <f>COUNTIF(Estadísticas!I:I,'centraldecomunicacion.es'!H668)&gt;0</f>
        <v>0</v>
      </c>
    </row>
    <row r="669" spans="1:9" hidden="1">
      <c r="A669" s="1" t="s">
        <v>3859</v>
      </c>
      <c r="B669" s="1" t="s">
        <v>18</v>
      </c>
      <c r="C669" s="1" t="s">
        <v>3860</v>
      </c>
      <c r="D669" s="1" t="s">
        <v>229</v>
      </c>
      <c r="E669" s="1" t="s">
        <v>229</v>
      </c>
      <c r="F669" s="1" t="s">
        <v>3861</v>
      </c>
      <c r="G669" s="1" t="s">
        <v>3862</v>
      </c>
      <c r="H669" s="1" t="s">
        <v>3863</v>
      </c>
      <c r="I669" t="b">
        <f>COUNTIF(Estadísticas!I:I,'centraldecomunicacion.es'!H669)&gt;0</f>
        <v>0</v>
      </c>
    </row>
    <row r="670" spans="1:9">
      <c r="A670" s="1" t="s">
        <v>227</v>
      </c>
      <c r="B670" s="1" t="s">
        <v>10</v>
      </c>
      <c r="C670" s="1" t="s">
        <v>228</v>
      </c>
      <c r="D670" s="1" t="s">
        <v>229</v>
      </c>
      <c r="E670" s="1" t="s">
        <v>229</v>
      </c>
      <c r="F670" s="1" t="s">
        <v>230</v>
      </c>
      <c r="G670" s="1" t="s">
        <v>231</v>
      </c>
      <c r="H670" s="1" t="s">
        <v>232</v>
      </c>
      <c r="I670" t="b">
        <f>COUNTIF(Estadísticas!I:I,'centraldecomunicacion.es'!H670)&gt;0</f>
        <v>1</v>
      </c>
    </row>
    <row r="671" spans="1:9" hidden="1">
      <c r="A671" s="1" t="s">
        <v>3864</v>
      </c>
      <c r="B671" s="1" t="s">
        <v>18</v>
      </c>
      <c r="C671" s="1" t="s">
        <v>3865</v>
      </c>
      <c r="D671" s="1" t="s">
        <v>229</v>
      </c>
      <c r="E671" s="1" t="s">
        <v>229</v>
      </c>
      <c r="F671" s="1" t="s">
        <v>3866</v>
      </c>
      <c r="G671" s="1" t="s">
        <v>3867</v>
      </c>
      <c r="H671" s="1" t="s">
        <v>3868</v>
      </c>
      <c r="I671" t="b">
        <f>COUNTIF(Estadísticas!I:I,'centraldecomunicacion.es'!H671)&gt;0</f>
        <v>0</v>
      </c>
    </row>
    <row r="672" spans="1:9" hidden="1">
      <c r="A672" s="1" t="s">
        <v>3869</v>
      </c>
      <c r="B672" s="1" t="s">
        <v>10</v>
      </c>
      <c r="C672" s="1" t="s">
        <v>30</v>
      </c>
      <c r="D672" s="1" t="s">
        <v>249</v>
      </c>
      <c r="E672" s="1" t="s">
        <v>30</v>
      </c>
      <c r="F672" s="1" t="s">
        <v>1984</v>
      </c>
      <c r="G672" s="1" t="s">
        <v>3870</v>
      </c>
      <c r="H672" s="1" t="s">
        <v>1762</v>
      </c>
      <c r="I672" t="b">
        <f>COUNTIF(Estadísticas!I:I,'centraldecomunicacion.es'!H672)&gt;0</f>
        <v>0</v>
      </c>
    </row>
    <row r="673" spans="1:9" hidden="1">
      <c r="A673" s="1" t="s">
        <v>3871</v>
      </c>
      <c r="B673" s="1" t="s">
        <v>10</v>
      </c>
      <c r="C673" s="1" t="s">
        <v>3872</v>
      </c>
      <c r="D673" s="1" t="s">
        <v>3873</v>
      </c>
      <c r="E673" s="1" t="s">
        <v>229</v>
      </c>
      <c r="F673" s="1" t="s">
        <v>30</v>
      </c>
      <c r="G673" s="1" t="s">
        <v>30</v>
      </c>
      <c r="H673" s="1" t="s">
        <v>1762</v>
      </c>
      <c r="I673" t="b">
        <f>COUNTIF(Estadísticas!I:I,'centraldecomunicacion.es'!H673)&gt;0</f>
        <v>0</v>
      </c>
    </row>
    <row r="674" spans="1:9" hidden="1">
      <c r="A674" s="1" t="s">
        <v>3874</v>
      </c>
      <c r="B674" s="1" t="s">
        <v>10</v>
      </c>
      <c r="C674" s="1" t="s">
        <v>3875</v>
      </c>
      <c r="D674" s="1" t="s">
        <v>229</v>
      </c>
      <c r="E674" s="1" t="s">
        <v>229</v>
      </c>
      <c r="F674" s="1" t="s">
        <v>30</v>
      </c>
      <c r="G674" s="1" t="s">
        <v>3876</v>
      </c>
      <c r="H674" s="1" t="s">
        <v>1762</v>
      </c>
      <c r="I674" t="b">
        <f>COUNTIF(Estadísticas!I:I,'centraldecomunicacion.es'!H674)&gt;0</f>
        <v>0</v>
      </c>
    </row>
    <row r="675" spans="1:9" hidden="1">
      <c r="A675" s="1" t="s">
        <v>3877</v>
      </c>
      <c r="B675" s="1" t="s">
        <v>18</v>
      </c>
      <c r="C675" s="1" t="s">
        <v>3878</v>
      </c>
      <c r="D675" s="1" t="s">
        <v>229</v>
      </c>
      <c r="E675" s="1" t="s">
        <v>229</v>
      </c>
      <c r="F675" s="1" t="s">
        <v>30</v>
      </c>
      <c r="G675" s="1" t="s">
        <v>3879</v>
      </c>
      <c r="H675" s="1" t="s">
        <v>1762</v>
      </c>
      <c r="I675" t="b">
        <f>COUNTIF(Estadísticas!I:I,'centraldecomunicacion.es'!H675)&gt;0</f>
        <v>0</v>
      </c>
    </row>
    <row r="676" spans="1:9" hidden="1">
      <c r="A676" s="1" t="s">
        <v>3880</v>
      </c>
      <c r="B676" s="1" t="s">
        <v>10</v>
      </c>
      <c r="C676" s="1" t="s">
        <v>3881</v>
      </c>
      <c r="D676" s="1" t="s">
        <v>229</v>
      </c>
      <c r="E676" s="1" t="s">
        <v>229</v>
      </c>
      <c r="F676" s="1" t="s">
        <v>30</v>
      </c>
      <c r="G676" s="1" t="s">
        <v>3882</v>
      </c>
      <c r="H676" s="1" t="s">
        <v>1762</v>
      </c>
      <c r="I676" t="b">
        <f>COUNTIF(Estadísticas!I:I,'centraldecomunicacion.es'!H676)&gt;0</f>
        <v>0</v>
      </c>
    </row>
    <row r="677" spans="1:9" hidden="1">
      <c r="A677" s="1" t="s">
        <v>3883</v>
      </c>
      <c r="B677" s="1" t="s">
        <v>10</v>
      </c>
      <c r="C677" s="1" t="s">
        <v>3884</v>
      </c>
      <c r="D677" s="1" t="s">
        <v>3153</v>
      </c>
      <c r="E677" s="1" t="s">
        <v>229</v>
      </c>
      <c r="F677" s="1" t="s">
        <v>3885</v>
      </c>
      <c r="G677" s="1" t="s">
        <v>3886</v>
      </c>
      <c r="H677" s="1" t="s">
        <v>3887</v>
      </c>
      <c r="I677" t="b">
        <f>COUNTIF(Estadísticas!I:I,'centraldecomunicacion.es'!H677)&gt;0</f>
        <v>0</v>
      </c>
    </row>
    <row r="678" spans="1:9" hidden="1">
      <c r="A678" s="1" t="s">
        <v>3888</v>
      </c>
      <c r="B678" s="1" t="s">
        <v>10</v>
      </c>
      <c r="C678" s="1" t="s">
        <v>3889</v>
      </c>
      <c r="D678" s="1" t="s">
        <v>229</v>
      </c>
      <c r="E678" s="1" t="s">
        <v>229</v>
      </c>
      <c r="F678" s="1" t="s">
        <v>30</v>
      </c>
      <c r="G678" s="1" t="s">
        <v>30</v>
      </c>
      <c r="H678" s="1" t="s">
        <v>1762</v>
      </c>
      <c r="I678" t="b">
        <f>COUNTIF(Estadísticas!I:I,'centraldecomunicacion.es'!H678)&gt;0</f>
        <v>0</v>
      </c>
    </row>
    <row r="679" spans="1:9" hidden="1">
      <c r="A679" s="1" t="s">
        <v>3890</v>
      </c>
      <c r="B679" s="1" t="s">
        <v>10</v>
      </c>
      <c r="C679" s="1" t="s">
        <v>3891</v>
      </c>
      <c r="D679" s="1" t="s">
        <v>229</v>
      </c>
      <c r="E679" s="1" t="s">
        <v>229</v>
      </c>
      <c r="F679" s="1" t="s">
        <v>30</v>
      </c>
      <c r="G679" s="1" t="s">
        <v>3892</v>
      </c>
      <c r="H679" s="1" t="s">
        <v>1762</v>
      </c>
      <c r="I679" t="b">
        <f>COUNTIF(Estadísticas!I:I,'centraldecomunicacion.es'!H679)&gt;0</f>
        <v>0</v>
      </c>
    </row>
    <row r="680" spans="1:9" hidden="1">
      <c r="A680" s="1" t="s">
        <v>3893</v>
      </c>
      <c r="B680" s="1" t="s">
        <v>10</v>
      </c>
      <c r="C680" s="1" t="s">
        <v>3894</v>
      </c>
      <c r="D680" s="1" t="s">
        <v>3153</v>
      </c>
      <c r="E680" s="1" t="s">
        <v>229</v>
      </c>
      <c r="F680" s="1" t="s">
        <v>30</v>
      </c>
      <c r="G680" s="1" t="s">
        <v>3895</v>
      </c>
      <c r="H680" s="1" t="s">
        <v>1762</v>
      </c>
      <c r="I680" t="b">
        <f>COUNTIF(Estadísticas!I:I,'centraldecomunicacion.es'!H680)&gt;0</f>
        <v>0</v>
      </c>
    </row>
    <row r="681" spans="1:9" hidden="1">
      <c r="A681" s="1" t="s">
        <v>3896</v>
      </c>
      <c r="B681" s="1" t="s">
        <v>10</v>
      </c>
      <c r="C681" s="1" t="s">
        <v>3897</v>
      </c>
      <c r="D681" s="1" t="s">
        <v>229</v>
      </c>
      <c r="E681" s="1" t="s">
        <v>229</v>
      </c>
      <c r="F681" s="1" t="s">
        <v>3898</v>
      </c>
      <c r="G681" s="1" t="s">
        <v>3899</v>
      </c>
      <c r="H681" s="1" t="s">
        <v>1762</v>
      </c>
      <c r="I681" t="b">
        <f>COUNTIF(Estadísticas!I:I,'centraldecomunicacion.es'!H681)&gt;0</f>
        <v>0</v>
      </c>
    </row>
    <row r="682" spans="1:9" hidden="1">
      <c r="A682" s="1" t="s">
        <v>3900</v>
      </c>
      <c r="B682" s="1" t="s">
        <v>10</v>
      </c>
      <c r="C682" s="1" t="s">
        <v>30</v>
      </c>
      <c r="D682" s="1" t="s">
        <v>249</v>
      </c>
      <c r="E682" s="1" t="s">
        <v>30</v>
      </c>
      <c r="F682" s="1" t="s">
        <v>30</v>
      </c>
      <c r="G682" s="1" t="s">
        <v>3901</v>
      </c>
      <c r="H682" s="1" t="s">
        <v>1762</v>
      </c>
      <c r="I682" t="b">
        <f>COUNTIF(Estadísticas!I:I,'centraldecomunicacion.es'!H682)&gt;0</f>
        <v>0</v>
      </c>
    </row>
    <row r="683" spans="1:9" hidden="1">
      <c r="A683" s="1" t="s">
        <v>3902</v>
      </c>
      <c r="B683" s="1" t="s">
        <v>10</v>
      </c>
      <c r="C683" s="1" t="s">
        <v>3903</v>
      </c>
      <c r="D683" s="1" t="s">
        <v>229</v>
      </c>
      <c r="E683" s="1" t="s">
        <v>229</v>
      </c>
      <c r="F683" s="1" t="s">
        <v>30</v>
      </c>
      <c r="G683" s="1" t="s">
        <v>3904</v>
      </c>
      <c r="H683" s="1" t="s">
        <v>1762</v>
      </c>
      <c r="I683" t="b">
        <f>COUNTIF(Estadísticas!I:I,'centraldecomunicacion.es'!H683)&gt;0</f>
        <v>0</v>
      </c>
    </row>
    <row r="684" spans="1:9" hidden="1">
      <c r="A684" s="1" t="s">
        <v>3905</v>
      </c>
      <c r="B684" s="1" t="s">
        <v>10</v>
      </c>
      <c r="C684" s="1" t="s">
        <v>3906</v>
      </c>
      <c r="D684" s="1" t="s">
        <v>229</v>
      </c>
      <c r="E684" s="1" t="s">
        <v>229</v>
      </c>
      <c r="F684" s="1" t="s">
        <v>30</v>
      </c>
      <c r="G684" s="1" t="s">
        <v>3907</v>
      </c>
      <c r="H684" s="1" t="s">
        <v>1762</v>
      </c>
      <c r="I684" t="b">
        <f>COUNTIF(Estadísticas!I:I,'centraldecomunicacion.es'!H684)&gt;0</f>
        <v>0</v>
      </c>
    </row>
    <row r="685" spans="1:9">
      <c r="A685" s="1" t="s">
        <v>233</v>
      </c>
      <c r="B685" s="1" t="s">
        <v>10</v>
      </c>
      <c r="C685" s="1" t="s">
        <v>234</v>
      </c>
      <c r="D685" s="1" t="s">
        <v>229</v>
      </c>
      <c r="E685" s="1" t="s">
        <v>229</v>
      </c>
      <c r="F685" s="1" t="s">
        <v>235</v>
      </c>
      <c r="G685" s="1" t="s">
        <v>236</v>
      </c>
      <c r="H685" s="1" t="s">
        <v>237</v>
      </c>
      <c r="I685" t="b">
        <f>COUNTIF(Estadísticas!I:I,'centraldecomunicacion.es'!H685)&gt;0</f>
        <v>1</v>
      </c>
    </row>
    <row r="686" spans="1:9" hidden="1">
      <c r="A686" s="1" t="s">
        <v>3908</v>
      </c>
      <c r="B686" s="1" t="s">
        <v>10</v>
      </c>
      <c r="C686" s="1" t="s">
        <v>3909</v>
      </c>
      <c r="D686" s="1" t="s">
        <v>229</v>
      </c>
      <c r="E686" s="1" t="s">
        <v>229</v>
      </c>
      <c r="F686" s="1" t="s">
        <v>3910</v>
      </c>
      <c r="G686" s="1" t="s">
        <v>3911</v>
      </c>
      <c r="H686" s="1" t="s">
        <v>1762</v>
      </c>
      <c r="I686" t="b">
        <f>COUNTIF(Estadísticas!I:I,'centraldecomunicacion.es'!H686)&gt;0</f>
        <v>0</v>
      </c>
    </row>
    <row r="687" spans="1:9" hidden="1">
      <c r="A687" s="1" t="s">
        <v>3912</v>
      </c>
      <c r="B687" s="1" t="s">
        <v>10</v>
      </c>
      <c r="C687" s="1" t="s">
        <v>3913</v>
      </c>
      <c r="D687" s="1" t="s">
        <v>229</v>
      </c>
      <c r="E687" s="1" t="s">
        <v>229</v>
      </c>
      <c r="F687" s="1" t="s">
        <v>30</v>
      </c>
      <c r="G687" s="1" t="s">
        <v>3914</v>
      </c>
      <c r="H687" s="1" t="s">
        <v>1762</v>
      </c>
      <c r="I687" t="b">
        <f>COUNTIF(Estadísticas!I:I,'centraldecomunicacion.es'!H687)&gt;0</f>
        <v>0</v>
      </c>
    </row>
    <row r="688" spans="1:9" hidden="1">
      <c r="A688" s="1" t="s">
        <v>3915</v>
      </c>
      <c r="B688" s="1" t="s">
        <v>18</v>
      </c>
      <c r="C688" s="1" t="s">
        <v>3916</v>
      </c>
      <c r="D688" s="1" t="s">
        <v>229</v>
      </c>
      <c r="E688" s="1" t="s">
        <v>229</v>
      </c>
      <c r="F688" s="1" t="s">
        <v>3917</v>
      </c>
      <c r="G688" s="1" t="s">
        <v>3918</v>
      </c>
      <c r="H688" s="1" t="s">
        <v>1762</v>
      </c>
      <c r="I688" t="b">
        <f>COUNTIF(Estadísticas!I:I,'centraldecomunicacion.es'!H688)&gt;0</f>
        <v>0</v>
      </c>
    </row>
    <row r="689" spans="1:9">
      <c r="A689" s="1" t="s">
        <v>238</v>
      </c>
      <c r="B689" s="1" t="s">
        <v>18</v>
      </c>
      <c r="C689" s="1" t="s">
        <v>239</v>
      </c>
      <c r="D689" s="1" t="s">
        <v>229</v>
      </c>
      <c r="E689" s="1" t="s">
        <v>229</v>
      </c>
      <c r="F689" s="1" t="s">
        <v>240</v>
      </c>
      <c r="G689" s="1" t="s">
        <v>241</v>
      </c>
      <c r="H689" s="1" t="s">
        <v>242</v>
      </c>
      <c r="I689" t="b">
        <f>COUNTIF(Estadísticas!I:I,'centraldecomunicacion.es'!H689)&gt;0</f>
        <v>1</v>
      </c>
    </row>
    <row r="690" spans="1:9" hidden="1">
      <c r="A690" s="1" t="s">
        <v>3919</v>
      </c>
      <c r="B690" s="1" t="s">
        <v>10</v>
      </c>
      <c r="C690" s="1" t="s">
        <v>3920</v>
      </c>
      <c r="D690" s="1" t="s">
        <v>229</v>
      </c>
      <c r="E690" s="1" t="s">
        <v>229</v>
      </c>
      <c r="F690" s="1" t="s">
        <v>3921</v>
      </c>
      <c r="G690" s="1" t="s">
        <v>3922</v>
      </c>
      <c r="H690" s="1" t="s">
        <v>3923</v>
      </c>
      <c r="I690" t="b">
        <f>COUNTIF(Estadísticas!I:I,'centraldecomunicacion.es'!H690)&gt;0</f>
        <v>0</v>
      </c>
    </row>
    <row r="691" spans="1:9" hidden="1">
      <c r="A691" s="1" t="s">
        <v>3924</v>
      </c>
      <c r="B691" s="1" t="s">
        <v>18</v>
      </c>
      <c r="C691" s="1" t="s">
        <v>3925</v>
      </c>
      <c r="D691" s="1" t="s">
        <v>229</v>
      </c>
      <c r="E691" s="1" t="s">
        <v>229</v>
      </c>
      <c r="F691" s="1" t="s">
        <v>30</v>
      </c>
      <c r="G691" s="1" t="s">
        <v>3926</v>
      </c>
      <c r="H691" s="1" t="s">
        <v>1762</v>
      </c>
      <c r="I691" t="b">
        <f>COUNTIF(Estadísticas!I:I,'centraldecomunicacion.es'!H691)&gt;0</f>
        <v>0</v>
      </c>
    </row>
    <row r="692" spans="1:9" hidden="1">
      <c r="A692" s="1" t="s">
        <v>3927</v>
      </c>
      <c r="B692" s="1" t="s">
        <v>18</v>
      </c>
      <c r="C692" s="1" t="s">
        <v>3928</v>
      </c>
      <c r="D692" s="1" t="s">
        <v>229</v>
      </c>
      <c r="E692" s="1" t="s">
        <v>229</v>
      </c>
      <c r="F692" s="1" t="s">
        <v>3929</v>
      </c>
      <c r="G692" s="1" t="s">
        <v>3930</v>
      </c>
      <c r="H692" s="1" t="s">
        <v>3931</v>
      </c>
      <c r="I692" t="b">
        <f>COUNTIF(Estadísticas!I:I,'centraldecomunicacion.es'!H692)&gt;0</f>
        <v>0</v>
      </c>
    </row>
    <row r="693" spans="1:9" hidden="1">
      <c r="A693" s="1" t="s">
        <v>1995</v>
      </c>
      <c r="B693" s="1" t="s">
        <v>10</v>
      </c>
      <c r="C693" s="1" t="s">
        <v>3932</v>
      </c>
      <c r="D693" s="1" t="s">
        <v>229</v>
      </c>
      <c r="E693" s="1" t="s">
        <v>229</v>
      </c>
      <c r="F693" s="1" t="s">
        <v>3933</v>
      </c>
      <c r="G693" s="1" t="s">
        <v>30</v>
      </c>
      <c r="H693" s="1" t="s">
        <v>1762</v>
      </c>
      <c r="I693" t="b">
        <f>COUNTIF(Estadísticas!I:I,'centraldecomunicacion.es'!H693)&gt;0</f>
        <v>0</v>
      </c>
    </row>
    <row r="694" spans="1:9" hidden="1">
      <c r="A694" s="1" t="s">
        <v>3934</v>
      </c>
      <c r="B694" s="1" t="s">
        <v>10</v>
      </c>
      <c r="C694" s="1" t="s">
        <v>3935</v>
      </c>
      <c r="D694" s="1" t="s">
        <v>229</v>
      </c>
      <c r="E694" s="1" t="s">
        <v>229</v>
      </c>
      <c r="F694" s="1" t="s">
        <v>30</v>
      </c>
      <c r="G694" s="1" t="s">
        <v>30</v>
      </c>
      <c r="H694" s="1" t="s">
        <v>1762</v>
      </c>
      <c r="I694" t="b">
        <f>COUNTIF(Estadísticas!I:I,'centraldecomunicacion.es'!H694)&gt;0</f>
        <v>0</v>
      </c>
    </row>
    <row r="695" spans="1:9" hidden="1">
      <c r="A695" s="1" t="s">
        <v>3936</v>
      </c>
      <c r="B695" s="1" t="s">
        <v>10</v>
      </c>
      <c r="C695" s="1" t="s">
        <v>3937</v>
      </c>
      <c r="D695" s="1" t="s">
        <v>229</v>
      </c>
      <c r="E695" s="1" t="s">
        <v>229</v>
      </c>
      <c r="F695" s="1" t="s">
        <v>1984</v>
      </c>
      <c r="G695" s="1" t="s">
        <v>3938</v>
      </c>
      <c r="H695" s="1" t="s">
        <v>1762</v>
      </c>
      <c r="I695" t="b">
        <f>COUNTIF(Estadísticas!I:I,'centraldecomunicacion.es'!H695)&gt;0</f>
        <v>0</v>
      </c>
    </row>
    <row r="696" spans="1:9" hidden="1">
      <c r="A696" s="1" t="s">
        <v>3939</v>
      </c>
      <c r="B696" s="1" t="s">
        <v>10</v>
      </c>
      <c r="C696" s="1" t="s">
        <v>3940</v>
      </c>
      <c r="D696" s="1" t="s">
        <v>229</v>
      </c>
      <c r="E696" s="1" t="s">
        <v>229</v>
      </c>
      <c r="F696" s="1" t="s">
        <v>30</v>
      </c>
      <c r="G696" s="1" t="s">
        <v>3941</v>
      </c>
      <c r="H696" s="1" t="s">
        <v>1762</v>
      </c>
      <c r="I696" t="b">
        <f>COUNTIF(Estadísticas!I:I,'centraldecomunicacion.es'!H696)&gt;0</f>
        <v>0</v>
      </c>
    </row>
    <row r="697" spans="1:9" hidden="1">
      <c r="A697" s="1" t="s">
        <v>3942</v>
      </c>
      <c r="B697" s="1" t="s">
        <v>10</v>
      </c>
      <c r="C697" s="1" t="s">
        <v>3943</v>
      </c>
      <c r="D697" s="1" t="s">
        <v>229</v>
      </c>
      <c r="E697" s="1" t="s">
        <v>229</v>
      </c>
      <c r="F697" s="1" t="s">
        <v>3944</v>
      </c>
      <c r="G697" s="1" t="s">
        <v>3945</v>
      </c>
      <c r="H697" s="1" t="s">
        <v>3946</v>
      </c>
      <c r="I697" t="b">
        <f>COUNTIF(Estadísticas!I:I,'centraldecomunicacion.es'!H697)&gt;0</f>
        <v>0</v>
      </c>
    </row>
    <row r="698" spans="1:9" hidden="1">
      <c r="A698" s="1" t="s">
        <v>3947</v>
      </c>
      <c r="B698" s="1" t="s">
        <v>18</v>
      </c>
      <c r="C698" s="1" t="s">
        <v>3948</v>
      </c>
      <c r="D698" s="1" t="s">
        <v>229</v>
      </c>
      <c r="E698" s="1" t="s">
        <v>229</v>
      </c>
      <c r="F698" s="1" t="s">
        <v>30</v>
      </c>
      <c r="G698" s="1" t="s">
        <v>3949</v>
      </c>
      <c r="H698" s="1" t="s">
        <v>1762</v>
      </c>
      <c r="I698" t="b">
        <f>COUNTIF(Estadísticas!I:I,'centraldecomunicacion.es'!H698)&gt;0</f>
        <v>0</v>
      </c>
    </row>
    <row r="699" spans="1:9" hidden="1">
      <c r="A699" s="1" t="s">
        <v>3950</v>
      </c>
      <c r="B699" s="1" t="s">
        <v>10</v>
      </c>
      <c r="C699" s="1" t="s">
        <v>3951</v>
      </c>
      <c r="D699" s="1" t="s">
        <v>229</v>
      </c>
      <c r="E699" s="1" t="s">
        <v>229</v>
      </c>
      <c r="F699" s="1" t="s">
        <v>1984</v>
      </c>
      <c r="G699" s="1" t="s">
        <v>3952</v>
      </c>
      <c r="H699" s="1" t="s">
        <v>1762</v>
      </c>
      <c r="I699" t="b">
        <f>COUNTIF(Estadísticas!I:I,'centraldecomunicacion.es'!H699)&gt;0</f>
        <v>0</v>
      </c>
    </row>
    <row r="700" spans="1:9" hidden="1">
      <c r="A700" s="1" t="s">
        <v>3953</v>
      </c>
      <c r="B700" s="1" t="s">
        <v>10</v>
      </c>
      <c r="C700" s="1" t="s">
        <v>3954</v>
      </c>
      <c r="D700" s="1" t="s">
        <v>229</v>
      </c>
      <c r="E700" s="1" t="s">
        <v>229</v>
      </c>
      <c r="F700" s="1" t="s">
        <v>1984</v>
      </c>
      <c r="G700" s="1" t="s">
        <v>3955</v>
      </c>
      <c r="H700" s="1" t="s">
        <v>1762</v>
      </c>
      <c r="I700" t="b">
        <f>COUNTIF(Estadísticas!I:I,'centraldecomunicacion.es'!H700)&gt;0</f>
        <v>0</v>
      </c>
    </row>
    <row r="701" spans="1:9" hidden="1">
      <c r="A701" s="1" t="s">
        <v>3956</v>
      </c>
      <c r="B701" s="1" t="s">
        <v>10</v>
      </c>
      <c r="C701" s="1" t="s">
        <v>3957</v>
      </c>
      <c r="D701" s="1" t="s">
        <v>229</v>
      </c>
      <c r="E701" s="1" t="s">
        <v>229</v>
      </c>
      <c r="F701" s="1" t="s">
        <v>30</v>
      </c>
      <c r="G701" s="1" t="s">
        <v>30</v>
      </c>
      <c r="H701" s="1" t="s">
        <v>1762</v>
      </c>
      <c r="I701" t="b">
        <f>COUNTIF(Estadísticas!I:I,'centraldecomunicacion.es'!H701)&gt;0</f>
        <v>0</v>
      </c>
    </row>
    <row r="702" spans="1:9" hidden="1">
      <c r="A702" s="1" t="s">
        <v>3958</v>
      </c>
      <c r="B702" s="1" t="s">
        <v>10</v>
      </c>
      <c r="C702" s="1" t="s">
        <v>3959</v>
      </c>
      <c r="D702" s="1" t="s">
        <v>229</v>
      </c>
      <c r="E702" s="1" t="s">
        <v>229</v>
      </c>
      <c r="F702" s="1" t="s">
        <v>30</v>
      </c>
      <c r="G702" s="1" t="s">
        <v>3960</v>
      </c>
      <c r="H702" s="1" t="s">
        <v>1762</v>
      </c>
      <c r="I702" t="b">
        <f>COUNTIF(Estadísticas!I:I,'centraldecomunicacion.es'!H702)&gt;0</f>
        <v>0</v>
      </c>
    </row>
    <row r="703" spans="1:9" hidden="1">
      <c r="A703" s="1" t="s">
        <v>3961</v>
      </c>
      <c r="B703" s="1" t="s">
        <v>18</v>
      </c>
      <c r="C703" s="1" t="s">
        <v>3962</v>
      </c>
      <c r="D703" s="1" t="s">
        <v>229</v>
      </c>
      <c r="E703" s="1" t="s">
        <v>229</v>
      </c>
      <c r="F703" s="1" t="s">
        <v>30</v>
      </c>
      <c r="G703" s="1" t="s">
        <v>30</v>
      </c>
      <c r="H703" s="1" t="s">
        <v>1762</v>
      </c>
      <c r="I703" t="b">
        <f>COUNTIF(Estadísticas!I:I,'centraldecomunicacion.es'!H703)&gt;0</f>
        <v>0</v>
      </c>
    </row>
    <row r="704" spans="1:9">
      <c r="A704" s="1" t="s">
        <v>243</v>
      </c>
      <c r="B704" s="1" t="s">
        <v>10</v>
      </c>
      <c r="C704" s="1" t="s">
        <v>244</v>
      </c>
      <c r="D704" s="1" t="s">
        <v>229</v>
      </c>
      <c r="E704" s="1" t="s">
        <v>229</v>
      </c>
      <c r="F704" s="1" t="s">
        <v>245</v>
      </c>
      <c r="G704" s="1" t="s">
        <v>246</v>
      </c>
      <c r="H704" s="1" t="s">
        <v>247</v>
      </c>
      <c r="I704" t="b">
        <f>COUNTIF(Estadísticas!I:I,'centraldecomunicacion.es'!H704)&gt;0</f>
        <v>1</v>
      </c>
    </row>
    <row r="705" spans="1:9" hidden="1">
      <c r="A705" s="1" t="s">
        <v>3963</v>
      </c>
      <c r="B705" s="1" t="s">
        <v>10</v>
      </c>
      <c r="C705" s="1" t="s">
        <v>3964</v>
      </c>
      <c r="D705" s="1" t="s">
        <v>229</v>
      </c>
      <c r="E705" s="1" t="s">
        <v>229</v>
      </c>
      <c r="F705" s="1" t="s">
        <v>30</v>
      </c>
      <c r="G705" s="1" t="s">
        <v>3965</v>
      </c>
      <c r="H705" s="1" t="s">
        <v>1762</v>
      </c>
      <c r="I705" t="b">
        <f>COUNTIF(Estadísticas!I:I,'centraldecomunicacion.es'!H705)&gt;0</f>
        <v>0</v>
      </c>
    </row>
    <row r="706" spans="1:9" hidden="1">
      <c r="A706" s="1" t="s">
        <v>3966</v>
      </c>
      <c r="B706" s="1" t="s">
        <v>10</v>
      </c>
      <c r="C706" s="1" t="s">
        <v>3967</v>
      </c>
      <c r="D706" s="1" t="s">
        <v>229</v>
      </c>
      <c r="E706" s="1" t="s">
        <v>229</v>
      </c>
      <c r="F706" s="1" t="s">
        <v>30</v>
      </c>
      <c r="G706" s="1" t="s">
        <v>30</v>
      </c>
      <c r="H706" s="1" t="s">
        <v>1762</v>
      </c>
      <c r="I706" t="b">
        <f>COUNTIF(Estadísticas!I:I,'centraldecomunicacion.es'!H706)&gt;0</f>
        <v>0</v>
      </c>
    </row>
    <row r="707" spans="1:9" hidden="1">
      <c r="A707" s="1" t="s">
        <v>3968</v>
      </c>
      <c r="B707" s="1" t="s">
        <v>10</v>
      </c>
      <c r="C707" s="1" t="s">
        <v>3969</v>
      </c>
      <c r="D707" s="1" t="s">
        <v>229</v>
      </c>
      <c r="E707" s="1" t="s">
        <v>229</v>
      </c>
      <c r="F707" s="1" t="s">
        <v>30</v>
      </c>
      <c r="G707" s="1" t="s">
        <v>3970</v>
      </c>
      <c r="H707" s="1" t="s">
        <v>1762</v>
      </c>
      <c r="I707" t="b">
        <f>COUNTIF(Estadísticas!I:I,'centraldecomunicacion.es'!H707)&gt;0</f>
        <v>0</v>
      </c>
    </row>
    <row r="708" spans="1:9" hidden="1">
      <c r="A708" s="1" t="s">
        <v>3971</v>
      </c>
      <c r="B708" s="1" t="s">
        <v>10</v>
      </c>
      <c r="C708" s="1" t="s">
        <v>3972</v>
      </c>
      <c r="D708" s="1" t="s">
        <v>229</v>
      </c>
      <c r="E708" s="1" t="s">
        <v>229</v>
      </c>
      <c r="F708" s="1" t="s">
        <v>30</v>
      </c>
      <c r="G708" s="1" t="s">
        <v>3973</v>
      </c>
      <c r="H708" s="1" t="s">
        <v>1762</v>
      </c>
      <c r="I708" t="b">
        <f>COUNTIF(Estadísticas!I:I,'centraldecomunicacion.es'!H708)&gt;0</f>
        <v>0</v>
      </c>
    </row>
    <row r="709" spans="1:9" hidden="1">
      <c r="A709" s="1" t="s">
        <v>3974</v>
      </c>
      <c r="B709" s="1" t="s">
        <v>18</v>
      </c>
      <c r="C709" s="1" t="s">
        <v>3975</v>
      </c>
      <c r="D709" s="1" t="s">
        <v>229</v>
      </c>
      <c r="E709" s="1" t="s">
        <v>229</v>
      </c>
      <c r="F709" s="1" t="s">
        <v>3917</v>
      </c>
      <c r="G709" s="1" t="s">
        <v>3918</v>
      </c>
      <c r="H709" s="1" t="s">
        <v>1762</v>
      </c>
      <c r="I709" t="b">
        <f>COUNTIF(Estadísticas!I:I,'centraldecomunicacion.es'!H709)&gt;0</f>
        <v>0</v>
      </c>
    </row>
    <row r="710" spans="1:9" hidden="1">
      <c r="A710" s="1" t="s">
        <v>3976</v>
      </c>
      <c r="B710" s="1" t="s">
        <v>18</v>
      </c>
      <c r="C710" s="1" t="s">
        <v>3977</v>
      </c>
      <c r="D710" s="1" t="s">
        <v>3153</v>
      </c>
      <c r="E710" s="1" t="s">
        <v>229</v>
      </c>
      <c r="F710" s="1" t="s">
        <v>1984</v>
      </c>
      <c r="G710" s="1" t="s">
        <v>3978</v>
      </c>
      <c r="H710" s="1" t="s">
        <v>1762</v>
      </c>
      <c r="I710" t="b">
        <f>COUNTIF(Estadísticas!I:I,'centraldecomunicacion.es'!H710)&gt;0</f>
        <v>0</v>
      </c>
    </row>
    <row r="711" spans="1:9" hidden="1">
      <c r="A711" s="1" t="s">
        <v>3979</v>
      </c>
      <c r="B711" s="1" t="s">
        <v>10</v>
      </c>
      <c r="C711" s="1" t="s">
        <v>3980</v>
      </c>
      <c r="D711" s="1" t="s">
        <v>229</v>
      </c>
      <c r="E711" s="1" t="s">
        <v>229</v>
      </c>
      <c r="F711" s="1" t="s">
        <v>30</v>
      </c>
      <c r="G711" s="1" t="s">
        <v>3981</v>
      </c>
      <c r="H711" s="1" t="s">
        <v>1762</v>
      </c>
      <c r="I711" t="b">
        <f>COUNTIF(Estadísticas!I:I,'centraldecomunicacion.es'!H711)&gt;0</f>
        <v>0</v>
      </c>
    </row>
    <row r="712" spans="1:9" hidden="1">
      <c r="A712" s="1" t="s">
        <v>3982</v>
      </c>
      <c r="B712" s="1" t="s">
        <v>10</v>
      </c>
      <c r="C712" s="1" t="s">
        <v>3983</v>
      </c>
      <c r="D712" s="1" t="s">
        <v>229</v>
      </c>
      <c r="E712" s="1" t="s">
        <v>229</v>
      </c>
      <c r="F712" s="1" t="s">
        <v>30</v>
      </c>
      <c r="G712" s="1" t="s">
        <v>3984</v>
      </c>
      <c r="H712" s="1" t="s">
        <v>1762</v>
      </c>
      <c r="I712" t="b">
        <f>COUNTIF(Estadísticas!I:I,'centraldecomunicacion.es'!H712)&gt;0</f>
        <v>0</v>
      </c>
    </row>
    <row r="713" spans="1:9" hidden="1">
      <c r="A713" s="1" t="s">
        <v>3985</v>
      </c>
      <c r="B713" s="1" t="s">
        <v>10</v>
      </c>
      <c r="C713" s="1" t="s">
        <v>30</v>
      </c>
      <c r="D713" s="1" t="s">
        <v>249</v>
      </c>
      <c r="E713" s="1" t="s">
        <v>30</v>
      </c>
      <c r="F713" s="1" t="s">
        <v>30</v>
      </c>
      <c r="G713" s="1" t="s">
        <v>3986</v>
      </c>
      <c r="H713" s="1" t="s">
        <v>1762</v>
      </c>
      <c r="I713" t="b">
        <f>COUNTIF(Estadísticas!I:I,'centraldecomunicacion.es'!H713)&gt;0</f>
        <v>0</v>
      </c>
    </row>
    <row r="714" spans="1:9" hidden="1">
      <c r="A714" s="1" t="s">
        <v>3987</v>
      </c>
      <c r="B714" s="1" t="s">
        <v>18</v>
      </c>
      <c r="C714" s="1" t="s">
        <v>3988</v>
      </c>
      <c r="D714" s="1" t="s">
        <v>3989</v>
      </c>
      <c r="E714" s="1" t="s">
        <v>229</v>
      </c>
      <c r="F714" s="1" t="s">
        <v>1984</v>
      </c>
      <c r="G714" s="1" t="s">
        <v>3990</v>
      </c>
      <c r="H714" s="1" t="s">
        <v>1762</v>
      </c>
      <c r="I714" t="b">
        <f>COUNTIF(Estadísticas!I:I,'centraldecomunicacion.es'!H714)&gt;0</f>
        <v>0</v>
      </c>
    </row>
    <row r="715" spans="1:9" hidden="1">
      <c r="A715" s="1" t="s">
        <v>3991</v>
      </c>
      <c r="B715" s="1" t="s">
        <v>10</v>
      </c>
      <c r="C715" s="1" t="s">
        <v>3992</v>
      </c>
      <c r="D715" s="1" t="s">
        <v>229</v>
      </c>
      <c r="E715" s="1" t="s">
        <v>229</v>
      </c>
      <c r="F715" s="1" t="s">
        <v>1984</v>
      </c>
      <c r="G715" s="1" t="s">
        <v>3993</v>
      </c>
      <c r="H715" s="1" t="s">
        <v>1762</v>
      </c>
      <c r="I715" t="b">
        <f>COUNTIF(Estadísticas!I:I,'centraldecomunicacion.es'!H715)&gt;0</f>
        <v>0</v>
      </c>
    </row>
    <row r="716" spans="1:9" hidden="1">
      <c r="A716" s="1" t="s">
        <v>3994</v>
      </c>
      <c r="B716" s="1" t="s">
        <v>10</v>
      </c>
      <c r="C716" s="1" t="s">
        <v>3995</v>
      </c>
      <c r="D716" s="1" t="s">
        <v>229</v>
      </c>
      <c r="E716" s="1" t="s">
        <v>229</v>
      </c>
      <c r="F716" s="1" t="s">
        <v>30</v>
      </c>
      <c r="G716" s="1" t="s">
        <v>3996</v>
      </c>
      <c r="H716" s="1" t="s">
        <v>1762</v>
      </c>
      <c r="I716" t="b">
        <f>COUNTIF(Estadísticas!I:I,'centraldecomunicacion.es'!H716)&gt;0</f>
        <v>0</v>
      </c>
    </row>
    <row r="717" spans="1:9" hidden="1">
      <c r="A717" s="1" t="s">
        <v>3997</v>
      </c>
      <c r="B717" s="1" t="s">
        <v>10</v>
      </c>
      <c r="C717" s="1" t="s">
        <v>3998</v>
      </c>
      <c r="D717" s="1" t="s">
        <v>3153</v>
      </c>
      <c r="E717" s="1" t="s">
        <v>229</v>
      </c>
      <c r="F717" s="1" t="s">
        <v>30</v>
      </c>
      <c r="G717" s="1" t="s">
        <v>3999</v>
      </c>
      <c r="H717" s="1" t="s">
        <v>1762</v>
      </c>
      <c r="I717" t="b">
        <f>COUNTIF(Estadísticas!I:I,'centraldecomunicacion.es'!H717)&gt;0</f>
        <v>0</v>
      </c>
    </row>
    <row r="718" spans="1:9" hidden="1">
      <c r="A718" s="1" t="s">
        <v>4000</v>
      </c>
      <c r="B718" s="1" t="s">
        <v>18</v>
      </c>
      <c r="C718" s="1" t="s">
        <v>4001</v>
      </c>
      <c r="D718" s="1" t="s">
        <v>229</v>
      </c>
      <c r="E718" s="1" t="s">
        <v>229</v>
      </c>
      <c r="F718" s="1" t="s">
        <v>30</v>
      </c>
      <c r="G718" s="1" t="s">
        <v>4002</v>
      </c>
      <c r="H718" s="1" t="s">
        <v>1762</v>
      </c>
      <c r="I718" t="b">
        <f>COUNTIF(Estadísticas!I:I,'centraldecomunicacion.es'!H718)&gt;0</f>
        <v>0</v>
      </c>
    </row>
    <row r="719" spans="1:9" hidden="1">
      <c r="A719" s="1" t="s">
        <v>4003</v>
      </c>
      <c r="B719" s="1" t="s">
        <v>10</v>
      </c>
      <c r="C719" s="1" t="s">
        <v>4004</v>
      </c>
      <c r="D719" s="1" t="s">
        <v>229</v>
      </c>
      <c r="E719" s="1" t="s">
        <v>229</v>
      </c>
      <c r="F719" s="1" t="s">
        <v>30</v>
      </c>
      <c r="G719" s="1" t="s">
        <v>30</v>
      </c>
      <c r="H719" s="1" t="s">
        <v>1762</v>
      </c>
      <c r="I719" t="b">
        <f>COUNTIF(Estadísticas!I:I,'centraldecomunicacion.es'!H719)&gt;0</f>
        <v>0</v>
      </c>
    </row>
    <row r="720" spans="1:9" hidden="1">
      <c r="A720" s="1" t="s">
        <v>4005</v>
      </c>
      <c r="B720" s="1" t="s">
        <v>10</v>
      </c>
      <c r="C720" s="1" t="s">
        <v>4006</v>
      </c>
      <c r="D720" s="1" t="s">
        <v>229</v>
      </c>
      <c r="E720" s="1" t="s">
        <v>229</v>
      </c>
      <c r="F720" s="1" t="s">
        <v>30</v>
      </c>
      <c r="G720" s="1" t="s">
        <v>4007</v>
      </c>
      <c r="H720" s="1" t="s">
        <v>1762</v>
      </c>
      <c r="I720" t="b">
        <f>COUNTIF(Estadísticas!I:I,'centraldecomunicacion.es'!H720)&gt;0</f>
        <v>0</v>
      </c>
    </row>
    <row r="721" spans="1:9" hidden="1">
      <c r="A721" s="1" t="s">
        <v>4008</v>
      </c>
      <c r="B721" s="1" t="s">
        <v>18</v>
      </c>
      <c r="C721" s="1" t="s">
        <v>4009</v>
      </c>
      <c r="D721" s="1" t="s">
        <v>3147</v>
      </c>
      <c r="E721" s="1" t="s">
        <v>229</v>
      </c>
      <c r="F721" s="1" t="s">
        <v>4010</v>
      </c>
      <c r="G721" s="1" t="s">
        <v>4011</v>
      </c>
      <c r="H721" s="1" t="s">
        <v>1762</v>
      </c>
      <c r="I721" t="b">
        <f>COUNTIF(Estadísticas!I:I,'centraldecomunicacion.es'!H721)&gt;0</f>
        <v>0</v>
      </c>
    </row>
    <row r="722" spans="1:9" hidden="1">
      <c r="A722" s="1" t="s">
        <v>4012</v>
      </c>
      <c r="B722" s="1" t="s">
        <v>10</v>
      </c>
      <c r="C722" s="1" t="s">
        <v>4013</v>
      </c>
      <c r="D722" s="1" t="s">
        <v>3873</v>
      </c>
      <c r="E722" s="1" t="s">
        <v>229</v>
      </c>
      <c r="F722" s="1" t="s">
        <v>30</v>
      </c>
      <c r="G722" s="1" t="s">
        <v>4014</v>
      </c>
      <c r="H722" s="1" t="s">
        <v>1762</v>
      </c>
      <c r="I722" t="b">
        <f>COUNTIF(Estadísticas!I:I,'centraldecomunicacion.es'!H722)&gt;0</f>
        <v>0</v>
      </c>
    </row>
    <row r="723" spans="1:9" hidden="1">
      <c r="A723" s="1" t="s">
        <v>4015</v>
      </c>
      <c r="B723" s="1" t="s">
        <v>18</v>
      </c>
      <c r="C723" s="1" t="s">
        <v>4016</v>
      </c>
      <c r="D723" s="1" t="s">
        <v>3147</v>
      </c>
      <c r="E723" s="1" t="s">
        <v>229</v>
      </c>
      <c r="F723" s="1" t="s">
        <v>30</v>
      </c>
      <c r="G723" s="1" t="s">
        <v>4017</v>
      </c>
      <c r="H723" s="1" t="s">
        <v>1762</v>
      </c>
      <c r="I723" t="b">
        <f>COUNTIF(Estadísticas!I:I,'centraldecomunicacion.es'!H723)&gt;0</f>
        <v>0</v>
      </c>
    </row>
    <row r="724" spans="1:9" hidden="1">
      <c r="A724" s="1" t="s">
        <v>4018</v>
      </c>
      <c r="B724" s="1" t="s">
        <v>10</v>
      </c>
      <c r="C724" s="1" t="s">
        <v>4019</v>
      </c>
      <c r="D724" s="1" t="s">
        <v>4020</v>
      </c>
      <c r="E724" s="1" t="s">
        <v>229</v>
      </c>
      <c r="F724" s="1" t="s">
        <v>30</v>
      </c>
      <c r="G724" s="1" t="s">
        <v>4021</v>
      </c>
      <c r="H724" s="1" t="s">
        <v>1762</v>
      </c>
      <c r="I724" t="b">
        <f>COUNTIF(Estadísticas!I:I,'centraldecomunicacion.es'!H724)&gt;0</f>
        <v>0</v>
      </c>
    </row>
    <row r="725" spans="1:9" hidden="1">
      <c r="A725" s="1" t="s">
        <v>4022</v>
      </c>
      <c r="B725" s="1" t="s">
        <v>10</v>
      </c>
      <c r="C725" s="1" t="s">
        <v>4023</v>
      </c>
      <c r="D725" s="1" t="s">
        <v>3989</v>
      </c>
      <c r="E725" s="1" t="s">
        <v>229</v>
      </c>
      <c r="F725" s="1" t="s">
        <v>30</v>
      </c>
      <c r="G725" s="1" t="s">
        <v>4024</v>
      </c>
      <c r="H725" s="1" t="s">
        <v>1762</v>
      </c>
      <c r="I725" t="b">
        <f>COUNTIF(Estadísticas!I:I,'centraldecomunicacion.es'!H725)&gt;0</f>
        <v>0</v>
      </c>
    </row>
    <row r="726" spans="1:9" hidden="1">
      <c r="A726" s="1" t="s">
        <v>4025</v>
      </c>
      <c r="B726" s="1" t="s">
        <v>10</v>
      </c>
      <c r="C726" s="1" t="s">
        <v>4026</v>
      </c>
      <c r="D726" s="1" t="s">
        <v>229</v>
      </c>
      <c r="E726" s="1" t="s">
        <v>229</v>
      </c>
      <c r="F726" s="1" t="s">
        <v>30</v>
      </c>
      <c r="G726" s="1" t="s">
        <v>4027</v>
      </c>
      <c r="H726" s="1" t="s">
        <v>1762</v>
      </c>
      <c r="I726" t="b">
        <f>COUNTIF(Estadísticas!I:I,'centraldecomunicacion.es'!H726)&gt;0</f>
        <v>0</v>
      </c>
    </row>
    <row r="727" spans="1:9" hidden="1">
      <c r="A727" s="1" t="s">
        <v>4028</v>
      </c>
      <c r="B727" s="1" t="s">
        <v>10</v>
      </c>
      <c r="C727" s="1" t="s">
        <v>4029</v>
      </c>
      <c r="D727" s="1" t="s">
        <v>229</v>
      </c>
      <c r="E727" s="1" t="s">
        <v>229</v>
      </c>
      <c r="F727" s="1" t="s">
        <v>30</v>
      </c>
      <c r="G727" s="1" t="s">
        <v>4030</v>
      </c>
      <c r="H727" s="1" t="s">
        <v>1762</v>
      </c>
      <c r="I727" t="b">
        <f>COUNTIF(Estadísticas!I:I,'centraldecomunicacion.es'!H727)&gt;0</f>
        <v>0</v>
      </c>
    </row>
    <row r="728" spans="1:9" hidden="1">
      <c r="A728" s="1" t="s">
        <v>4031</v>
      </c>
      <c r="B728" s="1" t="s">
        <v>10</v>
      </c>
      <c r="C728" s="1" t="s">
        <v>4032</v>
      </c>
      <c r="D728" s="1" t="s">
        <v>3873</v>
      </c>
      <c r="E728" s="1" t="s">
        <v>229</v>
      </c>
      <c r="F728" s="1" t="s">
        <v>1984</v>
      </c>
      <c r="G728" s="1" t="s">
        <v>4033</v>
      </c>
      <c r="H728" s="1" t="s">
        <v>1762</v>
      </c>
      <c r="I728" t="b">
        <f>COUNTIF(Estadísticas!I:I,'centraldecomunicacion.es'!H728)&gt;0</f>
        <v>0</v>
      </c>
    </row>
    <row r="729" spans="1:9">
      <c r="A729" s="1" t="s">
        <v>248</v>
      </c>
      <c r="B729" s="1" t="s">
        <v>10</v>
      </c>
      <c r="C729" s="1" t="s">
        <v>30</v>
      </c>
      <c r="D729" s="1" t="s">
        <v>249</v>
      </c>
      <c r="E729" s="1" t="s">
        <v>30</v>
      </c>
      <c r="F729" s="1" t="s">
        <v>250</v>
      </c>
      <c r="G729" s="1" t="s">
        <v>251</v>
      </c>
      <c r="H729" s="1" t="s">
        <v>252</v>
      </c>
      <c r="I729" t="b">
        <f>COUNTIF(Estadísticas!I:I,'centraldecomunicacion.es'!H729)&gt;0</f>
        <v>1</v>
      </c>
    </row>
    <row r="730" spans="1:9" hidden="1">
      <c r="A730" s="1" t="s">
        <v>4034</v>
      </c>
      <c r="B730" s="1" t="s">
        <v>10</v>
      </c>
      <c r="C730" s="1" t="s">
        <v>3925</v>
      </c>
      <c r="D730" s="1" t="s">
        <v>229</v>
      </c>
      <c r="E730" s="1" t="s">
        <v>229</v>
      </c>
      <c r="F730" s="1" t="s">
        <v>30</v>
      </c>
      <c r="G730" s="1" t="s">
        <v>4035</v>
      </c>
      <c r="H730" s="1" t="s">
        <v>1762</v>
      </c>
      <c r="I730" t="b">
        <f>COUNTIF(Estadísticas!I:I,'centraldecomunicacion.es'!H730)&gt;0</f>
        <v>0</v>
      </c>
    </row>
    <row r="731" spans="1:9" hidden="1">
      <c r="A731" s="1" t="s">
        <v>4036</v>
      </c>
      <c r="B731" s="1" t="s">
        <v>18</v>
      </c>
      <c r="C731" s="1" t="s">
        <v>4037</v>
      </c>
      <c r="D731" s="1" t="s">
        <v>3153</v>
      </c>
      <c r="E731" s="1" t="s">
        <v>229</v>
      </c>
      <c r="F731" s="1" t="s">
        <v>4038</v>
      </c>
      <c r="G731" s="1" t="s">
        <v>4039</v>
      </c>
      <c r="H731" s="1" t="s">
        <v>4040</v>
      </c>
      <c r="I731" t="b">
        <f>COUNTIF(Estadísticas!I:I,'centraldecomunicacion.es'!H731)&gt;0</f>
        <v>0</v>
      </c>
    </row>
    <row r="732" spans="1:9" hidden="1">
      <c r="A732" s="1" t="s">
        <v>3073</v>
      </c>
      <c r="B732" s="1" t="s">
        <v>10</v>
      </c>
      <c r="C732" s="1" t="s">
        <v>4041</v>
      </c>
      <c r="D732" s="1" t="s">
        <v>229</v>
      </c>
      <c r="E732" s="1" t="s">
        <v>229</v>
      </c>
      <c r="F732" s="1" t="s">
        <v>30</v>
      </c>
      <c r="G732" s="1" t="s">
        <v>30</v>
      </c>
      <c r="H732" s="1" t="s">
        <v>1762</v>
      </c>
      <c r="I732" t="b">
        <f>COUNTIF(Estadísticas!I:I,'centraldecomunicacion.es'!H732)&gt;0</f>
        <v>0</v>
      </c>
    </row>
    <row r="733" spans="1:9" hidden="1">
      <c r="A733" s="1" t="s">
        <v>4042</v>
      </c>
      <c r="B733" s="1" t="s">
        <v>18</v>
      </c>
      <c r="C733" s="1" t="s">
        <v>4043</v>
      </c>
      <c r="D733" s="1" t="s">
        <v>229</v>
      </c>
      <c r="E733" s="1" t="s">
        <v>229</v>
      </c>
      <c r="F733" s="1" t="s">
        <v>30</v>
      </c>
      <c r="G733" s="1" t="s">
        <v>4044</v>
      </c>
      <c r="H733" s="1" t="s">
        <v>1762</v>
      </c>
      <c r="I733" t="b">
        <f>COUNTIF(Estadísticas!I:I,'centraldecomunicacion.es'!H733)&gt;0</f>
        <v>0</v>
      </c>
    </row>
    <row r="734" spans="1:9" hidden="1">
      <c r="A734" s="1" t="s">
        <v>4045</v>
      </c>
      <c r="B734" s="1" t="s">
        <v>10</v>
      </c>
      <c r="C734" s="1" t="s">
        <v>4046</v>
      </c>
      <c r="D734" s="1" t="s">
        <v>3873</v>
      </c>
      <c r="E734" s="1" t="s">
        <v>229</v>
      </c>
      <c r="F734" s="1" t="s">
        <v>30</v>
      </c>
      <c r="G734" s="1" t="s">
        <v>4047</v>
      </c>
      <c r="H734" s="1" t="s">
        <v>1762</v>
      </c>
      <c r="I734" t="b">
        <f>COUNTIF(Estadísticas!I:I,'centraldecomunicacion.es'!H734)&gt;0</f>
        <v>0</v>
      </c>
    </row>
    <row r="735" spans="1:9" hidden="1">
      <c r="A735" s="1" t="s">
        <v>4048</v>
      </c>
      <c r="B735" s="1" t="s">
        <v>10</v>
      </c>
      <c r="C735" s="1" t="s">
        <v>4049</v>
      </c>
      <c r="D735" s="1" t="s">
        <v>229</v>
      </c>
      <c r="E735" s="1" t="s">
        <v>229</v>
      </c>
      <c r="F735" s="1" t="s">
        <v>30</v>
      </c>
      <c r="G735" s="1" t="s">
        <v>30</v>
      </c>
      <c r="H735" s="1" t="s">
        <v>1762</v>
      </c>
      <c r="I735" t="b">
        <f>COUNTIF(Estadísticas!I:I,'centraldecomunicacion.es'!H735)&gt;0</f>
        <v>0</v>
      </c>
    </row>
    <row r="736" spans="1:9" hidden="1">
      <c r="A736" s="1" t="s">
        <v>4050</v>
      </c>
      <c r="B736" s="1" t="s">
        <v>10</v>
      </c>
      <c r="C736" s="1" t="s">
        <v>4051</v>
      </c>
      <c r="D736" s="1" t="s">
        <v>229</v>
      </c>
      <c r="E736" s="1" t="s">
        <v>229</v>
      </c>
      <c r="F736" s="1" t="s">
        <v>30</v>
      </c>
      <c r="G736" s="1" t="s">
        <v>30</v>
      </c>
      <c r="H736" s="1" t="s">
        <v>1762</v>
      </c>
      <c r="I736" t="b">
        <f>COUNTIF(Estadísticas!I:I,'centraldecomunicacion.es'!H736)&gt;0</f>
        <v>0</v>
      </c>
    </row>
    <row r="737" spans="1:9" hidden="1">
      <c r="A737" s="1" t="s">
        <v>4052</v>
      </c>
      <c r="B737" s="1" t="s">
        <v>10</v>
      </c>
      <c r="C737" s="1" t="s">
        <v>4053</v>
      </c>
      <c r="D737" s="1" t="s">
        <v>229</v>
      </c>
      <c r="E737" s="1" t="s">
        <v>229</v>
      </c>
      <c r="F737" s="1" t="s">
        <v>30</v>
      </c>
      <c r="G737" s="1" t="s">
        <v>4054</v>
      </c>
      <c r="H737" s="1" t="s">
        <v>1762</v>
      </c>
      <c r="I737" t="b">
        <f>COUNTIF(Estadísticas!I:I,'centraldecomunicacion.es'!H737)&gt;0</f>
        <v>0</v>
      </c>
    </row>
    <row r="738" spans="1:9">
      <c r="A738" s="1" t="s">
        <v>253</v>
      </c>
      <c r="B738" s="1" t="s">
        <v>10</v>
      </c>
      <c r="C738" s="1" t="s">
        <v>254</v>
      </c>
      <c r="D738" s="1" t="s">
        <v>229</v>
      </c>
      <c r="E738" s="1" t="s">
        <v>229</v>
      </c>
      <c r="F738" s="1" t="s">
        <v>255</v>
      </c>
      <c r="G738" s="1" t="s">
        <v>256</v>
      </c>
      <c r="H738" s="1" t="s">
        <v>257</v>
      </c>
      <c r="I738" t="b">
        <f>COUNTIF(Estadísticas!I:I,'centraldecomunicacion.es'!H738)&gt;0</f>
        <v>1</v>
      </c>
    </row>
    <row r="739" spans="1:9" hidden="1">
      <c r="A739" s="1" t="s">
        <v>4055</v>
      </c>
      <c r="B739" s="1" t="s">
        <v>18</v>
      </c>
      <c r="C739" s="1" t="s">
        <v>4056</v>
      </c>
      <c r="D739" s="1" t="s">
        <v>229</v>
      </c>
      <c r="E739" s="1" t="s">
        <v>229</v>
      </c>
      <c r="F739" s="1" t="s">
        <v>30</v>
      </c>
      <c r="G739" s="1" t="s">
        <v>30</v>
      </c>
      <c r="H739" s="1" t="s">
        <v>1762</v>
      </c>
      <c r="I739" t="b">
        <f>COUNTIF(Estadísticas!I:I,'centraldecomunicacion.es'!H739)&gt;0</f>
        <v>0</v>
      </c>
    </row>
    <row r="740" spans="1:9" hidden="1">
      <c r="A740" s="1" t="s">
        <v>4057</v>
      </c>
      <c r="B740" s="1" t="s">
        <v>10</v>
      </c>
      <c r="C740" s="1" t="s">
        <v>30</v>
      </c>
      <c r="D740" s="1" t="s">
        <v>249</v>
      </c>
      <c r="E740" s="1" t="s">
        <v>30</v>
      </c>
      <c r="F740" s="1" t="s">
        <v>1984</v>
      </c>
      <c r="G740" s="1" t="s">
        <v>4058</v>
      </c>
      <c r="H740" s="1" t="s">
        <v>1762</v>
      </c>
      <c r="I740" t="b">
        <f>COUNTIF(Estadísticas!I:I,'centraldecomunicacion.es'!H740)&gt;0</f>
        <v>0</v>
      </c>
    </row>
    <row r="741" spans="1:9" hidden="1">
      <c r="A741" s="1" t="s">
        <v>4059</v>
      </c>
      <c r="B741" s="1" t="s">
        <v>18</v>
      </c>
      <c r="C741" s="1" t="s">
        <v>4060</v>
      </c>
      <c r="D741" s="1" t="s">
        <v>4061</v>
      </c>
      <c r="E741" s="1" t="s">
        <v>229</v>
      </c>
      <c r="F741" s="1" t="s">
        <v>2320</v>
      </c>
      <c r="G741" s="1" t="s">
        <v>4062</v>
      </c>
      <c r="H741" s="1" t="s">
        <v>1762</v>
      </c>
      <c r="I741" t="b">
        <f>COUNTIF(Estadísticas!I:I,'centraldecomunicacion.es'!H741)&gt;0</f>
        <v>0</v>
      </c>
    </row>
    <row r="742" spans="1:9" hidden="1">
      <c r="A742" s="1" t="s">
        <v>4063</v>
      </c>
      <c r="B742" s="1" t="s">
        <v>10</v>
      </c>
      <c r="C742" s="1" t="s">
        <v>4064</v>
      </c>
      <c r="D742" s="1" t="s">
        <v>229</v>
      </c>
      <c r="E742" s="1" t="s">
        <v>229</v>
      </c>
      <c r="F742" s="1" t="s">
        <v>30</v>
      </c>
      <c r="G742" s="1" t="s">
        <v>4065</v>
      </c>
      <c r="H742" s="1" t="s">
        <v>1762</v>
      </c>
      <c r="I742" t="b">
        <f>COUNTIF(Estadísticas!I:I,'centraldecomunicacion.es'!H742)&gt;0</f>
        <v>0</v>
      </c>
    </row>
    <row r="743" spans="1:9" hidden="1">
      <c r="A743" s="1" t="s">
        <v>4066</v>
      </c>
      <c r="B743" s="1" t="s">
        <v>10</v>
      </c>
      <c r="C743" s="1" t="s">
        <v>4067</v>
      </c>
      <c r="D743" s="1" t="s">
        <v>229</v>
      </c>
      <c r="E743" s="1" t="s">
        <v>229</v>
      </c>
      <c r="F743" s="1" t="s">
        <v>30</v>
      </c>
      <c r="G743" s="1" t="s">
        <v>4068</v>
      </c>
      <c r="H743" s="1" t="s">
        <v>1762</v>
      </c>
      <c r="I743" t="b">
        <f>COUNTIF(Estadísticas!I:I,'centraldecomunicacion.es'!H743)&gt;0</f>
        <v>0</v>
      </c>
    </row>
    <row r="744" spans="1:9" hidden="1">
      <c r="A744" s="1" t="s">
        <v>4069</v>
      </c>
      <c r="B744" s="1" t="s">
        <v>10</v>
      </c>
      <c r="C744" s="1" t="s">
        <v>4070</v>
      </c>
      <c r="D744" s="1" t="s">
        <v>229</v>
      </c>
      <c r="E744" s="1" t="s">
        <v>229</v>
      </c>
      <c r="F744" s="1" t="s">
        <v>30</v>
      </c>
      <c r="G744" s="1" t="s">
        <v>30</v>
      </c>
      <c r="H744" s="1" t="s">
        <v>1762</v>
      </c>
      <c r="I744" t="b">
        <f>COUNTIF(Estadísticas!I:I,'centraldecomunicacion.es'!H744)&gt;0</f>
        <v>0</v>
      </c>
    </row>
    <row r="745" spans="1:9" hidden="1">
      <c r="A745" s="1" t="s">
        <v>4071</v>
      </c>
      <c r="B745" s="1" t="s">
        <v>10</v>
      </c>
      <c r="C745" s="1" t="s">
        <v>4072</v>
      </c>
      <c r="D745" s="1" t="s">
        <v>229</v>
      </c>
      <c r="E745" s="1" t="s">
        <v>229</v>
      </c>
      <c r="F745" s="1" t="s">
        <v>30</v>
      </c>
      <c r="G745" s="1" t="s">
        <v>30</v>
      </c>
      <c r="H745" s="1" t="s">
        <v>1762</v>
      </c>
      <c r="I745" t="b">
        <f>COUNTIF(Estadísticas!I:I,'centraldecomunicacion.es'!H745)&gt;0</f>
        <v>0</v>
      </c>
    </row>
    <row r="746" spans="1:9" hidden="1">
      <c r="A746" s="1" t="s">
        <v>4073</v>
      </c>
      <c r="B746" s="1" t="s">
        <v>10</v>
      </c>
      <c r="C746" s="1" t="s">
        <v>30</v>
      </c>
      <c r="D746" s="1" t="s">
        <v>249</v>
      </c>
      <c r="E746" s="1" t="s">
        <v>30</v>
      </c>
      <c r="F746" s="1" t="s">
        <v>30</v>
      </c>
      <c r="G746" s="1" t="s">
        <v>4074</v>
      </c>
      <c r="H746" s="1" t="s">
        <v>1762</v>
      </c>
      <c r="I746" t="b">
        <f>COUNTIF(Estadísticas!I:I,'centraldecomunicacion.es'!H746)&gt;0</f>
        <v>0</v>
      </c>
    </row>
    <row r="747" spans="1:9" hidden="1">
      <c r="A747" s="1" t="s">
        <v>4075</v>
      </c>
      <c r="B747" s="1" t="s">
        <v>18</v>
      </c>
      <c r="C747" s="1" t="s">
        <v>4076</v>
      </c>
      <c r="D747" s="1" t="s">
        <v>229</v>
      </c>
      <c r="E747" s="1" t="s">
        <v>229</v>
      </c>
      <c r="F747" s="1" t="s">
        <v>30</v>
      </c>
      <c r="G747" s="1" t="s">
        <v>3816</v>
      </c>
      <c r="H747" s="1" t="s">
        <v>1762</v>
      </c>
      <c r="I747" t="b">
        <f>COUNTIF(Estadísticas!I:I,'centraldecomunicacion.es'!H747)&gt;0</f>
        <v>0</v>
      </c>
    </row>
    <row r="748" spans="1:9" hidden="1">
      <c r="A748" s="1" t="s">
        <v>4077</v>
      </c>
      <c r="B748" s="1" t="s">
        <v>10</v>
      </c>
      <c r="C748" s="1" t="s">
        <v>4078</v>
      </c>
      <c r="D748" s="1" t="s">
        <v>3873</v>
      </c>
      <c r="E748" s="1" t="s">
        <v>229</v>
      </c>
      <c r="F748" s="1" t="s">
        <v>4079</v>
      </c>
      <c r="G748" s="1" t="s">
        <v>4080</v>
      </c>
      <c r="H748" s="1" t="s">
        <v>1762</v>
      </c>
      <c r="I748" t="b">
        <f>COUNTIF(Estadísticas!I:I,'centraldecomunicacion.es'!H748)&gt;0</f>
        <v>0</v>
      </c>
    </row>
    <row r="749" spans="1:9" hidden="1">
      <c r="A749" s="1" t="s">
        <v>4081</v>
      </c>
      <c r="B749" s="1" t="s">
        <v>18</v>
      </c>
      <c r="C749" s="1" t="s">
        <v>4082</v>
      </c>
      <c r="D749" s="1" t="s">
        <v>260</v>
      </c>
      <c r="E749" s="1" t="s">
        <v>229</v>
      </c>
      <c r="F749" s="1" t="s">
        <v>30</v>
      </c>
      <c r="G749" s="1" t="s">
        <v>4083</v>
      </c>
      <c r="H749" s="1" t="s">
        <v>1762</v>
      </c>
      <c r="I749" t="b">
        <f>COUNTIF(Estadísticas!I:I,'centraldecomunicacion.es'!H749)&gt;0</f>
        <v>0</v>
      </c>
    </row>
    <row r="750" spans="1:9" hidden="1">
      <c r="A750" s="1" t="s">
        <v>4084</v>
      </c>
      <c r="B750" s="1" t="s">
        <v>10</v>
      </c>
      <c r="C750" s="1" t="s">
        <v>4085</v>
      </c>
      <c r="D750" s="1" t="s">
        <v>3147</v>
      </c>
      <c r="E750" s="1" t="s">
        <v>229</v>
      </c>
      <c r="F750" s="1" t="s">
        <v>30</v>
      </c>
      <c r="G750" s="1" t="s">
        <v>4086</v>
      </c>
      <c r="H750" s="1" t="s">
        <v>1762</v>
      </c>
      <c r="I750" t="b">
        <f>COUNTIF(Estadísticas!I:I,'centraldecomunicacion.es'!H750)&gt;0</f>
        <v>0</v>
      </c>
    </row>
    <row r="751" spans="1:9" hidden="1">
      <c r="A751" s="1" t="s">
        <v>4087</v>
      </c>
      <c r="B751" s="1" t="s">
        <v>10</v>
      </c>
      <c r="C751" s="1" t="s">
        <v>4088</v>
      </c>
      <c r="D751" s="1" t="s">
        <v>3989</v>
      </c>
      <c r="E751" s="1" t="s">
        <v>229</v>
      </c>
      <c r="F751" s="1" t="s">
        <v>30</v>
      </c>
      <c r="G751" s="1" t="s">
        <v>30</v>
      </c>
      <c r="H751" s="1" t="s">
        <v>1762</v>
      </c>
      <c r="I751" t="b">
        <f>COUNTIF(Estadísticas!I:I,'centraldecomunicacion.es'!H751)&gt;0</f>
        <v>0</v>
      </c>
    </row>
    <row r="752" spans="1:9" hidden="1">
      <c r="A752" s="1" t="s">
        <v>4089</v>
      </c>
      <c r="B752" s="1" t="s">
        <v>10</v>
      </c>
      <c r="C752" s="1" t="s">
        <v>4090</v>
      </c>
      <c r="D752" s="1" t="s">
        <v>229</v>
      </c>
      <c r="E752" s="1" t="s">
        <v>229</v>
      </c>
      <c r="F752" s="1" t="s">
        <v>30</v>
      </c>
      <c r="G752" s="1" t="s">
        <v>30</v>
      </c>
      <c r="H752" s="1" t="s">
        <v>1762</v>
      </c>
      <c r="I752" t="b">
        <f>COUNTIF(Estadísticas!I:I,'centraldecomunicacion.es'!H752)&gt;0</f>
        <v>0</v>
      </c>
    </row>
    <row r="753" spans="1:9" hidden="1">
      <c r="A753" s="1" t="s">
        <v>4091</v>
      </c>
      <c r="B753" s="1" t="s">
        <v>10</v>
      </c>
      <c r="C753" s="1" t="s">
        <v>4092</v>
      </c>
      <c r="D753" s="1" t="s">
        <v>229</v>
      </c>
      <c r="E753" s="1" t="s">
        <v>229</v>
      </c>
      <c r="F753" s="1" t="s">
        <v>30</v>
      </c>
      <c r="G753" s="1" t="s">
        <v>4093</v>
      </c>
      <c r="H753" s="1" t="s">
        <v>1762</v>
      </c>
      <c r="I753" t="b">
        <f>COUNTIF(Estadísticas!I:I,'centraldecomunicacion.es'!H753)&gt;0</f>
        <v>0</v>
      </c>
    </row>
    <row r="754" spans="1:9" hidden="1">
      <c r="A754" s="1" t="s">
        <v>4094</v>
      </c>
      <c r="B754" s="1" t="s">
        <v>10</v>
      </c>
      <c r="C754" s="1" t="s">
        <v>4095</v>
      </c>
      <c r="D754" s="1" t="s">
        <v>229</v>
      </c>
      <c r="E754" s="1" t="s">
        <v>229</v>
      </c>
      <c r="F754" s="1" t="s">
        <v>30</v>
      </c>
      <c r="G754" s="1" t="s">
        <v>30</v>
      </c>
      <c r="H754" s="1" t="s">
        <v>1762</v>
      </c>
      <c r="I754" t="b">
        <f>COUNTIF(Estadísticas!I:I,'centraldecomunicacion.es'!H754)&gt;0</f>
        <v>0</v>
      </c>
    </row>
    <row r="755" spans="1:9" hidden="1">
      <c r="A755" s="1" t="s">
        <v>4096</v>
      </c>
      <c r="B755" s="1" t="s">
        <v>18</v>
      </c>
      <c r="C755" s="1" t="s">
        <v>4097</v>
      </c>
      <c r="D755" s="1" t="s">
        <v>4098</v>
      </c>
      <c r="E755" s="1" t="s">
        <v>229</v>
      </c>
      <c r="F755" s="1" t="s">
        <v>4099</v>
      </c>
      <c r="G755" s="1" t="s">
        <v>4100</v>
      </c>
      <c r="H755" s="1" t="s">
        <v>1762</v>
      </c>
      <c r="I755" t="b">
        <f>COUNTIF(Estadísticas!I:I,'centraldecomunicacion.es'!H755)&gt;0</f>
        <v>0</v>
      </c>
    </row>
    <row r="756" spans="1:9" hidden="1">
      <c r="A756" s="1" t="s">
        <v>4101</v>
      </c>
      <c r="B756" s="1" t="s">
        <v>10</v>
      </c>
      <c r="C756" s="1" t="s">
        <v>4102</v>
      </c>
      <c r="D756" s="1" t="s">
        <v>3153</v>
      </c>
      <c r="E756" s="1" t="s">
        <v>229</v>
      </c>
      <c r="F756" s="1" t="s">
        <v>30</v>
      </c>
      <c r="G756" s="1" t="s">
        <v>30</v>
      </c>
      <c r="H756" s="1" t="s">
        <v>1762</v>
      </c>
      <c r="I756" t="b">
        <f>COUNTIF(Estadísticas!I:I,'centraldecomunicacion.es'!H756)&gt;0</f>
        <v>0</v>
      </c>
    </row>
    <row r="757" spans="1:9" hidden="1">
      <c r="A757" s="1" t="s">
        <v>4103</v>
      </c>
      <c r="B757" s="1" t="s">
        <v>18</v>
      </c>
      <c r="C757" s="1" t="s">
        <v>4104</v>
      </c>
      <c r="D757" s="1" t="s">
        <v>4105</v>
      </c>
      <c r="E757" s="1" t="s">
        <v>229</v>
      </c>
      <c r="F757" s="1" t="s">
        <v>30</v>
      </c>
      <c r="G757" s="1" t="s">
        <v>4106</v>
      </c>
      <c r="H757" s="1" t="s">
        <v>1762</v>
      </c>
      <c r="I757" t="b">
        <f>COUNTIF(Estadísticas!I:I,'centraldecomunicacion.es'!H757)&gt;0</f>
        <v>0</v>
      </c>
    </row>
    <row r="758" spans="1:9" hidden="1">
      <c r="A758" s="1" t="s">
        <v>4107</v>
      </c>
      <c r="B758" s="1" t="s">
        <v>10</v>
      </c>
      <c r="C758" s="1" t="s">
        <v>4108</v>
      </c>
      <c r="D758" s="1" t="s">
        <v>229</v>
      </c>
      <c r="E758" s="1" t="s">
        <v>229</v>
      </c>
      <c r="F758" s="1" t="s">
        <v>30</v>
      </c>
      <c r="G758" s="1" t="s">
        <v>4109</v>
      </c>
      <c r="H758" s="1" t="s">
        <v>1762</v>
      </c>
      <c r="I758" t="b">
        <f>COUNTIF(Estadísticas!I:I,'centraldecomunicacion.es'!H758)&gt;0</f>
        <v>0</v>
      </c>
    </row>
    <row r="759" spans="1:9" hidden="1">
      <c r="A759" s="1" t="s">
        <v>2318</v>
      </c>
      <c r="B759" s="1" t="s">
        <v>18</v>
      </c>
      <c r="C759" s="1" t="s">
        <v>4110</v>
      </c>
      <c r="D759" s="1" t="s">
        <v>4061</v>
      </c>
      <c r="E759" s="1" t="s">
        <v>229</v>
      </c>
      <c r="F759" s="1" t="s">
        <v>2320</v>
      </c>
      <c r="G759" s="1" t="s">
        <v>4111</v>
      </c>
      <c r="H759" s="1" t="s">
        <v>1762</v>
      </c>
      <c r="I759" t="b">
        <f>COUNTIF(Estadísticas!I:I,'centraldecomunicacion.es'!H759)&gt;0</f>
        <v>0</v>
      </c>
    </row>
    <row r="760" spans="1:9" hidden="1">
      <c r="A760" s="1" t="s">
        <v>4112</v>
      </c>
      <c r="B760" s="1" t="s">
        <v>10</v>
      </c>
      <c r="C760" s="1" t="s">
        <v>30</v>
      </c>
      <c r="D760" s="1" t="s">
        <v>249</v>
      </c>
      <c r="E760" s="1" t="s">
        <v>30</v>
      </c>
      <c r="F760" s="1" t="s">
        <v>4113</v>
      </c>
      <c r="G760" s="1" t="s">
        <v>4114</v>
      </c>
      <c r="H760" s="1" t="s">
        <v>1762</v>
      </c>
      <c r="I760" t="b">
        <f>COUNTIF(Estadísticas!I:I,'centraldecomunicacion.es'!H760)&gt;0</f>
        <v>0</v>
      </c>
    </row>
    <row r="761" spans="1:9">
      <c r="A761" s="1" t="s">
        <v>258</v>
      </c>
      <c r="B761" s="1" t="s">
        <v>10</v>
      </c>
      <c r="C761" s="1" t="s">
        <v>259</v>
      </c>
      <c r="D761" s="1" t="s">
        <v>260</v>
      </c>
      <c r="E761" s="1" t="s">
        <v>229</v>
      </c>
      <c r="F761" s="1" t="s">
        <v>261</v>
      </c>
      <c r="G761" s="1" t="s">
        <v>262</v>
      </c>
      <c r="H761" s="1" t="s">
        <v>263</v>
      </c>
      <c r="I761" t="b">
        <f>COUNTIF(Estadísticas!I:I,'centraldecomunicacion.es'!H761)&gt;0</f>
        <v>1</v>
      </c>
    </row>
    <row r="762" spans="1:9" hidden="1">
      <c r="A762" s="1" t="s">
        <v>4115</v>
      </c>
      <c r="B762" s="1" t="s">
        <v>10</v>
      </c>
      <c r="C762" s="1" t="s">
        <v>4116</v>
      </c>
      <c r="D762" s="1" t="s">
        <v>3153</v>
      </c>
      <c r="E762" s="1" t="s">
        <v>229</v>
      </c>
      <c r="F762" s="1" t="s">
        <v>4117</v>
      </c>
      <c r="G762" s="1" t="s">
        <v>4118</v>
      </c>
      <c r="H762" s="1" t="s">
        <v>1762</v>
      </c>
      <c r="I762" t="b">
        <f>COUNTIF(Estadísticas!I:I,'centraldecomunicacion.es'!H762)&gt;0</f>
        <v>0</v>
      </c>
    </row>
    <row r="763" spans="1:9" hidden="1">
      <c r="A763" s="1" t="s">
        <v>4119</v>
      </c>
      <c r="B763" s="1" t="s">
        <v>18</v>
      </c>
      <c r="C763" s="1" t="s">
        <v>4120</v>
      </c>
      <c r="D763" s="1" t="s">
        <v>4105</v>
      </c>
      <c r="E763" s="1" t="s">
        <v>229</v>
      </c>
      <c r="F763" s="1" t="s">
        <v>30</v>
      </c>
      <c r="G763" s="1" t="s">
        <v>4121</v>
      </c>
      <c r="H763" s="1" t="s">
        <v>1762</v>
      </c>
      <c r="I763" t="b">
        <f>COUNTIF(Estadísticas!I:I,'centraldecomunicacion.es'!H763)&gt;0</f>
        <v>0</v>
      </c>
    </row>
    <row r="764" spans="1:9" hidden="1">
      <c r="A764" s="1" t="s">
        <v>4122</v>
      </c>
      <c r="B764" s="1" t="s">
        <v>10</v>
      </c>
      <c r="C764" s="1" t="s">
        <v>4123</v>
      </c>
      <c r="D764" s="1" t="s">
        <v>3153</v>
      </c>
      <c r="E764" s="1" t="s">
        <v>229</v>
      </c>
      <c r="F764" s="1" t="s">
        <v>4117</v>
      </c>
      <c r="G764" s="1" t="s">
        <v>4118</v>
      </c>
      <c r="H764" s="1" t="s">
        <v>4124</v>
      </c>
      <c r="I764" t="b">
        <f>COUNTIF(Estadísticas!I:I,'centraldecomunicacion.es'!H764)&gt;0</f>
        <v>0</v>
      </c>
    </row>
    <row r="765" spans="1:9" hidden="1">
      <c r="A765" s="1" t="s">
        <v>4125</v>
      </c>
      <c r="B765" s="1" t="s">
        <v>18</v>
      </c>
      <c r="C765" s="1" t="s">
        <v>4126</v>
      </c>
      <c r="D765" s="1" t="s">
        <v>3153</v>
      </c>
      <c r="E765" s="1" t="s">
        <v>229</v>
      </c>
      <c r="F765" s="1" t="s">
        <v>30</v>
      </c>
      <c r="G765" s="1" t="s">
        <v>4127</v>
      </c>
      <c r="H765" s="1" t="s">
        <v>1762</v>
      </c>
      <c r="I765" t="b">
        <f>COUNTIF(Estadísticas!I:I,'centraldecomunicacion.es'!H765)&gt;0</f>
        <v>0</v>
      </c>
    </row>
    <row r="766" spans="1:9" hidden="1">
      <c r="A766" s="1" t="s">
        <v>4128</v>
      </c>
      <c r="B766" s="1" t="s">
        <v>10</v>
      </c>
      <c r="C766" s="1" t="s">
        <v>4129</v>
      </c>
      <c r="D766" s="1" t="s">
        <v>3153</v>
      </c>
      <c r="E766" s="1" t="s">
        <v>229</v>
      </c>
      <c r="F766" s="1" t="s">
        <v>30</v>
      </c>
      <c r="G766" s="1" t="s">
        <v>30</v>
      </c>
      <c r="H766" s="1" t="s">
        <v>1762</v>
      </c>
      <c r="I766" t="b">
        <f>COUNTIF(Estadísticas!I:I,'centraldecomunicacion.es'!H766)&gt;0</f>
        <v>0</v>
      </c>
    </row>
    <row r="767" spans="1:9" hidden="1">
      <c r="A767" s="1" t="s">
        <v>4130</v>
      </c>
      <c r="B767" s="1" t="s">
        <v>10</v>
      </c>
      <c r="C767" s="1" t="s">
        <v>4131</v>
      </c>
      <c r="D767" s="1" t="s">
        <v>4020</v>
      </c>
      <c r="E767" s="1" t="s">
        <v>229</v>
      </c>
      <c r="F767" s="1" t="s">
        <v>30</v>
      </c>
      <c r="G767" s="1" t="s">
        <v>4132</v>
      </c>
      <c r="H767" s="1" t="s">
        <v>1762</v>
      </c>
      <c r="I767" t="b">
        <f>COUNTIF(Estadísticas!I:I,'centraldecomunicacion.es'!H767)&gt;0</f>
        <v>0</v>
      </c>
    </row>
    <row r="768" spans="1:9" hidden="1">
      <c r="A768" s="1" t="s">
        <v>4133</v>
      </c>
      <c r="B768" s="1" t="s">
        <v>10</v>
      </c>
      <c r="C768" s="1" t="s">
        <v>4134</v>
      </c>
      <c r="D768" s="1" t="s">
        <v>4135</v>
      </c>
      <c r="E768" s="1" t="s">
        <v>229</v>
      </c>
      <c r="F768" s="1" t="s">
        <v>30</v>
      </c>
      <c r="G768" s="1" t="s">
        <v>4136</v>
      </c>
      <c r="H768" s="1" t="s">
        <v>1762</v>
      </c>
      <c r="I768" t="b">
        <f>COUNTIF(Estadísticas!I:I,'centraldecomunicacion.es'!H768)&gt;0</f>
        <v>0</v>
      </c>
    </row>
    <row r="769" spans="1:9" hidden="1">
      <c r="A769" s="1" t="s">
        <v>4137</v>
      </c>
      <c r="B769" s="1" t="s">
        <v>10</v>
      </c>
      <c r="C769" s="1" t="s">
        <v>4138</v>
      </c>
      <c r="D769" s="1" t="s">
        <v>4139</v>
      </c>
      <c r="E769" s="1" t="s">
        <v>229</v>
      </c>
      <c r="F769" s="1" t="s">
        <v>4140</v>
      </c>
      <c r="G769" s="1" t="s">
        <v>4141</v>
      </c>
      <c r="H769" s="1" t="s">
        <v>4142</v>
      </c>
      <c r="I769" t="b">
        <f>COUNTIF(Estadísticas!I:I,'centraldecomunicacion.es'!H769)&gt;0</f>
        <v>0</v>
      </c>
    </row>
    <row r="770" spans="1:9" hidden="1">
      <c r="A770" s="1" t="s">
        <v>4143</v>
      </c>
      <c r="B770" s="1" t="s">
        <v>10</v>
      </c>
      <c r="C770" s="1" t="s">
        <v>4144</v>
      </c>
      <c r="D770" s="1" t="s">
        <v>4145</v>
      </c>
      <c r="E770" s="1" t="s">
        <v>229</v>
      </c>
      <c r="F770" s="1" t="s">
        <v>30</v>
      </c>
      <c r="G770" s="1" t="s">
        <v>4146</v>
      </c>
      <c r="H770" s="1" t="s">
        <v>1762</v>
      </c>
      <c r="I770" t="b">
        <f>COUNTIF(Estadísticas!I:I,'centraldecomunicacion.es'!H770)&gt;0</f>
        <v>0</v>
      </c>
    </row>
    <row r="771" spans="1:9" hidden="1">
      <c r="A771" s="1" t="s">
        <v>4147</v>
      </c>
      <c r="B771" s="1" t="s">
        <v>10</v>
      </c>
      <c r="C771" s="1" t="s">
        <v>4148</v>
      </c>
      <c r="D771" s="1" t="s">
        <v>3153</v>
      </c>
      <c r="E771" s="1" t="s">
        <v>229</v>
      </c>
      <c r="F771" s="1" t="s">
        <v>30</v>
      </c>
      <c r="G771" s="1" t="s">
        <v>4149</v>
      </c>
      <c r="H771" s="1" t="s">
        <v>1762</v>
      </c>
      <c r="I771" t="b">
        <f>COUNTIF(Estadísticas!I:I,'centraldecomunicacion.es'!H771)&gt;0</f>
        <v>0</v>
      </c>
    </row>
    <row r="772" spans="1:9" hidden="1">
      <c r="A772" s="1" t="s">
        <v>4150</v>
      </c>
      <c r="B772" s="1" t="s">
        <v>18</v>
      </c>
      <c r="C772" s="1" t="s">
        <v>4151</v>
      </c>
      <c r="D772" s="1" t="s">
        <v>3153</v>
      </c>
      <c r="E772" s="1" t="s">
        <v>229</v>
      </c>
      <c r="F772" s="1" t="s">
        <v>4152</v>
      </c>
      <c r="G772" s="1" t="s">
        <v>4153</v>
      </c>
      <c r="H772" s="1" t="s">
        <v>1762</v>
      </c>
      <c r="I772" t="b">
        <f>COUNTIF(Estadísticas!I:I,'centraldecomunicacion.es'!H772)&gt;0</f>
        <v>0</v>
      </c>
    </row>
    <row r="773" spans="1:9" hidden="1">
      <c r="A773" s="1" t="s">
        <v>3953</v>
      </c>
      <c r="B773" s="1" t="s">
        <v>10</v>
      </c>
      <c r="C773" s="1" t="s">
        <v>4154</v>
      </c>
      <c r="D773" s="1" t="s">
        <v>3873</v>
      </c>
      <c r="E773" s="1" t="s">
        <v>229</v>
      </c>
      <c r="F773" s="1" t="s">
        <v>4155</v>
      </c>
      <c r="G773" s="1" t="s">
        <v>4156</v>
      </c>
      <c r="H773" s="1" t="s">
        <v>1762</v>
      </c>
      <c r="I773" t="b">
        <f>COUNTIF(Estadísticas!I:I,'centraldecomunicacion.es'!H773)&gt;0</f>
        <v>0</v>
      </c>
    </row>
    <row r="774" spans="1:9" hidden="1">
      <c r="A774" s="1" t="s">
        <v>4157</v>
      </c>
      <c r="B774" s="1" t="s">
        <v>18</v>
      </c>
      <c r="C774" s="1" t="s">
        <v>4158</v>
      </c>
      <c r="D774" s="1" t="s">
        <v>4159</v>
      </c>
      <c r="E774" s="1" t="s">
        <v>229</v>
      </c>
      <c r="F774" s="1" t="s">
        <v>4160</v>
      </c>
      <c r="G774" s="1" t="s">
        <v>4161</v>
      </c>
      <c r="H774" s="1" t="s">
        <v>1762</v>
      </c>
      <c r="I774" t="b">
        <f>COUNTIF(Estadísticas!I:I,'centraldecomunicacion.es'!H774)&gt;0</f>
        <v>0</v>
      </c>
    </row>
    <row r="775" spans="1:9" hidden="1">
      <c r="A775" s="1" t="s">
        <v>4162</v>
      </c>
      <c r="B775" s="1" t="s">
        <v>10</v>
      </c>
      <c r="C775" s="1" t="s">
        <v>4163</v>
      </c>
      <c r="D775" s="1" t="s">
        <v>4164</v>
      </c>
      <c r="E775" s="1" t="s">
        <v>229</v>
      </c>
      <c r="F775" s="1" t="s">
        <v>4165</v>
      </c>
      <c r="G775" s="1" t="s">
        <v>4166</v>
      </c>
      <c r="H775" s="1" t="s">
        <v>4167</v>
      </c>
      <c r="I775" t="b">
        <f>COUNTIF(Estadísticas!I:I,'centraldecomunicacion.es'!H775)&gt;0</f>
        <v>0</v>
      </c>
    </row>
    <row r="776" spans="1:9" hidden="1">
      <c r="A776" s="1" t="s">
        <v>4168</v>
      </c>
      <c r="B776" s="1" t="s">
        <v>18</v>
      </c>
      <c r="C776" s="1" t="s">
        <v>4169</v>
      </c>
      <c r="D776" s="1" t="s">
        <v>3153</v>
      </c>
      <c r="E776" s="1" t="s">
        <v>229</v>
      </c>
      <c r="F776" s="1" t="s">
        <v>4170</v>
      </c>
      <c r="G776" s="1" t="s">
        <v>4171</v>
      </c>
      <c r="H776" s="1" t="s">
        <v>1762</v>
      </c>
      <c r="I776" t="b">
        <f>COUNTIF(Estadísticas!I:I,'centraldecomunicacion.es'!H776)&gt;0</f>
        <v>0</v>
      </c>
    </row>
    <row r="777" spans="1:9">
      <c r="A777" s="1" t="s">
        <v>264</v>
      </c>
      <c r="B777" s="1" t="s">
        <v>10</v>
      </c>
      <c r="C777" s="1" t="s">
        <v>265</v>
      </c>
      <c r="D777" s="1" t="s">
        <v>266</v>
      </c>
      <c r="E777" s="1" t="s">
        <v>229</v>
      </c>
      <c r="F777" s="1" t="s">
        <v>267</v>
      </c>
      <c r="G777" s="1" t="s">
        <v>268</v>
      </c>
      <c r="H777" s="1" t="s">
        <v>269</v>
      </c>
      <c r="I777" t="b">
        <f>COUNTIF(Estadísticas!I:I,'centraldecomunicacion.es'!H777)&gt;0</f>
        <v>1</v>
      </c>
    </row>
    <row r="778" spans="1:9" hidden="1">
      <c r="A778" s="1" t="s">
        <v>4172</v>
      </c>
      <c r="B778" s="1" t="s">
        <v>10</v>
      </c>
      <c r="C778" s="1" t="s">
        <v>4173</v>
      </c>
      <c r="D778" s="1" t="s">
        <v>4145</v>
      </c>
      <c r="E778" s="1" t="s">
        <v>229</v>
      </c>
      <c r="F778" s="1" t="s">
        <v>1830</v>
      </c>
      <c r="G778" s="1" t="s">
        <v>4174</v>
      </c>
      <c r="H778" s="1" t="s">
        <v>1762</v>
      </c>
      <c r="I778" t="b">
        <f>COUNTIF(Estadísticas!I:I,'centraldecomunicacion.es'!H778)&gt;0</f>
        <v>0</v>
      </c>
    </row>
    <row r="779" spans="1:9" hidden="1">
      <c r="A779" s="1" t="s">
        <v>4175</v>
      </c>
      <c r="B779" s="1" t="s">
        <v>10</v>
      </c>
      <c r="C779" s="1" t="s">
        <v>4176</v>
      </c>
      <c r="D779" s="1" t="s">
        <v>3873</v>
      </c>
      <c r="E779" s="1" t="s">
        <v>229</v>
      </c>
      <c r="F779" s="1" t="s">
        <v>30</v>
      </c>
      <c r="G779" s="1" t="s">
        <v>4177</v>
      </c>
      <c r="H779" s="1" t="s">
        <v>1762</v>
      </c>
      <c r="I779" t="b">
        <f>COUNTIF(Estadísticas!I:I,'centraldecomunicacion.es'!H779)&gt;0</f>
        <v>0</v>
      </c>
    </row>
    <row r="780" spans="1:9" hidden="1">
      <c r="A780" s="1" t="s">
        <v>4137</v>
      </c>
      <c r="B780" s="1" t="s">
        <v>10</v>
      </c>
      <c r="C780" s="1" t="s">
        <v>4178</v>
      </c>
      <c r="D780" s="1" t="s">
        <v>4179</v>
      </c>
      <c r="E780" s="1" t="s">
        <v>229</v>
      </c>
      <c r="F780" s="1" t="s">
        <v>4140</v>
      </c>
      <c r="G780" s="1" t="s">
        <v>4141</v>
      </c>
      <c r="H780" s="1" t="s">
        <v>4142</v>
      </c>
      <c r="I780" t="b">
        <f>COUNTIF(Estadísticas!I:I,'centraldecomunicacion.es'!H780)&gt;0</f>
        <v>0</v>
      </c>
    </row>
    <row r="781" spans="1:9" hidden="1">
      <c r="A781" s="1" t="s">
        <v>4180</v>
      </c>
      <c r="B781" s="1" t="s">
        <v>10</v>
      </c>
      <c r="C781" s="1" t="s">
        <v>4181</v>
      </c>
      <c r="D781" s="1" t="s">
        <v>4182</v>
      </c>
      <c r="E781" s="1" t="s">
        <v>229</v>
      </c>
      <c r="F781" s="1" t="s">
        <v>30</v>
      </c>
      <c r="G781" s="1" t="s">
        <v>4183</v>
      </c>
      <c r="H781" s="1" t="s">
        <v>1762</v>
      </c>
      <c r="I781" t="b">
        <f>COUNTIF(Estadísticas!I:I,'centraldecomunicacion.es'!H781)&gt;0</f>
        <v>0</v>
      </c>
    </row>
    <row r="782" spans="1:9" hidden="1">
      <c r="A782" s="1" t="s">
        <v>4184</v>
      </c>
      <c r="B782" s="1" t="s">
        <v>18</v>
      </c>
      <c r="C782" s="1" t="s">
        <v>4185</v>
      </c>
      <c r="D782" s="1" t="s">
        <v>4186</v>
      </c>
      <c r="E782" s="1" t="s">
        <v>229</v>
      </c>
      <c r="F782" s="1" t="s">
        <v>30</v>
      </c>
      <c r="G782" s="1" t="s">
        <v>4187</v>
      </c>
      <c r="H782" s="1" t="s">
        <v>1762</v>
      </c>
      <c r="I782" t="b">
        <f>COUNTIF(Estadísticas!I:I,'centraldecomunicacion.es'!H782)&gt;0</f>
        <v>0</v>
      </c>
    </row>
    <row r="783" spans="1:9" hidden="1">
      <c r="A783" s="1" t="s">
        <v>4188</v>
      </c>
      <c r="B783" s="1" t="s">
        <v>10</v>
      </c>
      <c r="C783" s="1" t="s">
        <v>4189</v>
      </c>
      <c r="D783" s="1" t="s">
        <v>4179</v>
      </c>
      <c r="E783" s="1" t="s">
        <v>229</v>
      </c>
      <c r="F783" s="1" t="s">
        <v>30</v>
      </c>
      <c r="G783" s="1" t="s">
        <v>4190</v>
      </c>
      <c r="H783" s="1" t="s">
        <v>1762</v>
      </c>
      <c r="I783" t="b">
        <f>COUNTIF(Estadísticas!I:I,'centraldecomunicacion.es'!H783)&gt;0</f>
        <v>0</v>
      </c>
    </row>
    <row r="784" spans="1:9" hidden="1">
      <c r="A784" s="1" t="s">
        <v>4191</v>
      </c>
      <c r="B784" s="1" t="s">
        <v>10</v>
      </c>
      <c r="C784" s="1" t="s">
        <v>4192</v>
      </c>
      <c r="D784" s="1" t="s">
        <v>249</v>
      </c>
      <c r="E784" s="1" t="s">
        <v>229</v>
      </c>
      <c r="F784" s="1" t="s">
        <v>30</v>
      </c>
      <c r="G784" s="1" t="s">
        <v>30</v>
      </c>
      <c r="H784" s="1" t="s">
        <v>1762</v>
      </c>
      <c r="I784" t="b">
        <f>COUNTIF(Estadísticas!I:I,'centraldecomunicacion.es'!H784)&gt;0</f>
        <v>0</v>
      </c>
    </row>
    <row r="785" spans="1:9" hidden="1">
      <c r="A785" s="1" t="s">
        <v>4193</v>
      </c>
      <c r="B785" s="1" t="s">
        <v>18</v>
      </c>
      <c r="C785" s="1" t="s">
        <v>4194</v>
      </c>
      <c r="D785" s="1" t="s">
        <v>4195</v>
      </c>
      <c r="E785" s="1" t="s">
        <v>229</v>
      </c>
      <c r="F785" s="1" t="s">
        <v>4196</v>
      </c>
      <c r="G785" s="1" t="s">
        <v>4197</v>
      </c>
      <c r="H785" s="1" t="s">
        <v>1762</v>
      </c>
      <c r="I785" t="b">
        <f>COUNTIF(Estadísticas!I:I,'centraldecomunicacion.es'!H785)&gt;0</f>
        <v>0</v>
      </c>
    </row>
    <row r="786" spans="1:9" hidden="1">
      <c r="A786" s="1" t="s">
        <v>4198</v>
      </c>
      <c r="B786" s="1" t="s">
        <v>10</v>
      </c>
      <c r="C786" s="1" t="s">
        <v>4199</v>
      </c>
      <c r="D786" s="1" t="s">
        <v>3873</v>
      </c>
      <c r="E786" s="1" t="s">
        <v>229</v>
      </c>
      <c r="F786" s="1" t="s">
        <v>30</v>
      </c>
      <c r="G786" s="1" t="s">
        <v>30</v>
      </c>
      <c r="H786" s="1" t="s">
        <v>1762</v>
      </c>
      <c r="I786" t="b">
        <f>COUNTIF(Estadísticas!I:I,'centraldecomunicacion.es'!H786)&gt;0</f>
        <v>0</v>
      </c>
    </row>
    <row r="787" spans="1:9" hidden="1">
      <c r="A787" s="1" t="s">
        <v>4200</v>
      </c>
      <c r="B787" s="1" t="s">
        <v>10</v>
      </c>
      <c r="C787" s="1" t="s">
        <v>4201</v>
      </c>
      <c r="D787" s="1" t="s">
        <v>260</v>
      </c>
      <c r="E787" s="1" t="s">
        <v>229</v>
      </c>
      <c r="F787" s="1" t="s">
        <v>30</v>
      </c>
      <c r="G787" s="1" t="s">
        <v>4202</v>
      </c>
      <c r="H787" s="1" t="s">
        <v>1762</v>
      </c>
      <c r="I787" t="b">
        <f>COUNTIF(Estadísticas!I:I,'centraldecomunicacion.es'!H787)&gt;0</f>
        <v>0</v>
      </c>
    </row>
    <row r="788" spans="1:9" hidden="1">
      <c r="A788" s="1" t="s">
        <v>4203</v>
      </c>
      <c r="B788" s="1" t="s">
        <v>18</v>
      </c>
      <c r="C788" s="1" t="s">
        <v>4204</v>
      </c>
      <c r="D788" s="1" t="s">
        <v>260</v>
      </c>
      <c r="E788" s="1" t="s">
        <v>229</v>
      </c>
      <c r="F788" s="1" t="s">
        <v>30</v>
      </c>
      <c r="G788" s="1" t="s">
        <v>4205</v>
      </c>
      <c r="H788" s="1" t="s">
        <v>1762</v>
      </c>
      <c r="I788" t="b">
        <f>COUNTIF(Estadísticas!I:I,'centraldecomunicacion.es'!H788)&gt;0</f>
        <v>0</v>
      </c>
    </row>
    <row r="789" spans="1:9" hidden="1">
      <c r="A789" s="1" t="s">
        <v>4206</v>
      </c>
      <c r="B789" s="1" t="s">
        <v>18</v>
      </c>
      <c r="C789" s="1" t="s">
        <v>4207</v>
      </c>
      <c r="D789" s="1" t="s">
        <v>4098</v>
      </c>
      <c r="E789" s="1" t="s">
        <v>229</v>
      </c>
      <c r="F789" s="1" t="s">
        <v>30</v>
      </c>
      <c r="G789" s="1" t="s">
        <v>4208</v>
      </c>
      <c r="H789" s="1" t="s">
        <v>1762</v>
      </c>
      <c r="I789" t="b">
        <f>COUNTIF(Estadísticas!I:I,'centraldecomunicacion.es'!H789)&gt;0</f>
        <v>0</v>
      </c>
    </row>
    <row r="790" spans="1:9" hidden="1">
      <c r="A790" s="1" t="s">
        <v>4209</v>
      </c>
      <c r="B790" s="1" t="s">
        <v>10</v>
      </c>
      <c r="C790" s="1" t="s">
        <v>4210</v>
      </c>
      <c r="D790" s="1" t="s">
        <v>4145</v>
      </c>
      <c r="E790" s="1" t="s">
        <v>229</v>
      </c>
      <c r="F790" s="1" t="s">
        <v>4211</v>
      </c>
      <c r="G790" s="1" t="s">
        <v>4212</v>
      </c>
      <c r="H790" s="1" t="s">
        <v>1762</v>
      </c>
      <c r="I790" t="b">
        <f>COUNTIF(Estadísticas!I:I,'centraldecomunicacion.es'!H790)&gt;0</f>
        <v>0</v>
      </c>
    </row>
    <row r="791" spans="1:9" hidden="1">
      <c r="A791" s="1" t="s">
        <v>4213</v>
      </c>
      <c r="B791" s="1" t="s">
        <v>18</v>
      </c>
      <c r="C791" s="1" t="s">
        <v>4214</v>
      </c>
      <c r="D791" s="1" t="s">
        <v>229</v>
      </c>
      <c r="E791" s="1" t="s">
        <v>229</v>
      </c>
      <c r="F791" s="1" t="s">
        <v>30</v>
      </c>
      <c r="G791" s="1" t="s">
        <v>30</v>
      </c>
      <c r="H791" s="1" t="s">
        <v>1762</v>
      </c>
      <c r="I791" t="b">
        <f>COUNTIF(Estadísticas!I:I,'centraldecomunicacion.es'!H791)&gt;0</f>
        <v>0</v>
      </c>
    </row>
    <row r="792" spans="1:9" hidden="1">
      <c r="A792" s="1" t="s">
        <v>4215</v>
      </c>
      <c r="B792" s="1" t="s">
        <v>10</v>
      </c>
      <c r="C792" s="1" t="s">
        <v>4216</v>
      </c>
      <c r="D792" s="1" t="s">
        <v>4098</v>
      </c>
      <c r="E792" s="1" t="s">
        <v>229</v>
      </c>
      <c r="F792" s="1" t="s">
        <v>30</v>
      </c>
      <c r="G792" s="1" t="s">
        <v>4217</v>
      </c>
      <c r="H792" s="1" t="s">
        <v>1762</v>
      </c>
      <c r="I792" t="b">
        <f>COUNTIF(Estadísticas!I:I,'centraldecomunicacion.es'!H792)&gt;0</f>
        <v>0</v>
      </c>
    </row>
    <row r="793" spans="1:9" hidden="1">
      <c r="A793" s="1" t="s">
        <v>4218</v>
      </c>
      <c r="B793" s="1" t="s">
        <v>10</v>
      </c>
      <c r="C793" s="1" t="s">
        <v>4219</v>
      </c>
      <c r="D793" s="1" t="s">
        <v>4139</v>
      </c>
      <c r="E793" s="1" t="s">
        <v>229</v>
      </c>
      <c r="F793" s="1" t="s">
        <v>30</v>
      </c>
      <c r="G793" s="1" t="s">
        <v>30</v>
      </c>
      <c r="H793" s="1" t="s">
        <v>1762</v>
      </c>
      <c r="I793" t="b">
        <f>COUNTIF(Estadísticas!I:I,'centraldecomunicacion.es'!H793)&gt;0</f>
        <v>0</v>
      </c>
    </row>
    <row r="794" spans="1:9" hidden="1">
      <c r="A794" s="1" t="s">
        <v>4220</v>
      </c>
      <c r="B794" s="1" t="s">
        <v>10</v>
      </c>
      <c r="C794" s="1" t="s">
        <v>4221</v>
      </c>
      <c r="D794" s="1" t="s">
        <v>4179</v>
      </c>
      <c r="E794" s="1" t="s">
        <v>229</v>
      </c>
      <c r="F794" s="1" t="s">
        <v>30</v>
      </c>
      <c r="G794" s="1" t="s">
        <v>4222</v>
      </c>
      <c r="H794" s="1" t="s">
        <v>1762</v>
      </c>
      <c r="I794" t="b">
        <f>COUNTIF(Estadísticas!I:I,'centraldecomunicacion.es'!H794)&gt;0</f>
        <v>0</v>
      </c>
    </row>
    <row r="795" spans="1:9" hidden="1">
      <c r="A795" s="1" t="s">
        <v>4223</v>
      </c>
      <c r="B795" s="1" t="s">
        <v>10</v>
      </c>
      <c r="C795" s="1" t="s">
        <v>4224</v>
      </c>
      <c r="D795" s="1" t="s">
        <v>4225</v>
      </c>
      <c r="E795" s="1" t="s">
        <v>229</v>
      </c>
      <c r="F795" s="1" t="s">
        <v>30</v>
      </c>
      <c r="G795" s="1" t="s">
        <v>4024</v>
      </c>
      <c r="H795" s="1" t="s">
        <v>1762</v>
      </c>
      <c r="I795" t="b">
        <f>COUNTIF(Estadísticas!I:I,'centraldecomunicacion.es'!H795)&gt;0</f>
        <v>0</v>
      </c>
    </row>
    <row r="796" spans="1:9" hidden="1">
      <c r="A796" s="1" t="s">
        <v>4226</v>
      </c>
      <c r="B796" s="1" t="s">
        <v>10</v>
      </c>
      <c r="C796" s="1" t="s">
        <v>4227</v>
      </c>
      <c r="D796" s="1" t="s">
        <v>4186</v>
      </c>
      <c r="E796" s="1" t="s">
        <v>229</v>
      </c>
      <c r="F796" s="1" t="s">
        <v>30</v>
      </c>
      <c r="G796" s="1" t="s">
        <v>4228</v>
      </c>
      <c r="H796" s="1" t="s">
        <v>1762</v>
      </c>
      <c r="I796" t="b">
        <f>COUNTIF(Estadísticas!I:I,'centraldecomunicacion.es'!H796)&gt;0</f>
        <v>0</v>
      </c>
    </row>
    <row r="797" spans="1:9" hidden="1">
      <c r="A797" s="1" t="s">
        <v>4229</v>
      </c>
      <c r="B797" s="1" t="s">
        <v>10</v>
      </c>
      <c r="C797" s="1" t="s">
        <v>4230</v>
      </c>
      <c r="D797" s="1" t="s">
        <v>3873</v>
      </c>
      <c r="E797" s="1" t="s">
        <v>229</v>
      </c>
      <c r="F797" s="1" t="s">
        <v>30</v>
      </c>
      <c r="G797" s="1" t="s">
        <v>4231</v>
      </c>
      <c r="H797" s="1" t="s">
        <v>1762</v>
      </c>
      <c r="I797" t="b">
        <f>COUNTIF(Estadísticas!I:I,'centraldecomunicacion.es'!H797)&gt;0</f>
        <v>0</v>
      </c>
    </row>
    <row r="798" spans="1:9" hidden="1">
      <c r="A798" s="1" t="s">
        <v>4232</v>
      </c>
      <c r="B798" s="1" t="s">
        <v>10</v>
      </c>
      <c r="C798" s="1" t="s">
        <v>4233</v>
      </c>
      <c r="D798" s="1" t="s">
        <v>3147</v>
      </c>
      <c r="E798" s="1" t="s">
        <v>229</v>
      </c>
      <c r="F798" s="1" t="s">
        <v>30</v>
      </c>
      <c r="G798" s="1" t="s">
        <v>4234</v>
      </c>
      <c r="H798" s="1" t="s">
        <v>1762</v>
      </c>
      <c r="I798" t="b">
        <f>COUNTIF(Estadísticas!I:I,'centraldecomunicacion.es'!H798)&gt;0</f>
        <v>0</v>
      </c>
    </row>
    <row r="799" spans="1:9" hidden="1">
      <c r="A799" s="1" t="s">
        <v>4235</v>
      </c>
      <c r="B799" s="1" t="s">
        <v>10</v>
      </c>
      <c r="C799" s="1" t="s">
        <v>4236</v>
      </c>
      <c r="D799" s="1" t="s">
        <v>4237</v>
      </c>
      <c r="E799" s="1" t="s">
        <v>229</v>
      </c>
      <c r="F799" s="1" t="s">
        <v>30</v>
      </c>
      <c r="G799" s="1" t="s">
        <v>30</v>
      </c>
      <c r="H799" s="1" t="s">
        <v>1762</v>
      </c>
      <c r="I799" t="b">
        <f>COUNTIF(Estadísticas!I:I,'centraldecomunicacion.es'!H799)&gt;0</f>
        <v>0</v>
      </c>
    </row>
    <row r="800" spans="1:9">
      <c r="A800" s="1" t="s">
        <v>270</v>
      </c>
      <c r="B800" s="1" t="s">
        <v>10</v>
      </c>
      <c r="C800" s="1" t="s">
        <v>271</v>
      </c>
      <c r="D800" s="1" t="s">
        <v>249</v>
      </c>
      <c r="E800" s="1" t="s">
        <v>229</v>
      </c>
      <c r="F800" s="1" t="s">
        <v>272</v>
      </c>
      <c r="G800" s="1" t="s">
        <v>273</v>
      </c>
      <c r="H800" s="1" t="s">
        <v>274</v>
      </c>
      <c r="I800" t="b">
        <f>COUNTIF(Estadísticas!I:I,'centraldecomunicacion.es'!H800)&gt;0</f>
        <v>1</v>
      </c>
    </row>
    <row r="801" spans="1:9" hidden="1">
      <c r="A801" s="1" t="s">
        <v>4238</v>
      </c>
      <c r="B801" s="1" t="s">
        <v>10</v>
      </c>
      <c r="C801" s="1" t="s">
        <v>4239</v>
      </c>
      <c r="D801" s="1" t="s">
        <v>4225</v>
      </c>
      <c r="E801" s="1" t="s">
        <v>229</v>
      </c>
      <c r="F801" s="1" t="s">
        <v>30</v>
      </c>
      <c r="G801" s="1" t="s">
        <v>30</v>
      </c>
      <c r="H801" s="1" t="s">
        <v>1762</v>
      </c>
      <c r="I801" t="b">
        <f>COUNTIF(Estadísticas!I:I,'centraldecomunicacion.es'!H801)&gt;0</f>
        <v>0</v>
      </c>
    </row>
    <row r="802" spans="1:9" hidden="1">
      <c r="A802" s="1" t="s">
        <v>4240</v>
      </c>
      <c r="B802" s="1" t="s">
        <v>10</v>
      </c>
      <c r="C802" s="1" t="s">
        <v>4241</v>
      </c>
      <c r="D802" s="1" t="s">
        <v>4242</v>
      </c>
      <c r="E802" s="1" t="s">
        <v>229</v>
      </c>
      <c r="F802" s="1" t="s">
        <v>30</v>
      </c>
      <c r="G802" s="1" t="s">
        <v>4243</v>
      </c>
      <c r="H802" s="1" t="s">
        <v>1762</v>
      </c>
      <c r="I802" t="b">
        <f>COUNTIF(Estadísticas!I:I,'centraldecomunicacion.es'!H802)&gt;0</f>
        <v>0</v>
      </c>
    </row>
    <row r="803" spans="1:9" hidden="1">
      <c r="A803" s="1" t="s">
        <v>4244</v>
      </c>
      <c r="B803" s="1" t="s">
        <v>10</v>
      </c>
      <c r="C803" s="1" t="s">
        <v>4245</v>
      </c>
      <c r="D803" s="1" t="s">
        <v>4246</v>
      </c>
      <c r="E803" s="1" t="s">
        <v>229</v>
      </c>
      <c r="F803" s="1" t="s">
        <v>30</v>
      </c>
      <c r="G803" s="1" t="s">
        <v>4247</v>
      </c>
      <c r="H803" s="1" t="s">
        <v>1762</v>
      </c>
      <c r="I803" t="b">
        <f>COUNTIF(Estadísticas!I:I,'centraldecomunicacion.es'!H803)&gt;0</f>
        <v>0</v>
      </c>
    </row>
    <row r="804" spans="1:9" hidden="1">
      <c r="A804" s="1" t="s">
        <v>4248</v>
      </c>
      <c r="B804" s="1" t="s">
        <v>10</v>
      </c>
      <c r="C804" s="1" t="s">
        <v>4249</v>
      </c>
      <c r="D804" s="1" t="s">
        <v>4250</v>
      </c>
      <c r="E804" s="1" t="s">
        <v>229</v>
      </c>
      <c r="F804" s="1" t="s">
        <v>30</v>
      </c>
      <c r="G804" s="1" t="s">
        <v>4251</v>
      </c>
      <c r="H804" s="1" t="s">
        <v>1762</v>
      </c>
      <c r="I804" t="b">
        <f>COUNTIF(Estadísticas!I:I,'centraldecomunicacion.es'!H804)&gt;0</f>
        <v>0</v>
      </c>
    </row>
    <row r="805" spans="1:9" hidden="1">
      <c r="A805" s="1" t="s">
        <v>4252</v>
      </c>
      <c r="B805" s="1" t="s">
        <v>18</v>
      </c>
      <c r="C805" s="1" t="s">
        <v>4253</v>
      </c>
      <c r="D805" s="1" t="s">
        <v>3147</v>
      </c>
      <c r="E805" s="1" t="s">
        <v>229</v>
      </c>
      <c r="F805" s="1" t="s">
        <v>30</v>
      </c>
      <c r="G805" s="1" t="s">
        <v>4254</v>
      </c>
      <c r="H805" s="1" t="s">
        <v>1762</v>
      </c>
      <c r="I805" t="b">
        <f>COUNTIF(Estadísticas!I:I,'centraldecomunicacion.es'!H805)&gt;0</f>
        <v>0</v>
      </c>
    </row>
    <row r="806" spans="1:9" hidden="1">
      <c r="A806" s="1" t="s">
        <v>4255</v>
      </c>
      <c r="B806" s="1" t="s">
        <v>10</v>
      </c>
      <c r="C806" s="1" t="s">
        <v>4256</v>
      </c>
      <c r="D806" s="1" t="s">
        <v>4237</v>
      </c>
      <c r="E806" s="1" t="s">
        <v>229</v>
      </c>
      <c r="F806" s="1" t="s">
        <v>30</v>
      </c>
      <c r="G806" s="1" t="s">
        <v>30</v>
      </c>
      <c r="H806" s="1" t="s">
        <v>1762</v>
      </c>
      <c r="I806" t="b">
        <f>COUNTIF(Estadísticas!I:I,'centraldecomunicacion.es'!H806)&gt;0</f>
        <v>0</v>
      </c>
    </row>
    <row r="807" spans="1:9" hidden="1">
      <c r="A807" s="1" t="s">
        <v>4257</v>
      </c>
      <c r="B807" s="1" t="s">
        <v>18</v>
      </c>
      <c r="C807" s="1" t="s">
        <v>4258</v>
      </c>
      <c r="D807" s="1" t="s">
        <v>3873</v>
      </c>
      <c r="E807" s="1" t="s">
        <v>229</v>
      </c>
      <c r="F807" s="1" t="s">
        <v>30</v>
      </c>
      <c r="G807" s="1" t="s">
        <v>4259</v>
      </c>
      <c r="H807" s="1" t="s">
        <v>1762</v>
      </c>
      <c r="I807" t="b">
        <f>COUNTIF(Estadísticas!I:I,'centraldecomunicacion.es'!H807)&gt;0</f>
        <v>0</v>
      </c>
    </row>
    <row r="808" spans="1:9" hidden="1">
      <c r="A808" s="1" t="s">
        <v>4260</v>
      </c>
      <c r="B808" s="1" t="s">
        <v>18</v>
      </c>
      <c r="C808" s="1" t="s">
        <v>4261</v>
      </c>
      <c r="D808" s="1" t="s">
        <v>4262</v>
      </c>
      <c r="E808" s="1" t="s">
        <v>229</v>
      </c>
      <c r="F808" s="1" t="s">
        <v>30</v>
      </c>
      <c r="G808" s="1" t="s">
        <v>30</v>
      </c>
      <c r="H808" s="1" t="s">
        <v>1762</v>
      </c>
      <c r="I808" t="b">
        <f>COUNTIF(Estadísticas!I:I,'centraldecomunicacion.es'!H808)&gt;0</f>
        <v>0</v>
      </c>
    </row>
    <row r="809" spans="1:9" hidden="1">
      <c r="A809" s="1" t="s">
        <v>4263</v>
      </c>
      <c r="B809" s="1" t="s">
        <v>18</v>
      </c>
      <c r="C809" s="1" t="s">
        <v>4264</v>
      </c>
      <c r="D809" s="1" t="s">
        <v>4265</v>
      </c>
      <c r="E809" s="1" t="s">
        <v>229</v>
      </c>
      <c r="F809" s="1" t="s">
        <v>30</v>
      </c>
      <c r="G809" s="1" t="s">
        <v>4266</v>
      </c>
      <c r="H809" s="1" t="s">
        <v>1762</v>
      </c>
      <c r="I809" t="b">
        <f>COUNTIF(Estadísticas!I:I,'centraldecomunicacion.es'!H809)&gt;0</f>
        <v>0</v>
      </c>
    </row>
    <row r="810" spans="1:9" hidden="1">
      <c r="A810" s="1" t="s">
        <v>4267</v>
      </c>
      <c r="B810" s="1" t="s">
        <v>10</v>
      </c>
      <c r="C810" s="1" t="s">
        <v>4268</v>
      </c>
      <c r="D810" s="1" t="s">
        <v>4269</v>
      </c>
      <c r="E810" s="1" t="s">
        <v>1324</v>
      </c>
      <c r="F810" s="1" t="s">
        <v>30</v>
      </c>
      <c r="G810" s="1" t="s">
        <v>30</v>
      </c>
      <c r="H810" s="1" t="s">
        <v>1762</v>
      </c>
      <c r="I810" t="b">
        <f>COUNTIF(Estadísticas!I:I,'centraldecomunicacion.es'!H810)&gt;0</f>
        <v>0</v>
      </c>
    </row>
    <row r="811" spans="1:9" hidden="1">
      <c r="A811" s="1" t="s">
        <v>4270</v>
      </c>
      <c r="B811" s="1" t="s">
        <v>10</v>
      </c>
      <c r="C811" s="1" t="s">
        <v>4271</v>
      </c>
      <c r="D811" s="1" t="s">
        <v>249</v>
      </c>
      <c r="E811" s="1" t="s">
        <v>4272</v>
      </c>
      <c r="F811" s="1" t="s">
        <v>30</v>
      </c>
      <c r="G811" s="1" t="s">
        <v>4273</v>
      </c>
      <c r="H811" s="1" t="s">
        <v>1762</v>
      </c>
      <c r="I811" t="b">
        <f>COUNTIF(Estadísticas!I:I,'centraldecomunicacion.es'!H811)&gt;0</f>
        <v>0</v>
      </c>
    </row>
    <row r="812" spans="1:9" hidden="1">
      <c r="A812" s="1" t="s">
        <v>4274</v>
      </c>
      <c r="B812" s="1" t="s">
        <v>10</v>
      </c>
      <c r="C812" s="1" t="s">
        <v>4275</v>
      </c>
      <c r="D812" s="1" t="s">
        <v>249</v>
      </c>
      <c r="E812" s="1" t="s">
        <v>1606</v>
      </c>
      <c r="F812" s="1" t="s">
        <v>30</v>
      </c>
      <c r="G812" s="1" t="s">
        <v>30</v>
      </c>
      <c r="H812" s="1" t="s">
        <v>1762</v>
      </c>
      <c r="I812" t="b">
        <f>COUNTIF(Estadísticas!I:I,'centraldecomunicacion.es'!H812)&gt;0</f>
        <v>0</v>
      </c>
    </row>
    <row r="813" spans="1:9" hidden="1">
      <c r="A813" s="1" t="s">
        <v>4276</v>
      </c>
      <c r="B813" s="1" t="s">
        <v>10</v>
      </c>
      <c r="C813" s="1" t="s">
        <v>4277</v>
      </c>
      <c r="D813" s="1" t="s">
        <v>277</v>
      </c>
      <c r="E813" s="1" t="s">
        <v>277</v>
      </c>
      <c r="F813" s="1" t="s">
        <v>30</v>
      </c>
      <c r="G813" s="1" t="s">
        <v>4278</v>
      </c>
      <c r="H813" s="1" t="s">
        <v>1762</v>
      </c>
      <c r="I813" t="b">
        <f>COUNTIF(Estadísticas!I:I,'centraldecomunicacion.es'!H813)&gt;0</f>
        <v>0</v>
      </c>
    </row>
    <row r="814" spans="1:9" hidden="1">
      <c r="A814" s="1" t="s">
        <v>4279</v>
      </c>
      <c r="B814" s="1" t="s">
        <v>10</v>
      </c>
      <c r="C814" s="1" t="s">
        <v>4280</v>
      </c>
      <c r="D814" s="1" t="s">
        <v>277</v>
      </c>
      <c r="E814" s="1" t="s">
        <v>277</v>
      </c>
      <c r="F814" s="1" t="s">
        <v>4281</v>
      </c>
      <c r="G814" s="1" t="s">
        <v>4282</v>
      </c>
      <c r="H814" s="1" t="s">
        <v>1762</v>
      </c>
      <c r="I814" t="b">
        <f>COUNTIF(Estadísticas!I:I,'centraldecomunicacion.es'!H814)&gt;0</f>
        <v>0</v>
      </c>
    </row>
    <row r="815" spans="1:9" hidden="1">
      <c r="A815" s="1" t="s">
        <v>4283</v>
      </c>
      <c r="B815" s="1" t="s">
        <v>10</v>
      </c>
      <c r="C815" s="1" t="s">
        <v>4284</v>
      </c>
      <c r="D815" s="1" t="s">
        <v>277</v>
      </c>
      <c r="E815" s="1" t="s">
        <v>277</v>
      </c>
      <c r="F815" s="1" t="s">
        <v>30</v>
      </c>
      <c r="G815" s="1" t="s">
        <v>4285</v>
      </c>
      <c r="H815" s="1" t="s">
        <v>1762</v>
      </c>
      <c r="I815" t="b">
        <f>COUNTIF(Estadísticas!I:I,'centraldecomunicacion.es'!H815)&gt;0</f>
        <v>0</v>
      </c>
    </row>
    <row r="816" spans="1:9" hidden="1">
      <c r="A816" s="1" t="s">
        <v>4286</v>
      </c>
      <c r="B816" s="1" t="s">
        <v>18</v>
      </c>
      <c r="C816" s="1" t="s">
        <v>4287</v>
      </c>
      <c r="D816" s="1" t="s">
        <v>277</v>
      </c>
      <c r="E816" s="1" t="s">
        <v>277</v>
      </c>
      <c r="F816" s="1" t="s">
        <v>4288</v>
      </c>
      <c r="G816" s="1" t="s">
        <v>4289</v>
      </c>
      <c r="H816" s="1" t="s">
        <v>4290</v>
      </c>
      <c r="I816" t="b">
        <f>COUNTIF(Estadísticas!I:I,'centraldecomunicacion.es'!H816)&gt;0</f>
        <v>0</v>
      </c>
    </row>
    <row r="817" spans="1:9">
      <c r="A817" s="1" t="s">
        <v>275</v>
      </c>
      <c r="B817" s="1" t="s">
        <v>10</v>
      </c>
      <c r="C817" s="1" t="s">
        <v>276</v>
      </c>
      <c r="D817" s="1" t="s">
        <v>277</v>
      </c>
      <c r="E817" s="1" t="s">
        <v>277</v>
      </c>
      <c r="F817" s="1" t="s">
        <v>278</v>
      </c>
      <c r="G817" s="1" t="s">
        <v>279</v>
      </c>
      <c r="H817" s="1" t="s">
        <v>280</v>
      </c>
      <c r="I817" t="b">
        <f>COUNTIF(Estadísticas!I:I,'centraldecomunicacion.es'!H817)&gt;0</f>
        <v>1</v>
      </c>
    </row>
    <row r="818" spans="1:9" hidden="1">
      <c r="A818" s="1" t="s">
        <v>4291</v>
      </c>
      <c r="B818" s="1" t="s">
        <v>10</v>
      </c>
      <c r="C818" s="1" t="s">
        <v>4292</v>
      </c>
      <c r="D818" s="1" t="s">
        <v>277</v>
      </c>
      <c r="E818" s="1" t="s">
        <v>277</v>
      </c>
      <c r="F818" s="1" t="s">
        <v>30</v>
      </c>
      <c r="G818" s="1" t="s">
        <v>4293</v>
      </c>
      <c r="H818" s="1" t="s">
        <v>1762</v>
      </c>
      <c r="I818" t="b">
        <f>COUNTIF(Estadísticas!I:I,'centraldecomunicacion.es'!H818)&gt;0</f>
        <v>0</v>
      </c>
    </row>
    <row r="819" spans="1:9" hidden="1">
      <c r="A819" s="1" t="s">
        <v>4294</v>
      </c>
      <c r="B819" s="1" t="s">
        <v>10</v>
      </c>
      <c r="C819" s="1" t="s">
        <v>4295</v>
      </c>
      <c r="D819" s="1" t="s">
        <v>277</v>
      </c>
      <c r="E819" s="1" t="s">
        <v>277</v>
      </c>
      <c r="F819" s="1" t="s">
        <v>4296</v>
      </c>
      <c r="G819" s="1" t="s">
        <v>4297</v>
      </c>
      <c r="H819" s="1" t="s">
        <v>1762</v>
      </c>
      <c r="I819" t="b">
        <f>COUNTIF(Estadísticas!I:I,'centraldecomunicacion.es'!H819)&gt;0</f>
        <v>0</v>
      </c>
    </row>
    <row r="820" spans="1:9" hidden="1">
      <c r="A820" s="1" t="s">
        <v>4298</v>
      </c>
      <c r="B820" s="1" t="s">
        <v>10</v>
      </c>
      <c r="C820" s="1" t="s">
        <v>4299</v>
      </c>
      <c r="D820" s="1" t="s">
        <v>277</v>
      </c>
      <c r="E820" s="1" t="s">
        <v>277</v>
      </c>
      <c r="F820" s="1" t="s">
        <v>30</v>
      </c>
      <c r="G820" s="1" t="s">
        <v>30</v>
      </c>
      <c r="H820" s="1" t="s">
        <v>1762</v>
      </c>
      <c r="I820" t="b">
        <f>COUNTIF(Estadísticas!I:I,'centraldecomunicacion.es'!H820)&gt;0</f>
        <v>0</v>
      </c>
    </row>
    <row r="821" spans="1:9" hidden="1">
      <c r="A821" s="1" t="s">
        <v>4300</v>
      </c>
      <c r="B821" s="1" t="s">
        <v>10</v>
      </c>
      <c r="C821" s="1" t="s">
        <v>4301</v>
      </c>
      <c r="D821" s="1" t="s">
        <v>277</v>
      </c>
      <c r="E821" s="1" t="s">
        <v>277</v>
      </c>
      <c r="F821" s="1" t="s">
        <v>30</v>
      </c>
      <c r="G821" s="1" t="s">
        <v>4302</v>
      </c>
      <c r="H821" s="1" t="s">
        <v>1762</v>
      </c>
      <c r="I821" t="b">
        <f>COUNTIF(Estadísticas!I:I,'centraldecomunicacion.es'!H821)&gt;0</f>
        <v>0</v>
      </c>
    </row>
    <row r="822" spans="1:9" hidden="1">
      <c r="A822" s="1" t="s">
        <v>4303</v>
      </c>
      <c r="B822" s="1" t="s">
        <v>10</v>
      </c>
      <c r="C822" s="1" t="s">
        <v>4304</v>
      </c>
      <c r="D822" s="1" t="s">
        <v>277</v>
      </c>
      <c r="E822" s="1" t="s">
        <v>277</v>
      </c>
      <c r="F822" s="1" t="s">
        <v>30</v>
      </c>
      <c r="G822" s="1" t="s">
        <v>30</v>
      </c>
      <c r="H822" s="1" t="s">
        <v>1762</v>
      </c>
      <c r="I822" t="b">
        <f>COUNTIF(Estadísticas!I:I,'centraldecomunicacion.es'!H822)&gt;0</f>
        <v>0</v>
      </c>
    </row>
    <row r="823" spans="1:9">
      <c r="A823" s="1" t="s">
        <v>281</v>
      </c>
      <c r="B823" s="1" t="s">
        <v>18</v>
      </c>
      <c r="C823" s="1" t="s">
        <v>282</v>
      </c>
      <c r="D823" s="1" t="s">
        <v>277</v>
      </c>
      <c r="E823" s="1" t="s">
        <v>277</v>
      </c>
      <c r="F823" s="1" t="s">
        <v>283</v>
      </c>
      <c r="G823" s="1" t="s">
        <v>284</v>
      </c>
      <c r="H823" s="1" t="s">
        <v>285</v>
      </c>
      <c r="I823" t="b">
        <f>COUNTIF(Estadísticas!I:I,'centraldecomunicacion.es'!H823)&gt;0</f>
        <v>1</v>
      </c>
    </row>
    <row r="824" spans="1:9" hidden="1">
      <c r="A824" s="1" t="s">
        <v>4305</v>
      </c>
      <c r="B824" s="1" t="s">
        <v>10</v>
      </c>
      <c r="C824" s="1" t="s">
        <v>4306</v>
      </c>
      <c r="D824" s="1" t="s">
        <v>277</v>
      </c>
      <c r="E824" s="1" t="s">
        <v>277</v>
      </c>
      <c r="F824" s="1" t="s">
        <v>30</v>
      </c>
      <c r="G824" s="1" t="s">
        <v>4307</v>
      </c>
      <c r="H824" s="1" t="s">
        <v>1762</v>
      </c>
      <c r="I824" t="b">
        <f>COUNTIF(Estadísticas!I:I,'centraldecomunicacion.es'!H824)&gt;0</f>
        <v>0</v>
      </c>
    </row>
    <row r="825" spans="1:9" hidden="1">
      <c r="A825" s="1" t="s">
        <v>4308</v>
      </c>
      <c r="B825" s="1" t="s">
        <v>10</v>
      </c>
      <c r="C825" s="1" t="s">
        <v>4309</v>
      </c>
      <c r="D825" s="1" t="s">
        <v>277</v>
      </c>
      <c r="E825" s="1" t="s">
        <v>277</v>
      </c>
      <c r="F825" s="1" t="s">
        <v>30</v>
      </c>
      <c r="G825" s="1" t="s">
        <v>4310</v>
      </c>
      <c r="H825" s="1" t="s">
        <v>1762</v>
      </c>
      <c r="I825" t="b">
        <f>COUNTIF(Estadísticas!I:I,'centraldecomunicacion.es'!H825)&gt;0</f>
        <v>0</v>
      </c>
    </row>
    <row r="826" spans="1:9" hidden="1">
      <c r="A826" s="1" t="s">
        <v>4311</v>
      </c>
      <c r="B826" s="1" t="s">
        <v>10</v>
      </c>
      <c r="C826" s="1" t="s">
        <v>4312</v>
      </c>
      <c r="D826" s="1" t="s">
        <v>277</v>
      </c>
      <c r="E826" s="1" t="s">
        <v>277</v>
      </c>
      <c r="F826" s="1" t="s">
        <v>30</v>
      </c>
      <c r="G826" s="1" t="s">
        <v>4313</v>
      </c>
      <c r="H826" s="1" t="s">
        <v>1762</v>
      </c>
      <c r="I826" t="b">
        <f>COUNTIF(Estadísticas!I:I,'centraldecomunicacion.es'!H826)&gt;0</f>
        <v>0</v>
      </c>
    </row>
    <row r="827" spans="1:9" hidden="1">
      <c r="A827" s="1" t="s">
        <v>4314</v>
      </c>
      <c r="B827" s="1" t="s">
        <v>10</v>
      </c>
      <c r="C827" s="1" t="s">
        <v>4315</v>
      </c>
      <c r="D827" s="1" t="s">
        <v>277</v>
      </c>
      <c r="E827" s="1" t="s">
        <v>277</v>
      </c>
      <c r="F827" s="1" t="s">
        <v>30</v>
      </c>
      <c r="G827" s="1" t="s">
        <v>4316</v>
      </c>
      <c r="H827" s="1" t="s">
        <v>1762</v>
      </c>
      <c r="I827" t="b">
        <f>COUNTIF(Estadísticas!I:I,'centraldecomunicacion.es'!H827)&gt;0</f>
        <v>0</v>
      </c>
    </row>
    <row r="828" spans="1:9" hidden="1">
      <c r="A828" s="1" t="s">
        <v>4317</v>
      </c>
      <c r="B828" s="1" t="s">
        <v>10</v>
      </c>
      <c r="C828" s="1" t="s">
        <v>4318</v>
      </c>
      <c r="D828" s="1" t="s">
        <v>4319</v>
      </c>
      <c r="E828" s="1" t="s">
        <v>277</v>
      </c>
      <c r="F828" s="1" t="s">
        <v>30</v>
      </c>
      <c r="G828" s="1" t="s">
        <v>4320</v>
      </c>
      <c r="H828" s="1" t="s">
        <v>1762</v>
      </c>
      <c r="I828" t="b">
        <f>COUNTIF(Estadísticas!I:I,'centraldecomunicacion.es'!H828)&gt;0</f>
        <v>0</v>
      </c>
    </row>
    <row r="829" spans="1:9" hidden="1">
      <c r="A829" s="1" t="s">
        <v>4321</v>
      </c>
      <c r="B829" s="1" t="s">
        <v>10</v>
      </c>
      <c r="C829" s="1" t="s">
        <v>4322</v>
      </c>
      <c r="D829" s="1" t="s">
        <v>277</v>
      </c>
      <c r="E829" s="1" t="s">
        <v>277</v>
      </c>
      <c r="F829" s="1" t="s">
        <v>30</v>
      </c>
      <c r="G829" s="1" t="s">
        <v>4302</v>
      </c>
      <c r="H829" s="1" t="s">
        <v>1762</v>
      </c>
      <c r="I829" t="b">
        <f>COUNTIF(Estadísticas!I:I,'centraldecomunicacion.es'!H829)&gt;0</f>
        <v>0</v>
      </c>
    </row>
    <row r="830" spans="1:9" hidden="1">
      <c r="A830" s="1" t="s">
        <v>4323</v>
      </c>
      <c r="B830" s="1" t="s">
        <v>10</v>
      </c>
      <c r="C830" s="1" t="s">
        <v>4324</v>
      </c>
      <c r="D830" s="1" t="s">
        <v>277</v>
      </c>
      <c r="E830" s="1" t="s">
        <v>277</v>
      </c>
      <c r="F830" s="1" t="s">
        <v>30</v>
      </c>
      <c r="G830" s="1" t="s">
        <v>30</v>
      </c>
      <c r="H830" s="1" t="s">
        <v>1762</v>
      </c>
      <c r="I830" t="b">
        <f>COUNTIF(Estadísticas!I:I,'centraldecomunicacion.es'!H830)&gt;0</f>
        <v>0</v>
      </c>
    </row>
    <row r="831" spans="1:9" hidden="1">
      <c r="A831" s="1" t="s">
        <v>4325</v>
      </c>
      <c r="B831" s="1" t="s">
        <v>10</v>
      </c>
      <c r="C831" s="1" t="s">
        <v>4326</v>
      </c>
      <c r="D831" s="1" t="s">
        <v>4327</v>
      </c>
      <c r="E831" s="1" t="s">
        <v>277</v>
      </c>
      <c r="F831" s="1" t="s">
        <v>4328</v>
      </c>
      <c r="G831" s="1" t="s">
        <v>4329</v>
      </c>
      <c r="H831" s="1" t="s">
        <v>4330</v>
      </c>
      <c r="I831" t="b">
        <f>COUNTIF(Estadísticas!I:I,'centraldecomunicacion.es'!H831)&gt;0</f>
        <v>0</v>
      </c>
    </row>
    <row r="832" spans="1:9" hidden="1">
      <c r="A832" s="1" t="s">
        <v>4331</v>
      </c>
      <c r="B832" s="1" t="s">
        <v>10</v>
      </c>
      <c r="C832" s="1" t="s">
        <v>4332</v>
      </c>
      <c r="D832" s="1" t="s">
        <v>300</v>
      </c>
      <c r="E832" s="1" t="s">
        <v>277</v>
      </c>
      <c r="F832" s="1" t="s">
        <v>4333</v>
      </c>
      <c r="G832" s="1" t="s">
        <v>4334</v>
      </c>
      <c r="H832" s="1" t="s">
        <v>4335</v>
      </c>
      <c r="I832" t="b">
        <f>COUNTIF(Estadísticas!I:I,'centraldecomunicacion.es'!H832)&gt;0</f>
        <v>0</v>
      </c>
    </row>
    <row r="833" spans="1:9" hidden="1">
      <c r="A833" s="1" t="s">
        <v>4336</v>
      </c>
      <c r="B833" s="1" t="s">
        <v>10</v>
      </c>
      <c r="C833" s="1" t="s">
        <v>4337</v>
      </c>
      <c r="D833" s="1" t="s">
        <v>4338</v>
      </c>
      <c r="E833" s="1" t="s">
        <v>277</v>
      </c>
      <c r="F833" s="1" t="s">
        <v>30</v>
      </c>
      <c r="G833" s="1" t="s">
        <v>4339</v>
      </c>
      <c r="H833" s="1" t="s">
        <v>1762</v>
      </c>
      <c r="I833" t="b">
        <f>COUNTIF(Estadísticas!I:I,'centraldecomunicacion.es'!H833)&gt;0</f>
        <v>0</v>
      </c>
    </row>
    <row r="834" spans="1:9" hidden="1">
      <c r="A834" s="1" t="s">
        <v>4340</v>
      </c>
      <c r="B834" s="1" t="s">
        <v>10</v>
      </c>
      <c r="C834" s="1" t="s">
        <v>4341</v>
      </c>
      <c r="D834" s="1" t="s">
        <v>4342</v>
      </c>
      <c r="E834" s="1" t="s">
        <v>277</v>
      </c>
      <c r="F834" s="1" t="s">
        <v>30</v>
      </c>
      <c r="G834" s="1" t="s">
        <v>30</v>
      </c>
      <c r="H834" s="1" t="s">
        <v>1762</v>
      </c>
      <c r="I834" t="b">
        <f>COUNTIF(Estadísticas!I:I,'centraldecomunicacion.es'!H834)&gt;0</f>
        <v>0</v>
      </c>
    </row>
    <row r="835" spans="1:9" hidden="1">
      <c r="A835" s="1" t="s">
        <v>4343</v>
      </c>
      <c r="B835" s="1" t="s">
        <v>18</v>
      </c>
      <c r="C835" s="1" t="s">
        <v>4344</v>
      </c>
      <c r="D835" s="1" t="s">
        <v>4327</v>
      </c>
      <c r="E835" s="1" t="s">
        <v>277</v>
      </c>
      <c r="F835" s="1" t="s">
        <v>1984</v>
      </c>
      <c r="G835" s="1" t="s">
        <v>4345</v>
      </c>
      <c r="H835" s="1" t="s">
        <v>1762</v>
      </c>
      <c r="I835" t="b">
        <f>COUNTIF(Estadísticas!I:I,'centraldecomunicacion.es'!H835)&gt;0</f>
        <v>0</v>
      </c>
    </row>
    <row r="836" spans="1:9" hidden="1">
      <c r="A836" s="1" t="s">
        <v>4346</v>
      </c>
      <c r="B836" s="1" t="s">
        <v>10</v>
      </c>
      <c r="C836" s="1" t="s">
        <v>4347</v>
      </c>
      <c r="D836" s="1" t="s">
        <v>4342</v>
      </c>
      <c r="E836" s="1" t="s">
        <v>277</v>
      </c>
      <c r="F836" s="1" t="s">
        <v>4348</v>
      </c>
      <c r="G836" s="1" t="s">
        <v>4349</v>
      </c>
      <c r="H836" s="1" t="s">
        <v>1762</v>
      </c>
      <c r="I836" t="b">
        <f>COUNTIF(Estadísticas!I:I,'centraldecomunicacion.es'!H836)&gt;0</f>
        <v>0</v>
      </c>
    </row>
    <row r="837" spans="1:9" hidden="1">
      <c r="A837" s="1" t="s">
        <v>4350</v>
      </c>
      <c r="B837" s="1" t="s">
        <v>10</v>
      </c>
      <c r="C837" s="1" t="s">
        <v>4351</v>
      </c>
      <c r="D837" s="1" t="s">
        <v>4352</v>
      </c>
      <c r="E837" s="1" t="s">
        <v>277</v>
      </c>
      <c r="F837" s="1" t="s">
        <v>2921</v>
      </c>
      <c r="G837" s="1" t="s">
        <v>4353</v>
      </c>
      <c r="H837" s="1" t="s">
        <v>1762</v>
      </c>
      <c r="I837" t="b">
        <f>COUNTIF(Estadísticas!I:I,'centraldecomunicacion.es'!H837)&gt;0</f>
        <v>0</v>
      </c>
    </row>
    <row r="838" spans="1:9" hidden="1">
      <c r="A838" s="1" t="s">
        <v>4354</v>
      </c>
      <c r="B838" s="1" t="s">
        <v>10</v>
      </c>
      <c r="C838" s="1" t="s">
        <v>4355</v>
      </c>
      <c r="D838" s="1" t="s">
        <v>4356</v>
      </c>
      <c r="E838" s="1" t="s">
        <v>277</v>
      </c>
      <c r="F838" s="1" t="s">
        <v>30</v>
      </c>
      <c r="G838" s="1" t="s">
        <v>4357</v>
      </c>
      <c r="H838" s="1" t="s">
        <v>1762</v>
      </c>
      <c r="I838" t="b">
        <f>COUNTIF(Estadísticas!I:I,'centraldecomunicacion.es'!H838)&gt;0</f>
        <v>0</v>
      </c>
    </row>
    <row r="839" spans="1:9" hidden="1">
      <c r="A839" s="1" t="s">
        <v>4358</v>
      </c>
      <c r="B839" s="1" t="s">
        <v>10</v>
      </c>
      <c r="C839" s="1" t="s">
        <v>4359</v>
      </c>
      <c r="D839" s="1" t="s">
        <v>4327</v>
      </c>
      <c r="E839" s="1" t="s">
        <v>277</v>
      </c>
      <c r="F839" s="1" t="s">
        <v>4360</v>
      </c>
      <c r="G839" s="1" t="s">
        <v>4361</v>
      </c>
      <c r="H839" s="1" t="s">
        <v>1762</v>
      </c>
      <c r="I839" t="b">
        <f>COUNTIF(Estadísticas!I:I,'centraldecomunicacion.es'!H839)&gt;0</f>
        <v>0</v>
      </c>
    </row>
    <row r="840" spans="1:9" hidden="1">
      <c r="A840" s="1" t="s">
        <v>4362</v>
      </c>
      <c r="B840" s="1" t="s">
        <v>10</v>
      </c>
      <c r="C840" s="1" t="s">
        <v>4363</v>
      </c>
      <c r="D840" s="1" t="s">
        <v>4364</v>
      </c>
      <c r="E840" s="1" t="s">
        <v>277</v>
      </c>
      <c r="F840" s="1" t="s">
        <v>4365</v>
      </c>
      <c r="G840" s="1" t="s">
        <v>4366</v>
      </c>
      <c r="H840" s="1" t="s">
        <v>4367</v>
      </c>
      <c r="I840" t="b">
        <f>COUNTIF(Estadísticas!I:I,'centraldecomunicacion.es'!H840)&gt;0</f>
        <v>0</v>
      </c>
    </row>
    <row r="841" spans="1:9" hidden="1">
      <c r="A841" s="1" t="s">
        <v>4368</v>
      </c>
      <c r="B841" s="1" t="s">
        <v>10</v>
      </c>
      <c r="C841" s="1" t="s">
        <v>30</v>
      </c>
      <c r="D841" s="1" t="s">
        <v>4319</v>
      </c>
      <c r="E841" s="1" t="s">
        <v>30</v>
      </c>
      <c r="F841" s="1" t="s">
        <v>4369</v>
      </c>
      <c r="G841" s="1" t="s">
        <v>4370</v>
      </c>
      <c r="H841" s="1" t="s">
        <v>1762</v>
      </c>
      <c r="I841" t="b">
        <f>COUNTIF(Estadísticas!I:I,'centraldecomunicacion.es'!H841)&gt;0</f>
        <v>0</v>
      </c>
    </row>
    <row r="842" spans="1:9" hidden="1">
      <c r="A842" s="1" t="s">
        <v>4371</v>
      </c>
      <c r="B842" s="1" t="s">
        <v>10</v>
      </c>
      <c r="C842" s="1" t="s">
        <v>4372</v>
      </c>
      <c r="D842" s="1" t="s">
        <v>4373</v>
      </c>
      <c r="E842" s="1" t="s">
        <v>277</v>
      </c>
      <c r="F842" s="1" t="s">
        <v>4374</v>
      </c>
      <c r="G842" s="1" t="s">
        <v>4375</v>
      </c>
      <c r="H842" s="1" t="s">
        <v>1762</v>
      </c>
      <c r="I842" t="b">
        <f>COUNTIF(Estadísticas!I:I,'centraldecomunicacion.es'!H842)&gt;0</f>
        <v>0</v>
      </c>
    </row>
    <row r="843" spans="1:9">
      <c r="A843" s="1" t="s">
        <v>286</v>
      </c>
      <c r="B843" s="1" t="s">
        <v>10</v>
      </c>
      <c r="C843" s="1" t="s">
        <v>287</v>
      </c>
      <c r="D843" s="1" t="s">
        <v>288</v>
      </c>
      <c r="E843" s="1" t="s">
        <v>277</v>
      </c>
      <c r="F843" s="1" t="s">
        <v>289</v>
      </c>
      <c r="G843" s="1" t="s">
        <v>290</v>
      </c>
      <c r="H843" s="1" t="s">
        <v>291</v>
      </c>
      <c r="I843" t="b">
        <f>COUNTIF(Estadísticas!I:I,'centraldecomunicacion.es'!H843)&gt;0</f>
        <v>1</v>
      </c>
    </row>
    <row r="844" spans="1:9" hidden="1">
      <c r="A844" s="1" t="s">
        <v>4376</v>
      </c>
      <c r="B844" s="1" t="s">
        <v>10</v>
      </c>
      <c r="C844" s="1" t="s">
        <v>4377</v>
      </c>
      <c r="D844" s="1" t="s">
        <v>288</v>
      </c>
      <c r="E844" s="1" t="s">
        <v>277</v>
      </c>
      <c r="F844" s="1" t="s">
        <v>30</v>
      </c>
      <c r="G844" s="1" t="s">
        <v>4378</v>
      </c>
      <c r="H844" s="1" t="s">
        <v>1762</v>
      </c>
      <c r="I844" t="b">
        <f>COUNTIF(Estadísticas!I:I,'centraldecomunicacion.es'!H844)&gt;0</f>
        <v>0</v>
      </c>
    </row>
    <row r="845" spans="1:9" hidden="1">
      <c r="A845" s="1" t="s">
        <v>4379</v>
      </c>
      <c r="B845" s="1" t="s">
        <v>10</v>
      </c>
      <c r="C845" s="1" t="s">
        <v>4380</v>
      </c>
      <c r="D845" s="1" t="s">
        <v>4381</v>
      </c>
      <c r="E845" s="1" t="s">
        <v>277</v>
      </c>
      <c r="F845" s="1" t="s">
        <v>30</v>
      </c>
      <c r="G845" s="1" t="s">
        <v>30</v>
      </c>
      <c r="H845" s="1" t="s">
        <v>1762</v>
      </c>
      <c r="I845" t="b">
        <f>COUNTIF(Estadísticas!I:I,'centraldecomunicacion.es'!H845)&gt;0</f>
        <v>0</v>
      </c>
    </row>
    <row r="846" spans="1:9" hidden="1">
      <c r="A846" s="1" t="s">
        <v>4382</v>
      </c>
      <c r="B846" s="1" t="s">
        <v>10</v>
      </c>
      <c r="C846" s="1" t="s">
        <v>4383</v>
      </c>
      <c r="D846" s="1" t="s">
        <v>300</v>
      </c>
      <c r="E846" s="1" t="s">
        <v>277</v>
      </c>
      <c r="F846" s="1" t="s">
        <v>30</v>
      </c>
      <c r="G846" s="1" t="s">
        <v>4384</v>
      </c>
      <c r="H846" s="1" t="s">
        <v>1762</v>
      </c>
      <c r="I846" t="b">
        <f>COUNTIF(Estadísticas!I:I,'centraldecomunicacion.es'!H846)&gt;0</f>
        <v>0</v>
      </c>
    </row>
    <row r="847" spans="1:9" hidden="1">
      <c r="A847" s="1" t="s">
        <v>4385</v>
      </c>
      <c r="B847" s="1" t="s">
        <v>10</v>
      </c>
      <c r="C847" s="1" t="s">
        <v>4386</v>
      </c>
      <c r="D847" s="1" t="s">
        <v>4364</v>
      </c>
      <c r="E847" s="1" t="s">
        <v>277</v>
      </c>
      <c r="F847" s="1" t="s">
        <v>4387</v>
      </c>
      <c r="G847" s="1" t="s">
        <v>4388</v>
      </c>
      <c r="H847" s="1" t="s">
        <v>1762</v>
      </c>
      <c r="I847" t="b">
        <f>COUNTIF(Estadísticas!I:I,'centraldecomunicacion.es'!H847)&gt;0</f>
        <v>0</v>
      </c>
    </row>
    <row r="848" spans="1:9" hidden="1">
      <c r="A848" s="1" t="s">
        <v>4389</v>
      </c>
      <c r="B848" s="1" t="s">
        <v>10</v>
      </c>
      <c r="C848" s="1" t="s">
        <v>4390</v>
      </c>
      <c r="D848" s="1" t="s">
        <v>300</v>
      </c>
      <c r="E848" s="1" t="s">
        <v>277</v>
      </c>
      <c r="F848" s="1" t="s">
        <v>4391</v>
      </c>
      <c r="G848" s="1" t="s">
        <v>4392</v>
      </c>
      <c r="H848" s="1" t="s">
        <v>4393</v>
      </c>
      <c r="I848" t="b">
        <f>COUNTIF(Estadísticas!I:I,'centraldecomunicacion.es'!H848)&gt;0</f>
        <v>0</v>
      </c>
    </row>
    <row r="849" spans="1:9">
      <c r="A849" s="1" t="s">
        <v>292</v>
      </c>
      <c r="B849" s="1" t="s">
        <v>10</v>
      </c>
      <c r="C849" s="1" t="s">
        <v>293</v>
      </c>
      <c r="D849" s="1" t="s">
        <v>294</v>
      </c>
      <c r="E849" s="1" t="s">
        <v>294</v>
      </c>
      <c r="F849" s="1" t="s">
        <v>295</v>
      </c>
      <c r="G849" s="1" t="s">
        <v>296</v>
      </c>
      <c r="H849" s="1" t="s">
        <v>297</v>
      </c>
      <c r="I849" t="b">
        <f>COUNTIF(Estadísticas!I:I,'centraldecomunicacion.es'!H849)&gt;0</f>
        <v>1</v>
      </c>
    </row>
    <row r="850" spans="1:9" hidden="1">
      <c r="A850" s="1" t="s">
        <v>4394</v>
      </c>
      <c r="B850" s="1" t="s">
        <v>10</v>
      </c>
      <c r="C850" s="1" t="s">
        <v>4395</v>
      </c>
      <c r="D850" s="1" t="s">
        <v>4396</v>
      </c>
      <c r="E850" s="1" t="s">
        <v>277</v>
      </c>
      <c r="F850" s="1" t="s">
        <v>30</v>
      </c>
      <c r="G850" s="1" t="s">
        <v>4397</v>
      </c>
      <c r="H850" s="1" t="s">
        <v>1762</v>
      </c>
      <c r="I850" t="b">
        <f>COUNTIF(Estadísticas!I:I,'centraldecomunicacion.es'!H850)&gt;0</f>
        <v>0</v>
      </c>
    </row>
    <row r="851" spans="1:9" hidden="1">
      <c r="A851" s="1" t="s">
        <v>4398</v>
      </c>
      <c r="B851" s="1" t="s">
        <v>18</v>
      </c>
      <c r="C851" s="1" t="s">
        <v>4399</v>
      </c>
      <c r="D851" s="1" t="s">
        <v>4400</v>
      </c>
      <c r="E851" s="1" t="s">
        <v>277</v>
      </c>
      <c r="F851" s="1" t="s">
        <v>30</v>
      </c>
      <c r="G851" s="1" t="s">
        <v>4384</v>
      </c>
      <c r="H851" s="1" t="s">
        <v>1762</v>
      </c>
      <c r="I851" t="b">
        <f>COUNTIF(Estadísticas!I:I,'centraldecomunicacion.es'!H851)&gt;0</f>
        <v>0</v>
      </c>
    </row>
    <row r="852" spans="1:9" hidden="1">
      <c r="A852" s="1" t="s">
        <v>4401</v>
      </c>
      <c r="B852" s="1" t="s">
        <v>10</v>
      </c>
      <c r="C852" s="1" t="s">
        <v>4402</v>
      </c>
      <c r="D852" s="1" t="s">
        <v>294</v>
      </c>
      <c r="E852" s="1" t="s">
        <v>294</v>
      </c>
      <c r="F852" s="1" t="s">
        <v>4403</v>
      </c>
      <c r="G852" s="1" t="s">
        <v>4404</v>
      </c>
      <c r="H852" s="1" t="s">
        <v>4405</v>
      </c>
      <c r="I852" t="b">
        <f>COUNTIF(Estadísticas!I:I,'centraldecomunicacion.es'!H852)&gt;0</f>
        <v>0</v>
      </c>
    </row>
    <row r="853" spans="1:9">
      <c r="A853" s="1" t="s">
        <v>298</v>
      </c>
      <c r="B853" s="1" t="s">
        <v>10</v>
      </c>
      <c r="C853" s="1" t="s">
        <v>299</v>
      </c>
      <c r="D853" s="1" t="s">
        <v>300</v>
      </c>
      <c r="E853" s="1" t="s">
        <v>277</v>
      </c>
      <c r="F853" s="1" t="s">
        <v>301</v>
      </c>
      <c r="G853" s="1" t="s">
        <v>302</v>
      </c>
      <c r="H853" s="1" t="s">
        <v>303</v>
      </c>
      <c r="I853" t="b">
        <f>COUNTIF(Estadísticas!I:I,'centraldecomunicacion.es'!H853)&gt;0</f>
        <v>1</v>
      </c>
    </row>
    <row r="854" spans="1:9" hidden="1">
      <c r="A854" s="1" t="s">
        <v>4406</v>
      </c>
      <c r="B854" s="1" t="s">
        <v>10</v>
      </c>
      <c r="C854" s="1" t="s">
        <v>4407</v>
      </c>
      <c r="D854" s="1" t="s">
        <v>4408</v>
      </c>
      <c r="E854" s="1" t="s">
        <v>277</v>
      </c>
      <c r="F854" s="1" t="s">
        <v>30</v>
      </c>
      <c r="G854" s="1" t="s">
        <v>4409</v>
      </c>
      <c r="H854" s="1" t="s">
        <v>1762</v>
      </c>
      <c r="I854" t="b">
        <f>COUNTIF(Estadísticas!I:I,'centraldecomunicacion.es'!H854)&gt;0</f>
        <v>0</v>
      </c>
    </row>
    <row r="855" spans="1:9" hidden="1">
      <c r="A855" s="1" t="s">
        <v>4410</v>
      </c>
      <c r="B855" s="1" t="s">
        <v>18</v>
      </c>
      <c r="C855" s="1" t="s">
        <v>4411</v>
      </c>
      <c r="D855" s="1" t="s">
        <v>4373</v>
      </c>
      <c r="E855" s="1" t="s">
        <v>277</v>
      </c>
      <c r="F855" s="1" t="s">
        <v>4288</v>
      </c>
      <c r="G855" s="1" t="s">
        <v>4412</v>
      </c>
      <c r="H855" s="1" t="s">
        <v>4290</v>
      </c>
      <c r="I855" t="b">
        <f>COUNTIF(Estadísticas!I:I,'centraldecomunicacion.es'!H855)&gt;0</f>
        <v>0</v>
      </c>
    </row>
    <row r="856" spans="1:9" hidden="1">
      <c r="A856" s="1" t="s">
        <v>4413</v>
      </c>
      <c r="B856" s="1" t="s">
        <v>10</v>
      </c>
      <c r="C856" s="1" t="s">
        <v>4414</v>
      </c>
      <c r="D856" s="1" t="s">
        <v>300</v>
      </c>
      <c r="E856" s="1" t="s">
        <v>277</v>
      </c>
      <c r="F856" s="1" t="s">
        <v>30</v>
      </c>
      <c r="G856" s="1" t="s">
        <v>4415</v>
      </c>
      <c r="H856" s="1" t="s">
        <v>1762</v>
      </c>
      <c r="I856" t="b">
        <f>COUNTIF(Estadísticas!I:I,'centraldecomunicacion.es'!H856)&gt;0</f>
        <v>0</v>
      </c>
    </row>
    <row r="857" spans="1:9" hidden="1">
      <c r="A857" s="1" t="s">
        <v>4416</v>
      </c>
      <c r="B857" s="1" t="s">
        <v>10</v>
      </c>
      <c r="C857" s="1" t="s">
        <v>30</v>
      </c>
      <c r="D857" s="1" t="s">
        <v>4319</v>
      </c>
      <c r="E857" s="1" t="s">
        <v>30</v>
      </c>
      <c r="F857" s="1" t="s">
        <v>4417</v>
      </c>
      <c r="G857" s="1" t="s">
        <v>4418</v>
      </c>
      <c r="H857" s="1" t="s">
        <v>1762</v>
      </c>
      <c r="I857" t="b">
        <f>COUNTIF(Estadísticas!I:I,'centraldecomunicacion.es'!H857)&gt;0</f>
        <v>0</v>
      </c>
    </row>
    <row r="858" spans="1:9">
      <c r="A858" s="1" t="s">
        <v>304</v>
      </c>
      <c r="B858" s="1" t="s">
        <v>10</v>
      </c>
      <c r="C858" s="1" t="s">
        <v>305</v>
      </c>
      <c r="D858" s="1" t="s">
        <v>306</v>
      </c>
      <c r="E858" s="1" t="s">
        <v>277</v>
      </c>
      <c r="F858" s="1" t="s">
        <v>307</v>
      </c>
      <c r="G858" s="1" t="s">
        <v>308</v>
      </c>
      <c r="H858" s="1" t="s">
        <v>309</v>
      </c>
      <c r="I858" t="b">
        <f>COUNTIF(Estadísticas!I:I,'centraldecomunicacion.es'!H858)&gt;0</f>
        <v>1</v>
      </c>
    </row>
    <row r="859" spans="1:9" hidden="1">
      <c r="A859" s="1" t="s">
        <v>4419</v>
      </c>
      <c r="B859" s="1" t="s">
        <v>10</v>
      </c>
      <c r="C859" s="1" t="s">
        <v>4420</v>
      </c>
      <c r="D859" s="1" t="s">
        <v>300</v>
      </c>
      <c r="E859" s="1" t="s">
        <v>277</v>
      </c>
      <c r="F859" s="1" t="s">
        <v>4421</v>
      </c>
      <c r="G859" s="1" t="s">
        <v>4422</v>
      </c>
      <c r="H859" s="1" t="s">
        <v>1762</v>
      </c>
      <c r="I859" t="b">
        <f>COUNTIF(Estadísticas!I:I,'centraldecomunicacion.es'!H859)&gt;0</f>
        <v>0</v>
      </c>
    </row>
    <row r="860" spans="1:9" hidden="1">
      <c r="A860" s="1" t="s">
        <v>4423</v>
      </c>
      <c r="B860" s="1" t="s">
        <v>10</v>
      </c>
      <c r="C860" s="1" t="s">
        <v>4424</v>
      </c>
      <c r="D860" s="1" t="s">
        <v>300</v>
      </c>
      <c r="E860" s="1" t="s">
        <v>277</v>
      </c>
      <c r="F860" s="1" t="s">
        <v>30</v>
      </c>
      <c r="G860" s="1" t="s">
        <v>4425</v>
      </c>
      <c r="H860" s="1" t="s">
        <v>1762</v>
      </c>
      <c r="I860" t="b">
        <f>COUNTIF(Estadísticas!I:I,'centraldecomunicacion.es'!H860)&gt;0</f>
        <v>0</v>
      </c>
    </row>
    <row r="861" spans="1:9" hidden="1">
      <c r="A861" s="1" t="s">
        <v>4426</v>
      </c>
      <c r="B861" s="1" t="s">
        <v>10</v>
      </c>
      <c r="C861" s="1" t="s">
        <v>4427</v>
      </c>
      <c r="D861" s="1" t="s">
        <v>300</v>
      </c>
      <c r="E861" s="1" t="s">
        <v>277</v>
      </c>
      <c r="F861" s="1" t="s">
        <v>30</v>
      </c>
      <c r="G861" s="1" t="s">
        <v>30</v>
      </c>
      <c r="H861" s="1" t="s">
        <v>1762</v>
      </c>
      <c r="I861" t="b">
        <f>COUNTIF(Estadísticas!I:I,'centraldecomunicacion.es'!H861)&gt;0</f>
        <v>0</v>
      </c>
    </row>
    <row r="862" spans="1:9" hidden="1">
      <c r="A862" s="1" t="s">
        <v>4428</v>
      </c>
      <c r="B862" s="1" t="s">
        <v>10</v>
      </c>
      <c r="C862" s="1" t="s">
        <v>4429</v>
      </c>
      <c r="D862" s="1" t="s">
        <v>300</v>
      </c>
      <c r="E862" s="1" t="s">
        <v>277</v>
      </c>
      <c r="F862" s="1" t="s">
        <v>30</v>
      </c>
      <c r="G862" s="1" t="s">
        <v>30</v>
      </c>
      <c r="H862" s="1" t="s">
        <v>1762</v>
      </c>
      <c r="I862" t="b">
        <f>COUNTIF(Estadísticas!I:I,'centraldecomunicacion.es'!H862)&gt;0</f>
        <v>0</v>
      </c>
    </row>
    <row r="863" spans="1:9" hidden="1">
      <c r="A863" s="1" t="s">
        <v>4430</v>
      </c>
      <c r="B863" s="1" t="s">
        <v>10</v>
      </c>
      <c r="C863" s="1" t="s">
        <v>4431</v>
      </c>
      <c r="D863" s="1" t="s">
        <v>294</v>
      </c>
      <c r="E863" s="1" t="s">
        <v>294</v>
      </c>
      <c r="F863" s="1" t="s">
        <v>4432</v>
      </c>
      <c r="G863" s="1" t="s">
        <v>4433</v>
      </c>
      <c r="H863" s="1" t="s">
        <v>4434</v>
      </c>
      <c r="I863" t="b">
        <f>COUNTIF(Estadísticas!I:I,'centraldecomunicacion.es'!H863)&gt;0</f>
        <v>0</v>
      </c>
    </row>
    <row r="864" spans="1:9" hidden="1">
      <c r="A864" s="1" t="s">
        <v>4435</v>
      </c>
      <c r="B864" s="1" t="s">
        <v>10</v>
      </c>
      <c r="C864" s="1" t="s">
        <v>4436</v>
      </c>
      <c r="D864" s="1" t="s">
        <v>300</v>
      </c>
      <c r="E864" s="1" t="s">
        <v>277</v>
      </c>
      <c r="F864" s="1" t="s">
        <v>30</v>
      </c>
      <c r="G864" s="1" t="s">
        <v>4437</v>
      </c>
      <c r="H864" s="1" t="s">
        <v>1762</v>
      </c>
      <c r="I864" t="b">
        <f>COUNTIF(Estadísticas!I:I,'centraldecomunicacion.es'!H864)&gt;0</f>
        <v>0</v>
      </c>
    </row>
    <row r="865" spans="1:9" hidden="1">
      <c r="A865" s="1" t="s">
        <v>4438</v>
      </c>
      <c r="B865" s="1" t="s">
        <v>18</v>
      </c>
      <c r="C865" s="1" t="s">
        <v>4439</v>
      </c>
      <c r="D865" s="1" t="s">
        <v>4352</v>
      </c>
      <c r="E865" s="1" t="s">
        <v>277</v>
      </c>
      <c r="F865" s="1" t="s">
        <v>4440</v>
      </c>
      <c r="G865" s="1" t="s">
        <v>4441</v>
      </c>
      <c r="H865" s="1" t="s">
        <v>4442</v>
      </c>
      <c r="I865" t="b">
        <f>COUNTIF(Estadísticas!I:I,'centraldecomunicacion.es'!H865)&gt;0</f>
        <v>0</v>
      </c>
    </row>
    <row r="866" spans="1:9" hidden="1">
      <c r="A866" s="1" t="s">
        <v>4443</v>
      </c>
      <c r="B866" s="1" t="s">
        <v>10</v>
      </c>
      <c r="C866" s="1" t="s">
        <v>4444</v>
      </c>
      <c r="D866" s="1" t="s">
        <v>300</v>
      </c>
      <c r="E866" s="1" t="s">
        <v>277</v>
      </c>
      <c r="F866" s="1" t="s">
        <v>30</v>
      </c>
      <c r="G866" s="1" t="s">
        <v>4437</v>
      </c>
      <c r="H866" s="1" t="s">
        <v>1762</v>
      </c>
      <c r="I866" t="b">
        <f>COUNTIF(Estadísticas!I:I,'centraldecomunicacion.es'!H866)&gt;0</f>
        <v>0</v>
      </c>
    </row>
    <row r="867" spans="1:9" hidden="1">
      <c r="A867" s="1" t="s">
        <v>4445</v>
      </c>
      <c r="B867" s="1" t="s">
        <v>10</v>
      </c>
      <c r="C867" s="1" t="s">
        <v>4446</v>
      </c>
      <c r="D867" s="1" t="s">
        <v>4364</v>
      </c>
      <c r="E867" s="1" t="s">
        <v>277</v>
      </c>
      <c r="F867" s="1" t="s">
        <v>4447</v>
      </c>
      <c r="G867" s="1" t="s">
        <v>4448</v>
      </c>
      <c r="H867" s="1" t="s">
        <v>4449</v>
      </c>
      <c r="I867" t="b">
        <f>COUNTIF(Estadísticas!I:I,'centraldecomunicacion.es'!H867)&gt;0</f>
        <v>0</v>
      </c>
    </row>
    <row r="868" spans="1:9" hidden="1">
      <c r="A868" s="1" t="s">
        <v>4450</v>
      </c>
      <c r="B868" s="1" t="s">
        <v>10</v>
      </c>
      <c r="C868" s="1" t="s">
        <v>4451</v>
      </c>
      <c r="D868" s="1" t="s">
        <v>300</v>
      </c>
      <c r="E868" s="1" t="s">
        <v>277</v>
      </c>
      <c r="F868" s="1" t="s">
        <v>30</v>
      </c>
      <c r="G868" s="1" t="s">
        <v>4452</v>
      </c>
      <c r="H868" s="1" t="s">
        <v>1762</v>
      </c>
      <c r="I868" t="b">
        <f>COUNTIF(Estadísticas!I:I,'centraldecomunicacion.es'!H868)&gt;0</f>
        <v>0</v>
      </c>
    </row>
    <row r="869" spans="1:9" hidden="1">
      <c r="A869" s="1" t="s">
        <v>4453</v>
      </c>
      <c r="B869" s="1" t="s">
        <v>10</v>
      </c>
      <c r="C869" s="1" t="s">
        <v>4454</v>
      </c>
      <c r="D869" s="1" t="s">
        <v>294</v>
      </c>
      <c r="E869" s="1" t="s">
        <v>294</v>
      </c>
      <c r="F869" s="1" t="s">
        <v>30</v>
      </c>
      <c r="G869" s="1" t="s">
        <v>4455</v>
      </c>
      <c r="H869" s="1" t="s">
        <v>1762</v>
      </c>
      <c r="I869" t="b">
        <f>COUNTIF(Estadísticas!I:I,'centraldecomunicacion.es'!H869)&gt;0</f>
        <v>0</v>
      </c>
    </row>
    <row r="870" spans="1:9" hidden="1">
      <c r="A870" s="1" t="s">
        <v>4456</v>
      </c>
      <c r="B870" s="1" t="s">
        <v>10</v>
      </c>
      <c r="C870" s="1" t="s">
        <v>4457</v>
      </c>
      <c r="D870" s="1" t="s">
        <v>4327</v>
      </c>
      <c r="E870" s="1" t="s">
        <v>277</v>
      </c>
      <c r="F870" s="1" t="s">
        <v>30</v>
      </c>
      <c r="G870" s="1" t="s">
        <v>4458</v>
      </c>
      <c r="H870" s="1" t="s">
        <v>1762</v>
      </c>
      <c r="I870" t="b">
        <f>COUNTIF(Estadísticas!I:I,'centraldecomunicacion.es'!H870)&gt;0</f>
        <v>0</v>
      </c>
    </row>
    <row r="871" spans="1:9" hidden="1">
      <c r="A871" s="1" t="s">
        <v>4459</v>
      </c>
      <c r="B871" s="1" t="s">
        <v>10</v>
      </c>
      <c r="C871" s="1" t="s">
        <v>4460</v>
      </c>
      <c r="D871" s="1" t="s">
        <v>4461</v>
      </c>
      <c r="E871" s="1" t="s">
        <v>277</v>
      </c>
      <c r="F871" s="1" t="s">
        <v>30</v>
      </c>
      <c r="G871" s="1" t="s">
        <v>4462</v>
      </c>
      <c r="H871" s="1" t="s">
        <v>1762</v>
      </c>
      <c r="I871" t="b">
        <f>COUNTIF(Estadísticas!I:I,'centraldecomunicacion.es'!H871)&gt;0</f>
        <v>0</v>
      </c>
    </row>
    <row r="872" spans="1:9" hidden="1">
      <c r="A872" s="1" t="s">
        <v>4463</v>
      </c>
      <c r="B872" s="1" t="s">
        <v>18</v>
      </c>
      <c r="C872" s="1" t="s">
        <v>4464</v>
      </c>
      <c r="D872" s="1" t="s">
        <v>300</v>
      </c>
      <c r="E872" s="1" t="s">
        <v>277</v>
      </c>
      <c r="F872" s="1" t="s">
        <v>30</v>
      </c>
      <c r="G872" s="1" t="s">
        <v>4465</v>
      </c>
      <c r="H872" s="1" t="s">
        <v>1762</v>
      </c>
      <c r="I872" t="b">
        <f>COUNTIF(Estadísticas!I:I,'centraldecomunicacion.es'!H872)&gt;0</f>
        <v>0</v>
      </c>
    </row>
    <row r="873" spans="1:9" hidden="1">
      <c r="A873" s="1" t="s">
        <v>4466</v>
      </c>
      <c r="B873" s="1" t="s">
        <v>10</v>
      </c>
      <c r="C873" s="1" t="s">
        <v>4467</v>
      </c>
      <c r="D873" s="1" t="s">
        <v>300</v>
      </c>
      <c r="E873" s="1" t="s">
        <v>277</v>
      </c>
      <c r="F873" s="1" t="s">
        <v>30</v>
      </c>
      <c r="G873" s="1" t="s">
        <v>30</v>
      </c>
      <c r="H873" s="1" t="s">
        <v>1762</v>
      </c>
      <c r="I873" t="b">
        <f>COUNTIF(Estadísticas!I:I,'centraldecomunicacion.es'!H873)&gt;0</f>
        <v>0</v>
      </c>
    </row>
    <row r="874" spans="1:9" hidden="1">
      <c r="A874" s="1" t="s">
        <v>4468</v>
      </c>
      <c r="B874" s="1" t="s">
        <v>10</v>
      </c>
      <c r="C874" s="1" t="s">
        <v>4469</v>
      </c>
      <c r="D874" s="1" t="s">
        <v>4470</v>
      </c>
      <c r="E874" s="1" t="s">
        <v>277</v>
      </c>
      <c r="F874" s="1" t="s">
        <v>4471</v>
      </c>
      <c r="G874" s="1" t="s">
        <v>4472</v>
      </c>
      <c r="H874" s="1" t="s">
        <v>1783</v>
      </c>
      <c r="I874" t="b">
        <f>COUNTIF(Estadísticas!I:I,'centraldecomunicacion.es'!H874)&gt;0</f>
        <v>0</v>
      </c>
    </row>
    <row r="875" spans="1:9" hidden="1">
      <c r="A875" s="1" t="s">
        <v>4473</v>
      </c>
      <c r="B875" s="1" t="s">
        <v>10</v>
      </c>
      <c r="C875" s="1" t="s">
        <v>4474</v>
      </c>
      <c r="D875" s="1" t="s">
        <v>4327</v>
      </c>
      <c r="E875" s="1" t="s">
        <v>277</v>
      </c>
      <c r="F875" s="1" t="s">
        <v>30</v>
      </c>
      <c r="G875" s="1" t="s">
        <v>30</v>
      </c>
      <c r="H875" s="1" t="s">
        <v>1762</v>
      </c>
      <c r="I875" t="b">
        <f>COUNTIF(Estadísticas!I:I,'centraldecomunicacion.es'!H875)&gt;0</f>
        <v>0</v>
      </c>
    </row>
    <row r="876" spans="1:9" hidden="1">
      <c r="A876" s="1" t="s">
        <v>4475</v>
      </c>
      <c r="B876" s="1" t="s">
        <v>10</v>
      </c>
      <c r="C876" s="1" t="s">
        <v>4476</v>
      </c>
      <c r="D876" s="1" t="s">
        <v>4470</v>
      </c>
      <c r="E876" s="1" t="s">
        <v>277</v>
      </c>
      <c r="F876" s="1" t="s">
        <v>30</v>
      </c>
      <c r="G876" s="1" t="s">
        <v>30</v>
      </c>
      <c r="H876" s="1" t="s">
        <v>1762</v>
      </c>
      <c r="I876" t="b">
        <f>COUNTIF(Estadísticas!I:I,'centraldecomunicacion.es'!H876)&gt;0</f>
        <v>0</v>
      </c>
    </row>
    <row r="877" spans="1:9" hidden="1">
      <c r="A877" s="1" t="s">
        <v>4477</v>
      </c>
      <c r="B877" s="1" t="s">
        <v>10</v>
      </c>
      <c r="C877" s="1" t="s">
        <v>4478</v>
      </c>
      <c r="D877" s="1" t="s">
        <v>4327</v>
      </c>
      <c r="E877" s="1" t="s">
        <v>277</v>
      </c>
      <c r="F877" s="1" t="s">
        <v>30</v>
      </c>
      <c r="G877" s="1" t="s">
        <v>4479</v>
      </c>
      <c r="H877" s="1" t="s">
        <v>1762</v>
      </c>
      <c r="I877" t="b">
        <f>COUNTIF(Estadísticas!I:I,'centraldecomunicacion.es'!H877)&gt;0</f>
        <v>0</v>
      </c>
    </row>
    <row r="878" spans="1:9" hidden="1">
      <c r="A878" s="1" t="s">
        <v>4480</v>
      </c>
      <c r="B878" s="1" t="s">
        <v>10</v>
      </c>
      <c r="C878" s="1" t="s">
        <v>4481</v>
      </c>
      <c r="D878" s="1" t="s">
        <v>4327</v>
      </c>
      <c r="E878" s="1" t="s">
        <v>277</v>
      </c>
      <c r="F878" s="1" t="s">
        <v>30</v>
      </c>
      <c r="G878" s="1" t="s">
        <v>4482</v>
      </c>
      <c r="H878" s="1" t="s">
        <v>1762</v>
      </c>
      <c r="I878" t="b">
        <f>COUNTIF(Estadísticas!I:I,'centraldecomunicacion.es'!H878)&gt;0</f>
        <v>0</v>
      </c>
    </row>
    <row r="879" spans="1:9" hidden="1">
      <c r="A879" s="1" t="s">
        <v>4483</v>
      </c>
      <c r="B879" s="1" t="s">
        <v>10</v>
      </c>
      <c r="C879" s="1" t="s">
        <v>4484</v>
      </c>
      <c r="D879" s="1" t="s">
        <v>4470</v>
      </c>
      <c r="E879" s="1" t="s">
        <v>277</v>
      </c>
      <c r="F879" s="1" t="s">
        <v>30</v>
      </c>
      <c r="G879" s="1" t="s">
        <v>30</v>
      </c>
      <c r="H879" s="1" t="s">
        <v>1762</v>
      </c>
      <c r="I879" t="b">
        <f>COUNTIF(Estadísticas!I:I,'centraldecomunicacion.es'!H879)&gt;0</f>
        <v>0</v>
      </c>
    </row>
    <row r="880" spans="1:9" hidden="1">
      <c r="A880" s="1" t="s">
        <v>4485</v>
      </c>
      <c r="B880" s="1" t="s">
        <v>10</v>
      </c>
      <c r="C880" s="1" t="s">
        <v>4486</v>
      </c>
      <c r="D880" s="1" t="s">
        <v>4352</v>
      </c>
      <c r="E880" s="1" t="s">
        <v>277</v>
      </c>
      <c r="F880" s="1" t="s">
        <v>30</v>
      </c>
      <c r="G880" s="1" t="s">
        <v>4487</v>
      </c>
      <c r="H880" s="1" t="s">
        <v>1762</v>
      </c>
      <c r="I880" t="b">
        <f>COUNTIF(Estadísticas!I:I,'centraldecomunicacion.es'!H880)&gt;0</f>
        <v>0</v>
      </c>
    </row>
    <row r="881" spans="1:9" hidden="1">
      <c r="A881" s="1" t="s">
        <v>4488</v>
      </c>
      <c r="B881" s="1" t="s">
        <v>10</v>
      </c>
      <c r="C881" s="1" t="s">
        <v>4489</v>
      </c>
      <c r="D881" s="1" t="s">
        <v>4364</v>
      </c>
      <c r="E881" s="1" t="s">
        <v>277</v>
      </c>
      <c r="F881" s="1" t="s">
        <v>30</v>
      </c>
      <c r="G881" s="1" t="s">
        <v>4490</v>
      </c>
      <c r="H881" s="1" t="s">
        <v>1762</v>
      </c>
      <c r="I881" t="b">
        <f>COUNTIF(Estadísticas!I:I,'centraldecomunicacion.es'!H881)&gt;0</f>
        <v>0</v>
      </c>
    </row>
    <row r="882" spans="1:9" hidden="1">
      <c r="A882" s="1" t="s">
        <v>4491</v>
      </c>
      <c r="B882" s="1" t="s">
        <v>10</v>
      </c>
      <c r="C882" s="1" t="s">
        <v>4492</v>
      </c>
      <c r="D882" s="1" t="s">
        <v>4327</v>
      </c>
      <c r="E882" s="1" t="s">
        <v>277</v>
      </c>
      <c r="F882" s="1" t="s">
        <v>30</v>
      </c>
      <c r="G882" s="1" t="s">
        <v>30</v>
      </c>
      <c r="H882" s="1" t="s">
        <v>1762</v>
      </c>
      <c r="I882" t="b">
        <f>COUNTIF(Estadísticas!I:I,'centraldecomunicacion.es'!H882)&gt;0</f>
        <v>0</v>
      </c>
    </row>
    <row r="883" spans="1:9" hidden="1">
      <c r="A883" s="1" t="s">
        <v>4493</v>
      </c>
      <c r="B883" s="1" t="s">
        <v>10</v>
      </c>
      <c r="C883" s="1" t="s">
        <v>4494</v>
      </c>
      <c r="D883" s="1" t="s">
        <v>4495</v>
      </c>
      <c r="E883" s="1" t="s">
        <v>277</v>
      </c>
      <c r="F883" s="1" t="s">
        <v>30</v>
      </c>
      <c r="G883" s="1" t="s">
        <v>30</v>
      </c>
      <c r="H883" s="1" t="s">
        <v>1762</v>
      </c>
      <c r="I883" t="b">
        <f>COUNTIF(Estadísticas!I:I,'centraldecomunicacion.es'!H883)&gt;0</f>
        <v>0</v>
      </c>
    </row>
    <row r="884" spans="1:9" hidden="1">
      <c r="A884" s="1" t="s">
        <v>4496</v>
      </c>
      <c r="B884" s="1" t="s">
        <v>10</v>
      </c>
      <c r="C884" s="1" t="s">
        <v>4497</v>
      </c>
      <c r="D884" s="1" t="s">
        <v>4498</v>
      </c>
      <c r="E884" s="1" t="s">
        <v>277</v>
      </c>
      <c r="F884" s="1" t="s">
        <v>30</v>
      </c>
      <c r="G884" s="1" t="s">
        <v>4499</v>
      </c>
      <c r="H884" s="1" t="s">
        <v>1762</v>
      </c>
      <c r="I884" t="b">
        <f>COUNTIF(Estadísticas!I:I,'centraldecomunicacion.es'!H884)&gt;0</f>
        <v>0</v>
      </c>
    </row>
    <row r="885" spans="1:9" hidden="1">
      <c r="A885" s="1" t="s">
        <v>3096</v>
      </c>
      <c r="B885" s="1" t="s">
        <v>10</v>
      </c>
      <c r="C885" s="1" t="s">
        <v>4500</v>
      </c>
      <c r="D885" s="1" t="s">
        <v>300</v>
      </c>
      <c r="E885" s="1" t="s">
        <v>277</v>
      </c>
      <c r="F885" s="1" t="s">
        <v>30</v>
      </c>
      <c r="G885" s="1" t="s">
        <v>4501</v>
      </c>
      <c r="H885" s="1" t="s">
        <v>1762</v>
      </c>
      <c r="I885" t="b">
        <f>COUNTIF(Estadísticas!I:I,'centraldecomunicacion.es'!H885)&gt;0</f>
        <v>0</v>
      </c>
    </row>
    <row r="886" spans="1:9" hidden="1">
      <c r="A886" s="1" t="s">
        <v>4502</v>
      </c>
      <c r="B886" s="1" t="s">
        <v>10</v>
      </c>
      <c r="C886" s="1" t="s">
        <v>4503</v>
      </c>
      <c r="D886" s="1" t="s">
        <v>294</v>
      </c>
      <c r="E886" s="1" t="s">
        <v>294</v>
      </c>
      <c r="F886" s="1" t="s">
        <v>30</v>
      </c>
      <c r="G886" s="1" t="s">
        <v>4504</v>
      </c>
      <c r="H886" s="1" t="s">
        <v>1762</v>
      </c>
      <c r="I886" t="b">
        <f>COUNTIF(Estadísticas!I:I,'centraldecomunicacion.es'!H886)&gt;0</f>
        <v>0</v>
      </c>
    </row>
    <row r="887" spans="1:9" hidden="1">
      <c r="A887" s="1" t="s">
        <v>4505</v>
      </c>
      <c r="B887" s="1" t="s">
        <v>10</v>
      </c>
      <c r="C887" s="1" t="s">
        <v>4506</v>
      </c>
      <c r="D887" s="1" t="s">
        <v>300</v>
      </c>
      <c r="E887" s="1" t="s">
        <v>277</v>
      </c>
      <c r="F887" s="1" t="s">
        <v>30</v>
      </c>
      <c r="G887" s="1" t="s">
        <v>4507</v>
      </c>
      <c r="H887" s="1" t="s">
        <v>1762</v>
      </c>
      <c r="I887" t="b">
        <f>COUNTIF(Estadísticas!I:I,'centraldecomunicacion.es'!H887)&gt;0</f>
        <v>0</v>
      </c>
    </row>
    <row r="888" spans="1:9" hidden="1">
      <c r="A888" s="1" t="s">
        <v>4508</v>
      </c>
      <c r="B888" s="1" t="s">
        <v>10</v>
      </c>
      <c r="C888" s="1" t="s">
        <v>4509</v>
      </c>
      <c r="D888" s="1" t="s">
        <v>4510</v>
      </c>
      <c r="E888" s="1" t="s">
        <v>277</v>
      </c>
      <c r="F888" s="1" t="s">
        <v>30</v>
      </c>
      <c r="G888" s="1" t="s">
        <v>30</v>
      </c>
      <c r="H888" s="1" t="s">
        <v>1762</v>
      </c>
      <c r="I888" t="b">
        <f>COUNTIF(Estadísticas!I:I,'centraldecomunicacion.es'!H888)&gt;0</f>
        <v>0</v>
      </c>
    </row>
    <row r="889" spans="1:9" hidden="1">
      <c r="A889" s="1" t="s">
        <v>4511</v>
      </c>
      <c r="B889" s="1" t="s">
        <v>10</v>
      </c>
      <c r="C889" s="1" t="s">
        <v>4512</v>
      </c>
      <c r="D889" s="1" t="s">
        <v>4513</v>
      </c>
      <c r="E889" s="1" t="s">
        <v>277</v>
      </c>
      <c r="F889" s="1" t="s">
        <v>30</v>
      </c>
      <c r="G889" s="1" t="s">
        <v>4514</v>
      </c>
      <c r="H889" s="1" t="s">
        <v>1762</v>
      </c>
      <c r="I889" t="b">
        <f>COUNTIF(Estadísticas!I:I,'centraldecomunicacion.es'!H889)&gt;0</f>
        <v>0</v>
      </c>
    </row>
    <row r="890" spans="1:9" hidden="1">
      <c r="A890" s="1" t="s">
        <v>4515</v>
      </c>
      <c r="B890" s="1" t="s">
        <v>10</v>
      </c>
      <c r="C890" s="1" t="s">
        <v>4516</v>
      </c>
      <c r="D890" s="1" t="s">
        <v>306</v>
      </c>
      <c r="E890" s="1" t="s">
        <v>277</v>
      </c>
      <c r="F890" s="1" t="s">
        <v>4517</v>
      </c>
      <c r="G890" s="1" t="s">
        <v>4518</v>
      </c>
      <c r="H890" s="1" t="s">
        <v>4519</v>
      </c>
      <c r="I890" t="b">
        <f>COUNTIF(Estadísticas!I:I,'centraldecomunicacion.es'!H890)&gt;0</f>
        <v>0</v>
      </c>
    </row>
    <row r="891" spans="1:9" hidden="1">
      <c r="A891" s="1" t="s">
        <v>4505</v>
      </c>
      <c r="B891" s="1" t="s">
        <v>10</v>
      </c>
      <c r="C891" s="1" t="s">
        <v>4520</v>
      </c>
      <c r="D891" s="1" t="s">
        <v>4352</v>
      </c>
      <c r="E891" s="1" t="s">
        <v>277</v>
      </c>
      <c r="F891" s="1" t="s">
        <v>30</v>
      </c>
      <c r="G891" s="1" t="s">
        <v>4521</v>
      </c>
      <c r="H891" s="1" t="s">
        <v>1762</v>
      </c>
      <c r="I891" t="b">
        <f>COUNTIF(Estadísticas!I:I,'centraldecomunicacion.es'!H891)&gt;0</f>
        <v>0</v>
      </c>
    </row>
    <row r="892" spans="1:9" hidden="1">
      <c r="A892" s="1" t="s">
        <v>4522</v>
      </c>
      <c r="B892" s="1" t="s">
        <v>10</v>
      </c>
      <c r="C892" s="1" t="s">
        <v>30</v>
      </c>
      <c r="D892" s="1" t="s">
        <v>4319</v>
      </c>
      <c r="E892" s="1" t="s">
        <v>30</v>
      </c>
      <c r="F892" s="1" t="s">
        <v>4523</v>
      </c>
      <c r="G892" s="1" t="s">
        <v>4524</v>
      </c>
      <c r="H892" s="1" t="s">
        <v>1762</v>
      </c>
      <c r="I892" t="b">
        <f>COUNTIF(Estadísticas!I:I,'centraldecomunicacion.es'!H892)&gt;0</f>
        <v>0</v>
      </c>
    </row>
    <row r="893" spans="1:9" hidden="1">
      <c r="A893" s="1" t="s">
        <v>4525</v>
      </c>
      <c r="B893" s="1" t="s">
        <v>10</v>
      </c>
      <c r="C893" s="1" t="s">
        <v>4526</v>
      </c>
      <c r="D893" s="1" t="s">
        <v>4352</v>
      </c>
      <c r="E893" s="1" t="s">
        <v>277</v>
      </c>
      <c r="F893" s="1" t="s">
        <v>30</v>
      </c>
      <c r="G893" s="1" t="s">
        <v>30</v>
      </c>
      <c r="H893" s="1" t="s">
        <v>1762</v>
      </c>
      <c r="I893" t="b">
        <f>COUNTIF(Estadísticas!I:I,'centraldecomunicacion.es'!H893)&gt;0</f>
        <v>0</v>
      </c>
    </row>
    <row r="894" spans="1:9" hidden="1">
      <c r="A894" s="1" t="s">
        <v>4527</v>
      </c>
      <c r="B894" s="1" t="s">
        <v>10</v>
      </c>
      <c r="C894" s="1" t="s">
        <v>4528</v>
      </c>
      <c r="D894" s="1" t="s">
        <v>4529</v>
      </c>
      <c r="E894" s="1" t="s">
        <v>277</v>
      </c>
      <c r="F894" s="1" t="s">
        <v>30</v>
      </c>
      <c r="G894" s="1" t="s">
        <v>30</v>
      </c>
      <c r="H894" s="1" t="s">
        <v>1762</v>
      </c>
      <c r="I894" t="b">
        <f>COUNTIF(Estadísticas!I:I,'centraldecomunicacion.es'!H894)&gt;0</f>
        <v>0</v>
      </c>
    </row>
    <row r="895" spans="1:9" hidden="1">
      <c r="A895" s="1" t="s">
        <v>4530</v>
      </c>
      <c r="B895" s="1" t="s">
        <v>18</v>
      </c>
      <c r="C895" s="1" t="s">
        <v>4531</v>
      </c>
      <c r="D895" s="1" t="s">
        <v>4327</v>
      </c>
      <c r="E895" s="1" t="s">
        <v>277</v>
      </c>
      <c r="F895" s="1" t="s">
        <v>4532</v>
      </c>
      <c r="G895" s="1" t="s">
        <v>4533</v>
      </c>
      <c r="H895" s="1" t="s">
        <v>1762</v>
      </c>
      <c r="I895" t="b">
        <f>COUNTIF(Estadísticas!I:I,'centraldecomunicacion.es'!H895)&gt;0</f>
        <v>0</v>
      </c>
    </row>
    <row r="896" spans="1:9" hidden="1">
      <c r="A896" s="1" t="s">
        <v>4534</v>
      </c>
      <c r="B896" s="1" t="s">
        <v>18</v>
      </c>
      <c r="C896" s="1" t="s">
        <v>4535</v>
      </c>
      <c r="D896" s="1" t="s">
        <v>294</v>
      </c>
      <c r="E896" s="1" t="s">
        <v>294</v>
      </c>
      <c r="F896" s="1" t="s">
        <v>4288</v>
      </c>
      <c r="G896" s="1" t="s">
        <v>4536</v>
      </c>
      <c r="H896" s="1" t="s">
        <v>4290</v>
      </c>
      <c r="I896" t="b">
        <f>COUNTIF(Estadísticas!I:I,'centraldecomunicacion.es'!H896)&gt;0</f>
        <v>0</v>
      </c>
    </row>
    <row r="897" spans="1:9" hidden="1">
      <c r="A897" s="1" t="s">
        <v>4537</v>
      </c>
      <c r="B897" s="1" t="s">
        <v>18</v>
      </c>
      <c r="C897" s="1" t="s">
        <v>4538</v>
      </c>
      <c r="D897" s="1" t="s">
        <v>4539</v>
      </c>
      <c r="E897" s="1" t="s">
        <v>277</v>
      </c>
      <c r="F897" s="1" t="s">
        <v>4540</v>
      </c>
      <c r="G897" s="1" t="s">
        <v>4541</v>
      </c>
      <c r="H897" s="1" t="s">
        <v>1762</v>
      </c>
      <c r="I897" t="b">
        <f>COUNTIF(Estadísticas!I:I,'centraldecomunicacion.es'!H897)&gt;0</f>
        <v>0</v>
      </c>
    </row>
    <row r="898" spans="1:9" hidden="1">
      <c r="A898" s="1" t="s">
        <v>4542</v>
      </c>
      <c r="B898" s="1" t="s">
        <v>10</v>
      </c>
      <c r="C898" s="1" t="s">
        <v>4543</v>
      </c>
      <c r="D898" s="1" t="s">
        <v>4544</v>
      </c>
      <c r="E898" s="1" t="s">
        <v>277</v>
      </c>
      <c r="F898" s="1" t="s">
        <v>30</v>
      </c>
      <c r="G898" s="1" t="s">
        <v>30</v>
      </c>
      <c r="H898" s="1" t="s">
        <v>1762</v>
      </c>
      <c r="I898" t="b">
        <f>COUNTIF(Estadísticas!I:I,'centraldecomunicacion.es'!H898)&gt;0</f>
        <v>0</v>
      </c>
    </row>
    <row r="899" spans="1:9" hidden="1">
      <c r="A899" s="1" t="s">
        <v>4545</v>
      </c>
      <c r="B899" s="1" t="s">
        <v>10</v>
      </c>
      <c r="C899" s="1" t="s">
        <v>4546</v>
      </c>
      <c r="D899" s="1" t="s">
        <v>4364</v>
      </c>
      <c r="E899" s="1" t="s">
        <v>277</v>
      </c>
      <c r="F899" s="1" t="s">
        <v>30</v>
      </c>
      <c r="G899" s="1" t="s">
        <v>4547</v>
      </c>
      <c r="H899" s="1" t="s">
        <v>1762</v>
      </c>
      <c r="I899" t="b">
        <f>COUNTIF(Estadísticas!I:I,'centraldecomunicacion.es'!H899)&gt;0</f>
        <v>0</v>
      </c>
    </row>
    <row r="900" spans="1:9" hidden="1">
      <c r="A900" s="1" t="s">
        <v>4548</v>
      </c>
      <c r="B900" s="1" t="s">
        <v>10</v>
      </c>
      <c r="C900" s="1" t="s">
        <v>4549</v>
      </c>
      <c r="D900" s="1" t="s">
        <v>4352</v>
      </c>
      <c r="E900" s="1" t="s">
        <v>277</v>
      </c>
      <c r="F900" s="1" t="s">
        <v>30</v>
      </c>
      <c r="G900" s="1" t="s">
        <v>4550</v>
      </c>
      <c r="H900" s="1" t="s">
        <v>1762</v>
      </c>
      <c r="I900" t="b">
        <f>COUNTIF(Estadísticas!I:I,'centraldecomunicacion.es'!H900)&gt;0</f>
        <v>0</v>
      </c>
    </row>
    <row r="901" spans="1:9" hidden="1">
      <c r="A901" s="1" t="s">
        <v>4551</v>
      </c>
      <c r="B901" s="1" t="s">
        <v>10</v>
      </c>
      <c r="C901" s="1" t="s">
        <v>4552</v>
      </c>
      <c r="D901" s="1" t="s">
        <v>4364</v>
      </c>
      <c r="E901" s="1" t="s">
        <v>277</v>
      </c>
      <c r="F901" s="1" t="s">
        <v>30</v>
      </c>
      <c r="G901" s="1" t="s">
        <v>4553</v>
      </c>
      <c r="H901" s="1" t="s">
        <v>1762</v>
      </c>
      <c r="I901" t="b">
        <f>COUNTIF(Estadísticas!I:I,'centraldecomunicacion.es'!H901)&gt;0</f>
        <v>0</v>
      </c>
    </row>
    <row r="902" spans="1:9" hidden="1">
      <c r="A902" s="1" t="s">
        <v>4554</v>
      </c>
      <c r="B902" s="1" t="s">
        <v>10</v>
      </c>
      <c r="C902" s="1" t="s">
        <v>4555</v>
      </c>
      <c r="D902" s="1" t="s">
        <v>4539</v>
      </c>
      <c r="E902" s="1" t="s">
        <v>277</v>
      </c>
      <c r="F902" s="1" t="s">
        <v>30</v>
      </c>
      <c r="G902" s="1" t="s">
        <v>4556</v>
      </c>
      <c r="H902" s="1" t="s">
        <v>1762</v>
      </c>
      <c r="I902" t="b">
        <f>COUNTIF(Estadísticas!I:I,'centraldecomunicacion.es'!H902)&gt;0</f>
        <v>0</v>
      </c>
    </row>
    <row r="903" spans="1:9" hidden="1">
      <c r="A903" s="1" t="s">
        <v>4557</v>
      </c>
      <c r="B903" s="1" t="s">
        <v>10</v>
      </c>
      <c r="C903" s="1" t="s">
        <v>4558</v>
      </c>
      <c r="D903" s="1" t="s">
        <v>294</v>
      </c>
      <c r="E903" s="1" t="s">
        <v>294</v>
      </c>
      <c r="F903" s="1" t="s">
        <v>4559</v>
      </c>
      <c r="G903" s="1" t="s">
        <v>4560</v>
      </c>
      <c r="H903" s="1" t="s">
        <v>1762</v>
      </c>
      <c r="I903" t="b">
        <f>COUNTIF(Estadísticas!I:I,'centraldecomunicacion.es'!H903)&gt;0</f>
        <v>0</v>
      </c>
    </row>
    <row r="904" spans="1:9" hidden="1">
      <c r="A904" s="1" t="s">
        <v>4561</v>
      </c>
      <c r="B904" s="1" t="s">
        <v>10</v>
      </c>
      <c r="C904" s="1" t="s">
        <v>4562</v>
      </c>
      <c r="D904" s="1" t="s">
        <v>4563</v>
      </c>
      <c r="E904" s="1" t="s">
        <v>277</v>
      </c>
      <c r="F904" s="1" t="s">
        <v>30</v>
      </c>
      <c r="G904" s="1" t="s">
        <v>4564</v>
      </c>
      <c r="H904" s="1" t="s">
        <v>1762</v>
      </c>
      <c r="I904" t="b">
        <f>COUNTIF(Estadísticas!I:I,'centraldecomunicacion.es'!H904)&gt;0</f>
        <v>0</v>
      </c>
    </row>
    <row r="905" spans="1:9" hidden="1">
      <c r="A905" s="1" t="s">
        <v>4565</v>
      </c>
      <c r="B905" s="1" t="s">
        <v>18</v>
      </c>
      <c r="C905" s="1" t="s">
        <v>4566</v>
      </c>
      <c r="D905" s="1" t="s">
        <v>4373</v>
      </c>
      <c r="E905" s="1" t="s">
        <v>277</v>
      </c>
      <c r="F905" s="1" t="s">
        <v>30</v>
      </c>
      <c r="G905" s="1" t="s">
        <v>4567</v>
      </c>
      <c r="H905" s="1" t="s">
        <v>1762</v>
      </c>
      <c r="I905" t="b">
        <f>COUNTIF(Estadísticas!I:I,'centraldecomunicacion.es'!H905)&gt;0</f>
        <v>0</v>
      </c>
    </row>
    <row r="906" spans="1:9" hidden="1">
      <c r="A906" s="1" t="s">
        <v>4568</v>
      </c>
      <c r="B906" s="1" t="s">
        <v>10</v>
      </c>
      <c r="C906" s="1" t="s">
        <v>4569</v>
      </c>
      <c r="D906" s="1" t="s">
        <v>4570</v>
      </c>
      <c r="E906" s="1" t="s">
        <v>277</v>
      </c>
      <c r="F906" s="1" t="s">
        <v>30</v>
      </c>
      <c r="G906" s="1" t="s">
        <v>30</v>
      </c>
      <c r="H906" s="1" t="s">
        <v>1762</v>
      </c>
      <c r="I906" t="b">
        <f>COUNTIF(Estadísticas!I:I,'centraldecomunicacion.es'!H906)&gt;0</f>
        <v>0</v>
      </c>
    </row>
    <row r="907" spans="1:9" hidden="1">
      <c r="A907" s="1" t="s">
        <v>4571</v>
      </c>
      <c r="B907" s="1" t="s">
        <v>10</v>
      </c>
      <c r="C907" s="1" t="s">
        <v>4572</v>
      </c>
      <c r="D907" s="1" t="s">
        <v>294</v>
      </c>
      <c r="E907" s="1" t="s">
        <v>294</v>
      </c>
      <c r="F907" s="1" t="s">
        <v>30</v>
      </c>
      <c r="G907" s="1" t="s">
        <v>4573</v>
      </c>
      <c r="H907" s="1" t="s">
        <v>1762</v>
      </c>
      <c r="I907" t="b">
        <f>COUNTIF(Estadísticas!I:I,'centraldecomunicacion.es'!H907)&gt;0</f>
        <v>0</v>
      </c>
    </row>
    <row r="908" spans="1:9" hidden="1">
      <c r="A908" s="1" t="s">
        <v>4574</v>
      </c>
      <c r="B908" s="1" t="s">
        <v>10</v>
      </c>
      <c r="C908" s="1" t="s">
        <v>4575</v>
      </c>
      <c r="D908" s="1" t="s">
        <v>294</v>
      </c>
      <c r="E908" s="1" t="s">
        <v>294</v>
      </c>
      <c r="F908" s="1" t="s">
        <v>30</v>
      </c>
      <c r="G908" s="1" t="s">
        <v>30</v>
      </c>
      <c r="H908" s="1" t="s">
        <v>1762</v>
      </c>
      <c r="I908" t="b">
        <f>COUNTIF(Estadísticas!I:I,'centraldecomunicacion.es'!H908)&gt;0</f>
        <v>0</v>
      </c>
    </row>
    <row r="909" spans="1:9" hidden="1">
      <c r="A909" s="1" t="s">
        <v>4576</v>
      </c>
      <c r="B909" s="1" t="s">
        <v>10</v>
      </c>
      <c r="C909" s="1" t="s">
        <v>4577</v>
      </c>
      <c r="D909" s="1" t="s">
        <v>4352</v>
      </c>
      <c r="E909" s="1" t="s">
        <v>277</v>
      </c>
      <c r="F909" s="1" t="s">
        <v>30</v>
      </c>
      <c r="G909" s="1" t="s">
        <v>4578</v>
      </c>
      <c r="H909" s="1" t="s">
        <v>1762</v>
      </c>
      <c r="I909" t="b">
        <f>COUNTIF(Estadísticas!I:I,'centraldecomunicacion.es'!H909)&gt;0</f>
        <v>0</v>
      </c>
    </row>
    <row r="910" spans="1:9" hidden="1">
      <c r="A910" s="1" t="s">
        <v>4579</v>
      </c>
      <c r="B910" s="1" t="s">
        <v>10</v>
      </c>
      <c r="C910" s="1" t="s">
        <v>4580</v>
      </c>
      <c r="D910" s="1" t="s">
        <v>294</v>
      </c>
      <c r="E910" s="1" t="s">
        <v>294</v>
      </c>
      <c r="F910" s="1" t="s">
        <v>4581</v>
      </c>
      <c r="G910" s="1" t="s">
        <v>4582</v>
      </c>
      <c r="H910" s="1" t="s">
        <v>4583</v>
      </c>
      <c r="I910" t="b">
        <f>COUNTIF(Estadísticas!I:I,'centraldecomunicacion.es'!H910)&gt;0</f>
        <v>0</v>
      </c>
    </row>
    <row r="911" spans="1:9" hidden="1">
      <c r="A911" s="1" t="s">
        <v>4584</v>
      </c>
      <c r="B911" s="1" t="s">
        <v>10</v>
      </c>
      <c r="C911" s="1" t="s">
        <v>4585</v>
      </c>
      <c r="D911" s="1" t="s">
        <v>312</v>
      </c>
      <c r="E911" s="1" t="s">
        <v>312</v>
      </c>
      <c r="F911" s="1" t="s">
        <v>4586</v>
      </c>
      <c r="G911" s="1" t="s">
        <v>4587</v>
      </c>
      <c r="H911" s="1" t="s">
        <v>4588</v>
      </c>
      <c r="I911" t="b">
        <f>COUNTIF(Estadísticas!I:I,'centraldecomunicacion.es'!H911)&gt;0</f>
        <v>0</v>
      </c>
    </row>
    <row r="912" spans="1:9" hidden="1">
      <c r="A912" s="1" t="s">
        <v>4589</v>
      </c>
      <c r="B912" s="1" t="s">
        <v>10</v>
      </c>
      <c r="C912" s="1" t="s">
        <v>4590</v>
      </c>
      <c r="D912" s="1" t="s">
        <v>312</v>
      </c>
      <c r="E912" s="1" t="s">
        <v>312</v>
      </c>
      <c r="F912" s="1" t="s">
        <v>4591</v>
      </c>
      <c r="G912" s="1" t="s">
        <v>4592</v>
      </c>
      <c r="H912" s="1" t="s">
        <v>4593</v>
      </c>
      <c r="I912" t="b">
        <f>COUNTIF(Estadísticas!I:I,'centraldecomunicacion.es'!H912)&gt;0</f>
        <v>0</v>
      </c>
    </row>
    <row r="913" spans="1:9" hidden="1">
      <c r="A913" s="1" t="s">
        <v>4594</v>
      </c>
      <c r="B913" s="1" t="s">
        <v>10</v>
      </c>
      <c r="C913" s="1" t="s">
        <v>4595</v>
      </c>
      <c r="D913" s="1" t="s">
        <v>312</v>
      </c>
      <c r="E913" s="1" t="s">
        <v>312</v>
      </c>
      <c r="F913" s="1" t="s">
        <v>4586</v>
      </c>
      <c r="G913" s="1" t="s">
        <v>4596</v>
      </c>
      <c r="H913" s="1" t="s">
        <v>4588</v>
      </c>
      <c r="I913" t="b">
        <f>COUNTIF(Estadísticas!I:I,'centraldecomunicacion.es'!H913)&gt;0</f>
        <v>0</v>
      </c>
    </row>
    <row r="914" spans="1:9" hidden="1">
      <c r="A914" s="1" t="s">
        <v>4597</v>
      </c>
      <c r="B914" s="1" t="s">
        <v>10</v>
      </c>
      <c r="C914" s="1" t="s">
        <v>4598</v>
      </c>
      <c r="D914" s="1" t="s">
        <v>312</v>
      </c>
      <c r="E914" s="1" t="s">
        <v>312</v>
      </c>
      <c r="F914" s="1" t="s">
        <v>4599</v>
      </c>
      <c r="G914" s="1" t="s">
        <v>4600</v>
      </c>
      <c r="H914" s="1" t="s">
        <v>1762</v>
      </c>
      <c r="I914" t="b">
        <f>COUNTIF(Estadísticas!I:I,'centraldecomunicacion.es'!H914)&gt;0</f>
        <v>0</v>
      </c>
    </row>
    <row r="915" spans="1:9" hidden="1">
      <c r="A915" s="1" t="s">
        <v>4601</v>
      </c>
      <c r="B915" s="1" t="s">
        <v>10</v>
      </c>
      <c r="C915" s="1" t="s">
        <v>4602</v>
      </c>
      <c r="D915" s="1" t="s">
        <v>312</v>
      </c>
      <c r="E915" s="1" t="s">
        <v>312</v>
      </c>
      <c r="F915" s="1" t="s">
        <v>4603</v>
      </c>
      <c r="G915" s="1" t="s">
        <v>4604</v>
      </c>
      <c r="H915" s="1" t="s">
        <v>4605</v>
      </c>
      <c r="I915" t="b">
        <f>COUNTIF(Estadísticas!I:I,'centraldecomunicacion.es'!H915)&gt;0</f>
        <v>0</v>
      </c>
    </row>
    <row r="916" spans="1:9" hidden="1">
      <c r="A916" s="1" t="s">
        <v>4606</v>
      </c>
      <c r="B916" s="1" t="s">
        <v>10</v>
      </c>
      <c r="C916" s="1" t="s">
        <v>4607</v>
      </c>
      <c r="D916" s="1" t="s">
        <v>312</v>
      </c>
      <c r="E916" s="1" t="s">
        <v>312</v>
      </c>
      <c r="F916" s="1" t="s">
        <v>30</v>
      </c>
      <c r="G916" s="1" t="s">
        <v>30</v>
      </c>
      <c r="H916" s="1" t="s">
        <v>1762</v>
      </c>
      <c r="I916" t="b">
        <f>COUNTIF(Estadísticas!I:I,'centraldecomunicacion.es'!H916)&gt;0</f>
        <v>0</v>
      </c>
    </row>
    <row r="917" spans="1:9">
      <c r="A917" s="1" t="s">
        <v>310</v>
      </c>
      <c r="B917" s="1" t="s">
        <v>18</v>
      </c>
      <c r="C917" s="1" t="s">
        <v>311</v>
      </c>
      <c r="D917" s="1" t="s">
        <v>312</v>
      </c>
      <c r="E917" s="1" t="s">
        <v>312</v>
      </c>
      <c r="F917" s="1" t="s">
        <v>313</v>
      </c>
      <c r="G917" s="1" t="s">
        <v>314</v>
      </c>
      <c r="H917" s="1" t="s">
        <v>315</v>
      </c>
      <c r="I917" t="b">
        <f>COUNTIF(Estadísticas!I:I,'centraldecomunicacion.es'!H917)&gt;0</f>
        <v>1</v>
      </c>
    </row>
    <row r="918" spans="1:9" hidden="1">
      <c r="A918" s="1" t="s">
        <v>4608</v>
      </c>
      <c r="B918" s="1" t="s">
        <v>10</v>
      </c>
      <c r="C918" s="1" t="s">
        <v>4609</v>
      </c>
      <c r="D918" s="1" t="s">
        <v>312</v>
      </c>
      <c r="E918" s="1" t="s">
        <v>312</v>
      </c>
      <c r="F918" s="1" t="s">
        <v>30</v>
      </c>
      <c r="G918" s="1" t="s">
        <v>30</v>
      </c>
      <c r="H918" s="1" t="s">
        <v>1762</v>
      </c>
      <c r="I918" t="b">
        <f>COUNTIF(Estadísticas!I:I,'centraldecomunicacion.es'!H918)&gt;0</f>
        <v>0</v>
      </c>
    </row>
    <row r="919" spans="1:9" hidden="1">
      <c r="A919" s="1" t="s">
        <v>4610</v>
      </c>
      <c r="B919" s="1" t="s">
        <v>10</v>
      </c>
      <c r="C919" s="1" t="s">
        <v>4611</v>
      </c>
      <c r="D919" s="1" t="s">
        <v>4612</v>
      </c>
      <c r="E919" s="1" t="s">
        <v>312</v>
      </c>
      <c r="F919" s="1" t="s">
        <v>30</v>
      </c>
      <c r="G919" s="1" t="s">
        <v>30</v>
      </c>
      <c r="H919" s="1" t="s">
        <v>1762</v>
      </c>
      <c r="I919" t="b">
        <f>COUNTIF(Estadísticas!I:I,'centraldecomunicacion.es'!H919)&gt;0</f>
        <v>0</v>
      </c>
    </row>
    <row r="920" spans="1:9" hidden="1">
      <c r="A920" s="1" t="s">
        <v>4613</v>
      </c>
      <c r="B920" s="1" t="s">
        <v>10</v>
      </c>
      <c r="C920" s="1" t="s">
        <v>4614</v>
      </c>
      <c r="D920" s="1" t="s">
        <v>4615</v>
      </c>
      <c r="E920" s="1" t="s">
        <v>312</v>
      </c>
      <c r="F920" s="1" t="s">
        <v>30</v>
      </c>
      <c r="G920" s="1" t="s">
        <v>30</v>
      </c>
      <c r="H920" s="1" t="s">
        <v>1762</v>
      </c>
      <c r="I920" t="b">
        <f>COUNTIF(Estadísticas!I:I,'centraldecomunicacion.es'!H920)&gt;0</f>
        <v>0</v>
      </c>
    </row>
    <row r="921" spans="1:9" hidden="1">
      <c r="A921" s="1" t="s">
        <v>4616</v>
      </c>
      <c r="B921" s="1" t="s">
        <v>10</v>
      </c>
      <c r="C921" s="1" t="s">
        <v>4617</v>
      </c>
      <c r="D921" s="1" t="s">
        <v>4618</v>
      </c>
      <c r="E921" s="1" t="s">
        <v>312</v>
      </c>
      <c r="F921" s="1" t="s">
        <v>30</v>
      </c>
      <c r="G921" s="1" t="s">
        <v>4619</v>
      </c>
      <c r="H921" s="1" t="s">
        <v>1762</v>
      </c>
      <c r="I921" t="b">
        <f>COUNTIF(Estadísticas!I:I,'centraldecomunicacion.es'!H921)&gt;0</f>
        <v>0</v>
      </c>
    </row>
    <row r="922" spans="1:9" hidden="1">
      <c r="A922" s="1" t="s">
        <v>4620</v>
      </c>
      <c r="B922" s="1" t="s">
        <v>10</v>
      </c>
      <c r="C922" s="1" t="s">
        <v>4621</v>
      </c>
      <c r="D922" s="1" t="s">
        <v>4622</v>
      </c>
      <c r="E922" s="1" t="s">
        <v>312</v>
      </c>
      <c r="F922" s="1" t="s">
        <v>30</v>
      </c>
      <c r="G922" s="1" t="s">
        <v>30</v>
      </c>
      <c r="H922" s="1" t="s">
        <v>1762</v>
      </c>
      <c r="I922" t="b">
        <f>COUNTIF(Estadísticas!I:I,'centraldecomunicacion.es'!H922)&gt;0</f>
        <v>0</v>
      </c>
    </row>
    <row r="923" spans="1:9" hidden="1">
      <c r="A923" s="1" t="s">
        <v>4623</v>
      </c>
      <c r="B923" s="1" t="s">
        <v>10</v>
      </c>
      <c r="C923" s="1" t="s">
        <v>4624</v>
      </c>
      <c r="D923" s="1" t="s">
        <v>4625</v>
      </c>
      <c r="E923" s="1" t="s">
        <v>312</v>
      </c>
      <c r="F923" s="1" t="s">
        <v>30</v>
      </c>
      <c r="G923" s="1" t="s">
        <v>4626</v>
      </c>
      <c r="H923" s="1" t="s">
        <v>1762</v>
      </c>
      <c r="I923" t="b">
        <f>COUNTIF(Estadísticas!I:I,'centraldecomunicacion.es'!H923)&gt;0</f>
        <v>0</v>
      </c>
    </row>
    <row r="924" spans="1:9" hidden="1">
      <c r="A924" s="1" t="s">
        <v>4627</v>
      </c>
      <c r="B924" s="1" t="s">
        <v>10</v>
      </c>
      <c r="C924" s="1" t="s">
        <v>4628</v>
      </c>
      <c r="D924" s="1" t="s">
        <v>4629</v>
      </c>
      <c r="E924" s="1" t="s">
        <v>312</v>
      </c>
      <c r="F924" s="1" t="s">
        <v>4630</v>
      </c>
      <c r="G924" s="1" t="s">
        <v>4631</v>
      </c>
      <c r="H924" s="1" t="s">
        <v>4632</v>
      </c>
      <c r="I924" t="b">
        <f>COUNTIF(Estadísticas!I:I,'centraldecomunicacion.es'!H924)&gt;0</f>
        <v>0</v>
      </c>
    </row>
    <row r="925" spans="1:9" hidden="1">
      <c r="A925" s="1" t="s">
        <v>4633</v>
      </c>
      <c r="B925" s="1" t="s">
        <v>18</v>
      </c>
      <c r="C925" s="1" t="s">
        <v>4634</v>
      </c>
      <c r="D925" s="1" t="s">
        <v>4635</v>
      </c>
      <c r="E925" s="1" t="s">
        <v>312</v>
      </c>
      <c r="F925" s="1" t="s">
        <v>4636</v>
      </c>
      <c r="G925" s="1" t="s">
        <v>4637</v>
      </c>
      <c r="H925" s="1" t="s">
        <v>4638</v>
      </c>
      <c r="I925" t="b">
        <f>COUNTIF(Estadísticas!I:I,'centraldecomunicacion.es'!H925)&gt;0</f>
        <v>0</v>
      </c>
    </row>
    <row r="926" spans="1:9" hidden="1">
      <c r="A926" s="1" t="s">
        <v>4639</v>
      </c>
      <c r="B926" s="1" t="s">
        <v>10</v>
      </c>
      <c r="C926" s="1" t="s">
        <v>4640</v>
      </c>
      <c r="D926" s="1" t="s">
        <v>4629</v>
      </c>
      <c r="E926" s="1" t="s">
        <v>312</v>
      </c>
      <c r="F926" s="1" t="s">
        <v>30</v>
      </c>
      <c r="G926" s="1" t="s">
        <v>4641</v>
      </c>
      <c r="H926" s="1" t="s">
        <v>1762</v>
      </c>
      <c r="I926" t="b">
        <f>COUNTIF(Estadísticas!I:I,'centraldecomunicacion.es'!H926)&gt;0</f>
        <v>0</v>
      </c>
    </row>
    <row r="927" spans="1:9" hidden="1">
      <c r="A927" s="1" t="s">
        <v>4642</v>
      </c>
      <c r="B927" s="1" t="s">
        <v>10</v>
      </c>
      <c r="C927" s="1" t="s">
        <v>30</v>
      </c>
      <c r="D927" s="1" t="s">
        <v>317</v>
      </c>
      <c r="E927" s="1" t="s">
        <v>30</v>
      </c>
      <c r="F927" s="1" t="s">
        <v>4643</v>
      </c>
      <c r="G927" s="1" t="s">
        <v>4644</v>
      </c>
      <c r="H927" s="1" t="s">
        <v>4645</v>
      </c>
      <c r="I927" t="b">
        <f>COUNTIF(Estadísticas!I:I,'centraldecomunicacion.es'!H927)&gt;0</f>
        <v>0</v>
      </c>
    </row>
    <row r="928" spans="1:9" hidden="1">
      <c r="A928" s="1" t="s">
        <v>4646</v>
      </c>
      <c r="B928" s="1" t="s">
        <v>10</v>
      </c>
      <c r="C928" s="1" t="s">
        <v>4647</v>
      </c>
      <c r="D928" s="1" t="s">
        <v>4615</v>
      </c>
      <c r="E928" s="1" t="s">
        <v>312</v>
      </c>
      <c r="F928" s="1" t="s">
        <v>30</v>
      </c>
      <c r="G928" s="1" t="s">
        <v>30</v>
      </c>
      <c r="H928" s="1" t="s">
        <v>1762</v>
      </c>
      <c r="I928" t="b">
        <f>COUNTIF(Estadísticas!I:I,'centraldecomunicacion.es'!H928)&gt;0</f>
        <v>0</v>
      </c>
    </row>
    <row r="929" spans="1:9" hidden="1">
      <c r="A929" s="1" t="s">
        <v>4648</v>
      </c>
      <c r="B929" s="1" t="s">
        <v>10</v>
      </c>
      <c r="C929" s="1" t="s">
        <v>4649</v>
      </c>
      <c r="D929" s="1" t="s">
        <v>4650</v>
      </c>
      <c r="E929" s="1" t="s">
        <v>312</v>
      </c>
      <c r="F929" s="1" t="s">
        <v>30</v>
      </c>
      <c r="G929" s="1" t="s">
        <v>4651</v>
      </c>
      <c r="H929" s="1" t="s">
        <v>1762</v>
      </c>
      <c r="I929" t="b">
        <f>COUNTIF(Estadísticas!I:I,'centraldecomunicacion.es'!H929)&gt;0</f>
        <v>0</v>
      </c>
    </row>
    <row r="930" spans="1:9" hidden="1">
      <c r="A930" s="1" t="s">
        <v>4652</v>
      </c>
      <c r="B930" s="1" t="s">
        <v>10</v>
      </c>
      <c r="C930" s="1" t="s">
        <v>4653</v>
      </c>
      <c r="D930" s="1" t="s">
        <v>4654</v>
      </c>
      <c r="E930" s="1" t="s">
        <v>312</v>
      </c>
      <c r="F930" s="1" t="s">
        <v>30</v>
      </c>
      <c r="G930" s="1" t="s">
        <v>4655</v>
      </c>
      <c r="H930" s="1" t="s">
        <v>1762</v>
      </c>
      <c r="I930" t="b">
        <f>COUNTIF(Estadísticas!I:I,'centraldecomunicacion.es'!H930)&gt;0</f>
        <v>0</v>
      </c>
    </row>
    <row r="931" spans="1:9" hidden="1">
      <c r="A931" s="1" t="s">
        <v>4656</v>
      </c>
      <c r="B931" s="1" t="s">
        <v>10</v>
      </c>
      <c r="C931" s="1" t="s">
        <v>4657</v>
      </c>
      <c r="D931" s="1" t="s">
        <v>4658</v>
      </c>
      <c r="E931" s="1" t="s">
        <v>312</v>
      </c>
      <c r="F931" s="1" t="s">
        <v>30</v>
      </c>
      <c r="G931" s="1" t="s">
        <v>30</v>
      </c>
      <c r="H931" s="1" t="s">
        <v>1762</v>
      </c>
      <c r="I931" t="b">
        <f>COUNTIF(Estadísticas!I:I,'centraldecomunicacion.es'!H931)&gt;0</f>
        <v>0</v>
      </c>
    </row>
    <row r="932" spans="1:9" hidden="1">
      <c r="A932" s="1" t="s">
        <v>4659</v>
      </c>
      <c r="B932" s="1" t="s">
        <v>10</v>
      </c>
      <c r="C932" s="1" t="s">
        <v>4660</v>
      </c>
      <c r="D932" s="1" t="s">
        <v>4625</v>
      </c>
      <c r="E932" s="1" t="s">
        <v>312</v>
      </c>
      <c r="F932" s="1" t="s">
        <v>30</v>
      </c>
      <c r="G932" s="1" t="s">
        <v>4661</v>
      </c>
      <c r="H932" s="1" t="s">
        <v>1762</v>
      </c>
      <c r="I932" t="b">
        <f>COUNTIF(Estadísticas!I:I,'centraldecomunicacion.es'!H932)&gt;0</f>
        <v>0</v>
      </c>
    </row>
    <row r="933" spans="1:9" hidden="1">
      <c r="A933" s="1" t="s">
        <v>4662</v>
      </c>
      <c r="B933" s="1" t="s">
        <v>10</v>
      </c>
      <c r="C933" s="1" t="s">
        <v>4663</v>
      </c>
      <c r="D933" s="1" t="s">
        <v>4650</v>
      </c>
      <c r="E933" s="1" t="s">
        <v>312</v>
      </c>
      <c r="F933" s="1" t="s">
        <v>30</v>
      </c>
      <c r="G933" s="1" t="s">
        <v>30</v>
      </c>
      <c r="H933" s="1" t="s">
        <v>1762</v>
      </c>
      <c r="I933" t="b">
        <f>COUNTIF(Estadísticas!I:I,'centraldecomunicacion.es'!H933)&gt;0</f>
        <v>0</v>
      </c>
    </row>
    <row r="934" spans="1:9" hidden="1">
      <c r="A934" s="1" t="s">
        <v>4664</v>
      </c>
      <c r="B934" s="1" t="s">
        <v>10</v>
      </c>
      <c r="C934" s="1" t="s">
        <v>4665</v>
      </c>
      <c r="D934" s="1" t="s">
        <v>4666</v>
      </c>
      <c r="E934" s="1" t="s">
        <v>312</v>
      </c>
      <c r="F934" s="1" t="s">
        <v>30</v>
      </c>
      <c r="G934" s="1" t="s">
        <v>4667</v>
      </c>
      <c r="H934" s="1" t="s">
        <v>1762</v>
      </c>
      <c r="I934" t="b">
        <f>COUNTIF(Estadísticas!I:I,'centraldecomunicacion.es'!H934)&gt;0</f>
        <v>0</v>
      </c>
    </row>
    <row r="935" spans="1:9" hidden="1">
      <c r="A935" s="1" t="s">
        <v>4668</v>
      </c>
      <c r="B935" s="1" t="s">
        <v>10</v>
      </c>
      <c r="C935" s="1" t="s">
        <v>4669</v>
      </c>
      <c r="D935" s="1" t="s">
        <v>4670</v>
      </c>
      <c r="E935" s="1" t="s">
        <v>312</v>
      </c>
      <c r="F935" s="1" t="s">
        <v>1830</v>
      </c>
      <c r="G935" s="1" t="s">
        <v>4671</v>
      </c>
      <c r="H935" s="1" t="s">
        <v>1762</v>
      </c>
      <c r="I935" t="b">
        <f>COUNTIF(Estadísticas!I:I,'centraldecomunicacion.es'!H935)&gt;0</f>
        <v>0</v>
      </c>
    </row>
    <row r="936" spans="1:9" hidden="1">
      <c r="A936" s="1" t="s">
        <v>4672</v>
      </c>
      <c r="B936" s="1" t="s">
        <v>18</v>
      </c>
      <c r="C936" s="1" t="s">
        <v>4673</v>
      </c>
      <c r="D936" s="1" t="s">
        <v>4629</v>
      </c>
      <c r="E936" s="1" t="s">
        <v>312</v>
      </c>
      <c r="F936" s="1" t="s">
        <v>4288</v>
      </c>
      <c r="G936" s="1" t="s">
        <v>4674</v>
      </c>
      <c r="H936" s="1" t="s">
        <v>4290</v>
      </c>
      <c r="I936" t="b">
        <f>COUNTIF(Estadísticas!I:I,'centraldecomunicacion.es'!H936)&gt;0</f>
        <v>0</v>
      </c>
    </row>
    <row r="937" spans="1:9" hidden="1">
      <c r="A937" s="1" t="s">
        <v>4675</v>
      </c>
      <c r="B937" s="1" t="s">
        <v>10</v>
      </c>
      <c r="C937" s="1" t="s">
        <v>4676</v>
      </c>
      <c r="D937" s="1" t="s">
        <v>4670</v>
      </c>
      <c r="E937" s="1" t="s">
        <v>312</v>
      </c>
      <c r="F937" s="1" t="s">
        <v>30</v>
      </c>
      <c r="G937" s="1" t="s">
        <v>30</v>
      </c>
      <c r="H937" s="1" t="s">
        <v>1762</v>
      </c>
      <c r="I937" t="b">
        <f>COUNTIF(Estadísticas!I:I,'centraldecomunicacion.es'!H937)&gt;0</f>
        <v>0</v>
      </c>
    </row>
    <row r="938" spans="1:9" hidden="1">
      <c r="A938" s="1" t="s">
        <v>4677</v>
      </c>
      <c r="B938" s="1" t="s">
        <v>10</v>
      </c>
      <c r="C938" s="1" t="s">
        <v>4678</v>
      </c>
      <c r="D938" s="1" t="s">
        <v>4679</v>
      </c>
      <c r="E938" s="1" t="s">
        <v>312</v>
      </c>
      <c r="F938" s="1" t="s">
        <v>30</v>
      </c>
      <c r="G938" s="1" t="s">
        <v>4680</v>
      </c>
      <c r="H938" s="1" t="s">
        <v>1762</v>
      </c>
      <c r="I938" t="b">
        <f>COUNTIF(Estadísticas!I:I,'centraldecomunicacion.es'!H938)&gt;0</f>
        <v>0</v>
      </c>
    </row>
    <row r="939" spans="1:9" hidden="1">
      <c r="A939" s="1" t="s">
        <v>4681</v>
      </c>
      <c r="B939" s="1" t="s">
        <v>10</v>
      </c>
      <c r="C939" s="1" t="s">
        <v>4682</v>
      </c>
      <c r="D939" s="1" t="s">
        <v>4683</v>
      </c>
      <c r="E939" s="1" t="s">
        <v>312</v>
      </c>
      <c r="F939" s="1" t="s">
        <v>30</v>
      </c>
      <c r="G939" s="1" t="s">
        <v>4684</v>
      </c>
      <c r="H939" s="1" t="s">
        <v>1762</v>
      </c>
      <c r="I939" t="b">
        <f>COUNTIF(Estadísticas!I:I,'centraldecomunicacion.es'!H939)&gt;0</f>
        <v>0</v>
      </c>
    </row>
    <row r="940" spans="1:9" hidden="1">
      <c r="A940" s="1" t="s">
        <v>4685</v>
      </c>
      <c r="B940" s="1" t="s">
        <v>10</v>
      </c>
      <c r="C940" s="1" t="s">
        <v>4686</v>
      </c>
      <c r="D940" s="1" t="s">
        <v>4687</v>
      </c>
      <c r="E940" s="1" t="s">
        <v>312</v>
      </c>
      <c r="F940" s="1" t="s">
        <v>30</v>
      </c>
      <c r="G940" s="1" t="s">
        <v>4688</v>
      </c>
      <c r="H940" s="1" t="s">
        <v>1762</v>
      </c>
      <c r="I940" t="b">
        <f>COUNTIF(Estadísticas!I:I,'centraldecomunicacion.es'!H940)&gt;0</f>
        <v>0</v>
      </c>
    </row>
    <row r="941" spans="1:9">
      <c r="A941" s="1" t="s">
        <v>316</v>
      </c>
      <c r="B941" s="1" t="s">
        <v>10</v>
      </c>
      <c r="C941" s="1" t="s">
        <v>30</v>
      </c>
      <c r="D941" s="1" t="s">
        <v>317</v>
      </c>
      <c r="E941" s="1" t="s">
        <v>30</v>
      </c>
      <c r="F941" s="1" t="s">
        <v>318</v>
      </c>
      <c r="G941" s="1" t="s">
        <v>319</v>
      </c>
      <c r="H941" s="1" t="s">
        <v>320</v>
      </c>
      <c r="I941" t="b">
        <f>COUNTIF(Estadísticas!I:I,'centraldecomunicacion.es'!H941)&gt;0</f>
        <v>1</v>
      </c>
    </row>
    <row r="942" spans="1:9">
      <c r="A942" s="1" t="s">
        <v>321</v>
      </c>
      <c r="B942" s="1" t="s">
        <v>10</v>
      </c>
      <c r="C942" s="1" t="s">
        <v>322</v>
      </c>
      <c r="D942" s="1" t="s">
        <v>323</v>
      </c>
      <c r="E942" s="1" t="s">
        <v>324</v>
      </c>
      <c r="F942" s="1" t="s">
        <v>325</v>
      </c>
      <c r="G942" s="1" t="s">
        <v>326</v>
      </c>
      <c r="H942" s="1" t="s">
        <v>327</v>
      </c>
      <c r="I942" t="b">
        <f>COUNTIF(Estadísticas!I:I,'centraldecomunicacion.es'!H942)&gt;0</f>
        <v>1</v>
      </c>
    </row>
    <row r="943" spans="1:9" hidden="1">
      <c r="A943" s="1" t="s">
        <v>4689</v>
      </c>
      <c r="B943" s="1" t="s">
        <v>10</v>
      </c>
      <c r="C943" s="1" t="s">
        <v>4690</v>
      </c>
      <c r="D943" s="1" t="s">
        <v>4691</v>
      </c>
      <c r="E943" s="1" t="s">
        <v>312</v>
      </c>
      <c r="F943" s="1" t="s">
        <v>30</v>
      </c>
      <c r="G943" s="1" t="s">
        <v>4692</v>
      </c>
      <c r="H943" s="1" t="s">
        <v>1762</v>
      </c>
      <c r="I943" t="b">
        <f>COUNTIF(Estadísticas!I:I,'centraldecomunicacion.es'!H943)&gt;0</f>
        <v>0</v>
      </c>
    </row>
    <row r="944" spans="1:9" hidden="1">
      <c r="A944" s="1" t="s">
        <v>4693</v>
      </c>
      <c r="B944" s="1" t="s">
        <v>10</v>
      </c>
      <c r="C944" s="1" t="s">
        <v>4694</v>
      </c>
      <c r="D944" s="1" t="s">
        <v>4691</v>
      </c>
      <c r="E944" s="1" t="s">
        <v>312</v>
      </c>
      <c r="F944" s="1" t="s">
        <v>30</v>
      </c>
      <c r="G944" s="1" t="s">
        <v>4695</v>
      </c>
      <c r="H944" s="1" t="s">
        <v>1762</v>
      </c>
      <c r="I944" t="b">
        <f>COUNTIF(Estadísticas!I:I,'centraldecomunicacion.es'!H944)&gt;0</f>
        <v>0</v>
      </c>
    </row>
    <row r="945" spans="1:9" hidden="1">
      <c r="A945" s="1" t="s">
        <v>4696</v>
      </c>
      <c r="B945" s="1" t="s">
        <v>10</v>
      </c>
      <c r="C945" s="1" t="s">
        <v>4697</v>
      </c>
      <c r="D945" s="1" t="s">
        <v>4698</v>
      </c>
      <c r="E945" s="1" t="s">
        <v>312</v>
      </c>
      <c r="F945" s="1" t="s">
        <v>30</v>
      </c>
      <c r="G945" s="1" t="s">
        <v>4699</v>
      </c>
      <c r="H945" s="1" t="s">
        <v>1762</v>
      </c>
      <c r="I945" t="b">
        <f>COUNTIF(Estadísticas!I:I,'centraldecomunicacion.es'!H945)&gt;0</f>
        <v>0</v>
      </c>
    </row>
    <row r="946" spans="1:9" hidden="1">
      <c r="A946" s="1" t="s">
        <v>4700</v>
      </c>
      <c r="B946" s="1" t="s">
        <v>10</v>
      </c>
      <c r="C946" s="1" t="s">
        <v>4701</v>
      </c>
      <c r="D946" s="1" t="s">
        <v>4629</v>
      </c>
      <c r="E946" s="1" t="s">
        <v>312</v>
      </c>
      <c r="F946" s="1" t="s">
        <v>1830</v>
      </c>
      <c r="G946" s="1" t="s">
        <v>4702</v>
      </c>
      <c r="H946" s="1" t="s">
        <v>1762</v>
      </c>
      <c r="I946" t="b">
        <f>COUNTIF(Estadísticas!I:I,'centraldecomunicacion.es'!H946)&gt;0</f>
        <v>0</v>
      </c>
    </row>
    <row r="947" spans="1:9" hidden="1">
      <c r="A947" s="1" t="s">
        <v>4703</v>
      </c>
      <c r="B947" s="1" t="s">
        <v>10</v>
      </c>
      <c r="C947" s="1" t="s">
        <v>4704</v>
      </c>
      <c r="D947" s="1" t="s">
        <v>4629</v>
      </c>
      <c r="E947" s="1" t="s">
        <v>312</v>
      </c>
      <c r="F947" s="1" t="s">
        <v>30</v>
      </c>
      <c r="G947" s="1" t="s">
        <v>4705</v>
      </c>
      <c r="H947" s="1" t="s">
        <v>1762</v>
      </c>
      <c r="I947" t="b">
        <f>COUNTIF(Estadísticas!I:I,'centraldecomunicacion.es'!H947)&gt;0</f>
        <v>0</v>
      </c>
    </row>
    <row r="948" spans="1:9" hidden="1">
      <c r="A948" s="1" t="s">
        <v>4706</v>
      </c>
      <c r="B948" s="1" t="s">
        <v>10</v>
      </c>
      <c r="C948" s="1" t="s">
        <v>30</v>
      </c>
      <c r="D948" s="1" t="s">
        <v>317</v>
      </c>
      <c r="E948" s="1" t="s">
        <v>30</v>
      </c>
      <c r="F948" s="1" t="s">
        <v>4707</v>
      </c>
      <c r="G948" s="1" t="s">
        <v>4708</v>
      </c>
      <c r="H948" s="1" t="s">
        <v>1762</v>
      </c>
      <c r="I948" t="b">
        <f>COUNTIF(Estadísticas!I:I,'centraldecomunicacion.es'!H948)&gt;0</f>
        <v>0</v>
      </c>
    </row>
    <row r="949" spans="1:9" hidden="1">
      <c r="A949" s="1" t="s">
        <v>4709</v>
      </c>
      <c r="B949" s="1" t="s">
        <v>10</v>
      </c>
      <c r="C949" s="1" t="s">
        <v>4710</v>
      </c>
      <c r="D949" s="1" t="s">
        <v>294</v>
      </c>
      <c r="E949" s="1" t="s">
        <v>294</v>
      </c>
      <c r="F949" s="1" t="s">
        <v>4711</v>
      </c>
      <c r="G949" s="1" t="s">
        <v>4712</v>
      </c>
      <c r="H949" s="1" t="s">
        <v>1762</v>
      </c>
      <c r="I949" t="b">
        <f>COUNTIF(Estadísticas!I:I,'centraldecomunicacion.es'!H949)&gt;0</f>
        <v>0</v>
      </c>
    </row>
    <row r="950" spans="1:9" hidden="1">
      <c r="A950" s="1" t="s">
        <v>4713</v>
      </c>
      <c r="B950" s="1" t="s">
        <v>10</v>
      </c>
      <c r="C950" s="1" t="s">
        <v>30</v>
      </c>
      <c r="D950" s="1" t="s">
        <v>317</v>
      </c>
      <c r="E950" s="1" t="s">
        <v>30</v>
      </c>
      <c r="F950" s="1" t="s">
        <v>30</v>
      </c>
      <c r="G950" s="1" t="s">
        <v>4714</v>
      </c>
      <c r="H950" s="1" t="s">
        <v>1762</v>
      </c>
      <c r="I950" t="b">
        <f>COUNTIF(Estadísticas!I:I,'centraldecomunicacion.es'!H950)&gt;0</f>
        <v>0</v>
      </c>
    </row>
    <row r="951" spans="1:9" hidden="1">
      <c r="A951" s="1" t="s">
        <v>4715</v>
      </c>
      <c r="B951" s="1" t="s">
        <v>10</v>
      </c>
      <c r="C951" s="1" t="s">
        <v>4716</v>
      </c>
      <c r="D951" s="1" t="s">
        <v>4717</v>
      </c>
      <c r="E951" s="1" t="s">
        <v>312</v>
      </c>
      <c r="F951" s="1" t="s">
        <v>30</v>
      </c>
      <c r="G951" s="1" t="s">
        <v>30</v>
      </c>
      <c r="H951" s="1" t="s">
        <v>1762</v>
      </c>
      <c r="I951" t="b">
        <f>COUNTIF(Estadísticas!I:I,'centraldecomunicacion.es'!H951)&gt;0</f>
        <v>0</v>
      </c>
    </row>
    <row r="952" spans="1:9" hidden="1">
      <c r="A952" s="1" t="s">
        <v>4718</v>
      </c>
      <c r="B952" s="1" t="s">
        <v>10</v>
      </c>
      <c r="C952" s="1" t="s">
        <v>4719</v>
      </c>
      <c r="D952" s="1" t="s">
        <v>4720</v>
      </c>
      <c r="E952" s="1" t="s">
        <v>312</v>
      </c>
      <c r="F952" s="1" t="s">
        <v>30</v>
      </c>
      <c r="G952" s="1" t="s">
        <v>4721</v>
      </c>
      <c r="H952" s="1" t="s">
        <v>1762</v>
      </c>
      <c r="I952" t="b">
        <f>COUNTIF(Estadísticas!I:I,'centraldecomunicacion.es'!H952)&gt;0</f>
        <v>0</v>
      </c>
    </row>
    <row r="953" spans="1:9" hidden="1">
      <c r="A953" s="1" t="s">
        <v>4722</v>
      </c>
      <c r="B953" s="1" t="s">
        <v>10</v>
      </c>
      <c r="C953" s="1" t="s">
        <v>4723</v>
      </c>
      <c r="D953" s="1" t="s">
        <v>4724</v>
      </c>
      <c r="E953" s="1" t="s">
        <v>312</v>
      </c>
      <c r="F953" s="1" t="s">
        <v>30</v>
      </c>
      <c r="G953" s="1" t="s">
        <v>30</v>
      </c>
      <c r="H953" s="1" t="s">
        <v>1762</v>
      </c>
      <c r="I953" t="b">
        <f>COUNTIF(Estadísticas!I:I,'centraldecomunicacion.es'!H953)&gt;0</f>
        <v>0</v>
      </c>
    </row>
    <row r="954" spans="1:9" hidden="1">
      <c r="A954" s="1" t="s">
        <v>4725</v>
      </c>
      <c r="B954" s="1" t="s">
        <v>10</v>
      </c>
      <c r="C954" s="1" t="s">
        <v>4726</v>
      </c>
      <c r="D954" s="1" t="s">
        <v>4727</v>
      </c>
      <c r="E954" s="1" t="s">
        <v>294</v>
      </c>
      <c r="F954" s="1" t="s">
        <v>4728</v>
      </c>
      <c r="G954" s="1" t="s">
        <v>4729</v>
      </c>
      <c r="H954" s="1" t="s">
        <v>1762</v>
      </c>
      <c r="I954" t="b">
        <f>COUNTIF(Estadísticas!I:I,'centraldecomunicacion.es'!H954)&gt;0</f>
        <v>0</v>
      </c>
    </row>
    <row r="955" spans="1:9" hidden="1">
      <c r="A955" s="1" t="s">
        <v>4730</v>
      </c>
      <c r="B955" s="1" t="s">
        <v>10</v>
      </c>
      <c r="C955" s="1" t="s">
        <v>4731</v>
      </c>
      <c r="D955" s="1" t="s">
        <v>1231</v>
      </c>
      <c r="E955" s="1" t="s">
        <v>1208</v>
      </c>
      <c r="F955" s="1" t="s">
        <v>30</v>
      </c>
      <c r="G955" s="1" t="s">
        <v>4732</v>
      </c>
      <c r="H955" s="1" t="s">
        <v>1762</v>
      </c>
      <c r="I955" t="b">
        <f>COUNTIF(Estadísticas!I:I,'centraldecomunicacion.es'!H955)&gt;0</f>
        <v>0</v>
      </c>
    </row>
    <row r="956" spans="1:9" hidden="1">
      <c r="A956" s="1" t="s">
        <v>4733</v>
      </c>
      <c r="B956" s="1" t="s">
        <v>10</v>
      </c>
      <c r="C956" s="1" t="s">
        <v>4734</v>
      </c>
      <c r="D956" s="1" t="s">
        <v>4735</v>
      </c>
      <c r="E956" s="1" t="s">
        <v>312</v>
      </c>
      <c r="F956" s="1" t="s">
        <v>30</v>
      </c>
      <c r="G956" s="1" t="s">
        <v>30</v>
      </c>
      <c r="H956" s="1" t="s">
        <v>1762</v>
      </c>
      <c r="I956" t="b">
        <f>COUNTIF(Estadísticas!I:I,'centraldecomunicacion.es'!H956)&gt;0</f>
        <v>0</v>
      </c>
    </row>
    <row r="957" spans="1:9" hidden="1">
      <c r="A957" s="1" t="s">
        <v>4736</v>
      </c>
      <c r="B957" s="1" t="s">
        <v>10</v>
      </c>
      <c r="C957" s="1" t="s">
        <v>4737</v>
      </c>
      <c r="D957" s="1" t="s">
        <v>4629</v>
      </c>
      <c r="E957" s="1" t="s">
        <v>312</v>
      </c>
      <c r="F957" s="1" t="s">
        <v>30</v>
      </c>
      <c r="G957" s="1" t="s">
        <v>30</v>
      </c>
      <c r="H957" s="1" t="s">
        <v>1762</v>
      </c>
      <c r="I957" t="b">
        <f>COUNTIF(Estadísticas!I:I,'centraldecomunicacion.es'!H957)&gt;0</f>
        <v>0</v>
      </c>
    </row>
    <row r="958" spans="1:9" hidden="1">
      <c r="A958" s="1" t="s">
        <v>4738</v>
      </c>
      <c r="B958" s="1" t="s">
        <v>10</v>
      </c>
      <c r="C958" s="1" t="s">
        <v>30</v>
      </c>
      <c r="D958" s="1" t="s">
        <v>317</v>
      </c>
      <c r="E958" s="1" t="s">
        <v>30</v>
      </c>
      <c r="F958" s="1" t="s">
        <v>30</v>
      </c>
      <c r="G958" s="1" t="s">
        <v>4739</v>
      </c>
      <c r="H958" s="1" t="s">
        <v>1762</v>
      </c>
      <c r="I958" t="b">
        <f>COUNTIF(Estadísticas!I:I,'centraldecomunicacion.es'!H958)&gt;0</f>
        <v>0</v>
      </c>
    </row>
    <row r="959" spans="1:9" hidden="1">
      <c r="A959" s="1" t="s">
        <v>4740</v>
      </c>
      <c r="B959" s="1" t="s">
        <v>10</v>
      </c>
      <c r="C959" s="1" t="s">
        <v>4741</v>
      </c>
      <c r="D959" s="1" t="s">
        <v>4742</v>
      </c>
      <c r="E959" s="1" t="s">
        <v>294</v>
      </c>
      <c r="F959" s="1" t="s">
        <v>30</v>
      </c>
      <c r="G959" s="1" t="s">
        <v>4743</v>
      </c>
      <c r="H959" s="1" t="s">
        <v>1762</v>
      </c>
      <c r="I959" t="b">
        <f>COUNTIF(Estadísticas!I:I,'centraldecomunicacion.es'!H959)&gt;0</f>
        <v>0</v>
      </c>
    </row>
    <row r="960" spans="1:9" hidden="1">
      <c r="A960" s="1" t="s">
        <v>4744</v>
      </c>
      <c r="B960" s="1" t="s">
        <v>10</v>
      </c>
      <c r="C960" s="1" t="s">
        <v>4745</v>
      </c>
      <c r="D960" s="1" t="s">
        <v>4746</v>
      </c>
      <c r="E960" s="1" t="s">
        <v>312</v>
      </c>
      <c r="F960" s="1" t="s">
        <v>30</v>
      </c>
      <c r="G960" s="1" t="s">
        <v>4747</v>
      </c>
      <c r="H960" s="1" t="s">
        <v>1762</v>
      </c>
      <c r="I960" t="b">
        <f>COUNTIF(Estadísticas!I:I,'centraldecomunicacion.es'!H960)&gt;0</f>
        <v>0</v>
      </c>
    </row>
    <row r="961" spans="1:9" hidden="1">
      <c r="A961" s="1" t="s">
        <v>4668</v>
      </c>
      <c r="B961" s="1" t="s">
        <v>10</v>
      </c>
      <c r="C961" s="1" t="s">
        <v>4748</v>
      </c>
      <c r="D961" s="1" t="s">
        <v>294</v>
      </c>
      <c r="E961" s="1" t="s">
        <v>294</v>
      </c>
      <c r="F961" s="1" t="s">
        <v>30</v>
      </c>
      <c r="G961" s="1" t="s">
        <v>4749</v>
      </c>
      <c r="H961" s="1" t="s">
        <v>1762</v>
      </c>
      <c r="I961" t="b">
        <f>COUNTIF(Estadísticas!I:I,'centraldecomunicacion.es'!H961)&gt;0</f>
        <v>0</v>
      </c>
    </row>
    <row r="962" spans="1:9" hidden="1">
      <c r="A962" s="1" t="s">
        <v>4750</v>
      </c>
      <c r="B962" s="1" t="s">
        <v>18</v>
      </c>
      <c r="C962" s="1" t="s">
        <v>4751</v>
      </c>
      <c r="D962" s="1" t="s">
        <v>1207</v>
      </c>
      <c r="E962" s="1" t="s">
        <v>324</v>
      </c>
      <c r="F962" s="1" t="s">
        <v>4288</v>
      </c>
      <c r="G962" s="1" t="s">
        <v>4752</v>
      </c>
      <c r="H962" s="1" t="s">
        <v>4290</v>
      </c>
      <c r="I962" t="b">
        <f>COUNTIF(Estadísticas!I:I,'centraldecomunicacion.es'!H962)&gt;0</f>
        <v>0</v>
      </c>
    </row>
    <row r="963" spans="1:9" hidden="1">
      <c r="A963" s="1" t="s">
        <v>4753</v>
      </c>
      <c r="B963" s="1" t="s">
        <v>10</v>
      </c>
      <c r="C963" s="1" t="s">
        <v>4754</v>
      </c>
      <c r="D963" s="1" t="s">
        <v>4755</v>
      </c>
      <c r="E963" s="1" t="s">
        <v>1023</v>
      </c>
      <c r="F963" s="1" t="s">
        <v>30</v>
      </c>
      <c r="G963" s="1" t="s">
        <v>4756</v>
      </c>
      <c r="H963" s="1" t="s">
        <v>1762</v>
      </c>
      <c r="I963" t="b">
        <f>COUNTIF(Estadísticas!I:I,'centraldecomunicacion.es'!H963)&gt;0</f>
        <v>0</v>
      </c>
    </row>
    <row r="964" spans="1:9" hidden="1">
      <c r="A964" s="1" t="s">
        <v>4757</v>
      </c>
      <c r="B964" s="1" t="s">
        <v>10</v>
      </c>
      <c r="C964" s="1" t="s">
        <v>4758</v>
      </c>
      <c r="D964" s="1" t="s">
        <v>4759</v>
      </c>
      <c r="E964" s="1" t="s">
        <v>789</v>
      </c>
      <c r="F964" s="1" t="s">
        <v>30</v>
      </c>
      <c r="G964" s="1" t="s">
        <v>30</v>
      </c>
      <c r="H964" s="1" t="s">
        <v>1762</v>
      </c>
      <c r="I964" t="b">
        <f>COUNTIF(Estadísticas!I:I,'centraldecomunicacion.es'!H964)&gt;0</f>
        <v>0</v>
      </c>
    </row>
    <row r="965" spans="1:9" hidden="1">
      <c r="A965" s="1" t="s">
        <v>4760</v>
      </c>
      <c r="B965" s="1" t="s">
        <v>10</v>
      </c>
      <c r="C965" s="1" t="s">
        <v>4761</v>
      </c>
      <c r="D965" s="1" t="s">
        <v>4762</v>
      </c>
      <c r="E965" s="1" t="s">
        <v>324</v>
      </c>
      <c r="F965" s="1" t="s">
        <v>30</v>
      </c>
      <c r="G965" s="1" t="s">
        <v>4763</v>
      </c>
      <c r="H965" s="1" t="s">
        <v>1762</v>
      </c>
      <c r="I965" t="b">
        <f>COUNTIF(Estadísticas!I:I,'centraldecomunicacion.es'!H965)&gt;0</f>
        <v>0</v>
      </c>
    </row>
    <row r="966" spans="1:9" hidden="1">
      <c r="A966" s="1" t="s">
        <v>4764</v>
      </c>
      <c r="B966" s="1" t="s">
        <v>10</v>
      </c>
      <c r="C966" s="1" t="s">
        <v>30</v>
      </c>
      <c r="D966" s="1" t="s">
        <v>317</v>
      </c>
      <c r="E966" s="1" t="s">
        <v>30</v>
      </c>
      <c r="F966" s="1" t="s">
        <v>30</v>
      </c>
      <c r="G966" s="1" t="s">
        <v>4765</v>
      </c>
      <c r="H966" s="1" t="s">
        <v>1762</v>
      </c>
      <c r="I966" t="b">
        <f>COUNTIF(Estadísticas!I:I,'centraldecomunicacion.es'!H966)&gt;0</f>
        <v>0</v>
      </c>
    </row>
    <row r="967" spans="1:9" hidden="1">
      <c r="A967" s="1" t="s">
        <v>4766</v>
      </c>
      <c r="B967" s="1" t="s">
        <v>18</v>
      </c>
      <c r="C967" s="1" t="s">
        <v>4767</v>
      </c>
      <c r="D967" s="1" t="s">
        <v>4768</v>
      </c>
      <c r="E967" s="1" t="s">
        <v>1237</v>
      </c>
      <c r="F967" s="1" t="s">
        <v>4288</v>
      </c>
      <c r="G967" s="1" t="s">
        <v>4769</v>
      </c>
      <c r="H967" s="1" t="s">
        <v>4290</v>
      </c>
      <c r="I967" t="b">
        <f>COUNTIF(Estadísticas!I:I,'centraldecomunicacion.es'!H967)&gt;0</f>
        <v>0</v>
      </c>
    </row>
    <row r="968" spans="1:9" hidden="1">
      <c r="A968" s="1" t="s">
        <v>4770</v>
      </c>
      <c r="B968" s="1" t="s">
        <v>10</v>
      </c>
      <c r="C968" s="1" t="s">
        <v>4771</v>
      </c>
      <c r="D968" s="1" t="s">
        <v>4772</v>
      </c>
      <c r="E968" s="1" t="s">
        <v>294</v>
      </c>
      <c r="F968" s="1" t="s">
        <v>30</v>
      </c>
      <c r="G968" s="1" t="s">
        <v>30</v>
      </c>
      <c r="H968" s="1" t="s">
        <v>1762</v>
      </c>
      <c r="I968" t="b">
        <f>COUNTIF(Estadísticas!I:I,'centraldecomunicacion.es'!H968)&gt;0</f>
        <v>0</v>
      </c>
    </row>
    <row r="969" spans="1:9" hidden="1">
      <c r="A969" s="1" t="s">
        <v>4773</v>
      </c>
      <c r="B969" s="1" t="s">
        <v>10</v>
      </c>
      <c r="C969" s="1" t="s">
        <v>4774</v>
      </c>
      <c r="D969" s="1" t="s">
        <v>4775</v>
      </c>
      <c r="E969" s="1" t="s">
        <v>324</v>
      </c>
      <c r="F969" s="1" t="s">
        <v>30</v>
      </c>
      <c r="G969" s="1" t="s">
        <v>4776</v>
      </c>
      <c r="H969" s="1" t="s">
        <v>1762</v>
      </c>
      <c r="I969" t="b">
        <f>COUNTIF(Estadísticas!I:I,'centraldecomunicacion.es'!H969)&gt;0</f>
        <v>0</v>
      </c>
    </row>
    <row r="970" spans="1:9" hidden="1">
      <c r="A970" s="1" t="s">
        <v>4777</v>
      </c>
      <c r="B970" s="1" t="s">
        <v>18</v>
      </c>
      <c r="C970" s="1" t="s">
        <v>4778</v>
      </c>
      <c r="D970" s="1" t="s">
        <v>4779</v>
      </c>
      <c r="E970" s="1" t="s">
        <v>1208</v>
      </c>
      <c r="F970" s="1" t="s">
        <v>4288</v>
      </c>
      <c r="G970" s="1" t="s">
        <v>4780</v>
      </c>
      <c r="H970" s="1" t="s">
        <v>4290</v>
      </c>
      <c r="I970" t="b">
        <f>COUNTIF(Estadísticas!I:I,'centraldecomunicacion.es'!H970)&gt;0</f>
        <v>0</v>
      </c>
    </row>
    <row r="971" spans="1:9" hidden="1">
      <c r="A971" s="1" t="s">
        <v>4781</v>
      </c>
      <c r="B971" s="1" t="s">
        <v>18</v>
      </c>
      <c r="C971" s="1" t="s">
        <v>4782</v>
      </c>
      <c r="D971" s="1" t="s">
        <v>4783</v>
      </c>
      <c r="E971" s="1" t="s">
        <v>926</v>
      </c>
      <c r="F971" s="1" t="s">
        <v>1830</v>
      </c>
      <c r="G971" s="1" t="s">
        <v>4784</v>
      </c>
      <c r="H971" s="1" t="s">
        <v>1762</v>
      </c>
      <c r="I971" t="b">
        <f>COUNTIF(Estadísticas!I:I,'centraldecomunicacion.es'!H971)&gt;0</f>
        <v>0</v>
      </c>
    </row>
    <row r="972" spans="1:9" hidden="1">
      <c r="A972" s="1" t="s">
        <v>4785</v>
      </c>
      <c r="B972" s="1" t="s">
        <v>18</v>
      </c>
      <c r="C972" s="1" t="s">
        <v>30</v>
      </c>
      <c r="D972" s="1" t="s">
        <v>317</v>
      </c>
      <c r="E972" s="1" t="s">
        <v>30</v>
      </c>
      <c r="F972" s="1" t="s">
        <v>30</v>
      </c>
      <c r="G972" s="1" t="s">
        <v>4786</v>
      </c>
      <c r="H972" s="1" t="s">
        <v>1762</v>
      </c>
      <c r="I972" t="b">
        <f>COUNTIF(Estadísticas!I:I,'centraldecomunicacion.es'!H972)&gt;0</f>
        <v>0</v>
      </c>
    </row>
    <row r="973" spans="1:9" hidden="1">
      <c r="A973" s="1" t="s">
        <v>4787</v>
      </c>
      <c r="B973" s="1" t="s">
        <v>10</v>
      </c>
      <c r="C973" s="1" t="s">
        <v>4788</v>
      </c>
      <c r="D973" s="1" t="s">
        <v>4789</v>
      </c>
      <c r="E973" s="1" t="s">
        <v>926</v>
      </c>
      <c r="F973" s="1" t="s">
        <v>30</v>
      </c>
      <c r="G973" s="1" t="s">
        <v>4790</v>
      </c>
      <c r="H973" s="1" t="s">
        <v>1762</v>
      </c>
      <c r="I973" t="b">
        <f>COUNTIF(Estadísticas!I:I,'centraldecomunicacion.es'!H973)&gt;0</f>
        <v>0</v>
      </c>
    </row>
    <row r="974" spans="1:9">
      <c r="A974" s="1" t="s">
        <v>328</v>
      </c>
      <c r="B974" s="1" t="s">
        <v>10</v>
      </c>
      <c r="C974" s="1" t="s">
        <v>329</v>
      </c>
      <c r="D974" s="1" t="s">
        <v>294</v>
      </c>
      <c r="E974" s="1" t="s">
        <v>294</v>
      </c>
      <c r="F974" s="1" t="s">
        <v>330</v>
      </c>
      <c r="G974" s="1" t="s">
        <v>331</v>
      </c>
      <c r="H974" s="1" t="s">
        <v>332</v>
      </c>
      <c r="I974" t="b">
        <f>COUNTIF(Estadísticas!I:I,'centraldecomunicacion.es'!H974)&gt;0</f>
        <v>1</v>
      </c>
    </row>
    <row r="975" spans="1:9" hidden="1">
      <c r="A975" s="1" t="s">
        <v>4791</v>
      </c>
      <c r="B975" s="1" t="s">
        <v>10</v>
      </c>
      <c r="C975" s="1" t="s">
        <v>4792</v>
      </c>
      <c r="D975" s="1" t="s">
        <v>4793</v>
      </c>
      <c r="E975" s="1" t="s">
        <v>1023</v>
      </c>
      <c r="F975" s="1" t="s">
        <v>30</v>
      </c>
      <c r="G975" s="1" t="s">
        <v>4794</v>
      </c>
      <c r="H975" s="1" t="s">
        <v>1762</v>
      </c>
      <c r="I975" t="b">
        <f>COUNTIF(Estadísticas!I:I,'centraldecomunicacion.es'!H975)&gt;0</f>
        <v>0</v>
      </c>
    </row>
    <row r="976" spans="1:9" hidden="1">
      <c r="A976" s="1" t="s">
        <v>4795</v>
      </c>
      <c r="B976" s="1" t="s">
        <v>10</v>
      </c>
      <c r="C976" s="1" t="s">
        <v>4796</v>
      </c>
      <c r="D976" s="1" t="s">
        <v>294</v>
      </c>
      <c r="E976" s="1" t="s">
        <v>294</v>
      </c>
      <c r="F976" s="1" t="s">
        <v>4797</v>
      </c>
      <c r="G976" s="1" t="s">
        <v>4798</v>
      </c>
      <c r="H976" s="1" t="s">
        <v>1762</v>
      </c>
      <c r="I976" t="b">
        <f>COUNTIF(Estadísticas!I:I,'centraldecomunicacion.es'!H976)&gt;0</f>
        <v>0</v>
      </c>
    </row>
    <row r="977" spans="1:9" hidden="1">
      <c r="A977" s="1" t="s">
        <v>4799</v>
      </c>
      <c r="B977" s="1" t="s">
        <v>10</v>
      </c>
      <c r="C977" s="1" t="s">
        <v>4800</v>
      </c>
      <c r="D977" s="1" t="s">
        <v>294</v>
      </c>
      <c r="E977" s="1" t="s">
        <v>294</v>
      </c>
      <c r="F977" s="1" t="s">
        <v>4801</v>
      </c>
      <c r="G977" s="1" t="s">
        <v>4802</v>
      </c>
      <c r="H977" s="1" t="s">
        <v>1783</v>
      </c>
      <c r="I977" t="b">
        <f>COUNTIF(Estadísticas!I:I,'centraldecomunicacion.es'!H977)&gt;0</f>
        <v>0</v>
      </c>
    </row>
    <row r="978" spans="1:9">
      <c r="A978" s="1" t="s">
        <v>333</v>
      </c>
      <c r="B978" s="1" t="s">
        <v>10</v>
      </c>
      <c r="C978" s="1" t="s">
        <v>334</v>
      </c>
      <c r="D978" s="1" t="s">
        <v>294</v>
      </c>
      <c r="E978" s="1" t="s">
        <v>294</v>
      </c>
      <c r="F978" s="1" t="s">
        <v>335</v>
      </c>
      <c r="G978" s="1" t="s">
        <v>336</v>
      </c>
      <c r="H978" s="1" t="s">
        <v>337</v>
      </c>
      <c r="I978" t="b">
        <f>COUNTIF(Estadísticas!I:I,'centraldecomunicacion.es'!H978)&gt;0</f>
        <v>1</v>
      </c>
    </row>
    <row r="979" spans="1:9" hidden="1">
      <c r="A979" s="1" t="s">
        <v>4803</v>
      </c>
      <c r="B979" s="1" t="s">
        <v>10</v>
      </c>
      <c r="C979" s="1" t="s">
        <v>4804</v>
      </c>
      <c r="D979" s="1" t="s">
        <v>294</v>
      </c>
      <c r="E979" s="1" t="s">
        <v>294</v>
      </c>
      <c r="F979" s="1" t="s">
        <v>4805</v>
      </c>
      <c r="G979" s="1" t="s">
        <v>4806</v>
      </c>
      <c r="H979" s="1" t="s">
        <v>4807</v>
      </c>
      <c r="I979" t="b">
        <f>COUNTIF(Estadísticas!I:I,'centraldecomunicacion.es'!H979)&gt;0</f>
        <v>0</v>
      </c>
    </row>
    <row r="980" spans="1:9" hidden="1">
      <c r="A980" s="1" t="s">
        <v>4808</v>
      </c>
      <c r="B980" s="1" t="s">
        <v>10</v>
      </c>
      <c r="C980" s="1" t="s">
        <v>4809</v>
      </c>
      <c r="D980" s="1" t="s">
        <v>294</v>
      </c>
      <c r="E980" s="1" t="s">
        <v>294</v>
      </c>
      <c r="F980" s="1" t="s">
        <v>4810</v>
      </c>
      <c r="G980" s="1" t="s">
        <v>4811</v>
      </c>
      <c r="H980" s="1" t="s">
        <v>4812</v>
      </c>
      <c r="I980" t="b">
        <f>COUNTIF(Estadísticas!I:I,'centraldecomunicacion.es'!H980)&gt;0</f>
        <v>0</v>
      </c>
    </row>
    <row r="981" spans="1:9" hidden="1">
      <c r="A981" s="1" t="s">
        <v>4813</v>
      </c>
      <c r="B981" s="1" t="s">
        <v>10</v>
      </c>
      <c r="C981" s="1" t="s">
        <v>4814</v>
      </c>
      <c r="D981" s="1" t="s">
        <v>294</v>
      </c>
      <c r="E981" s="1" t="s">
        <v>294</v>
      </c>
      <c r="F981" s="1" t="s">
        <v>4815</v>
      </c>
      <c r="G981" s="1" t="s">
        <v>4816</v>
      </c>
      <c r="H981" s="1" t="s">
        <v>4817</v>
      </c>
      <c r="I981" t="b">
        <f>COUNTIF(Estadísticas!I:I,'centraldecomunicacion.es'!H981)&gt;0</f>
        <v>0</v>
      </c>
    </row>
    <row r="982" spans="1:9" hidden="1">
      <c r="A982" s="1" t="s">
        <v>4818</v>
      </c>
      <c r="B982" s="1" t="s">
        <v>10</v>
      </c>
      <c r="C982" s="1" t="s">
        <v>4819</v>
      </c>
      <c r="D982" s="1" t="s">
        <v>294</v>
      </c>
      <c r="E982" s="1" t="s">
        <v>294</v>
      </c>
      <c r="F982" s="1" t="s">
        <v>4820</v>
      </c>
      <c r="G982" s="1" t="s">
        <v>4821</v>
      </c>
      <c r="H982" s="1" t="s">
        <v>4822</v>
      </c>
      <c r="I982" t="b">
        <f>COUNTIF(Estadísticas!I:I,'centraldecomunicacion.es'!H982)&gt;0</f>
        <v>0</v>
      </c>
    </row>
    <row r="983" spans="1:9" hidden="1">
      <c r="A983" s="1" t="s">
        <v>4823</v>
      </c>
      <c r="B983" s="1" t="s">
        <v>10</v>
      </c>
      <c r="C983" s="1" t="s">
        <v>4824</v>
      </c>
      <c r="D983" s="1" t="s">
        <v>294</v>
      </c>
      <c r="E983" s="1" t="s">
        <v>294</v>
      </c>
      <c r="F983" s="1" t="s">
        <v>4447</v>
      </c>
      <c r="G983" s="1" t="s">
        <v>4825</v>
      </c>
      <c r="H983" s="1" t="s">
        <v>4449</v>
      </c>
      <c r="I983" t="b">
        <f>COUNTIF(Estadísticas!I:I,'centraldecomunicacion.es'!H983)&gt;0</f>
        <v>0</v>
      </c>
    </row>
    <row r="984" spans="1:9" hidden="1">
      <c r="A984" s="1" t="s">
        <v>4740</v>
      </c>
      <c r="B984" s="1" t="s">
        <v>10</v>
      </c>
      <c r="C984" s="1" t="s">
        <v>4826</v>
      </c>
      <c r="D984" s="1" t="s">
        <v>294</v>
      </c>
      <c r="E984" s="1" t="s">
        <v>294</v>
      </c>
      <c r="F984" s="1" t="s">
        <v>4827</v>
      </c>
      <c r="G984" s="1" t="s">
        <v>4743</v>
      </c>
      <c r="H984" s="1" t="s">
        <v>1762</v>
      </c>
      <c r="I984" t="b">
        <f>COUNTIF(Estadísticas!I:I,'centraldecomunicacion.es'!H984)&gt;0</f>
        <v>0</v>
      </c>
    </row>
    <row r="985" spans="1:9" hidden="1">
      <c r="A985" s="1" t="s">
        <v>4828</v>
      </c>
      <c r="B985" s="1" t="s">
        <v>10</v>
      </c>
      <c r="C985" s="1" t="s">
        <v>4829</v>
      </c>
      <c r="D985" s="1" t="s">
        <v>294</v>
      </c>
      <c r="E985" s="1" t="s">
        <v>294</v>
      </c>
      <c r="F985" s="1" t="s">
        <v>4830</v>
      </c>
      <c r="G985" s="1" t="s">
        <v>4831</v>
      </c>
      <c r="H985" s="1" t="s">
        <v>1762</v>
      </c>
      <c r="I985" t="b">
        <f>COUNTIF(Estadísticas!I:I,'centraldecomunicacion.es'!H985)&gt;0</f>
        <v>0</v>
      </c>
    </row>
    <row r="986" spans="1:9" hidden="1">
      <c r="A986" s="1" t="s">
        <v>4832</v>
      </c>
      <c r="B986" s="1" t="s">
        <v>10</v>
      </c>
      <c r="C986" s="1" t="s">
        <v>4833</v>
      </c>
      <c r="D986" s="1" t="s">
        <v>294</v>
      </c>
      <c r="E986" s="1" t="s">
        <v>294</v>
      </c>
      <c r="F986" s="1" t="s">
        <v>4834</v>
      </c>
      <c r="G986" s="1" t="s">
        <v>4835</v>
      </c>
      <c r="H986" s="1" t="s">
        <v>4836</v>
      </c>
      <c r="I986" t="b">
        <f>COUNTIF(Estadísticas!I:I,'centraldecomunicacion.es'!H986)&gt;0</f>
        <v>0</v>
      </c>
    </row>
    <row r="987" spans="1:9" hidden="1">
      <c r="A987" s="1" t="s">
        <v>4837</v>
      </c>
      <c r="B987" s="1" t="s">
        <v>18</v>
      </c>
      <c r="C987" s="1" t="s">
        <v>4838</v>
      </c>
      <c r="D987" s="1" t="s">
        <v>294</v>
      </c>
      <c r="E987" s="1" t="s">
        <v>294</v>
      </c>
      <c r="F987" s="1" t="s">
        <v>4288</v>
      </c>
      <c r="G987" s="1" t="s">
        <v>4839</v>
      </c>
      <c r="H987" s="1" t="s">
        <v>4290</v>
      </c>
      <c r="I987" t="b">
        <f>COUNTIF(Estadísticas!I:I,'centraldecomunicacion.es'!H987)&gt;0</f>
        <v>0</v>
      </c>
    </row>
    <row r="988" spans="1:9" hidden="1">
      <c r="A988" s="1" t="s">
        <v>4840</v>
      </c>
      <c r="B988" s="1" t="s">
        <v>10</v>
      </c>
      <c r="C988" s="1" t="s">
        <v>4841</v>
      </c>
      <c r="D988" s="1" t="s">
        <v>294</v>
      </c>
      <c r="E988" s="1" t="s">
        <v>294</v>
      </c>
      <c r="F988" s="1" t="s">
        <v>30</v>
      </c>
      <c r="G988" s="1" t="s">
        <v>4842</v>
      </c>
      <c r="H988" s="1" t="s">
        <v>1762</v>
      </c>
      <c r="I988" t="b">
        <f>COUNTIF(Estadísticas!I:I,'centraldecomunicacion.es'!H988)&gt;0</f>
        <v>0</v>
      </c>
    </row>
    <row r="989" spans="1:9" hidden="1">
      <c r="A989" s="1" t="s">
        <v>4843</v>
      </c>
      <c r="B989" s="1" t="s">
        <v>10</v>
      </c>
      <c r="C989" s="1" t="s">
        <v>4844</v>
      </c>
      <c r="D989" s="1" t="s">
        <v>294</v>
      </c>
      <c r="E989" s="1" t="s">
        <v>294</v>
      </c>
      <c r="F989" s="1" t="s">
        <v>30</v>
      </c>
      <c r="G989" s="1" t="s">
        <v>4845</v>
      </c>
      <c r="H989" s="1" t="s">
        <v>1762</v>
      </c>
      <c r="I989" t="b">
        <f>COUNTIF(Estadísticas!I:I,'centraldecomunicacion.es'!H989)&gt;0</f>
        <v>0</v>
      </c>
    </row>
    <row r="990" spans="1:9" hidden="1">
      <c r="A990" s="1" t="s">
        <v>4846</v>
      </c>
      <c r="B990" s="1" t="s">
        <v>10</v>
      </c>
      <c r="C990" s="1" t="s">
        <v>4847</v>
      </c>
      <c r="D990" s="1" t="s">
        <v>294</v>
      </c>
      <c r="E990" s="1" t="s">
        <v>294</v>
      </c>
      <c r="F990" s="1" t="s">
        <v>4848</v>
      </c>
      <c r="G990" s="1" t="s">
        <v>4849</v>
      </c>
      <c r="H990" s="1" t="s">
        <v>4850</v>
      </c>
      <c r="I990" t="b">
        <f>COUNTIF(Estadísticas!I:I,'centraldecomunicacion.es'!H990)&gt;0</f>
        <v>0</v>
      </c>
    </row>
    <row r="991" spans="1:9">
      <c r="A991" s="1" t="s">
        <v>338</v>
      </c>
      <c r="B991" s="1" t="s">
        <v>18</v>
      </c>
      <c r="C991" s="1" t="s">
        <v>339</v>
      </c>
      <c r="D991" s="1" t="s">
        <v>294</v>
      </c>
      <c r="E991" s="1" t="s">
        <v>294</v>
      </c>
      <c r="F991" s="1" t="s">
        <v>340</v>
      </c>
      <c r="G991" s="1" t="s">
        <v>341</v>
      </c>
      <c r="H991" s="1" t="s">
        <v>342</v>
      </c>
      <c r="I991" t="b">
        <f>COUNTIF(Estadísticas!I:I,'centraldecomunicacion.es'!H991)&gt;0</f>
        <v>1</v>
      </c>
    </row>
    <row r="992" spans="1:9">
      <c r="A992" s="1" t="s">
        <v>343</v>
      </c>
      <c r="B992" s="1" t="s">
        <v>10</v>
      </c>
      <c r="C992" s="1" t="s">
        <v>344</v>
      </c>
      <c r="D992" s="1" t="s">
        <v>294</v>
      </c>
      <c r="E992" s="1" t="s">
        <v>294</v>
      </c>
      <c r="F992" s="1" t="s">
        <v>345</v>
      </c>
      <c r="G992" s="1" t="s">
        <v>346</v>
      </c>
      <c r="H992" s="1" t="s">
        <v>347</v>
      </c>
      <c r="I992" t="b">
        <f>COUNTIF(Estadísticas!I:I,'centraldecomunicacion.es'!H992)&gt;0</f>
        <v>1</v>
      </c>
    </row>
    <row r="993" spans="1:9" hidden="1">
      <c r="A993" s="1" t="s">
        <v>4851</v>
      </c>
      <c r="B993" s="1" t="s">
        <v>10</v>
      </c>
      <c r="C993" s="1" t="s">
        <v>4852</v>
      </c>
      <c r="D993" s="1" t="s">
        <v>294</v>
      </c>
      <c r="E993" s="1" t="s">
        <v>294</v>
      </c>
      <c r="F993" s="1" t="s">
        <v>30</v>
      </c>
      <c r="G993" s="1" t="s">
        <v>4853</v>
      </c>
      <c r="H993" s="1" t="s">
        <v>1762</v>
      </c>
      <c r="I993" t="b">
        <f>COUNTIF(Estadísticas!I:I,'centraldecomunicacion.es'!H993)&gt;0</f>
        <v>0</v>
      </c>
    </row>
    <row r="994" spans="1:9" hidden="1">
      <c r="A994" s="1" t="s">
        <v>4854</v>
      </c>
      <c r="B994" s="1" t="s">
        <v>10</v>
      </c>
      <c r="C994" s="1" t="s">
        <v>4855</v>
      </c>
      <c r="D994" s="1" t="s">
        <v>294</v>
      </c>
      <c r="E994" s="1" t="s">
        <v>294</v>
      </c>
      <c r="F994" s="1" t="s">
        <v>4856</v>
      </c>
      <c r="G994" s="1" t="s">
        <v>4857</v>
      </c>
      <c r="H994" s="1" t="s">
        <v>4858</v>
      </c>
      <c r="I994" t="b">
        <f>COUNTIF(Estadísticas!I:I,'centraldecomunicacion.es'!H994)&gt;0</f>
        <v>0</v>
      </c>
    </row>
    <row r="995" spans="1:9" hidden="1">
      <c r="A995" s="1" t="s">
        <v>4859</v>
      </c>
      <c r="B995" s="1" t="s">
        <v>10</v>
      </c>
      <c r="C995" s="1" t="s">
        <v>4860</v>
      </c>
      <c r="D995" s="1" t="s">
        <v>294</v>
      </c>
      <c r="E995" s="1" t="s">
        <v>294</v>
      </c>
      <c r="F995" s="1" t="s">
        <v>4861</v>
      </c>
      <c r="G995" s="1" t="s">
        <v>4862</v>
      </c>
      <c r="H995" s="1" t="s">
        <v>1762</v>
      </c>
      <c r="I995" t="b">
        <f>COUNTIF(Estadísticas!I:I,'centraldecomunicacion.es'!H995)&gt;0</f>
        <v>0</v>
      </c>
    </row>
    <row r="996" spans="1:9">
      <c r="A996" s="1" t="s">
        <v>348</v>
      </c>
      <c r="B996" s="1" t="s">
        <v>10</v>
      </c>
      <c r="C996" s="1" t="s">
        <v>349</v>
      </c>
      <c r="D996" s="1" t="s">
        <v>294</v>
      </c>
      <c r="E996" s="1" t="s">
        <v>294</v>
      </c>
      <c r="F996" s="1" t="s">
        <v>350</v>
      </c>
      <c r="G996" s="1" t="s">
        <v>351</v>
      </c>
      <c r="H996" s="1" t="s">
        <v>352</v>
      </c>
      <c r="I996" t="b">
        <f>COUNTIF(Estadísticas!I:I,'centraldecomunicacion.es'!H996)&gt;0</f>
        <v>1</v>
      </c>
    </row>
    <row r="997" spans="1:9" hidden="1">
      <c r="A997" s="1" t="s">
        <v>4863</v>
      </c>
      <c r="B997" s="1" t="s">
        <v>10</v>
      </c>
      <c r="C997" s="1" t="s">
        <v>4864</v>
      </c>
      <c r="D997" s="1" t="s">
        <v>294</v>
      </c>
      <c r="E997" s="1" t="s">
        <v>294</v>
      </c>
      <c r="F997" s="1" t="s">
        <v>30</v>
      </c>
      <c r="G997" s="1" t="s">
        <v>4404</v>
      </c>
      <c r="H997" s="1" t="s">
        <v>1762</v>
      </c>
      <c r="I997" t="b">
        <f>COUNTIF(Estadísticas!I:I,'centraldecomunicacion.es'!H997)&gt;0</f>
        <v>0</v>
      </c>
    </row>
    <row r="998" spans="1:9" hidden="1">
      <c r="A998" s="1" t="s">
        <v>4865</v>
      </c>
      <c r="B998" s="1" t="s">
        <v>10</v>
      </c>
      <c r="C998" s="1" t="s">
        <v>4866</v>
      </c>
      <c r="D998" s="1" t="s">
        <v>294</v>
      </c>
      <c r="E998" s="1" t="s">
        <v>294</v>
      </c>
      <c r="F998" s="1" t="s">
        <v>4867</v>
      </c>
      <c r="G998" s="1" t="s">
        <v>4868</v>
      </c>
      <c r="H998" s="1" t="s">
        <v>1783</v>
      </c>
      <c r="I998" t="b">
        <f>COUNTIF(Estadísticas!I:I,'centraldecomunicacion.es'!H998)&gt;0</f>
        <v>0</v>
      </c>
    </row>
    <row r="999" spans="1:9">
      <c r="A999" s="1" t="s">
        <v>353</v>
      </c>
      <c r="B999" s="1" t="s">
        <v>10</v>
      </c>
      <c r="C999" s="1" t="s">
        <v>30</v>
      </c>
      <c r="D999" s="1" t="s">
        <v>354</v>
      </c>
      <c r="E999" s="1" t="s">
        <v>30</v>
      </c>
      <c r="F999" s="1" t="s">
        <v>355</v>
      </c>
      <c r="G999" s="1" t="s">
        <v>356</v>
      </c>
      <c r="H999" s="1" t="s">
        <v>357</v>
      </c>
      <c r="I999" t="b">
        <f>COUNTIF(Estadísticas!I:I,'centraldecomunicacion.es'!H999)&gt;0</f>
        <v>1</v>
      </c>
    </row>
    <row r="1000" spans="1:9" hidden="1">
      <c r="A1000" s="1" t="s">
        <v>4869</v>
      </c>
      <c r="B1000" s="1" t="s">
        <v>10</v>
      </c>
      <c r="C1000" s="1" t="s">
        <v>4870</v>
      </c>
      <c r="D1000" s="1" t="s">
        <v>294</v>
      </c>
      <c r="E1000" s="1" t="s">
        <v>294</v>
      </c>
      <c r="F1000" s="1" t="s">
        <v>30</v>
      </c>
      <c r="G1000" s="1" t="s">
        <v>30</v>
      </c>
      <c r="H1000" s="1" t="s">
        <v>1762</v>
      </c>
      <c r="I1000" t="b">
        <f>COUNTIF(Estadísticas!I:I,'centraldecomunicacion.es'!H1000)&gt;0</f>
        <v>0</v>
      </c>
    </row>
    <row r="1001" spans="1:9" hidden="1">
      <c r="A1001" s="1" t="s">
        <v>4871</v>
      </c>
      <c r="B1001" s="1" t="s">
        <v>10</v>
      </c>
      <c r="C1001" s="1" t="s">
        <v>4872</v>
      </c>
      <c r="D1001" s="1" t="s">
        <v>354</v>
      </c>
      <c r="E1001" s="1" t="s">
        <v>294</v>
      </c>
      <c r="F1001" s="1" t="s">
        <v>4873</v>
      </c>
      <c r="G1001" s="1" t="s">
        <v>4874</v>
      </c>
      <c r="H1001" s="1" t="s">
        <v>4875</v>
      </c>
      <c r="I1001" t="b">
        <f>COUNTIF(Estadísticas!I:I,'centraldecomunicacion.es'!H1001)&gt;0</f>
        <v>0</v>
      </c>
    </row>
    <row r="1002" spans="1:9" hidden="1">
      <c r="A1002" s="1" t="s">
        <v>4876</v>
      </c>
      <c r="B1002" s="1" t="s">
        <v>10</v>
      </c>
      <c r="C1002" s="1" t="s">
        <v>4877</v>
      </c>
      <c r="D1002" s="1" t="s">
        <v>294</v>
      </c>
      <c r="E1002" s="1" t="s">
        <v>294</v>
      </c>
      <c r="F1002" s="1" t="s">
        <v>4878</v>
      </c>
      <c r="G1002" s="1" t="s">
        <v>4879</v>
      </c>
      <c r="H1002" s="1" t="s">
        <v>1762</v>
      </c>
      <c r="I1002" t="b">
        <f>COUNTIF(Estadísticas!I:I,'centraldecomunicacion.es'!H1002)&gt;0</f>
        <v>0</v>
      </c>
    </row>
    <row r="1003" spans="1:9" hidden="1">
      <c r="A1003" s="1" t="s">
        <v>4880</v>
      </c>
      <c r="B1003" s="1" t="s">
        <v>10</v>
      </c>
      <c r="C1003" s="1" t="s">
        <v>4881</v>
      </c>
      <c r="D1003" s="1" t="s">
        <v>294</v>
      </c>
      <c r="E1003" s="1" t="s">
        <v>294</v>
      </c>
      <c r="F1003" s="1" t="s">
        <v>30</v>
      </c>
      <c r="G1003" s="1" t="s">
        <v>4882</v>
      </c>
      <c r="H1003" s="1" t="s">
        <v>1762</v>
      </c>
      <c r="I1003" t="b">
        <f>COUNTIF(Estadísticas!I:I,'centraldecomunicacion.es'!H1003)&gt;0</f>
        <v>0</v>
      </c>
    </row>
    <row r="1004" spans="1:9" hidden="1">
      <c r="A1004" s="1" t="s">
        <v>4883</v>
      </c>
      <c r="B1004" s="1" t="s">
        <v>10</v>
      </c>
      <c r="C1004" s="1" t="s">
        <v>4884</v>
      </c>
      <c r="D1004" s="1" t="s">
        <v>294</v>
      </c>
      <c r="E1004" s="1" t="s">
        <v>294</v>
      </c>
      <c r="F1004" s="1" t="s">
        <v>4885</v>
      </c>
      <c r="G1004" s="1" t="s">
        <v>4886</v>
      </c>
      <c r="H1004" s="1" t="s">
        <v>1762</v>
      </c>
      <c r="I1004" t="b">
        <f>COUNTIF(Estadísticas!I:I,'centraldecomunicacion.es'!H1004)&gt;0</f>
        <v>0</v>
      </c>
    </row>
    <row r="1005" spans="1:9" hidden="1">
      <c r="A1005" s="1" t="s">
        <v>4887</v>
      </c>
      <c r="B1005" s="1" t="s">
        <v>10</v>
      </c>
      <c r="C1005" s="1" t="s">
        <v>4888</v>
      </c>
      <c r="D1005" s="1" t="s">
        <v>294</v>
      </c>
      <c r="E1005" s="1" t="s">
        <v>294</v>
      </c>
      <c r="F1005" s="1" t="s">
        <v>30</v>
      </c>
      <c r="G1005" s="1" t="s">
        <v>4889</v>
      </c>
      <c r="H1005" s="1" t="s">
        <v>1762</v>
      </c>
      <c r="I1005" t="b">
        <f>COUNTIF(Estadísticas!I:I,'centraldecomunicacion.es'!H1005)&gt;0</f>
        <v>0</v>
      </c>
    </row>
    <row r="1006" spans="1:9" hidden="1">
      <c r="A1006" s="1" t="s">
        <v>4890</v>
      </c>
      <c r="B1006" s="1" t="s">
        <v>10</v>
      </c>
      <c r="C1006" s="1" t="s">
        <v>4891</v>
      </c>
      <c r="D1006" s="1" t="s">
        <v>294</v>
      </c>
      <c r="E1006" s="1" t="s">
        <v>294</v>
      </c>
      <c r="F1006" s="1" t="s">
        <v>30</v>
      </c>
      <c r="G1006" s="1" t="s">
        <v>4892</v>
      </c>
      <c r="H1006" s="1" t="s">
        <v>1762</v>
      </c>
      <c r="I1006" t="b">
        <f>COUNTIF(Estadísticas!I:I,'centraldecomunicacion.es'!H1006)&gt;0</f>
        <v>0</v>
      </c>
    </row>
    <row r="1007" spans="1:9" hidden="1">
      <c r="A1007" s="1" t="s">
        <v>4893</v>
      </c>
      <c r="B1007" s="1" t="s">
        <v>10</v>
      </c>
      <c r="C1007" s="1" t="s">
        <v>4894</v>
      </c>
      <c r="D1007" s="1" t="s">
        <v>294</v>
      </c>
      <c r="E1007" s="1" t="s">
        <v>294</v>
      </c>
      <c r="F1007" s="1" t="s">
        <v>30</v>
      </c>
      <c r="G1007" s="1" t="s">
        <v>4895</v>
      </c>
      <c r="H1007" s="1" t="s">
        <v>1762</v>
      </c>
      <c r="I1007" t="b">
        <f>COUNTIF(Estadísticas!I:I,'centraldecomunicacion.es'!H1007)&gt;0</f>
        <v>0</v>
      </c>
    </row>
    <row r="1008" spans="1:9" hidden="1">
      <c r="A1008" s="1" t="s">
        <v>4896</v>
      </c>
      <c r="B1008" s="1" t="s">
        <v>10</v>
      </c>
      <c r="C1008" s="1" t="s">
        <v>4897</v>
      </c>
      <c r="D1008" s="1" t="s">
        <v>294</v>
      </c>
      <c r="E1008" s="1" t="s">
        <v>294</v>
      </c>
      <c r="F1008" s="1" t="s">
        <v>4898</v>
      </c>
      <c r="G1008" s="1" t="s">
        <v>4899</v>
      </c>
      <c r="H1008" s="1" t="s">
        <v>4900</v>
      </c>
      <c r="I1008" t="b">
        <f>COUNTIF(Estadísticas!I:I,'centraldecomunicacion.es'!H1008)&gt;0</f>
        <v>0</v>
      </c>
    </row>
    <row r="1009" spans="1:9">
      <c r="A1009" s="1" t="s">
        <v>358</v>
      </c>
      <c r="B1009" s="1" t="s">
        <v>10</v>
      </c>
      <c r="C1009" s="1" t="s">
        <v>359</v>
      </c>
      <c r="D1009" s="1" t="s">
        <v>294</v>
      </c>
      <c r="E1009" s="1" t="s">
        <v>294</v>
      </c>
      <c r="F1009" s="1" t="s">
        <v>360</v>
      </c>
      <c r="G1009" s="1" t="s">
        <v>361</v>
      </c>
      <c r="H1009" s="1" t="s">
        <v>362</v>
      </c>
      <c r="I1009" t="b">
        <f>COUNTIF(Estadísticas!I:I,'centraldecomunicacion.es'!H1009)&gt;0</f>
        <v>1</v>
      </c>
    </row>
    <row r="1010" spans="1:9" hidden="1">
      <c r="A1010" s="1" t="s">
        <v>4901</v>
      </c>
      <c r="B1010" s="1" t="s">
        <v>10</v>
      </c>
      <c r="C1010" s="1" t="s">
        <v>4902</v>
      </c>
      <c r="D1010" s="1" t="s">
        <v>294</v>
      </c>
      <c r="E1010" s="1" t="s">
        <v>294</v>
      </c>
      <c r="F1010" s="1" t="s">
        <v>30</v>
      </c>
      <c r="G1010" s="1" t="s">
        <v>30</v>
      </c>
      <c r="H1010" s="1" t="s">
        <v>1762</v>
      </c>
      <c r="I1010" t="b">
        <f>COUNTIF(Estadísticas!I:I,'centraldecomunicacion.es'!H1010)&gt;0</f>
        <v>0</v>
      </c>
    </row>
    <row r="1011" spans="1:9" hidden="1">
      <c r="A1011" s="1" t="s">
        <v>4903</v>
      </c>
      <c r="B1011" s="1" t="s">
        <v>10</v>
      </c>
      <c r="C1011" s="1" t="s">
        <v>4904</v>
      </c>
      <c r="D1011" s="1" t="s">
        <v>294</v>
      </c>
      <c r="E1011" s="1" t="s">
        <v>294</v>
      </c>
      <c r="F1011" s="1" t="s">
        <v>30</v>
      </c>
      <c r="G1011" s="1" t="s">
        <v>4905</v>
      </c>
      <c r="H1011" s="1" t="s">
        <v>1762</v>
      </c>
      <c r="I1011" t="b">
        <f>COUNTIF(Estadísticas!I:I,'centraldecomunicacion.es'!H1011)&gt;0</f>
        <v>0</v>
      </c>
    </row>
    <row r="1012" spans="1:9" hidden="1">
      <c r="A1012" s="1" t="s">
        <v>4906</v>
      </c>
      <c r="B1012" s="1" t="s">
        <v>10</v>
      </c>
      <c r="C1012" s="1" t="s">
        <v>4907</v>
      </c>
      <c r="D1012" s="1" t="s">
        <v>294</v>
      </c>
      <c r="E1012" s="1" t="s">
        <v>294</v>
      </c>
      <c r="F1012" s="1" t="s">
        <v>30</v>
      </c>
      <c r="G1012" s="1" t="s">
        <v>4908</v>
      </c>
      <c r="H1012" s="1" t="s">
        <v>1762</v>
      </c>
      <c r="I1012" t="b">
        <f>COUNTIF(Estadísticas!I:I,'centraldecomunicacion.es'!H1012)&gt;0</f>
        <v>0</v>
      </c>
    </row>
    <row r="1013" spans="1:9">
      <c r="A1013" s="1" t="s">
        <v>363</v>
      </c>
      <c r="B1013" s="1" t="s">
        <v>18</v>
      </c>
      <c r="C1013" s="1" t="s">
        <v>364</v>
      </c>
      <c r="D1013" s="1" t="s">
        <v>294</v>
      </c>
      <c r="E1013" s="1" t="s">
        <v>294</v>
      </c>
      <c r="F1013" s="1" t="s">
        <v>365</v>
      </c>
      <c r="G1013" s="1" t="s">
        <v>366</v>
      </c>
      <c r="H1013" s="1" t="s">
        <v>367</v>
      </c>
      <c r="I1013" t="b">
        <f>COUNTIF(Estadísticas!I:I,'centraldecomunicacion.es'!H1013)&gt;0</f>
        <v>1</v>
      </c>
    </row>
    <row r="1014" spans="1:9" hidden="1">
      <c r="A1014" s="1" t="s">
        <v>4416</v>
      </c>
      <c r="B1014" s="1" t="s">
        <v>10</v>
      </c>
      <c r="C1014" s="1" t="s">
        <v>4909</v>
      </c>
      <c r="D1014" s="1" t="s">
        <v>294</v>
      </c>
      <c r="E1014" s="1" t="s">
        <v>294</v>
      </c>
      <c r="F1014" s="1" t="s">
        <v>4910</v>
      </c>
      <c r="G1014" s="1" t="s">
        <v>4911</v>
      </c>
      <c r="H1014" s="1" t="s">
        <v>1762</v>
      </c>
      <c r="I1014" t="b">
        <f>COUNTIF(Estadísticas!I:I,'centraldecomunicacion.es'!H1014)&gt;0</f>
        <v>0</v>
      </c>
    </row>
    <row r="1015" spans="1:9" hidden="1">
      <c r="A1015" s="1" t="s">
        <v>4912</v>
      </c>
      <c r="B1015" s="1" t="s">
        <v>10</v>
      </c>
      <c r="C1015" s="1" t="s">
        <v>4913</v>
      </c>
      <c r="D1015" s="1" t="s">
        <v>294</v>
      </c>
      <c r="E1015" s="1" t="s">
        <v>294</v>
      </c>
      <c r="F1015" s="1" t="s">
        <v>4910</v>
      </c>
      <c r="G1015" s="1" t="s">
        <v>4914</v>
      </c>
      <c r="H1015" s="1" t="s">
        <v>1762</v>
      </c>
      <c r="I1015" t="b">
        <f>COUNTIF(Estadísticas!I:I,'centraldecomunicacion.es'!H1015)&gt;0</f>
        <v>0</v>
      </c>
    </row>
    <row r="1016" spans="1:9">
      <c r="A1016" s="1" t="s">
        <v>368</v>
      </c>
      <c r="B1016" s="1" t="s">
        <v>18</v>
      </c>
      <c r="C1016" s="1" t="s">
        <v>369</v>
      </c>
      <c r="D1016" s="1" t="s">
        <v>294</v>
      </c>
      <c r="E1016" s="1" t="s">
        <v>294</v>
      </c>
      <c r="F1016" s="1" t="s">
        <v>370</v>
      </c>
      <c r="G1016" s="1" t="s">
        <v>371</v>
      </c>
      <c r="H1016" s="1" t="s">
        <v>372</v>
      </c>
      <c r="I1016" t="b">
        <f>COUNTIF(Estadísticas!I:I,'centraldecomunicacion.es'!H1016)&gt;0</f>
        <v>1</v>
      </c>
    </row>
    <row r="1017" spans="1:9" hidden="1">
      <c r="A1017" s="1" t="s">
        <v>4915</v>
      </c>
      <c r="B1017" s="1" t="s">
        <v>10</v>
      </c>
      <c r="C1017" s="1" t="s">
        <v>4916</v>
      </c>
      <c r="D1017" s="1" t="s">
        <v>294</v>
      </c>
      <c r="E1017" s="1" t="s">
        <v>294</v>
      </c>
      <c r="F1017" s="1" t="s">
        <v>30</v>
      </c>
      <c r="G1017" s="1" t="s">
        <v>4917</v>
      </c>
      <c r="H1017" s="1" t="s">
        <v>1762</v>
      </c>
      <c r="I1017" t="b">
        <f>COUNTIF(Estadísticas!I:I,'centraldecomunicacion.es'!H1017)&gt;0</f>
        <v>0</v>
      </c>
    </row>
    <row r="1018" spans="1:9" hidden="1">
      <c r="A1018" s="1" t="s">
        <v>4918</v>
      </c>
      <c r="B1018" s="1" t="s">
        <v>10</v>
      </c>
      <c r="C1018" s="1" t="s">
        <v>4919</v>
      </c>
      <c r="D1018" s="1" t="s">
        <v>294</v>
      </c>
      <c r="E1018" s="1" t="s">
        <v>294</v>
      </c>
      <c r="F1018" s="1" t="s">
        <v>4920</v>
      </c>
      <c r="G1018" s="1" t="s">
        <v>4921</v>
      </c>
      <c r="H1018" s="1" t="s">
        <v>4922</v>
      </c>
      <c r="I1018" t="b">
        <f>COUNTIF(Estadísticas!I:I,'centraldecomunicacion.es'!H1018)&gt;0</f>
        <v>0</v>
      </c>
    </row>
    <row r="1019" spans="1:9" hidden="1">
      <c r="A1019" s="1" t="s">
        <v>4923</v>
      </c>
      <c r="B1019" s="1" t="s">
        <v>10</v>
      </c>
      <c r="C1019" s="1" t="s">
        <v>4924</v>
      </c>
      <c r="D1019" s="1" t="s">
        <v>294</v>
      </c>
      <c r="E1019" s="1" t="s">
        <v>294</v>
      </c>
      <c r="F1019" s="1" t="s">
        <v>30</v>
      </c>
      <c r="G1019" s="1" t="s">
        <v>30</v>
      </c>
      <c r="H1019" s="1" t="s">
        <v>1762</v>
      </c>
      <c r="I1019" t="b">
        <f>COUNTIF(Estadísticas!I:I,'centraldecomunicacion.es'!H1019)&gt;0</f>
        <v>0</v>
      </c>
    </row>
    <row r="1020" spans="1:9" hidden="1">
      <c r="A1020" s="1" t="s">
        <v>4925</v>
      </c>
      <c r="B1020" s="1" t="s">
        <v>10</v>
      </c>
      <c r="C1020" s="1" t="s">
        <v>4926</v>
      </c>
      <c r="D1020" s="1" t="s">
        <v>294</v>
      </c>
      <c r="E1020" s="1" t="s">
        <v>294</v>
      </c>
      <c r="F1020" s="1" t="s">
        <v>30</v>
      </c>
      <c r="G1020" s="1" t="s">
        <v>30</v>
      </c>
      <c r="H1020" s="1" t="s">
        <v>1762</v>
      </c>
      <c r="I1020" t="b">
        <f>COUNTIF(Estadísticas!I:I,'centraldecomunicacion.es'!H1020)&gt;0</f>
        <v>0</v>
      </c>
    </row>
    <row r="1021" spans="1:9" hidden="1">
      <c r="A1021" s="1" t="s">
        <v>4927</v>
      </c>
      <c r="B1021" s="1" t="s">
        <v>10</v>
      </c>
      <c r="C1021" s="1" t="s">
        <v>4928</v>
      </c>
      <c r="D1021" s="1" t="s">
        <v>294</v>
      </c>
      <c r="E1021" s="1" t="s">
        <v>294</v>
      </c>
      <c r="F1021" s="1" t="s">
        <v>30</v>
      </c>
      <c r="G1021" s="1" t="s">
        <v>30</v>
      </c>
      <c r="H1021" s="1" t="s">
        <v>1762</v>
      </c>
      <c r="I1021" t="b">
        <f>COUNTIF(Estadísticas!I:I,'centraldecomunicacion.es'!H1021)&gt;0</f>
        <v>0</v>
      </c>
    </row>
    <row r="1022" spans="1:9" hidden="1">
      <c r="A1022" s="1" t="s">
        <v>4929</v>
      </c>
      <c r="B1022" s="1" t="s">
        <v>10</v>
      </c>
      <c r="C1022" s="1" t="s">
        <v>4930</v>
      </c>
      <c r="D1022" s="1" t="s">
        <v>294</v>
      </c>
      <c r="E1022" s="1" t="s">
        <v>294</v>
      </c>
      <c r="F1022" s="1" t="s">
        <v>30</v>
      </c>
      <c r="G1022" s="1" t="s">
        <v>4931</v>
      </c>
      <c r="H1022" s="1" t="s">
        <v>1762</v>
      </c>
      <c r="I1022" t="b">
        <f>COUNTIF(Estadísticas!I:I,'centraldecomunicacion.es'!H1022)&gt;0</f>
        <v>0</v>
      </c>
    </row>
    <row r="1023" spans="1:9" hidden="1">
      <c r="A1023" s="1" t="s">
        <v>4932</v>
      </c>
      <c r="B1023" s="1" t="s">
        <v>10</v>
      </c>
      <c r="C1023" s="1" t="s">
        <v>4933</v>
      </c>
      <c r="D1023" s="1" t="s">
        <v>294</v>
      </c>
      <c r="E1023" s="1" t="s">
        <v>294</v>
      </c>
      <c r="F1023" s="1" t="s">
        <v>30</v>
      </c>
      <c r="G1023" s="1" t="s">
        <v>30</v>
      </c>
      <c r="H1023" s="1" t="s">
        <v>1762</v>
      </c>
      <c r="I1023" t="b">
        <f>COUNTIF(Estadísticas!I:I,'centraldecomunicacion.es'!H1023)&gt;0</f>
        <v>0</v>
      </c>
    </row>
    <row r="1024" spans="1:9" hidden="1">
      <c r="A1024" s="1" t="s">
        <v>4934</v>
      </c>
      <c r="B1024" s="1" t="s">
        <v>10</v>
      </c>
      <c r="C1024" s="1" t="s">
        <v>4935</v>
      </c>
      <c r="D1024" s="1" t="s">
        <v>294</v>
      </c>
      <c r="E1024" s="1" t="s">
        <v>294</v>
      </c>
      <c r="F1024" s="1" t="s">
        <v>30</v>
      </c>
      <c r="G1024" s="1" t="s">
        <v>4936</v>
      </c>
      <c r="H1024" s="1" t="s">
        <v>1762</v>
      </c>
      <c r="I1024" t="b">
        <f>COUNTIF(Estadísticas!I:I,'centraldecomunicacion.es'!H1024)&gt;0</f>
        <v>0</v>
      </c>
    </row>
    <row r="1025" spans="1:9" hidden="1">
      <c r="A1025" s="1" t="s">
        <v>4937</v>
      </c>
      <c r="B1025" s="1" t="s">
        <v>10</v>
      </c>
      <c r="C1025" s="1" t="s">
        <v>4938</v>
      </c>
      <c r="D1025" s="1" t="s">
        <v>294</v>
      </c>
      <c r="E1025" s="1" t="s">
        <v>294</v>
      </c>
      <c r="F1025" s="1" t="s">
        <v>30</v>
      </c>
      <c r="G1025" s="1" t="s">
        <v>30</v>
      </c>
      <c r="H1025" s="1" t="s">
        <v>1762</v>
      </c>
      <c r="I1025" t="b">
        <f>COUNTIF(Estadísticas!I:I,'centraldecomunicacion.es'!H1025)&gt;0</f>
        <v>0</v>
      </c>
    </row>
    <row r="1026" spans="1:9" hidden="1">
      <c r="A1026" s="1" t="s">
        <v>4939</v>
      </c>
      <c r="B1026" s="1" t="s">
        <v>10</v>
      </c>
      <c r="C1026" s="1" t="s">
        <v>4940</v>
      </c>
      <c r="D1026" s="1" t="s">
        <v>294</v>
      </c>
      <c r="E1026" s="1" t="s">
        <v>294</v>
      </c>
      <c r="F1026" s="1" t="s">
        <v>30</v>
      </c>
      <c r="G1026" s="1" t="s">
        <v>30</v>
      </c>
      <c r="H1026" s="1" t="s">
        <v>1762</v>
      </c>
      <c r="I1026" t="b">
        <f>COUNTIF(Estadísticas!I:I,'centraldecomunicacion.es'!H1026)&gt;0</f>
        <v>0</v>
      </c>
    </row>
    <row r="1027" spans="1:9" hidden="1">
      <c r="A1027" s="1" t="s">
        <v>4941</v>
      </c>
      <c r="B1027" s="1" t="s">
        <v>10</v>
      </c>
      <c r="C1027" s="1" t="s">
        <v>4942</v>
      </c>
      <c r="D1027" s="1" t="s">
        <v>294</v>
      </c>
      <c r="E1027" s="1" t="s">
        <v>294</v>
      </c>
      <c r="F1027" s="1" t="s">
        <v>30</v>
      </c>
      <c r="G1027" s="1" t="s">
        <v>4943</v>
      </c>
      <c r="H1027" s="1" t="s">
        <v>1762</v>
      </c>
      <c r="I1027" t="b">
        <f>COUNTIF(Estadísticas!I:I,'centraldecomunicacion.es'!H1027)&gt;0</f>
        <v>0</v>
      </c>
    </row>
    <row r="1028" spans="1:9" hidden="1">
      <c r="A1028" s="1" t="s">
        <v>4944</v>
      </c>
      <c r="B1028" s="1" t="s">
        <v>10</v>
      </c>
      <c r="C1028" s="1" t="s">
        <v>4945</v>
      </c>
      <c r="D1028" s="1" t="s">
        <v>294</v>
      </c>
      <c r="E1028" s="1" t="s">
        <v>294</v>
      </c>
      <c r="F1028" s="1" t="s">
        <v>30</v>
      </c>
      <c r="G1028" s="1" t="s">
        <v>30</v>
      </c>
      <c r="H1028" s="1" t="s">
        <v>1762</v>
      </c>
      <c r="I1028" t="b">
        <f>COUNTIF(Estadísticas!I:I,'centraldecomunicacion.es'!H1028)&gt;0</f>
        <v>0</v>
      </c>
    </row>
    <row r="1029" spans="1:9" hidden="1">
      <c r="A1029" s="1" t="s">
        <v>4946</v>
      </c>
      <c r="B1029" s="1" t="s">
        <v>10</v>
      </c>
      <c r="C1029" s="1" t="s">
        <v>4947</v>
      </c>
      <c r="D1029" s="1" t="s">
        <v>294</v>
      </c>
      <c r="E1029" s="1" t="s">
        <v>294</v>
      </c>
      <c r="F1029" s="1" t="s">
        <v>30</v>
      </c>
      <c r="G1029" s="1" t="s">
        <v>30</v>
      </c>
      <c r="H1029" s="1" t="s">
        <v>1762</v>
      </c>
      <c r="I1029" t="b">
        <f>COUNTIF(Estadísticas!I:I,'centraldecomunicacion.es'!H1029)&gt;0</f>
        <v>0</v>
      </c>
    </row>
    <row r="1030" spans="1:9">
      <c r="A1030" s="1" t="s">
        <v>373</v>
      </c>
      <c r="B1030" s="1" t="s">
        <v>10</v>
      </c>
      <c r="C1030" s="1" t="s">
        <v>374</v>
      </c>
      <c r="D1030" s="1" t="s">
        <v>294</v>
      </c>
      <c r="E1030" s="1" t="s">
        <v>294</v>
      </c>
      <c r="F1030" s="1" t="s">
        <v>375</v>
      </c>
      <c r="G1030" s="1" t="s">
        <v>376</v>
      </c>
      <c r="H1030" s="1" t="s">
        <v>377</v>
      </c>
      <c r="I1030" t="b">
        <f>COUNTIF(Estadísticas!I:I,'centraldecomunicacion.es'!H1030)&gt;0</f>
        <v>1</v>
      </c>
    </row>
    <row r="1031" spans="1:9" hidden="1">
      <c r="A1031" s="1" t="s">
        <v>4948</v>
      </c>
      <c r="B1031" s="1" t="s">
        <v>10</v>
      </c>
      <c r="C1031" s="1" t="s">
        <v>4949</v>
      </c>
      <c r="D1031" s="1" t="s">
        <v>294</v>
      </c>
      <c r="E1031" s="1" t="s">
        <v>294</v>
      </c>
      <c r="F1031" s="1" t="s">
        <v>30</v>
      </c>
      <c r="G1031" s="1" t="s">
        <v>30</v>
      </c>
      <c r="H1031" s="1" t="s">
        <v>1762</v>
      </c>
      <c r="I1031" t="b">
        <f>COUNTIF(Estadísticas!I:I,'centraldecomunicacion.es'!H1031)&gt;0</f>
        <v>0</v>
      </c>
    </row>
    <row r="1032" spans="1:9" hidden="1">
      <c r="A1032" s="1" t="s">
        <v>4950</v>
      </c>
      <c r="B1032" s="1" t="s">
        <v>10</v>
      </c>
      <c r="C1032" s="1" t="s">
        <v>4951</v>
      </c>
      <c r="D1032" s="1" t="s">
        <v>354</v>
      </c>
      <c r="E1032" s="1" t="s">
        <v>294</v>
      </c>
      <c r="F1032" s="1" t="s">
        <v>30</v>
      </c>
      <c r="G1032" s="1" t="s">
        <v>4952</v>
      </c>
      <c r="H1032" s="1" t="s">
        <v>1762</v>
      </c>
      <c r="I1032" t="b">
        <f>COUNTIF(Estadísticas!I:I,'centraldecomunicacion.es'!H1032)&gt;0</f>
        <v>0</v>
      </c>
    </row>
    <row r="1033" spans="1:9" hidden="1">
      <c r="A1033" s="1" t="s">
        <v>4953</v>
      </c>
      <c r="B1033" s="1" t="s">
        <v>10</v>
      </c>
      <c r="C1033" s="1" t="s">
        <v>4954</v>
      </c>
      <c r="D1033" s="1" t="s">
        <v>294</v>
      </c>
      <c r="E1033" s="1" t="s">
        <v>294</v>
      </c>
      <c r="F1033" s="1" t="s">
        <v>30</v>
      </c>
      <c r="G1033" s="1" t="s">
        <v>30</v>
      </c>
      <c r="H1033" s="1" t="s">
        <v>1762</v>
      </c>
      <c r="I1033" t="b">
        <f>COUNTIF(Estadísticas!I:I,'centraldecomunicacion.es'!H1033)&gt;0</f>
        <v>0</v>
      </c>
    </row>
    <row r="1034" spans="1:9">
      <c r="A1034" s="1" t="s">
        <v>378</v>
      </c>
      <c r="B1034" s="1" t="s">
        <v>10</v>
      </c>
      <c r="C1034" s="1" t="s">
        <v>379</v>
      </c>
      <c r="D1034" s="1" t="s">
        <v>294</v>
      </c>
      <c r="E1034" s="1" t="s">
        <v>294</v>
      </c>
      <c r="F1034" s="1" t="s">
        <v>380</v>
      </c>
      <c r="G1034" s="1" t="s">
        <v>381</v>
      </c>
      <c r="H1034" s="1" t="s">
        <v>382</v>
      </c>
      <c r="I1034" t="b">
        <f>COUNTIF(Estadísticas!I:I,'centraldecomunicacion.es'!H1034)&gt;0</f>
        <v>1</v>
      </c>
    </row>
    <row r="1035" spans="1:9" hidden="1">
      <c r="A1035" s="1" t="s">
        <v>4955</v>
      </c>
      <c r="B1035" s="1" t="s">
        <v>10</v>
      </c>
      <c r="C1035" s="1" t="s">
        <v>4956</v>
      </c>
      <c r="D1035" s="1" t="s">
        <v>294</v>
      </c>
      <c r="E1035" s="1" t="s">
        <v>294</v>
      </c>
      <c r="F1035" s="1" t="s">
        <v>30</v>
      </c>
      <c r="G1035" s="1" t="s">
        <v>30</v>
      </c>
      <c r="H1035" s="1" t="s">
        <v>1762</v>
      </c>
      <c r="I1035" t="b">
        <f>COUNTIF(Estadísticas!I:I,'centraldecomunicacion.es'!H1035)&gt;0</f>
        <v>0</v>
      </c>
    </row>
    <row r="1036" spans="1:9" hidden="1">
      <c r="A1036" s="1" t="s">
        <v>4957</v>
      </c>
      <c r="B1036" s="1" t="s">
        <v>10</v>
      </c>
      <c r="C1036" s="1" t="s">
        <v>4958</v>
      </c>
      <c r="D1036" s="1" t="s">
        <v>294</v>
      </c>
      <c r="E1036" s="1" t="s">
        <v>294</v>
      </c>
      <c r="F1036" s="1" t="s">
        <v>30</v>
      </c>
      <c r="G1036" s="1" t="s">
        <v>30</v>
      </c>
      <c r="H1036" s="1" t="s">
        <v>1762</v>
      </c>
      <c r="I1036" t="b">
        <f>COUNTIF(Estadísticas!I:I,'centraldecomunicacion.es'!H1036)&gt;0</f>
        <v>0</v>
      </c>
    </row>
    <row r="1037" spans="1:9" hidden="1">
      <c r="A1037" s="1" t="s">
        <v>4959</v>
      </c>
      <c r="B1037" s="1" t="s">
        <v>10</v>
      </c>
      <c r="C1037" s="1" t="s">
        <v>4960</v>
      </c>
      <c r="D1037" s="1" t="s">
        <v>294</v>
      </c>
      <c r="E1037" s="1" t="s">
        <v>294</v>
      </c>
      <c r="F1037" s="1" t="s">
        <v>30</v>
      </c>
      <c r="G1037" s="1" t="s">
        <v>4961</v>
      </c>
      <c r="H1037" s="1" t="s">
        <v>1762</v>
      </c>
      <c r="I1037" t="b">
        <f>COUNTIF(Estadísticas!I:I,'centraldecomunicacion.es'!H1037)&gt;0</f>
        <v>0</v>
      </c>
    </row>
    <row r="1038" spans="1:9" hidden="1">
      <c r="A1038" s="1" t="s">
        <v>4962</v>
      </c>
      <c r="B1038" s="1" t="s">
        <v>10</v>
      </c>
      <c r="C1038" s="1" t="s">
        <v>4824</v>
      </c>
      <c r="D1038" s="1" t="s">
        <v>294</v>
      </c>
      <c r="E1038" s="1" t="s">
        <v>294</v>
      </c>
      <c r="F1038" s="1" t="s">
        <v>30</v>
      </c>
      <c r="G1038" s="1" t="s">
        <v>30</v>
      </c>
      <c r="H1038" s="1" t="s">
        <v>1762</v>
      </c>
      <c r="I1038" t="b">
        <f>COUNTIF(Estadísticas!I:I,'centraldecomunicacion.es'!H1038)&gt;0</f>
        <v>0</v>
      </c>
    </row>
    <row r="1039" spans="1:9" hidden="1">
      <c r="A1039" s="1" t="s">
        <v>4963</v>
      </c>
      <c r="B1039" s="1" t="s">
        <v>10</v>
      </c>
      <c r="C1039" s="1" t="s">
        <v>4964</v>
      </c>
      <c r="D1039" s="1" t="s">
        <v>294</v>
      </c>
      <c r="E1039" s="1" t="s">
        <v>294</v>
      </c>
      <c r="F1039" s="1" t="s">
        <v>30</v>
      </c>
      <c r="G1039" s="1" t="s">
        <v>4965</v>
      </c>
      <c r="H1039" s="1" t="s">
        <v>1762</v>
      </c>
      <c r="I1039" t="b">
        <f>COUNTIF(Estadísticas!I:I,'centraldecomunicacion.es'!H1039)&gt;0</f>
        <v>0</v>
      </c>
    </row>
    <row r="1040" spans="1:9" hidden="1">
      <c r="A1040" s="1" t="s">
        <v>4966</v>
      </c>
      <c r="B1040" s="1" t="s">
        <v>10</v>
      </c>
      <c r="C1040" s="1" t="s">
        <v>4967</v>
      </c>
      <c r="D1040" s="1" t="s">
        <v>294</v>
      </c>
      <c r="E1040" s="1" t="s">
        <v>294</v>
      </c>
      <c r="F1040" s="1" t="s">
        <v>30</v>
      </c>
      <c r="G1040" s="1" t="s">
        <v>30</v>
      </c>
      <c r="H1040" s="1" t="s">
        <v>1762</v>
      </c>
      <c r="I1040" t="b">
        <f>COUNTIF(Estadísticas!I:I,'centraldecomunicacion.es'!H1040)&gt;0</f>
        <v>0</v>
      </c>
    </row>
    <row r="1041" spans="1:9" hidden="1">
      <c r="A1041" s="1" t="s">
        <v>4968</v>
      </c>
      <c r="B1041" s="1" t="s">
        <v>10</v>
      </c>
      <c r="C1041" s="1" t="s">
        <v>4969</v>
      </c>
      <c r="D1041" s="1" t="s">
        <v>294</v>
      </c>
      <c r="E1041" s="1" t="s">
        <v>294</v>
      </c>
      <c r="F1041" s="1" t="s">
        <v>30</v>
      </c>
      <c r="G1041" s="1" t="s">
        <v>4970</v>
      </c>
      <c r="H1041" s="1" t="s">
        <v>1762</v>
      </c>
      <c r="I1041" t="b">
        <f>COUNTIF(Estadísticas!I:I,'centraldecomunicacion.es'!H1041)&gt;0</f>
        <v>0</v>
      </c>
    </row>
    <row r="1042" spans="1:9">
      <c r="A1042" s="1" t="s">
        <v>383</v>
      </c>
      <c r="B1042" s="1" t="s">
        <v>10</v>
      </c>
      <c r="C1042" s="1" t="s">
        <v>384</v>
      </c>
      <c r="D1042" s="1" t="s">
        <v>294</v>
      </c>
      <c r="E1042" s="1" t="s">
        <v>294</v>
      </c>
      <c r="F1042" s="1" t="s">
        <v>385</v>
      </c>
      <c r="G1042" s="1" t="s">
        <v>386</v>
      </c>
      <c r="H1042" s="1" t="s">
        <v>387</v>
      </c>
      <c r="I1042" t="b">
        <f>COUNTIF(Estadísticas!I:I,'centraldecomunicacion.es'!H1042)&gt;0</f>
        <v>1</v>
      </c>
    </row>
    <row r="1043" spans="1:9" hidden="1">
      <c r="A1043" s="1" t="s">
        <v>4971</v>
      </c>
      <c r="B1043" s="1" t="s">
        <v>10</v>
      </c>
      <c r="C1043" s="1" t="s">
        <v>4972</v>
      </c>
      <c r="D1043" s="1" t="s">
        <v>354</v>
      </c>
      <c r="E1043" s="1" t="s">
        <v>294</v>
      </c>
      <c r="F1043" s="1" t="s">
        <v>30</v>
      </c>
      <c r="G1043" s="1" t="s">
        <v>4973</v>
      </c>
      <c r="H1043" s="1" t="s">
        <v>1762</v>
      </c>
      <c r="I1043" t="b">
        <f>COUNTIF(Estadísticas!I:I,'centraldecomunicacion.es'!H1043)&gt;0</f>
        <v>0</v>
      </c>
    </row>
    <row r="1044" spans="1:9" hidden="1">
      <c r="A1044" s="1" t="s">
        <v>4974</v>
      </c>
      <c r="B1044" s="1" t="s">
        <v>10</v>
      </c>
      <c r="C1044" s="1" t="s">
        <v>4975</v>
      </c>
      <c r="D1044" s="1" t="s">
        <v>294</v>
      </c>
      <c r="E1044" s="1" t="s">
        <v>294</v>
      </c>
      <c r="F1044" s="1" t="s">
        <v>30</v>
      </c>
      <c r="G1044" s="1" t="s">
        <v>4976</v>
      </c>
      <c r="H1044" s="1" t="s">
        <v>1762</v>
      </c>
      <c r="I1044" t="b">
        <f>COUNTIF(Estadísticas!I:I,'centraldecomunicacion.es'!H1044)&gt;0</f>
        <v>0</v>
      </c>
    </row>
    <row r="1045" spans="1:9" hidden="1">
      <c r="A1045" s="1" t="s">
        <v>4977</v>
      </c>
      <c r="B1045" s="1" t="s">
        <v>10</v>
      </c>
      <c r="C1045" s="1" t="s">
        <v>4978</v>
      </c>
      <c r="D1045" s="1" t="s">
        <v>294</v>
      </c>
      <c r="E1045" s="1" t="s">
        <v>294</v>
      </c>
      <c r="F1045" s="1" t="s">
        <v>30</v>
      </c>
      <c r="G1045" s="1" t="s">
        <v>30</v>
      </c>
      <c r="H1045" s="1" t="s">
        <v>1762</v>
      </c>
      <c r="I1045" t="b">
        <f>COUNTIF(Estadísticas!I:I,'centraldecomunicacion.es'!H1045)&gt;0</f>
        <v>0</v>
      </c>
    </row>
    <row r="1046" spans="1:9" hidden="1">
      <c r="A1046" s="1" t="s">
        <v>4979</v>
      </c>
      <c r="B1046" s="1" t="s">
        <v>10</v>
      </c>
      <c r="C1046" s="1" t="s">
        <v>4980</v>
      </c>
      <c r="D1046" s="1" t="s">
        <v>294</v>
      </c>
      <c r="E1046" s="1" t="s">
        <v>294</v>
      </c>
      <c r="F1046" s="1" t="s">
        <v>30</v>
      </c>
      <c r="G1046" s="1" t="s">
        <v>30</v>
      </c>
      <c r="H1046" s="1" t="s">
        <v>1762</v>
      </c>
      <c r="I1046" t="b">
        <f>COUNTIF(Estadísticas!I:I,'centraldecomunicacion.es'!H1046)&gt;0</f>
        <v>0</v>
      </c>
    </row>
    <row r="1047" spans="1:9" hidden="1">
      <c r="A1047" s="1" t="s">
        <v>4981</v>
      </c>
      <c r="B1047" s="1" t="s">
        <v>10</v>
      </c>
      <c r="C1047" s="1" t="s">
        <v>4982</v>
      </c>
      <c r="D1047" s="1" t="s">
        <v>294</v>
      </c>
      <c r="E1047" s="1" t="s">
        <v>294</v>
      </c>
      <c r="F1047" s="1" t="s">
        <v>30</v>
      </c>
      <c r="G1047" s="1" t="s">
        <v>30</v>
      </c>
      <c r="H1047" s="1" t="s">
        <v>1762</v>
      </c>
      <c r="I1047" t="b">
        <f>COUNTIF(Estadísticas!I:I,'centraldecomunicacion.es'!H1047)&gt;0</f>
        <v>0</v>
      </c>
    </row>
    <row r="1048" spans="1:9" hidden="1">
      <c r="A1048" s="1" t="s">
        <v>4983</v>
      </c>
      <c r="B1048" s="1" t="s">
        <v>10</v>
      </c>
      <c r="C1048" s="1" t="s">
        <v>4984</v>
      </c>
      <c r="D1048" s="1" t="s">
        <v>294</v>
      </c>
      <c r="E1048" s="1" t="s">
        <v>294</v>
      </c>
      <c r="F1048" s="1" t="s">
        <v>30</v>
      </c>
      <c r="G1048" s="1" t="s">
        <v>4985</v>
      </c>
      <c r="H1048" s="1" t="s">
        <v>1762</v>
      </c>
      <c r="I1048" t="b">
        <f>COUNTIF(Estadísticas!I:I,'centraldecomunicacion.es'!H1048)&gt;0</f>
        <v>0</v>
      </c>
    </row>
    <row r="1049" spans="1:9" hidden="1">
      <c r="A1049" s="1" t="s">
        <v>4986</v>
      </c>
      <c r="B1049" s="1" t="s">
        <v>10</v>
      </c>
      <c r="C1049" s="1" t="s">
        <v>4987</v>
      </c>
      <c r="D1049" s="1" t="s">
        <v>294</v>
      </c>
      <c r="E1049" s="1" t="s">
        <v>294</v>
      </c>
      <c r="F1049" s="1" t="s">
        <v>30</v>
      </c>
      <c r="G1049" s="1" t="s">
        <v>4988</v>
      </c>
      <c r="H1049" s="1" t="s">
        <v>1762</v>
      </c>
      <c r="I1049" t="b">
        <f>COUNTIF(Estadísticas!I:I,'centraldecomunicacion.es'!H1049)&gt;0</f>
        <v>0</v>
      </c>
    </row>
    <row r="1050" spans="1:9" hidden="1">
      <c r="A1050" s="1" t="s">
        <v>4989</v>
      </c>
      <c r="B1050" s="1" t="s">
        <v>10</v>
      </c>
      <c r="C1050" s="1" t="s">
        <v>4990</v>
      </c>
      <c r="D1050" s="1" t="s">
        <v>294</v>
      </c>
      <c r="E1050" s="1" t="s">
        <v>294</v>
      </c>
      <c r="F1050" s="1" t="s">
        <v>30</v>
      </c>
      <c r="G1050" s="1" t="s">
        <v>30</v>
      </c>
      <c r="H1050" s="1" t="s">
        <v>1762</v>
      </c>
      <c r="I1050" t="b">
        <f>COUNTIF(Estadísticas!I:I,'centraldecomunicacion.es'!H1050)&gt;0</f>
        <v>0</v>
      </c>
    </row>
    <row r="1051" spans="1:9" hidden="1">
      <c r="A1051" s="1" t="s">
        <v>4991</v>
      </c>
      <c r="B1051" s="1" t="s">
        <v>10</v>
      </c>
      <c r="C1051" s="1" t="s">
        <v>4992</v>
      </c>
      <c r="D1051" s="1" t="s">
        <v>294</v>
      </c>
      <c r="E1051" s="1" t="s">
        <v>294</v>
      </c>
      <c r="F1051" s="1" t="s">
        <v>30</v>
      </c>
      <c r="G1051" s="1" t="s">
        <v>30</v>
      </c>
      <c r="H1051" s="1" t="s">
        <v>1762</v>
      </c>
      <c r="I1051" t="b">
        <f>COUNTIF(Estadísticas!I:I,'centraldecomunicacion.es'!H1051)&gt;0</f>
        <v>0</v>
      </c>
    </row>
    <row r="1052" spans="1:9" hidden="1">
      <c r="A1052" s="1" t="s">
        <v>4993</v>
      </c>
      <c r="B1052" s="1" t="s">
        <v>10</v>
      </c>
      <c r="C1052" s="1" t="s">
        <v>4987</v>
      </c>
      <c r="D1052" s="1" t="s">
        <v>294</v>
      </c>
      <c r="E1052" s="1" t="s">
        <v>294</v>
      </c>
      <c r="F1052" s="1" t="s">
        <v>30</v>
      </c>
      <c r="G1052" s="1" t="s">
        <v>30</v>
      </c>
      <c r="H1052" s="1" t="s">
        <v>1762</v>
      </c>
      <c r="I1052" t="b">
        <f>COUNTIF(Estadísticas!I:I,'centraldecomunicacion.es'!H1052)&gt;0</f>
        <v>0</v>
      </c>
    </row>
    <row r="1053" spans="1:9" hidden="1">
      <c r="A1053" s="1" t="s">
        <v>4994</v>
      </c>
      <c r="B1053" s="1" t="s">
        <v>10</v>
      </c>
      <c r="C1053" s="1" t="s">
        <v>4995</v>
      </c>
      <c r="D1053" s="1" t="s">
        <v>294</v>
      </c>
      <c r="E1053" s="1" t="s">
        <v>294</v>
      </c>
      <c r="F1053" s="1" t="s">
        <v>30</v>
      </c>
      <c r="G1053" s="1" t="s">
        <v>30</v>
      </c>
      <c r="H1053" s="1" t="s">
        <v>1762</v>
      </c>
      <c r="I1053" t="b">
        <f>COUNTIF(Estadísticas!I:I,'centraldecomunicacion.es'!H1053)&gt;0</f>
        <v>0</v>
      </c>
    </row>
    <row r="1054" spans="1:9" hidden="1">
      <c r="A1054" s="1" t="s">
        <v>4996</v>
      </c>
      <c r="B1054" s="1" t="s">
        <v>10</v>
      </c>
      <c r="C1054" s="1" t="s">
        <v>4997</v>
      </c>
      <c r="D1054" s="1" t="s">
        <v>294</v>
      </c>
      <c r="E1054" s="1" t="s">
        <v>294</v>
      </c>
      <c r="F1054" s="1" t="s">
        <v>30</v>
      </c>
      <c r="G1054" s="1" t="s">
        <v>4998</v>
      </c>
      <c r="H1054" s="1" t="s">
        <v>1762</v>
      </c>
      <c r="I1054" t="b">
        <f>COUNTIF(Estadísticas!I:I,'centraldecomunicacion.es'!H1054)&gt;0</f>
        <v>0</v>
      </c>
    </row>
    <row r="1055" spans="1:9" hidden="1">
      <c r="A1055" s="1" t="s">
        <v>4999</v>
      </c>
      <c r="B1055" s="1" t="s">
        <v>10</v>
      </c>
      <c r="C1055" s="1" t="s">
        <v>5000</v>
      </c>
      <c r="D1055" s="1" t="s">
        <v>294</v>
      </c>
      <c r="E1055" s="1" t="s">
        <v>294</v>
      </c>
      <c r="F1055" s="1" t="s">
        <v>30</v>
      </c>
      <c r="G1055" s="1" t="s">
        <v>30</v>
      </c>
      <c r="H1055" s="1" t="s">
        <v>1762</v>
      </c>
      <c r="I1055" t="b">
        <f>COUNTIF(Estadísticas!I:I,'centraldecomunicacion.es'!H1055)&gt;0</f>
        <v>0</v>
      </c>
    </row>
    <row r="1056" spans="1:9" hidden="1">
      <c r="A1056" s="1" t="s">
        <v>5001</v>
      </c>
      <c r="B1056" s="1" t="s">
        <v>10</v>
      </c>
      <c r="C1056" s="1" t="s">
        <v>5002</v>
      </c>
      <c r="D1056" s="1" t="s">
        <v>294</v>
      </c>
      <c r="E1056" s="1" t="s">
        <v>294</v>
      </c>
      <c r="F1056" s="1" t="s">
        <v>30</v>
      </c>
      <c r="G1056" s="1" t="s">
        <v>30</v>
      </c>
      <c r="H1056" s="1" t="s">
        <v>1762</v>
      </c>
      <c r="I1056" t="b">
        <f>COUNTIF(Estadísticas!I:I,'centraldecomunicacion.es'!H1056)&gt;0</f>
        <v>0</v>
      </c>
    </row>
    <row r="1057" spans="1:9" hidden="1">
      <c r="A1057" s="1" t="s">
        <v>5003</v>
      </c>
      <c r="B1057" s="1" t="s">
        <v>10</v>
      </c>
      <c r="C1057" s="1" t="s">
        <v>5004</v>
      </c>
      <c r="D1057" s="1" t="s">
        <v>294</v>
      </c>
      <c r="E1057" s="1" t="s">
        <v>294</v>
      </c>
      <c r="F1057" s="1" t="s">
        <v>30</v>
      </c>
      <c r="G1057" s="1" t="s">
        <v>30</v>
      </c>
      <c r="H1057" s="1" t="s">
        <v>1762</v>
      </c>
      <c r="I1057" t="b">
        <f>COUNTIF(Estadísticas!I:I,'centraldecomunicacion.es'!H1057)&gt;0</f>
        <v>0</v>
      </c>
    </row>
    <row r="1058" spans="1:9" hidden="1">
      <c r="A1058" s="1" t="s">
        <v>5005</v>
      </c>
      <c r="B1058" s="1" t="s">
        <v>10</v>
      </c>
      <c r="C1058" s="1" t="s">
        <v>5006</v>
      </c>
      <c r="D1058" s="1" t="s">
        <v>294</v>
      </c>
      <c r="E1058" s="1" t="s">
        <v>294</v>
      </c>
      <c r="F1058" s="1" t="s">
        <v>30</v>
      </c>
      <c r="G1058" s="1" t="s">
        <v>30</v>
      </c>
      <c r="H1058" s="1" t="s">
        <v>1762</v>
      </c>
      <c r="I1058" t="b">
        <f>COUNTIF(Estadísticas!I:I,'centraldecomunicacion.es'!H1058)&gt;0</f>
        <v>0</v>
      </c>
    </row>
    <row r="1059" spans="1:9" hidden="1">
      <c r="A1059" s="1" t="s">
        <v>5007</v>
      </c>
      <c r="B1059" s="1" t="s">
        <v>10</v>
      </c>
      <c r="C1059" s="1" t="s">
        <v>5008</v>
      </c>
      <c r="D1059" s="1" t="s">
        <v>294</v>
      </c>
      <c r="E1059" s="1" t="s">
        <v>294</v>
      </c>
      <c r="F1059" s="1" t="s">
        <v>30</v>
      </c>
      <c r="G1059" s="1" t="s">
        <v>30</v>
      </c>
      <c r="H1059" s="1" t="s">
        <v>1762</v>
      </c>
      <c r="I1059" t="b">
        <f>COUNTIF(Estadísticas!I:I,'centraldecomunicacion.es'!H1059)&gt;0</f>
        <v>0</v>
      </c>
    </row>
    <row r="1060" spans="1:9" hidden="1">
      <c r="A1060" s="1" t="s">
        <v>5009</v>
      </c>
      <c r="B1060" s="1" t="s">
        <v>10</v>
      </c>
      <c r="C1060" s="1" t="s">
        <v>5010</v>
      </c>
      <c r="D1060" s="1" t="s">
        <v>294</v>
      </c>
      <c r="E1060" s="1" t="s">
        <v>294</v>
      </c>
      <c r="F1060" s="1" t="s">
        <v>30</v>
      </c>
      <c r="G1060" s="1" t="s">
        <v>30</v>
      </c>
      <c r="H1060" s="1" t="s">
        <v>1762</v>
      </c>
      <c r="I1060" t="b">
        <f>COUNTIF(Estadísticas!I:I,'centraldecomunicacion.es'!H1060)&gt;0</f>
        <v>0</v>
      </c>
    </row>
    <row r="1061" spans="1:9" hidden="1">
      <c r="A1061" s="1" t="s">
        <v>5011</v>
      </c>
      <c r="B1061" s="1" t="s">
        <v>10</v>
      </c>
      <c r="C1061" s="1" t="s">
        <v>5012</v>
      </c>
      <c r="D1061" s="1" t="s">
        <v>294</v>
      </c>
      <c r="E1061" s="1" t="s">
        <v>294</v>
      </c>
      <c r="F1061" s="1" t="s">
        <v>30</v>
      </c>
      <c r="G1061" s="1" t="s">
        <v>30</v>
      </c>
      <c r="H1061" s="1" t="s">
        <v>1762</v>
      </c>
      <c r="I1061" t="b">
        <f>COUNTIF(Estadísticas!I:I,'centraldecomunicacion.es'!H1061)&gt;0</f>
        <v>0</v>
      </c>
    </row>
    <row r="1062" spans="1:9" hidden="1">
      <c r="A1062" s="1" t="s">
        <v>5013</v>
      </c>
      <c r="B1062" s="1" t="s">
        <v>10</v>
      </c>
      <c r="C1062" s="1" t="s">
        <v>5014</v>
      </c>
      <c r="D1062" s="1" t="s">
        <v>294</v>
      </c>
      <c r="E1062" s="1" t="s">
        <v>294</v>
      </c>
      <c r="F1062" s="1" t="s">
        <v>5015</v>
      </c>
      <c r="G1062" s="1" t="s">
        <v>5016</v>
      </c>
      <c r="H1062" s="1" t="s">
        <v>1762</v>
      </c>
      <c r="I1062" t="b">
        <f>COUNTIF(Estadísticas!I:I,'centraldecomunicacion.es'!H1062)&gt;0</f>
        <v>0</v>
      </c>
    </row>
    <row r="1063" spans="1:9" hidden="1">
      <c r="A1063" s="1" t="s">
        <v>5017</v>
      </c>
      <c r="B1063" s="1" t="s">
        <v>18</v>
      </c>
      <c r="C1063" s="1" t="s">
        <v>5018</v>
      </c>
      <c r="D1063" s="1" t="s">
        <v>294</v>
      </c>
      <c r="E1063" s="1" t="s">
        <v>294</v>
      </c>
      <c r="F1063" s="1" t="s">
        <v>5019</v>
      </c>
      <c r="G1063" s="1" t="s">
        <v>30</v>
      </c>
      <c r="H1063" s="1" t="s">
        <v>1762</v>
      </c>
      <c r="I1063" t="b">
        <f>COUNTIF(Estadísticas!I:I,'centraldecomunicacion.es'!H1063)&gt;0</f>
        <v>0</v>
      </c>
    </row>
    <row r="1064" spans="1:9" hidden="1">
      <c r="A1064" s="1" t="s">
        <v>5020</v>
      </c>
      <c r="B1064" s="1" t="s">
        <v>10</v>
      </c>
      <c r="C1064" s="1" t="s">
        <v>5021</v>
      </c>
      <c r="D1064" s="1" t="s">
        <v>294</v>
      </c>
      <c r="E1064" s="1" t="s">
        <v>294</v>
      </c>
      <c r="F1064" s="1" t="s">
        <v>30</v>
      </c>
      <c r="G1064" s="1" t="s">
        <v>30</v>
      </c>
      <c r="H1064" s="1" t="s">
        <v>1762</v>
      </c>
      <c r="I1064" t="b">
        <f>COUNTIF(Estadísticas!I:I,'centraldecomunicacion.es'!H1064)&gt;0</f>
        <v>0</v>
      </c>
    </row>
    <row r="1065" spans="1:9" hidden="1">
      <c r="A1065" s="1" t="s">
        <v>5022</v>
      </c>
      <c r="B1065" s="1" t="s">
        <v>10</v>
      </c>
      <c r="C1065" s="1" t="s">
        <v>5023</v>
      </c>
      <c r="D1065" s="1" t="s">
        <v>294</v>
      </c>
      <c r="E1065" s="1" t="s">
        <v>294</v>
      </c>
      <c r="F1065" s="1" t="s">
        <v>30</v>
      </c>
      <c r="G1065" s="1" t="s">
        <v>5024</v>
      </c>
      <c r="H1065" s="1" t="s">
        <v>1762</v>
      </c>
      <c r="I1065" t="b">
        <f>COUNTIF(Estadísticas!I:I,'centraldecomunicacion.es'!H1065)&gt;0</f>
        <v>0</v>
      </c>
    </row>
    <row r="1066" spans="1:9" hidden="1">
      <c r="A1066" s="1" t="s">
        <v>5025</v>
      </c>
      <c r="B1066" s="1" t="s">
        <v>10</v>
      </c>
      <c r="C1066" s="1" t="s">
        <v>5026</v>
      </c>
      <c r="D1066" s="1" t="s">
        <v>294</v>
      </c>
      <c r="E1066" s="1" t="s">
        <v>294</v>
      </c>
      <c r="F1066" s="1" t="s">
        <v>30</v>
      </c>
      <c r="G1066" s="1" t="s">
        <v>5027</v>
      </c>
      <c r="H1066" s="1" t="s">
        <v>1762</v>
      </c>
      <c r="I1066" t="b">
        <f>COUNTIF(Estadísticas!I:I,'centraldecomunicacion.es'!H1066)&gt;0</f>
        <v>0</v>
      </c>
    </row>
    <row r="1067" spans="1:9" hidden="1">
      <c r="A1067" s="1" t="s">
        <v>5028</v>
      </c>
      <c r="B1067" s="1" t="s">
        <v>10</v>
      </c>
      <c r="C1067" s="1" t="s">
        <v>5029</v>
      </c>
      <c r="D1067" s="1" t="s">
        <v>294</v>
      </c>
      <c r="E1067" s="1" t="s">
        <v>294</v>
      </c>
      <c r="F1067" s="1" t="s">
        <v>30</v>
      </c>
      <c r="G1067" s="1" t="s">
        <v>5030</v>
      </c>
      <c r="H1067" s="1" t="s">
        <v>1762</v>
      </c>
      <c r="I1067" t="b">
        <f>COUNTIF(Estadísticas!I:I,'centraldecomunicacion.es'!H1067)&gt;0</f>
        <v>0</v>
      </c>
    </row>
    <row r="1068" spans="1:9" hidden="1">
      <c r="A1068" s="1" t="s">
        <v>5031</v>
      </c>
      <c r="B1068" s="1" t="s">
        <v>10</v>
      </c>
      <c r="C1068" s="1" t="s">
        <v>5032</v>
      </c>
      <c r="D1068" s="1" t="s">
        <v>294</v>
      </c>
      <c r="E1068" s="1" t="s">
        <v>294</v>
      </c>
      <c r="F1068" s="1" t="s">
        <v>30</v>
      </c>
      <c r="G1068" s="1" t="s">
        <v>30</v>
      </c>
      <c r="H1068" s="1" t="s">
        <v>1762</v>
      </c>
      <c r="I1068" t="b">
        <f>COUNTIF(Estadísticas!I:I,'centraldecomunicacion.es'!H1068)&gt;0</f>
        <v>0</v>
      </c>
    </row>
    <row r="1069" spans="1:9" hidden="1">
      <c r="A1069" s="1" t="s">
        <v>5033</v>
      </c>
      <c r="B1069" s="1" t="s">
        <v>10</v>
      </c>
      <c r="C1069" s="1" t="s">
        <v>5034</v>
      </c>
      <c r="D1069" s="1" t="s">
        <v>294</v>
      </c>
      <c r="E1069" s="1" t="s">
        <v>294</v>
      </c>
      <c r="F1069" s="1" t="s">
        <v>5035</v>
      </c>
      <c r="G1069" s="1" t="s">
        <v>5036</v>
      </c>
      <c r="H1069" s="1" t="s">
        <v>1762</v>
      </c>
      <c r="I1069" t="b">
        <f>COUNTIF(Estadísticas!I:I,'centraldecomunicacion.es'!H1069)&gt;0</f>
        <v>0</v>
      </c>
    </row>
    <row r="1070" spans="1:9">
      <c r="A1070" s="1" t="s">
        <v>388</v>
      </c>
      <c r="B1070" s="1" t="s">
        <v>10</v>
      </c>
      <c r="C1070" s="1" t="s">
        <v>389</v>
      </c>
      <c r="D1070" s="1" t="s">
        <v>294</v>
      </c>
      <c r="E1070" s="1" t="s">
        <v>294</v>
      </c>
      <c r="F1070" s="1" t="s">
        <v>390</v>
      </c>
      <c r="G1070" s="1" t="s">
        <v>391</v>
      </c>
      <c r="H1070" s="1" t="s">
        <v>392</v>
      </c>
      <c r="I1070" t="b">
        <f>COUNTIF(Estadísticas!I:I,'centraldecomunicacion.es'!H1070)&gt;0</f>
        <v>1</v>
      </c>
    </row>
    <row r="1071" spans="1:9" hidden="1">
      <c r="A1071" s="1" t="s">
        <v>5037</v>
      </c>
      <c r="B1071" s="1" t="s">
        <v>18</v>
      </c>
      <c r="C1071" s="1" t="s">
        <v>5038</v>
      </c>
      <c r="D1071" s="1" t="s">
        <v>294</v>
      </c>
      <c r="E1071" s="1" t="s">
        <v>294</v>
      </c>
      <c r="F1071" s="1" t="s">
        <v>30</v>
      </c>
      <c r="G1071" s="1" t="s">
        <v>5039</v>
      </c>
      <c r="H1071" s="1" t="s">
        <v>1762</v>
      </c>
      <c r="I1071" t="b">
        <f>COUNTIF(Estadísticas!I:I,'centraldecomunicacion.es'!H1071)&gt;0</f>
        <v>0</v>
      </c>
    </row>
    <row r="1072" spans="1:9" hidden="1">
      <c r="A1072" s="1" t="s">
        <v>5040</v>
      </c>
      <c r="B1072" s="1" t="s">
        <v>10</v>
      </c>
      <c r="C1072" s="1" t="s">
        <v>5041</v>
      </c>
      <c r="D1072" s="1" t="s">
        <v>294</v>
      </c>
      <c r="E1072" s="1" t="s">
        <v>294</v>
      </c>
      <c r="F1072" s="1" t="s">
        <v>30</v>
      </c>
      <c r="G1072" s="1" t="s">
        <v>30</v>
      </c>
      <c r="H1072" s="1" t="s">
        <v>1762</v>
      </c>
      <c r="I1072" t="b">
        <f>COUNTIF(Estadísticas!I:I,'centraldecomunicacion.es'!H1072)&gt;0</f>
        <v>0</v>
      </c>
    </row>
    <row r="1073" spans="1:9" hidden="1">
      <c r="A1073" s="1" t="s">
        <v>5042</v>
      </c>
      <c r="B1073" s="1" t="s">
        <v>10</v>
      </c>
      <c r="C1073" s="1" t="s">
        <v>5043</v>
      </c>
      <c r="D1073" s="1" t="s">
        <v>294</v>
      </c>
      <c r="E1073" s="1" t="s">
        <v>294</v>
      </c>
      <c r="F1073" s="1" t="s">
        <v>5044</v>
      </c>
      <c r="G1073" s="1" t="s">
        <v>5045</v>
      </c>
      <c r="H1073" s="1" t="s">
        <v>5046</v>
      </c>
      <c r="I1073" t="b">
        <f>COUNTIF(Estadísticas!I:I,'centraldecomunicacion.es'!H1073)&gt;0</f>
        <v>0</v>
      </c>
    </row>
    <row r="1074" spans="1:9" hidden="1">
      <c r="A1074" s="1" t="s">
        <v>5047</v>
      </c>
      <c r="B1074" s="1" t="s">
        <v>10</v>
      </c>
      <c r="C1074" s="1" t="s">
        <v>5048</v>
      </c>
      <c r="D1074" s="1" t="s">
        <v>294</v>
      </c>
      <c r="E1074" s="1" t="s">
        <v>294</v>
      </c>
      <c r="F1074" s="1" t="s">
        <v>30</v>
      </c>
      <c r="G1074" s="1" t="s">
        <v>30</v>
      </c>
      <c r="H1074" s="1" t="s">
        <v>1762</v>
      </c>
      <c r="I1074" t="b">
        <f>COUNTIF(Estadísticas!I:I,'centraldecomunicacion.es'!H1074)&gt;0</f>
        <v>0</v>
      </c>
    </row>
    <row r="1075" spans="1:9" hidden="1">
      <c r="A1075" s="1" t="s">
        <v>5049</v>
      </c>
      <c r="B1075" s="1" t="s">
        <v>18</v>
      </c>
      <c r="C1075" s="1" t="s">
        <v>5050</v>
      </c>
      <c r="D1075" s="1" t="s">
        <v>294</v>
      </c>
      <c r="E1075" s="1" t="s">
        <v>294</v>
      </c>
      <c r="F1075" s="1" t="s">
        <v>30</v>
      </c>
      <c r="G1075" s="1" t="s">
        <v>5051</v>
      </c>
      <c r="H1075" s="1" t="s">
        <v>1762</v>
      </c>
      <c r="I1075" t="b">
        <f>COUNTIF(Estadísticas!I:I,'centraldecomunicacion.es'!H1075)&gt;0</f>
        <v>0</v>
      </c>
    </row>
    <row r="1076" spans="1:9" hidden="1">
      <c r="A1076" s="1" t="s">
        <v>5052</v>
      </c>
      <c r="B1076" s="1" t="s">
        <v>10</v>
      </c>
      <c r="C1076" s="1" t="s">
        <v>5053</v>
      </c>
      <c r="D1076" s="1" t="s">
        <v>294</v>
      </c>
      <c r="E1076" s="1" t="s">
        <v>294</v>
      </c>
      <c r="F1076" s="1" t="s">
        <v>30</v>
      </c>
      <c r="G1076" s="1" t="s">
        <v>30</v>
      </c>
      <c r="H1076" s="1" t="s">
        <v>1762</v>
      </c>
      <c r="I1076" t="b">
        <f>COUNTIF(Estadísticas!I:I,'centraldecomunicacion.es'!H1076)&gt;0</f>
        <v>0</v>
      </c>
    </row>
    <row r="1077" spans="1:9" hidden="1">
      <c r="A1077" s="1" t="s">
        <v>5054</v>
      </c>
      <c r="B1077" s="1" t="s">
        <v>10</v>
      </c>
      <c r="C1077" s="1" t="s">
        <v>5055</v>
      </c>
      <c r="D1077" s="1" t="s">
        <v>294</v>
      </c>
      <c r="E1077" s="1" t="s">
        <v>294</v>
      </c>
      <c r="F1077" s="1" t="s">
        <v>30</v>
      </c>
      <c r="G1077" s="1" t="s">
        <v>5056</v>
      </c>
      <c r="H1077" s="1" t="s">
        <v>1762</v>
      </c>
      <c r="I1077" t="b">
        <f>COUNTIF(Estadísticas!I:I,'centraldecomunicacion.es'!H1077)&gt;0</f>
        <v>0</v>
      </c>
    </row>
    <row r="1078" spans="1:9">
      <c r="A1078" s="1" t="s">
        <v>393</v>
      </c>
      <c r="B1078" s="1" t="s">
        <v>18</v>
      </c>
      <c r="C1078" s="1" t="s">
        <v>394</v>
      </c>
      <c r="D1078" s="1" t="s">
        <v>294</v>
      </c>
      <c r="E1078" s="1" t="s">
        <v>294</v>
      </c>
      <c r="F1078" s="1" t="s">
        <v>395</v>
      </c>
      <c r="G1078" s="1" t="s">
        <v>396</v>
      </c>
      <c r="H1078" s="1" t="s">
        <v>397</v>
      </c>
      <c r="I1078" t="b">
        <f>COUNTIF(Estadísticas!I:I,'centraldecomunicacion.es'!H1078)&gt;0</f>
        <v>1</v>
      </c>
    </row>
    <row r="1079" spans="1:9" hidden="1">
      <c r="A1079" s="1" t="s">
        <v>5057</v>
      </c>
      <c r="B1079" s="1" t="s">
        <v>10</v>
      </c>
      <c r="C1079" s="1" t="s">
        <v>5058</v>
      </c>
      <c r="D1079" s="1" t="s">
        <v>294</v>
      </c>
      <c r="E1079" s="1" t="s">
        <v>294</v>
      </c>
      <c r="F1079" s="1" t="s">
        <v>30</v>
      </c>
      <c r="G1079" s="1" t="s">
        <v>5059</v>
      </c>
      <c r="H1079" s="1" t="s">
        <v>1762</v>
      </c>
      <c r="I1079" t="b">
        <f>COUNTIF(Estadísticas!I:I,'centraldecomunicacion.es'!H1079)&gt;0</f>
        <v>0</v>
      </c>
    </row>
    <row r="1080" spans="1:9" hidden="1">
      <c r="A1080" s="1" t="s">
        <v>5060</v>
      </c>
      <c r="B1080" s="1" t="s">
        <v>10</v>
      </c>
      <c r="C1080" s="1" t="s">
        <v>5061</v>
      </c>
      <c r="D1080" s="1" t="s">
        <v>294</v>
      </c>
      <c r="E1080" s="1" t="s">
        <v>294</v>
      </c>
      <c r="F1080" s="1" t="s">
        <v>30</v>
      </c>
      <c r="G1080" s="1" t="s">
        <v>30</v>
      </c>
      <c r="H1080" s="1" t="s">
        <v>1762</v>
      </c>
      <c r="I1080" t="b">
        <f>COUNTIF(Estadísticas!I:I,'centraldecomunicacion.es'!H1080)&gt;0</f>
        <v>0</v>
      </c>
    </row>
    <row r="1081" spans="1:9" hidden="1">
      <c r="A1081" s="1" t="s">
        <v>5062</v>
      </c>
      <c r="B1081" s="1" t="s">
        <v>10</v>
      </c>
      <c r="C1081" s="1" t="s">
        <v>5063</v>
      </c>
      <c r="D1081" s="1" t="s">
        <v>294</v>
      </c>
      <c r="E1081" s="1" t="s">
        <v>294</v>
      </c>
      <c r="F1081" s="1" t="s">
        <v>5064</v>
      </c>
      <c r="G1081" s="1" t="s">
        <v>5065</v>
      </c>
      <c r="H1081" s="1" t="s">
        <v>5066</v>
      </c>
      <c r="I1081" t="b">
        <f>COUNTIF(Estadísticas!I:I,'centraldecomunicacion.es'!H1081)&gt;0</f>
        <v>0</v>
      </c>
    </row>
    <row r="1082" spans="1:9" hidden="1">
      <c r="A1082" s="1" t="s">
        <v>5067</v>
      </c>
      <c r="B1082" s="1" t="s">
        <v>10</v>
      </c>
      <c r="C1082" s="1" t="s">
        <v>5068</v>
      </c>
      <c r="D1082" s="1" t="s">
        <v>294</v>
      </c>
      <c r="E1082" s="1" t="s">
        <v>294</v>
      </c>
      <c r="F1082" s="1" t="s">
        <v>30</v>
      </c>
      <c r="G1082" s="1" t="s">
        <v>5069</v>
      </c>
      <c r="H1082" s="1" t="s">
        <v>1762</v>
      </c>
      <c r="I1082" t="b">
        <f>COUNTIF(Estadísticas!I:I,'centraldecomunicacion.es'!H1082)&gt;0</f>
        <v>0</v>
      </c>
    </row>
    <row r="1083" spans="1:9" hidden="1">
      <c r="A1083" s="1" t="s">
        <v>5070</v>
      </c>
      <c r="B1083" s="1" t="s">
        <v>10</v>
      </c>
      <c r="C1083" s="1" t="s">
        <v>5071</v>
      </c>
      <c r="D1083" s="1" t="s">
        <v>294</v>
      </c>
      <c r="E1083" s="1" t="s">
        <v>294</v>
      </c>
      <c r="F1083" s="1" t="s">
        <v>30</v>
      </c>
      <c r="G1083" s="1" t="s">
        <v>30</v>
      </c>
      <c r="H1083" s="1" t="s">
        <v>1762</v>
      </c>
      <c r="I1083" t="b">
        <f>COUNTIF(Estadísticas!I:I,'centraldecomunicacion.es'!H1083)&gt;0</f>
        <v>0</v>
      </c>
    </row>
    <row r="1084" spans="1:9" hidden="1">
      <c r="A1084" s="1" t="s">
        <v>5072</v>
      </c>
      <c r="B1084" s="1" t="s">
        <v>10</v>
      </c>
      <c r="C1084" s="1" t="s">
        <v>5073</v>
      </c>
      <c r="D1084" s="1" t="s">
        <v>294</v>
      </c>
      <c r="E1084" s="1" t="s">
        <v>294</v>
      </c>
      <c r="F1084" s="1" t="s">
        <v>30</v>
      </c>
      <c r="G1084" s="1" t="s">
        <v>5074</v>
      </c>
      <c r="H1084" s="1" t="s">
        <v>1762</v>
      </c>
      <c r="I1084" t="b">
        <f>COUNTIF(Estadísticas!I:I,'centraldecomunicacion.es'!H1084)&gt;0</f>
        <v>0</v>
      </c>
    </row>
    <row r="1085" spans="1:9" hidden="1">
      <c r="A1085" s="1" t="s">
        <v>5075</v>
      </c>
      <c r="B1085" s="1" t="s">
        <v>10</v>
      </c>
      <c r="C1085" s="1" t="s">
        <v>5076</v>
      </c>
      <c r="D1085" s="1" t="s">
        <v>294</v>
      </c>
      <c r="E1085" s="1" t="s">
        <v>294</v>
      </c>
      <c r="F1085" s="1" t="s">
        <v>30</v>
      </c>
      <c r="G1085" s="1" t="s">
        <v>5077</v>
      </c>
      <c r="H1085" s="1" t="s">
        <v>1762</v>
      </c>
      <c r="I1085" t="b">
        <f>COUNTIF(Estadísticas!I:I,'centraldecomunicacion.es'!H1085)&gt;0</f>
        <v>0</v>
      </c>
    </row>
    <row r="1086" spans="1:9">
      <c r="A1086" s="1" t="s">
        <v>398</v>
      </c>
      <c r="B1086" s="1" t="s">
        <v>18</v>
      </c>
      <c r="C1086" s="1" t="s">
        <v>399</v>
      </c>
      <c r="D1086" s="1" t="s">
        <v>294</v>
      </c>
      <c r="E1086" s="1" t="s">
        <v>294</v>
      </c>
      <c r="F1086" s="1" t="s">
        <v>400</v>
      </c>
      <c r="G1086" s="1" t="s">
        <v>401</v>
      </c>
      <c r="H1086" s="1" t="s">
        <v>402</v>
      </c>
      <c r="I1086" t="b">
        <f>COUNTIF(Estadísticas!I:I,'centraldecomunicacion.es'!H1086)&gt;0</f>
        <v>1</v>
      </c>
    </row>
    <row r="1087" spans="1:9" hidden="1">
      <c r="A1087" s="1" t="s">
        <v>5078</v>
      </c>
      <c r="B1087" s="1" t="s">
        <v>10</v>
      </c>
      <c r="C1087" s="1" t="s">
        <v>5079</v>
      </c>
      <c r="D1087" s="1" t="s">
        <v>294</v>
      </c>
      <c r="E1087" s="1" t="s">
        <v>294</v>
      </c>
      <c r="F1087" s="1" t="s">
        <v>30</v>
      </c>
      <c r="G1087" s="1" t="s">
        <v>30</v>
      </c>
      <c r="H1087" s="1" t="s">
        <v>1762</v>
      </c>
      <c r="I1087" t="b">
        <f>COUNTIF(Estadísticas!I:I,'centraldecomunicacion.es'!H1087)&gt;0</f>
        <v>0</v>
      </c>
    </row>
    <row r="1088" spans="1:9" hidden="1">
      <c r="A1088" s="1" t="s">
        <v>5080</v>
      </c>
      <c r="B1088" s="1" t="s">
        <v>10</v>
      </c>
      <c r="C1088" s="1" t="s">
        <v>5081</v>
      </c>
      <c r="D1088" s="1" t="s">
        <v>294</v>
      </c>
      <c r="E1088" s="1" t="s">
        <v>294</v>
      </c>
      <c r="F1088" s="1" t="s">
        <v>30</v>
      </c>
      <c r="G1088" s="1" t="s">
        <v>30</v>
      </c>
      <c r="H1088" s="1" t="s">
        <v>1762</v>
      </c>
      <c r="I1088" t="b">
        <f>COUNTIF(Estadísticas!I:I,'centraldecomunicacion.es'!H1088)&gt;0</f>
        <v>0</v>
      </c>
    </row>
    <row r="1089" spans="1:9" hidden="1">
      <c r="A1089" s="1" t="s">
        <v>5082</v>
      </c>
      <c r="B1089" s="1" t="s">
        <v>10</v>
      </c>
      <c r="C1089" s="1" t="s">
        <v>5083</v>
      </c>
      <c r="D1089" s="1" t="s">
        <v>294</v>
      </c>
      <c r="E1089" s="1" t="s">
        <v>294</v>
      </c>
      <c r="F1089" s="1" t="s">
        <v>30</v>
      </c>
      <c r="G1089" s="1" t="s">
        <v>5084</v>
      </c>
      <c r="H1089" s="1" t="s">
        <v>1762</v>
      </c>
      <c r="I1089" t="b">
        <f>COUNTIF(Estadísticas!I:I,'centraldecomunicacion.es'!H1089)&gt;0</f>
        <v>0</v>
      </c>
    </row>
    <row r="1090" spans="1:9" hidden="1">
      <c r="A1090" s="1" t="s">
        <v>5085</v>
      </c>
      <c r="B1090" s="1" t="s">
        <v>10</v>
      </c>
      <c r="C1090" s="1" t="s">
        <v>5086</v>
      </c>
      <c r="D1090" s="1" t="s">
        <v>294</v>
      </c>
      <c r="E1090" s="1" t="s">
        <v>294</v>
      </c>
      <c r="F1090" s="1" t="s">
        <v>30</v>
      </c>
      <c r="G1090" s="1" t="s">
        <v>5087</v>
      </c>
      <c r="H1090" s="1" t="s">
        <v>1762</v>
      </c>
      <c r="I1090" t="b">
        <f>COUNTIF(Estadísticas!I:I,'centraldecomunicacion.es'!H1090)&gt;0</f>
        <v>0</v>
      </c>
    </row>
    <row r="1091" spans="1:9" hidden="1">
      <c r="A1091" s="1" t="s">
        <v>5088</v>
      </c>
      <c r="B1091" s="1" t="s">
        <v>10</v>
      </c>
      <c r="C1091" s="1" t="s">
        <v>5089</v>
      </c>
      <c r="D1091" s="1" t="s">
        <v>294</v>
      </c>
      <c r="E1091" s="1" t="s">
        <v>294</v>
      </c>
      <c r="F1091" s="1" t="s">
        <v>30</v>
      </c>
      <c r="G1091" s="1" t="s">
        <v>5090</v>
      </c>
      <c r="H1091" s="1" t="s">
        <v>1762</v>
      </c>
      <c r="I1091" t="b">
        <f>COUNTIF(Estadísticas!I:I,'centraldecomunicacion.es'!H1091)&gt;0</f>
        <v>0</v>
      </c>
    </row>
    <row r="1092" spans="1:9" hidden="1">
      <c r="A1092" s="1" t="s">
        <v>5091</v>
      </c>
      <c r="B1092" s="1" t="s">
        <v>10</v>
      </c>
      <c r="C1092" s="1" t="s">
        <v>5092</v>
      </c>
      <c r="D1092" s="1" t="s">
        <v>294</v>
      </c>
      <c r="E1092" s="1" t="s">
        <v>294</v>
      </c>
      <c r="F1092" s="1" t="s">
        <v>30</v>
      </c>
      <c r="G1092" s="1" t="s">
        <v>5093</v>
      </c>
      <c r="H1092" s="1" t="s">
        <v>1762</v>
      </c>
      <c r="I1092" t="b">
        <f>COUNTIF(Estadísticas!I:I,'centraldecomunicacion.es'!H1092)&gt;0</f>
        <v>0</v>
      </c>
    </row>
    <row r="1093" spans="1:9" hidden="1">
      <c r="A1093" s="1" t="s">
        <v>5094</v>
      </c>
      <c r="B1093" s="1" t="s">
        <v>10</v>
      </c>
      <c r="C1093" s="1" t="s">
        <v>5095</v>
      </c>
      <c r="D1093" s="1" t="s">
        <v>294</v>
      </c>
      <c r="E1093" s="1" t="s">
        <v>294</v>
      </c>
      <c r="F1093" s="1" t="s">
        <v>30</v>
      </c>
      <c r="G1093" s="1" t="s">
        <v>5096</v>
      </c>
      <c r="H1093" s="1" t="s">
        <v>1762</v>
      </c>
      <c r="I1093" t="b">
        <f>COUNTIF(Estadísticas!I:I,'centraldecomunicacion.es'!H1093)&gt;0</f>
        <v>0</v>
      </c>
    </row>
    <row r="1094" spans="1:9" hidden="1">
      <c r="A1094" s="1" t="s">
        <v>5097</v>
      </c>
      <c r="B1094" s="1" t="s">
        <v>10</v>
      </c>
      <c r="C1094" s="1" t="s">
        <v>5098</v>
      </c>
      <c r="D1094" s="1" t="s">
        <v>294</v>
      </c>
      <c r="E1094" s="1" t="s">
        <v>294</v>
      </c>
      <c r="F1094" s="1" t="s">
        <v>30</v>
      </c>
      <c r="G1094" s="1" t="s">
        <v>5099</v>
      </c>
      <c r="H1094" s="1" t="s">
        <v>1762</v>
      </c>
      <c r="I1094" t="b">
        <f>COUNTIF(Estadísticas!I:I,'centraldecomunicacion.es'!H1094)&gt;0</f>
        <v>0</v>
      </c>
    </row>
    <row r="1095" spans="1:9">
      <c r="A1095" s="1" t="s">
        <v>403</v>
      </c>
      <c r="B1095" s="1" t="s">
        <v>18</v>
      </c>
      <c r="C1095" s="1" t="s">
        <v>404</v>
      </c>
      <c r="D1095" s="1" t="s">
        <v>294</v>
      </c>
      <c r="E1095" s="1" t="s">
        <v>294</v>
      </c>
      <c r="F1095" s="1" t="s">
        <v>405</v>
      </c>
      <c r="G1095" s="1" t="s">
        <v>406</v>
      </c>
      <c r="H1095" s="1" t="s">
        <v>407</v>
      </c>
      <c r="I1095" t="b">
        <f>COUNTIF(Estadísticas!I:I,'centraldecomunicacion.es'!H1095)&gt;0</f>
        <v>1</v>
      </c>
    </row>
    <row r="1096" spans="1:9" hidden="1">
      <c r="A1096" s="1" t="s">
        <v>5100</v>
      </c>
      <c r="B1096" s="1" t="s">
        <v>10</v>
      </c>
      <c r="C1096" s="1" t="s">
        <v>5101</v>
      </c>
      <c r="D1096" s="1" t="s">
        <v>294</v>
      </c>
      <c r="E1096" s="1" t="s">
        <v>294</v>
      </c>
      <c r="F1096" s="1" t="s">
        <v>30</v>
      </c>
      <c r="G1096" s="1" t="s">
        <v>5102</v>
      </c>
      <c r="H1096" s="1" t="s">
        <v>1762</v>
      </c>
      <c r="I1096" t="b">
        <f>COUNTIF(Estadísticas!I:I,'centraldecomunicacion.es'!H1096)&gt;0</f>
        <v>0</v>
      </c>
    </row>
    <row r="1097" spans="1:9" hidden="1">
      <c r="A1097" s="1" t="s">
        <v>5103</v>
      </c>
      <c r="B1097" s="1" t="s">
        <v>10</v>
      </c>
      <c r="C1097" s="1" t="s">
        <v>5104</v>
      </c>
      <c r="D1097" s="1" t="s">
        <v>294</v>
      </c>
      <c r="E1097" s="1" t="s">
        <v>294</v>
      </c>
      <c r="F1097" s="1" t="s">
        <v>30</v>
      </c>
      <c r="G1097" s="1" t="s">
        <v>30</v>
      </c>
      <c r="H1097" s="1" t="s">
        <v>1762</v>
      </c>
      <c r="I1097" t="b">
        <f>COUNTIF(Estadísticas!I:I,'centraldecomunicacion.es'!H1097)&gt;0</f>
        <v>0</v>
      </c>
    </row>
    <row r="1098" spans="1:9" hidden="1">
      <c r="A1098" s="1" t="s">
        <v>5105</v>
      </c>
      <c r="B1098" s="1" t="s">
        <v>10</v>
      </c>
      <c r="C1098" s="1" t="s">
        <v>5106</v>
      </c>
      <c r="D1098" s="1" t="s">
        <v>294</v>
      </c>
      <c r="E1098" s="1" t="s">
        <v>294</v>
      </c>
      <c r="F1098" s="1" t="s">
        <v>30</v>
      </c>
      <c r="G1098" s="1" t="s">
        <v>5107</v>
      </c>
      <c r="H1098" s="1" t="s">
        <v>1762</v>
      </c>
      <c r="I1098" t="b">
        <f>COUNTIF(Estadísticas!I:I,'centraldecomunicacion.es'!H1098)&gt;0</f>
        <v>0</v>
      </c>
    </row>
    <row r="1099" spans="1:9">
      <c r="A1099" s="1" t="s">
        <v>408</v>
      </c>
      <c r="B1099" s="1" t="s">
        <v>10</v>
      </c>
      <c r="C1099" s="1" t="s">
        <v>409</v>
      </c>
      <c r="D1099" s="1" t="s">
        <v>294</v>
      </c>
      <c r="E1099" s="1" t="s">
        <v>294</v>
      </c>
      <c r="F1099" s="1" t="s">
        <v>410</v>
      </c>
      <c r="G1099" s="1" t="s">
        <v>411</v>
      </c>
      <c r="H1099" s="1" t="s">
        <v>412</v>
      </c>
      <c r="I1099" t="b">
        <f>COUNTIF(Estadísticas!I:I,'centraldecomunicacion.es'!H1099)&gt;0</f>
        <v>1</v>
      </c>
    </row>
    <row r="1100" spans="1:9" hidden="1">
      <c r="A1100" s="1" t="s">
        <v>5108</v>
      </c>
      <c r="B1100" s="1" t="s">
        <v>10</v>
      </c>
      <c r="C1100" s="1" t="s">
        <v>5109</v>
      </c>
      <c r="D1100" s="1" t="s">
        <v>426</v>
      </c>
      <c r="E1100" s="1" t="s">
        <v>294</v>
      </c>
      <c r="F1100" s="1" t="s">
        <v>5110</v>
      </c>
      <c r="G1100" s="1" t="s">
        <v>5111</v>
      </c>
      <c r="H1100" s="1" t="s">
        <v>1762</v>
      </c>
      <c r="I1100" t="b">
        <f>COUNTIF(Estadísticas!I:I,'centraldecomunicacion.es'!H1100)&gt;0</f>
        <v>0</v>
      </c>
    </row>
    <row r="1101" spans="1:9" hidden="1">
      <c r="A1101" s="1" t="s">
        <v>5112</v>
      </c>
      <c r="B1101" s="1" t="s">
        <v>18</v>
      </c>
      <c r="C1101" s="1" t="s">
        <v>5113</v>
      </c>
      <c r="D1101" s="1" t="s">
        <v>294</v>
      </c>
      <c r="E1101" s="1" t="s">
        <v>294</v>
      </c>
      <c r="F1101" s="1" t="s">
        <v>30</v>
      </c>
      <c r="G1101" s="1" t="s">
        <v>30</v>
      </c>
      <c r="H1101" s="1" t="s">
        <v>1762</v>
      </c>
      <c r="I1101" t="b">
        <f>COUNTIF(Estadísticas!I:I,'centraldecomunicacion.es'!H1101)&gt;0</f>
        <v>0</v>
      </c>
    </row>
    <row r="1102" spans="1:9">
      <c r="A1102" s="1" t="s">
        <v>413</v>
      </c>
      <c r="B1102" s="1" t="s">
        <v>18</v>
      </c>
      <c r="C1102" s="1" t="s">
        <v>414</v>
      </c>
      <c r="D1102" s="1" t="s">
        <v>294</v>
      </c>
      <c r="E1102" s="1" t="s">
        <v>294</v>
      </c>
      <c r="F1102" s="1" t="s">
        <v>415</v>
      </c>
      <c r="G1102" s="1" t="s">
        <v>416</v>
      </c>
      <c r="H1102" s="1" t="s">
        <v>417</v>
      </c>
      <c r="I1102" t="b">
        <f>COUNTIF(Estadísticas!I:I,'centraldecomunicacion.es'!H1102)&gt;0</f>
        <v>1</v>
      </c>
    </row>
    <row r="1103" spans="1:9" hidden="1">
      <c r="A1103" s="1" t="s">
        <v>5114</v>
      </c>
      <c r="B1103" s="1" t="s">
        <v>10</v>
      </c>
      <c r="C1103" s="1" t="s">
        <v>5115</v>
      </c>
      <c r="D1103" s="1" t="s">
        <v>354</v>
      </c>
      <c r="E1103" s="1" t="s">
        <v>294</v>
      </c>
      <c r="F1103" s="1" t="s">
        <v>30</v>
      </c>
      <c r="G1103" s="1" t="s">
        <v>5116</v>
      </c>
      <c r="H1103" s="1" t="s">
        <v>1762</v>
      </c>
      <c r="I1103" t="b">
        <f>COUNTIF(Estadísticas!I:I,'centraldecomunicacion.es'!H1103)&gt;0</f>
        <v>0</v>
      </c>
    </row>
    <row r="1104" spans="1:9" hidden="1">
      <c r="A1104" s="1" t="s">
        <v>5117</v>
      </c>
      <c r="B1104" s="1" t="s">
        <v>10</v>
      </c>
      <c r="C1104" s="1" t="s">
        <v>5118</v>
      </c>
      <c r="D1104" s="1" t="s">
        <v>5119</v>
      </c>
      <c r="E1104" s="1" t="s">
        <v>294</v>
      </c>
      <c r="F1104" s="1" t="s">
        <v>5120</v>
      </c>
      <c r="G1104" s="1" t="s">
        <v>5121</v>
      </c>
      <c r="H1104" s="1" t="s">
        <v>5122</v>
      </c>
      <c r="I1104" t="b">
        <f>COUNTIF(Estadísticas!I:I,'centraldecomunicacion.es'!H1104)&gt;0</f>
        <v>0</v>
      </c>
    </row>
    <row r="1105" spans="1:9" hidden="1">
      <c r="A1105" s="1" t="s">
        <v>5123</v>
      </c>
      <c r="B1105" s="1" t="s">
        <v>10</v>
      </c>
      <c r="C1105" s="1" t="s">
        <v>5124</v>
      </c>
      <c r="D1105" s="1" t="s">
        <v>294</v>
      </c>
      <c r="E1105" s="1" t="s">
        <v>294</v>
      </c>
      <c r="F1105" s="1" t="s">
        <v>30</v>
      </c>
      <c r="G1105" s="1" t="s">
        <v>30</v>
      </c>
      <c r="H1105" s="1" t="s">
        <v>1762</v>
      </c>
      <c r="I1105" t="b">
        <f>COUNTIF(Estadísticas!I:I,'centraldecomunicacion.es'!H1105)&gt;0</f>
        <v>0</v>
      </c>
    </row>
    <row r="1106" spans="1:9" hidden="1">
      <c r="A1106" s="1" t="s">
        <v>5125</v>
      </c>
      <c r="B1106" s="1" t="s">
        <v>18</v>
      </c>
      <c r="C1106" s="1" t="s">
        <v>30</v>
      </c>
      <c r="D1106" s="1" t="s">
        <v>354</v>
      </c>
      <c r="E1106" s="1" t="s">
        <v>30</v>
      </c>
      <c r="F1106" s="1" t="s">
        <v>5126</v>
      </c>
      <c r="G1106" s="1" t="s">
        <v>30</v>
      </c>
      <c r="H1106" s="1" t="s">
        <v>1762</v>
      </c>
      <c r="I1106" t="b">
        <f>COUNTIF(Estadísticas!I:I,'centraldecomunicacion.es'!H1106)&gt;0</f>
        <v>0</v>
      </c>
    </row>
    <row r="1107" spans="1:9" hidden="1">
      <c r="A1107" s="1" t="s">
        <v>5127</v>
      </c>
      <c r="B1107" s="1" t="s">
        <v>18</v>
      </c>
      <c r="C1107" s="1" t="s">
        <v>5128</v>
      </c>
      <c r="D1107" s="1" t="s">
        <v>294</v>
      </c>
      <c r="E1107" s="1" t="s">
        <v>294</v>
      </c>
      <c r="F1107" s="1" t="s">
        <v>30</v>
      </c>
      <c r="G1107" s="1" t="s">
        <v>5129</v>
      </c>
      <c r="H1107" s="1" t="s">
        <v>1762</v>
      </c>
      <c r="I1107" t="b">
        <f>COUNTIF(Estadísticas!I:I,'centraldecomunicacion.es'!H1107)&gt;0</f>
        <v>0</v>
      </c>
    </row>
    <row r="1108" spans="1:9">
      <c r="A1108" s="1" t="s">
        <v>418</v>
      </c>
      <c r="B1108" s="1" t="s">
        <v>18</v>
      </c>
      <c r="C1108" s="1" t="s">
        <v>419</v>
      </c>
      <c r="D1108" s="1" t="s">
        <v>420</v>
      </c>
      <c r="E1108" s="1" t="s">
        <v>294</v>
      </c>
      <c r="F1108" s="1" t="s">
        <v>421</v>
      </c>
      <c r="G1108" s="1" t="s">
        <v>422</v>
      </c>
      <c r="H1108" s="1" t="s">
        <v>423</v>
      </c>
      <c r="I1108" t="b">
        <f>COUNTIF(Estadísticas!I:I,'centraldecomunicacion.es'!H1108)&gt;0</f>
        <v>1</v>
      </c>
    </row>
    <row r="1109" spans="1:9" hidden="1">
      <c r="A1109" s="1" t="s">
        <v>5130</v>
      </c>
      <c r="B1109" s="1" t="s">
        <v>10</v>
      </c>
      <c r="C1109" s="1" t="s">
        <v>5131</v>
      </c>
      <c r="D1109" s="1" t="s">
        <v>426</v>
      </c>
      <c r="E1109" s="1" t="s">
        <v>294</v>
      </c>
      <c r="F1109" s="1" t="s">
        <v>30</v>
      </c>
      <c r="G1109" s="1" t="s">
        <v>5132</v>
      </c>
      <c r="H1109" s="1" t="s">
        <v>1762</v>
      </c>
      <c r="I1109" t="b">
        <f>COUNTIF(Estadísticas!I:I,'centraldecomunicacion.es'!H1109)&gt;0</f>
        <v>0</v>
      </c>
    </row>
    <row r="1110" spans="1:9" hidden="1">
      <c r="A1110" s="1" t="s">
        <v>5133</v>
      </c>
      <c r="B1110" s="1" t="s">
        <v>10</v>
      </c>
      <c r="C1110" s="1" t="s">
        <v>5134</v>
      </c>
      <c r="D1110" s="1" t="s">
        <v>5135</v>
      </c>
      <c r="E1110" s="1" t="s">
        <v>294</v>
      </c>
      <c r="F1110" s="1" t="s">
        <v>30</v>
      </c>
      <c r="G1110" s="1" t="s">
        <v>5136</v>
      </c>
      <c r="H1110" s="1" t="s">
        <v>1762</v>
      </c>
      <c r="I1110" t="b">
        <f>COUNTIF(Estadísticas!I:I,'centraldecomunicacion.es'!H1110)&gt;0</f>
        <v>0</v>
      </c>
    </row>
    <row r="1111" spans="1:9" hidden="1">
      <c r="A1111" s="1" t="s">
        <v>5137</v>
      </c>
      <c r="B1111" s="1" t="s">
        <v>10</v>
      </c>
      <c r="C1111" s="1" t="s">
        <v>5138</v>
      </c>
      <c r="D1111" s="1" t="s">
        <v>5139</v>
      </c>
      <c r="E1111" s="1" t="s">
        <v>5139</v>
      </c>
      <c r="F1111" s="1" t="s">
        <v>30</v>
      </c>
      <c r="G1111" s="1" t="s">
        <v>5140</v>
      </c>
      <c r="H1111" s="1" t="s">
        <v>1762</v>
      </c>
      <c r="I1111" t="b">
        <f>COUNTIF(Estadísticas!I:I,'centraldecomunicacion.es'!H1111)&gt;0</f>
        <v>0</v>
      </c>
    </row>
    <row r="1112" spans="1:9" hidden="1">
      <c r="A1112" s="1" t="s">
        <v>5141</v>
      </c>
      <c r="B1112" s="1" t="s">
        <v>18</v>
      </c>
      <c r="C1112" s="1" t="s">
        <v>5142</v>
      </c>
      <c r="D1112" s="1" t="s">
        <v>294</v>
      </c>
      <c r="E1112" s="1" t="s">
        <v>294</v>
      </c>
      <c r="F1112" s="1" t="s">
        <v>5143</v>
      </c>
      <c r="G1112" s="1" t="s">
        <v>5144</v>
      </c>
      <c r="H1112" s="1" t="s">
        <v>5145</v>
      </c>
      <c r="I1112" t="b">
        <f>COUNTIF(Estadísticas!I:I,'centraldecomunicacion.es'!H1112)&gt;0</f>
        <v>0</v>
      </c>
    </row>
    <row r="1113" spans="1:9" hidden="1">
      <c r="A1113" s="1" t="s">
        <v>5146</v>
      </c>
      <c r="B1113" s="1" t="s">
        <v>10</v>
      </c>
      <c r="C1113" s="1" t="s">
        <v>5147</v>
      </c>
      <c r="D1113" s="1" t="s">
        <v>294</v>
      </c>
      <c r="E1113" s="1" t="s">
        <v>294</v>
      </c>
      <c r="F1113" s="1" t="s">
        <v>30</v>
      </c>
      <c r="G1113" s="1" t="s">
        <v>5148</v>
      </c>
      <c r="H1113" s="1" t="s">
        <v>1762</v>
      </c>
      <c r="I1113" t="b">
        <f>COUNTIF(Estadísticas!I:I,'centraldecomunicacion.es'!H1113)&gt;0</f>
        <v>0</v>
      </c>
    </row>
    <row r="1114" spans="1:9" hidden="1">
      <c r="A1114" s="1" t="s">
        <v>5149</v>
      </c>
      <c r="B1114" s="1" t="s">
        <v>10</v>
      </c>
      <c r="C1114" s="1" t="s">
        <v>5150</v>
      </c>
      <c r="D1114" s="1" t="s">
        <v>5151</v>
      </c>
      <c r="E1114" s="1" t="s">
        <v>294</v>
      </c>
      <c r="F1114" s="1" t="s">
        <v>30</v>
      </c>
      <c r="G1114" s="1" t="s">
        <v>30</v>
      </c>
      <c r="H1114" s="1" t="s">
        <v>1762</v>
      </c>
      <c r="I1114" t="b">
        <f>COUNTIF(Estadísticas!I:I,'centraldecomunicacion.es'!H1114)&gt;0</f>
        <v>0</v>
      </c>
    </row>
    <row r="1115" spans="1:9" hidden="1">
      <c r="A1115" s="1" t="s">
        <v>5152</v>
      </c>
      <c r="B1115" s="1" t="s">
        <v>10</v>
      </c>
      <c r="C1115" s="1" t="s">
        <v>5153</v>
      </c>
      <c r="D1115" s="1" t="s">
        <v>294</v>
      </c>
      <c r="E1115" s="1" t="s">
        <v>294</v>
      </c>
      <c r="F1115" s="1" t="s">
        <v>5154</v>
      </c>
      <c r="G1115" s="1" t="s">
        <v>5155</v>
      </c>
      <c r="H1115" s="1" t="s">
        <v>5156</v>
      </c>
      <c r="I1115" t="b">
        <f>COUNTIF(Estadísticas!I:I,'centraldecomunicacion.es'!H1115)&gt;0</f>
        <v>0</v>
      </c>
    </row>
    <row r="1116" spans="1:9" hidden="1">
      <c r="A1116" s="1" t="s">
        <v>5157</v>
      </c>
      <c r="B1116" s="1" t="s">
        <v>10</v>
      </c>
      <c r="C1116" s="1" t="s">
        <v>5158</v>
      </c>
      <c r="D1116" s="1" t="s">
        <v>426</v>
      </c>
      <c r="E1116" s="1" t="s">
        <v>294</v>
      </c>
      <c r="F1116" s="1" t="s">
        <v>30</v>
      </c>
      <c r="G1116" s="1" t="s">
        <v>5159</v>
      </c>
      <c r="H1116" s="1" t="s">
        <v>1762</v>
      </c>
      <c r="I1116" t="b">
        <f>COUNTIF(Estadísticas!I:I,'centraldecomunicacion.es'!H1116)&gt;0</f>
        <v>0</v>
      </c>
    </row>
    <row r="1117" spans="1:9" hidden="1">
      <c r="A1117" s="1" t="s">
        <v>5160</v>
      </c>
      <c r="B1117" s="1" t="s">
        <v>10</v>
      </c>
      <c r="C1117" s="1" t="s">
        <v>5161</v>
      </c>
      <c r="D1117" s="1" t="s">
        <v>294</v>
      </c>
      <c r="E1117" s="1" t="s">
        <v>294</v>
      </c>
      <c r="F1117" s="1" t="s">
        <v>30</v>
      </c>
      <c r="G1117" s="1" t="s">
        <v>5162</v>
      </c>
      <c r="H1117" s="1" t="s">
        <v>1762</v>
      </c>
      <c r="I1117" t="b">
        <f>COUNTIF(Estadísticas!I:I,'centraldecomunicacion.es'!H1117)&gt;0</f>
        <v>0</v>
      </c>
    </row>
    <row r="1118" spans="1:9" hidden="1">
      <c r="A1118" s="1" t="s">
        <v>5163</v>
      </c>
      <c r="B1118" s="1" t="s">
        <v>10</v>
      </c>
      <c r="C1118" s="1" t="s">
        <v>5164</v>
      </c>
      <c r="D1118" s="1" t="s">
        <v>5165</v>
      </c>
      <c r="E1118" s="1" t="s">
        <v>294</v>
      </c>
      <c r="F1118" s="1" t="s">
        <v>30</v>
      </c>
      <c r="G1118" s="1" t="s">
        <v>5166</v>
      </c>
      <c r="H1118" s="1" t="s">
        <v>1762</v>
      </c>
      <c r="I1118" t="b">
        <f>COUNTIF(Estadísticas!I:I,'centraldecomunicacion.es'!H1118)&gt;0</f>
        <v>0</v>
      </c>
    </row>
    <row r="1119" spans="1:9" hidden="1">
      <c r="A1119" s="1" t="s">
        <v>5167</v>
      </c>
      <c r="B1119" s="1" t="s">
        <v>10</v>
      </c>
      <c r="C1119" s="1" t="s">
        <v>5168</v>
      </c>
      <c r="D1119" s="1" t="s">
        <v>5151</v>
      </c>
      <c r="E1119" s="1" t="s">
        <v>294</v>
      </c>
      <c r="F1119" s="1" t="s">
        <v>30</v>
      </c>
      <c r="G1119" s="1" t="s">
        <v>5169</v>
      </c>
      <c r="H1119" s="1" t="s">
        <v>1762</v>
      </c>
      <c r="I1119" t="b">
        <f>COUNTIF(Estadísticas!I:I,'centraldecomunicacion.es'!H1119)&gt;0</f>
        <v>0</v>
      </c>
    </row>
    <row r="1120" spans="1:9" hidden="1">
      <c r="A1120" s="1" t="s">
        <v>5170</v>
      </c>
      <c r="B1120" s="1" t="s">
        <v>10</v>
      </c>
      <c r="C1120" s="1" t="s">
        <v>5171</v>
      </c>
      <c r="D1120" s="1" t="s">
        <v>5172</v>
      </c>
      <c r="E1120" s="1" t="s">
        <v>294</v>
      </c>
      <c r="F1120" s="1" t="s">
        <v>30</v>
      </c>
      <c r="G1120" s="1" t="s">
        <v>30</v>
      </c>
      <c r="H1120" s="1" t="s">
        <v>1762</v>
      </c>
      <c r="I1120" t="b">
        <f>COUNTIF(Estadísticas!I:I,'centraldecomunicacion.es'!H1120)&gt;0</f>
        <v>0</v>
      </c>
    </row>
    <row r="1121" spans="1:9" hidden="1">
      <c r="A1121" s="1" t="s">
        <v>5173</v>
      </c>
      <c r="B1121" s="1" t="s">
        <v>10</v>
      </c>
      <c r="C1121" s="1" t="s">
        <v>30</v>
      </c>
      <c r="D1121" s="1" t="s">
        <v>354</v>
      </c>
      <c r="E1121" s="1" t="s">
        <v>30</v>
      </c>
      <c r="F1121" s="1" t="s">
        <v>5174</v>
      </c>
      <c r="G1121" s="1" t="s">
        <v>5175</v>
      </c>
      <c r="H1121" s="1" t="s">
        <v>1762</v>
      </c>
      <c r="I1121" t="b">
        <f>COUNTIF(Estadísticas!I:I,'centraldecomunicacion.es'!H1121)&gt;0</f>
        <v>0</v>
      </c>
    </row>
    <row r="1122" spans="1:9" hidden="1">
      <c r="A1122" s="1" t="s">
        <v>5176</v>
      </c>
      <c r="B1122" s="1" t="s">
        <v>10</v>
      </c>
      <c r="C1122" s="1" t="s">
        <v>5177</v>
      </c>
      <c r="D1122" s="1" t="s">
        <v>5178</v>
      </c>
      <c r="E1122" s="1" t="s">
        <v>294</v>
      </c>
      <c r="F1122" s="1" t="s">
        <v>5179</v>
      </c>
      <c r="G1122" s="1" t="s">
        <v>5180</v>
      </c>
      <c r="H1122" s="1" t="s">
        <v>5181</v>
      </c>
      <c r="I1122" t="b">
        <f>COUNTIF(Estadísticas!I:I,'centraldecomunicacion.es'!H1122)&gt;0</f>
        <v>0</v>
      </c>
    </row>
    <row r="1123" spans="1:9" hidden="1">
      <c r="A1123" s="1" t="s">
        <v>5182</v>
      </c>
      <c r="B1123" s="1" t="s">
        <v>10</v>
      </c>
      <c r="C1123" s="1" t="s">
        <v>5183</v>
      </c>
      <c r="D1123" s="1" t="s">
        <v>294</v>
      </c>
      <c r="E1123" s="1" t="s">
        <v>294</v>
      </c>
      <c r="F1123" s="1" t="s">
        <v>30</v>
      </c>
      <c r="G1123" s="1" t="s">
        <v>5184</v>
      </c>
      <c r="H1123" s="1" t="s">
        <v>1762</v>
      </c>
      <c r="I1123" t="b">
        <f>COUNTIF(Estadísticas!I:I,'centraldecomunicacion.es'!H1123)&gt;0</f>
        <v>0</v>
      </c>
    </row>
    <row r="1124" spans="1:9">
      <c r="A1124" s="1" t="s">
        <v>424</v>
      </c>
      <c r="B1124" s="1" t="s">
        <v>10</v>
      </c>
      <c r="C1124" s="1" t="s">
        <v>425</v>
      </c>
      <c r="D1124" s="1" t="s">
        <v>426</v>
      </c>
      <c r="E1124" s="1" t="s">
        <v>294</v>
      </c>
      <c r="F1124" s="1" t="s">
        <v>427</v>
      </c>
      <c r="G1124" s="1" t="s">
        <v>428</v>
      </c>
      <c r="H1124" s="1" t="s">
        <v>429</v>
      </c>
      <c r="I1124" t="b">
        <f>COUNTIF(Estadísticas!I:I,'centraldecomunicacion.es'!H1124)&gt;0</f>
        <v>1</v>
      </c>
    </row>
    <row r="1125" spans="1:9" hidden="1">
      <c r="A1125" s="1" t="s">
        <v>5185</v>
      </c>
      <c r="B1125" s="1" t="s">
        <v>10</v>
      </c>
      <c r="C1125" s="1" t="s">
        <v>5186</v>
      </c>
      <c r="D1125" s="1" t="s">
        <v>5187</v>
      </c>
      <c r="E1125" s="1" t="s">
        <v>294</v>
      </c>
      <c r="F1125" s="1" t="s">
        <v>5188</v>
      </c>
      <c r="G1125" s="1" t="s">
        <v>5189</v>
      </c>
      <c r="H1125" s="1" t="s">
        <v>1762</v>
      </c>
      <c r="I1125" t="b">
        <f>COUNTIF(Estadísticas!I:I,'centraldecomunicacion.es'!H1125)&gt;0</f>
        <v>0</v>
      </c>
    </row>
    <row r="1126" spans="1:9" hidden="1">
      <c r="A1126" s="1" t="s">
        <v>5190</v>
      </c>
      <c r="B1126" s="1" t="s">
        <v>10</v>
      </c>
      <c r="C1126" s="1" t="s">
        <v>5191</v>
      </c>
      <c r="D1126" s="1" t="s">
        <v>5192</v>
      </c>
      <c r="E1126" s="1" t="s">
        <v>294</v>
      </c>
      <c r="F1126" s="1" t="s">
        <v>30</v>
      </c>
      <c r="G1126" s="1" t="s">
        <v>30</v>
      </c>
      <c r="H1126" s="1" t="s">
        <v>1762</v>
      </c>
      <c r="I1126" t="b">
        <f>COUNTIF(Estadísticas!I:I,'centraldecomunicacion.es'!H1126)&gt;0</f>
        <v>0</v>
      </c>
    </row>
    <row r="1127" spans="1:9" hidden="1">
      <c r="A1127" s="1" t="s">
        <v>5193</v>
      </c>
      <c r="B1127" s="1" t="s">
        <v>10</v>
      </c>
      <c r="C1127" s="1" t="s">
        <v>5194</v>
      </c>
      <c r="D1127" s="1" t="s">
        <v>5195</v>
      </c>
      <c r="E1127" s="1" t="s">
        <v>294</v>
      </c>
      <c r="F1127" s="1" t="s">
        <v>30</v>
      </c>
      <c r="G1127" s="1" t="s">
        <v>30</v>
      </c>
      <c r="H1127" s="1" t="s">
        <v>1762</v>
      </c>
      <c r="I1127" t="b">
        <f>COUNTIF(Estadísticas!I:I,'centraldecomunicacion.es'!H1127)&gt;0</f>
        <v>0</v>
      </c>
    </row>
    <row r="1128" spans="1:9">
      <c r="A1128" s="1" t="s">
        <v>430</v>
      </c>
      <c r="B1128" s="1" t="s">
        <v>10</v>
      </c>
      <c r="C1128" s="1" t="s">
        <v>431</v>
      </c>
      <c r="D1128" s="1" t="s">
        <v>432</v>
      </c>
      <c r="E1128" s="1" t="s">
        <v>433</v>
      </c>
      <c r="F1128" s="1" t="s">
        <v>434</v>
      </c>
      <c r="G1128" s="1" t="s">
        <v>435</v>
      </c>
      <c r="H1128" s="1" t="s">
        <v>436</v>
      </c>
      <c r="I1128" t="b">
        <f>COUNTIF(Estadísticas!I:I,'centraldecomunicacion.es'!H1128)&gt;0</f>
        <v>1</v>
      </c>
    </row>
    <row r="1129" spans="1:9" hidden="1">
      <c r="A1129" s="1" t="s">
        <v>5196</v>
      </c>
      <c r="B1129" s="1" t="s">
        <v>10</v>
      </c>
      <c r="C1129" s="1" t="s">
        <v>30</v>
      </c>
      <c r="D1129" s="1" t="s">
        <v>5197</v>
      </c>
      <c r="E1129" s="1" t="s">
        <v>30</v>
      </c>
      <c r="F1129" s="1" t="s">
        <v>5198</v>
      </c>
      <c r="G1129" s="1" t="s">
        <v>5199</v>
      </c>
      <c r="H1129" s="1" t="s">
        <v>5200</v>
      </c>
      <c r="I1129" t="b">
        <f>COUNTIF(Estadísticas!I:I,'centraldecomunicacion.es'!H1129)&gt;0</f>
        <v>0</v>
      </c>
    </row>
    <row r="1130" spans="1:9" hidden="1">
      <c r="A1130" s="1" t="s">
        <v>5201</v>
      </c>
      <c r="B1130" s="1" t="s">
        <v>10</v>
      </c>
      <c r="C1130" s="1" t="s">
        <v>5202</v>
      </c>
      <c r="D1130" s="1" t="s">
        <v>5203</v>
      </c>
      <c r="E1130" s="1" t="s">
        <v>433</v>
      </c>
      <c r="F1130" s="1" t="s">
        <v>5204</v>
      </c>
      <c r="G1130" s="1" t="s">
        <v>5205</v>
      </c>
      <c r="H1130" s="1" t="s">
        <v>1762</v>
      </c>
      <c r="I1130" t="b">
        <f>COUNTIF(Estadísticas!I:I,'centraldecomunicacion.es'!H1130)&gt;0</f>
        <v>0</v>
      </c>
    </row>
    <row r="1131" spans="1:9" hidden="1">
      <c r="A1131" s="1" t="s">
        <v>5206</v>
      </c>
      <c r="B1131" s="1" t="s">
        <v>10</v>
      </c>
      <c r="C1131" s="1" t="s">
        <v>5207</v>
      </c>
      <c r="D1131" s="1" t="s">
        <v>5208</v>
      </c>
      <c r="E1131" s="1" t="s">
        <v>433</v>
      </c>
      <c r="F1131" s="1" t="s">
        <v>5209</v>
      </c>
      <c r="G1131" s="1" t="s">
        <v>5210</v>
      </c>
      <c r="H1131" s="1" t="s">
        <v>1783</v>
      </c>
      <c r="I1131" t="b">
        <f>COUNTIF(Estadísticas!I:I,'centraldecomunicacion.es'!H1131)&gt;0</f>
        <v>0</v>
      </c>
    </row>
    <row r="1132" spans="1:9" hidden="1">
      <c r="A1132" s="1" t="s">
        <v>5211</v>
      </c>
      <c r="B1132" s="1" t="s">
        <v>10</v>
      </c>
      <c r="C1132" s="1" t="s">
        <v>5212</v>
      </c>
      <c r="D1132" s="1" t="s">
        <v>5208</v>
      </c>
      <c r="E1132" s="1" t="s">
        <v>433</v>
      </c>
      <c r="F1132" s="1" t="s">
        <v>5213</v>
      </c>
      <c r="G1132" s="1" t="s">
        <v>5214</v>
      </c>
      <c r="H1132" s="1" t="s">
        <v>5215</v>
      </c>
      <c r="I1132" t="b">
        <f>COUNTIF(Estadísticas!I:I,'centraldecomunicacion.es'!H1132)&gt;0</f>
        <v>0</v>
      </c>
    </row>
    <row r="1133" spans="1:9">
      <c r="A1133" s="1" t="s">
        <v>430</v>
      </c>
      <c r="B1133" s="1" t="s">
        <v>10</v>
      </c>
      <c r="C1133" s="1" t="s">
        <v>5216</v>
      </c>
      <c r="D1133" s="1" t="s">
        <v>432</v>
      </c>
      <c r="E1133" s="1" t="s">
        <v>433</v>
      </c>
      <c r="F1133" s="1" t="s">
        <v>434</v>
      </c>
      <c r="G1133" s="1" t="s">
        <v>435</v>
      </c>
      <c r="H1133" s="1" t="s">
        <v>436</v>
      </c>
      <c r="I1133" t="b">
        <f>COUNTIF(Estadísticas!I:I,'centraldecomunicacion.es'!H1133)&gt;0</f>
        <v>1</v>
      </c>
    </row>
    <row r="1134" spans="1:9" hidden="1">
      <c r="A1134" s="1" t="s">
        <v>5217</v>
      </c>
      <c r="B1134" s="1" t="s">
        <v>10</v>
      </c>
      <c r="C1134" s="1" t="s">
        <v>5218</v>
      </c>
      <c r="D1134" s="1" t="s">
        <v>432</v>
      </c>
      <c r="E1134" s="1" t="s">
        <v>433</v>
      </c>
      <c r="F1134" s="1" t="s">
        <v>5219</v>
      </c>
      <c r="G1134" s="1" t="s">
        <v>5220</v>
      </c>
      <c r="H1134" s="1" t="s">
        <v>1762</v>
      </c>
      <c r="I1134" t="b">
        <f>COUNTIF(Estadísticas!I:I,'centraldecomunicacion.es'!H1134)&gt;0</f>
        <v>0</v>
      </c>
    </row>
    <row r="1135" spans="1:9" hidden="1">
      <c r="A1135" s="1" t="s">
        <v>5221</v>
      </c>
      <c r="B1135" s="1" t="s">
        <v>10</v>
      </c>
      <c r="C1135" s="1" t="s">
        <v>5222</v>
      </c>
      <c r="D1135" s="1" t="s">
        <v>5223</v>
      </c>
      <c r="E1135" s="1" t="s">
        <v>433</v>
      </c>
      <c r="F1135" s="1" t="s">
        <v>5224</v>
      </c>
      <c r="G1135" s="1" t="s">
        <v>5225</v>
      </c>
      <c r="H1135" s="1" t="s">
        <v>5226</v>
      </c>
      <c r="I1135" t="b">
        <f>COUNTIF(Estadísticas!I:I,'centraldecomunicacion.es'!H1135)&gt;0</f>
        <v>0</v>
      </c>
    </row>
    <row r="1136" spans="1:9" hidden="1">
      <c r="A1136" s="1" t="s">
        <v>5227</v>
      </c>
      <c r="B1136" s="1" t="s">
        <v>10</v>
      </c>
      <c r="C1136" s="1" t="s">
        <v>5228</v>
      </c>
      <c r="D1136" s="1" t="s">
        <v>432</v>
      </c>
      <c r="E1136" s="1" t="s">
        <v>433</v>
      </c>
      <c r="F1136" s="1" t="s">
        <v>5229</v>
      </c>
      <c r="G1136" s="1" t="s">
        <v>5230</v>
      </c>
      <c r="H1136" s="1" t="s">
        <v>5231</v>
      </c>
      <c r="I1136" t="b">
        <f>COUNTIF(Estadísticas!I:I,'centraldecomunicacion.es'!H1136)&gt;0</f>
        <v>0</v>
      </c>
    </row>
    <row r="1137" spans="1:9" hidden="1">
      <c r="A1137" s="1" t="s">
        <v>5232</v>
      </c>
      <c r="B1137" s="1" t="s">
        <v>10</v>
      </c>
      <c r="C1137" s="1" t="s">
        <v>5233</v>
      </c>
      <c r="D1137" s="1" t="s">
        <v>432</v>
      </c>
      <c r="E1137" s="1" t="s">
        <v>433</v>
      </c>
      <c r="F1137" s="1" t="s">
        <v>5234</v>
      </c>
      <c r="G1137" s="1" t="s">
        <v>5235</v>
      </c>
      <c r="H1137" s="1" t="s">
        <v>5236</v>
      </c>
      <c r="I1137" t="b">
        <f>COUNTIF(Estadísticas!I:I,'centraldecomunicacion.es'!H1137)&gt;0</f>
        <v>0</v>
      </c>
    </row>
    <row r="1138" spans="1:9" hidden="1">
      <c r="A1138" s="1" t="s">
        <v>5237</v>
      </c>
      <c r="B1138" s="1" t="s">
        <v>10</v>
      </c>
      <c r="C1138" s="1" t="s">
        <v>5238</v>
      </c>
      <c r="D1138" s="1" t="s">
        <v>5239</v>
      </c>
      <c r="E1138" s="1" t="s">
        <v>433</v>
      </c>
      <c r="F1138" s="1" t="s">
        <v>30</v>
      </c>
      <c r="G1138" s="1" t="s">
        <v>5240</v>
      </c>
      <c r="H1138" s="1" t="s">
        <v>1762</v>
      </c>
      <c r="I1138" t="b">
        <f>COUNTIF(Estadísticas!I:I,'centraldecomunicacion.es'!H1138)&gt;0</f>
        <v>0</v>
      </c>
    </row>
    <row r="1139" spans="1:9" hidden="1">
      <c r="A1139" s="1" t="s">
        <v>5241</v>
      </c>
      <c r="B1139" s="1" t="s">
        <v>18</v>
      </c>
      <c r="C1139" s="1" t="s">
        <v>5242</v>
      </c>
      <c r="D1139" s="1" t="s">
        <v>5208</v>
      </c>
      <c r="E1139" s="1" t="s">
        <v>433</v>
      </c>
      <c r="F1139" s="1" t="s">
        <v>4288</v>
      </c>
      <c r="G1139" s="1" t="s">
        <v>5243</v>
      </c>
      <c r="H1139" s="1" t="s">
        <v>4290</v>
      </c>
      <c r="I1139" t="b">
        <f>COUNTIF(Estadísticas!I:I,'centraldecomunicacion.es'!H1139)&gt;0</f>
        <v>0</v>
      </c>
    </row>
    <row r="1140" spans="1:9" hidden="1">
      <c r="A1140" s="1" t="s">
        <v>5244</v>
      </c>
      <c r="B1140" s="1" t="s">
        <v>10</v>
      </c>
      <c r="C1140" s="1" t="s">
        <v>5245</v>
      </c>
      <c r="D1140" s="1" t="s">
        <v>432</v>
      </c>
      <c r="E1140" s="1" t="s">
        <v>433</v>
      </c>
      <c r="F1140" s="1" t="s">
        <v>1984</v>
      </c>
      <c r="G1140" s="1" t="s">
        <v>435</v>
      </c>
      <c r="H1140" s="1" t="s">
        <v>1762</v>
      </c>
      <c r="I1140" t="b">
        <f>COUNTIF(Estadísticas!I:I,'centraldecomunicacion.es'!H1140)&gt;0</f>
        <v>0</v>
      </c>
    </row>
    <row r="1141" spans="1:9" hidden="1">
      <c r="A1141" s="1" t="s">
        <v>5246</v>
      </c>
      <c r="B1141" s="1" t="s">
        <v>10</v>
      </c>
      <c r="C1141" s="1" t="s">
        <v>5247</v>
      </c>
      <c r="D1141" s="1" t="s">
        <v>5208</v>
      </c>
      <c r="E1141" s="1" t="s">
        <v>433</v>
      </c>
      <c r="F1141" s="1" t="s">
        <v>5248</v>
      </c>
      <c r="G1141" s="1" t="s">
        <v>5249</v>
      </c>
      <c r="H1141" s="1" t="s">
        <v>5250</v>
      </c>
      <c r="I1141" t="b">
        <f>COUNTIF(Estadísticas!I:I,'centraldecomunicacion.es'!H1141)&gt;0</f>
        <v>0</v>
      </c>
    </row>
    <row r="1142" spans="1:9" hidden="1">
      <c r="A1142" s="1" t="s">
        <v>5251</v>
      </c>
      <c r="B1142" s="1" t="s">
        <v>10</v>
      </c>
      <c r="C1142" s="1" t="s">
        <v>30</v>
      </c>
      <c r="D1142" s="1" t="s">
        <v>5197</v>
      </c>
      <c r="E1142" s="1" t="s">
        <v>30</v>
      </c>
      <c r="F1142" s="1" t="s">
        <v>5252</v>
      </c>
      <c r="G1142" s="1" t="s">
        <v>5253</v>
      </c>
      <c r="H1142" s="1" t="s">
        <v>5254</v>
      </c>
      <c r="I1142" t="b">
        <f>COUNTIF(Estadísticas!I:I,'centraldecomunicacion.es'!H1142)&gt;0</f>
        <v>0</v>
      </c>
    </row>
    <row r="1143" spans="1:9" hidden="1">
      <c r="A1143" s="1" t="s">
        <v>5255</v>
      </c>
      <c r="B1143" s="1" t="s">
        <v>18</v>
      </c>
      <c r="C1143" s="1" t="s">
        <v>5256</v>
      </c>
      <c r="D1143" s="1" t="s">
        <v>432</v>
      </c>
      <c r="E1143" s="1" t="s">
        <v>433</v>
      </c>
      <c r="F1143" s="1" t="s">
        <v>4288</v>
      </c>
      <c r="G1143" s="1" t="s">
        <v>5257</v>
      </c>
      <c r="H1143" s="1" t="s">
        <v>4290</v>
      </c>
      <c r="I1143" t="b">
        <f>COUNTIF(Estadísticas!I:I,'centraldecomunicacion.es'!H1143)&gt;0</f>
        <v>0</v>
      </c>
    </row>
    <row r="1144" spans="1:9" hidden="1">
      <c r="A1144" s="1" t="s">
        <v>5258</v>
      </c>
      <c r="B1144" s="1" t="s">
        <v>10</v>
      </c>
      <c r="C1144" s="1" t="s">
        <v>5259</v>
      </c>
      <c r="D1144" s="1" t="s">
        <v>5260</v>
      </c>
      <c r="E1144" s="1" t="s">
        <v>433</v>
      </c>
      <c r="F1144" s="1" t="s">
        <v>30</v>
      </c>
      <c r="G1144" s="1" t="s">
        <v>5261</v>
      </c>
      <c r="H1144" s="1" t="s">
        <v>1762</v>
      </c>
      <c r="I1144" t="b">
        <f>COUNTIF(Estadísticas!I:I,'centraldecomunicacion.es'!H1144)&gt;0</f>
        <v>0</v>
      </c>
    </row>
    <row r="1145" spans="1:9" hidden="1">
      <c r="A1145" s="1" t="s">
        <v>5262</v>
      </c>
      <c r="B1145" s="1" t="s">
        <v>18</v>
      </c>
      <c r="C1145" s="1" t="s">
        <v>5263</v>
      </c>
      <c r="D1145" s="1" t="s">
        <v>5264</v>
      </c>
      <c r="E1145" s="1" t="s">
        <v>433</v>
      </c>
      <c r="F1145" s="1" t="s">
        <v>5265</v>
      </c>
      <c r="G1145" s="1" t="s">
        <v>5266</v>
      </c>
      <c r="H1145" s="1" t="s">
        <v>5267</v>
      </c>
      <c r="I1145" t="b">
        <f>COUNTIF(Estadísticas!I:I,'centraldecomunicacion.es'!H1145)&gt;0</f>
        <v>0</v>
      </c>
    </row>
    <row r="1146" spans="1:9" hidden="1">
      <c r="A1146" s="1" t="s">
        <v>5268</v>
      </c>
      <c r="B1146" s="1" t="s">
        <v>10</v>
      </c>
      <c r="C1146" s="1" t="s">
        <v>5269</v>
      </c>
      <c r="D1146" s="1" t="s">
        <v>432</v>
      </c>
      <c r="E1146" s="1" t="s">
        <v>433</v>
      </c>
      <c r="F1146" s="1" t="s">
        <v>5270</v>
      </c>
      <c r="G1146" s="1" t="s">
        <v>5271</v>
      </c>
      <c r="H1146" s="1" t="s">
        <v>5272</v>
      </c>
      <c r="I1146" t="b">
        <f>COUNTIF(Estadísticas!I:I,'centraldecomunicacion.es'!H1146)&gt;0</f>
        <v>0</v>
      </c>
    </row>
    <row r="1147" spans="1:9" hidden="1">
      <c r="A1147" s="1" t="s">
        <v>5201</v>
      </c>
      <c r="B1147" s="1" t="s">
        <v>10</v>
      </c>
      <c r="C1147" s="1" t="s">
        <v>5273</v>
      </c>
      <c r="D1147" s="1" t="s">
        <v>5274</v>
      </c>
      <c r="E1147" s="1" t="s">
        <v>433</v>
      </c>
      <c r="F1147" s="1" t="s">
        <v>5204</v>
      </c>
      <c r="G1147" s="1" t="s">
        <v>5275</v>
      </c>
      <c r="H1147" s="1" t="s">
        <v>1762</v>
      </c>
      <c r="I1147" t="b">
        <f>COUNTIF(Estadísticas!I:I,'centraldecomunicacion.es'!H1147)&gt;0</f>
        <v>0</v>
      </c>
    </row>
    <row r="1148" spans="1:9" hidden="1">
      <c r="A1148" s="1" t="s">
        <v>5276</v>
      </c>
      <c r="B1148" s="1" t="s">
        <v>18</v>
      </c>
      <c r="C1148" s="1" t="s">
        <v>5277</v>
      </c>
      <c r="D1148" s="1" t="s">
        <v>5260</v>
      </c>
      <c r="E1148" s="1" t="s">
        <v>433</v>
      </c>
      <c r="F1148" s="1" t="s">
        <v>5278</v>
      </c>
      <c r="G1148" s="1" t="s">
        <v>5279</v>
      </c>
      <c r="H1148" s="1" t="s">
        <v>5280</v>
      </c>
      <c r="I1148" t="b">
        <f>COUNTIF(Estadísticas!I:I,'centraldecomunicacion.es'!H1148)&gt;0</f>
        <v>0</v>
      </c>
    </row>
    <row r="1149" spans="1:9" hidden="1">
      <c r="A1149" s="1" t="s">
        <v>5281</v>
      </c>
      <c r="B1149" s="1" t="s">
        <v>10</v>
      </c>
      <c r="C1149" s="1" t="s">
        <v>5282</v>
      </c>
      <c r="D1149" s="1" t="s">
        <v>5283</v>
      </c>
      <c r="E1149" s="1" t="s">
        <v>433</v>
      </c>
      <c r="F1149" s="1" t="s">
        <v>30</v>
      </c>
      <c r="G1149" s="1" t="s">
        <v>5284</v>
      </c>
      <c r="H1149" s="1" t="s">
        <v>1762</v>
      </c>
      <c r="I1149" t="b">
        <f>COUNTIF(Estadísticas!I:I,'centraldecomunicacion.es'!H1149)&gt;0</f>
        <v>0</v>
      </c>
    </row>
    <row r="1150" spans="1:9" hidden="1">
      <c r="A1150" s="1" t="s">
        <v>5285</v>
      </c>
      <c r="B1150" s="1" t="s">
        <v>10</v>
      </c>
      <c r="C1150" s="1" t="s">
        <v>5286</v>
      </c>
      <c r="D1150" s="1" t="s">
        <v>5287</v>
      </c>
      <c r="E1150" s="1" t="s">
        <v>433</v>
      </c>
      <c r="F1150" s="1" t="s">
        <v>30</v>
      </c>
      <c r="G1150" s="1" t="s">
        <v>5288</v>
      </c>
      <c r="H1150" s="1" t="s">
        <v>1762</v>
      </c>
      <c r="I1150" t="b">
        <f>COUNTIF(Estadísticas!I:I,'centraldecomunicacion.es'!H1150)&gt;0</f>
        <v>0</v>
      </c>
    </row>
    <row r="1151" spans="1:9" hidden="1">
      <c r="A1151" s="1" t="s">
        <v>5289</v>
      </c>
      <c r="B1151" s="1" t="s">
        <v>18</v>
      </c>
      <c r="C1151" s="1" t="s">
        <v>5290</v>
      </c>
      <c r="D1151" s="1" t="s">
        <v>432</v>
      </c>
      <c r="E1151" s="1" t="s">
        <v>433</v>
      </c>
      <c r="F1151" s="1" t="s">
        <v>5291</v>
      </c>
      <c r="G1151" s="1" t="s">
        <v>5292</v>
      </c>
      <c r="H1151" s="1" t="s">
        <v>5293</v>
      </c>
      <c r="I1151" t="b">
        <f>COUNTIF(Estadísticas!I:I,'centraldecomunicacion.es'!H1151)&gt;0</f>
        <v>0</v>
      </c>
    </row>
    <row r="1152" spans="1:9" hidden="1">
      <c r="A1152" s="1" t="s">
        <v>5294</v>
      </c>
      <c r="B1152" s="1" t="s">
        <v>10</v>
      </c>
      <c r="C1152" s="1" t="s">
        <v>5295</v>
      </c>
      <c r="D1152" s="1" t="s">
        <v>5296</v>
      </c>
      <c r="E1152" s="1" t="s">
        <v>433</v>
      </c>
      <c r="F1152" s="1" t="s">
        <v>5297</v>
      </c>
      <c r="G1152" s="1" t="s">
        <v>5298</v>
      </c>
      <c r="H1152" s="1" t="s">
        <v>5299</v>
      </c>
      <c r="I1152" t="b">
        <f>COUNTIF(Estadísticas!I:I,'centraldecomunicacion.es'!H1152)&gt;0</f>
        <v>0</v>
      </c>
    </row>
    <row r="1153" spans="1:9" hidden="1">
      <c r="A1153" s="1" t="s">
        <v>5300</v>
      </c>
      <c r="B1153" s="1" t="s">
        <v>10</v>
      </c>
      <c r="C1153" s="1" t="s">
        <v>5301</v>
      </c>
      <c r="D1153" s="1" t="s">
        <v>5302</v>
      </c>
      <c r="E1153" s="1" t="s">
        <v>433</v>
      </c>
      <c r="F1153" s="1" t="s">
        <v>30</v>
      </c>
      <c r="G1153" s="1" t="s">
        <v>5303</v>
      </c>
      <c r="H1153" s="1" t="s">
        <v>1762</v>
      </c>
      <c r="I1153" t="b">
        <f>COUNTIF(Estadísticas!I:I,'centraldecomunicacion.es'!H1153)&gt;0</f>
        <v>0</v>
      </c>
    </row>
    <row r="1154" spans="1:9" hidden="1">
      <c r="A1154" s="1" t="s">
        <v>5304</v>
      </c>
      <c r="B1154" s="1" t="s">
        <v>10</v>
      </c>
      <c r="C1154" s="1" t="s">
        <v>5305</v>
      </c>
      <c r="D1154" s="1" t="s">
        <v>5296</v>
      </c>
      <c r="E1154" s="1" t="s">
        <v>433</v>
      </c>
      <c r="F1154" s="1" t="s">
        <v>30</v>
      </c>
      <c r="G1154" s="1" t="s">
        <v>5306</v>
      </c>
      <c r="H1154" s="1" t="s">
        <v>1762</v>
      </c>
      <c r="I1154" t="b">
        <f>COUNTIF(Estadísticas!I:I,'centraldecomunicacion.es'!H1154)&gt;0</f>
        <v>0</v>
      </c>
    </row>
    <row r="1155" spans="1:9" hidden="1">
      <c r="A1155" s="1" t="s">
        <v>5307</v>
      </c>
      <c r="B1155" s="1" t="s">
        <v>10</v>
      </c>
      <c r="C1155" s="1" t="s">
        <v>5308</v>
      </c>
      <c r="D1155" s="1" t="s">
        <v>5309</v>
      </c>
      <c r="E1155" s="1" t="s">
        <v>433</v>
      </c>
      <c r="F1155" s="1" t="s">
        <v>30</v>
      </c>
      <c r="G1155" s="1" t="s">
        <v>5310</v>
      </c>
      <c r="H1155" s="1" t="s">
        <v>1762</v>
      </c>
      <c r="I1155" t="b">
        <f>COUNTIF(Estadísticas!I:I,'centraldecomunicacion.es'!H1155)&gt;0</f>
        <v>0</v>
      </c>
    </row>
    <row r="1156" spans="1:9" hidden="1">
      <c r="A1156" s="1" t="s">
        <v>5311</v>
      </c>
      <c r="B1156" s="1" t="s">
        <v>10</v>
      </c>
      <c r="C1156" s="1" t="s">
        <v>5312</v>
      </c>
      <c r="D1156" s="1" t="s">
        <v>432</v>
      </c>
      <c r="E1156" s="1" t="s">
        <v>433</v>
      </c>
      <c r="F1156" s="1" t="s">
        <v>1984</v>
      </c>
      <c r="G1156" s="1" t="s">
        <v>5313</v>
      </c>
      <c r="H1156" s="1" t="s">
        <v>1762</v>
      </c>
      <c r="I1156" t="b">
        <f>COUNTIF(Estadísticas!I:I,'centraldecomunicacion.es'!H1156)&gt;0</f>
        <v>0</v>
      </c>
    </row>
    <row r="1157" spans="1:9" hidden="1">
      <c r="A1157" s="1" t="s">
        <v>5314</v>
      </c>
      <c r="B1157" s="1" t="s">
        <v>10</v>
      </c>
      <c r="C1157" s="1" t="s">
        <v>5315</v>
      </c>
      <c r="D1157" s="1" t="s">
        <v>5316</v>
      </c>
      <c r="E1157" s="1" t="s">
        <v>433</v>
      </c>
      <c r="F1157" s="1" t="s">
        <v>30</v>
      </c>
      <c r="G1157" s="1" t="s">
        <v>5317</v>
      </c>
      <c r="H1157" s="1" t="s">
        <v>1762</v>
      </c>
      <c r="I1157" t="b">
        <f>COUNTIF(Estadísticas!I:I,'centraldecomunicacion.es'!H1157)&gt;0</f>
        <v>0</v>
      </c>
    </row>
    <row r="1158" spans="1:9" hidden="1">
      <c r="A1158" s="1" t="s">
        <v>5318</v>
      </c>
      <c r="B1158" s="1" t="s">
        <v>18</v>
      </c>
      <c r="C1158" s="1" t="s">
        <v>5319</v>
      </c>
      <c r="D1158" s="1" t="s">
        <v>5320</v>
      </c>
      <c r="E1158" s="1" t="s">
        <v>433</v>
      </c>
      <c r="F1158" s="1" t="s">
        <v>5321</v>
      </c>
      <c r="G1158" s="1" t="s">
        <v>5322</v>
      </c>
      <c r="H1158" s="1" t="s">
        <v>1762</v>
      </c>
      <c r="I1158" t="b">
        <f>COUNTIF(Estadísticas!I:I,'centraldecomunicacion.es'!H1158)&gt;0</f>
        <v>0</v>
      </c>
    </row>
    <row r="1159" spans="1:9" hidden="1">
      <c r="A1159" s="1" t="s">
        <v>5323</v>
      </c>
      <c r="B1159" s="1" t="s">
        <v>10</v>
      </c>
      <c r="C1159" s="1" t="s">
        <v>5324</v>
      </c>
      <c r="D1159" s="1" t="s">
        <v>5197</v>
      </c>
      <c r="E1159" s="1" t="s">
        <v>433</v>
      </c>
      <c r="F1159" s="1" t="s">
        <v>30</v>
      </c>
      <c r="G1159" s="1" t="s">
        <v>5325</v>
      </c>
      <c r="H1159" s="1" t="s">
        <v>1762</v>
      </c>
      <c r="I1159" t="b">
        <f>COUNTIF(Estadísticas!I:I,'centraldecomunicacion.es'!H1159)&gt;0</f>
        <v>0</v>
      </c>
    </row>
    <row r="1160" spans="1:9" hidden="1">
      <c r="A1160" s="1" t="s">
        <v>5326</v>
      </c>
      <c r="B1160" s="1" t="s">
        <v>10</v>
      </c>
      <c r="C1160" s="1" t="s">
        <v>5327</v>
      </c>
      <c r="D1160" s="1" t="s">
        <v>5328</v>
      </c>
      <c r="E1160" s="1" t="s">
        <v>433</v>
      </c>
      <c r="F1160" s="1" t="s">
        <v>5329</v>
      </c>
      <c r="G1160" s="1" t="s">
        <v>5330</v>
      </c>
      <c r="H1160" s="1" t="s">
        <v>1762</v>
      </c>
      <c r="I1160" t="b">
        <f>COUNTIF(Estadísticas!I:I,'centraldecomunicacion.es'!H1160)&gt;0</f>
        <v>0</v>
      </c>
    </row>
    <row r="1161" spans="1:9" hidden="1">
      <c r="A1161" s="1" t="s">
        <v>5331</v>
      </c>
      <c r="B1161" s="1" t="s">
        <v>10</v>
      </c>
      <c r="C1161" s="1" t="s">
        <v>30</v>
      </c>
      <c r="D1161" s="1" t="s">
        <v>5197</v>
      </c>
      <c r="E1161" s="1" t="s">
        <v>30</v>
      </c>
      <c r="F1161" s="1" t="s">
        <v>5332</v>
      </c>
      <c r="G1161" s="1" t="s">
        <v>5333</v>
      </c>
      <c r="H1161" s="1" t="s">
        <v>5334</v>
      </c>
      <c r="I1161" t="b">
        <f>COUNTIF(Estadísticas!I:I,'centraldecomunicacion.es'!H1161)&gt;0</f>
        <v>0</v>
      </c>
    </row>
    <row r="1162" spans="1:9" hidden="1">
      <c r="A1162" s="1" t="s">
        <v>5335</v>
      </c>
      <c r="B1162" s="1" t="s">
        <v>10</v>
      </c>
      <c r="C1162" s="1" t="s">
        <v>5336</v>
      </c>
      <c r="D1162" s="1" t="s">
        <v>445</v>
      </c>
      <c r="E1162" s="1" t="s">
        <v>433</v>
      </c>
      <c r="F1162" s="1" t="s">
        <v>5229</v>
      </c>
      <c r="G1162" s="1" t="s">
        <v>5337</v>
      </c>
      <c r="H1162" s="1" t="s">
        <v>5231</v>
      </c>
      <c r="I1162" t="b">
        <f>COUNTIF(Estadísticas!I:I,'centraldecomunicacion.es'!H1162)&gt;0</f>
        <v>0</v>
      </c>
    </row>
    <row r="1163" spans="1:9" hidden="1">
      <c r="A1163" s="1" t="s">
        <v>5338</v>
      </c>
      <c r="B1163" s="1" t="s">
        <v>10</v>
      </c>
      <c r="C1163" s="1" t="s">
        <v>5339</v>
      </c>
      <c r="D1163" s="1" t="s">
        <v>5197</v>
      </c>
      <c r="E1163" s="1" t="s">
        <v>433</v>
      </c>
      <c r="F1163" s="1" t="s">
        <v>30</v>
      </c>
      <c r="G1163" s="1" t="s">
        <v>5340</v>
      </c>
      <c r="H1163" s="1" t="s">
        <v>1762</v>
      </c>
      <c r="I1163" t="b">
        <f>COUNTIF(Estadísticas!I:I,'centraldecomunicacion.es'!H1163)&gt;0</f>
        <v>0</v>
      </c>
    </row>
    <row r="1164" spans="1:9" hidden="1">
      <c r="A1164" s="1" t="s">
        <v>5341</v>
      </c>
      <c r="B1164" s="1" t="s">
        <v>10</v>
      </c>
      <c r="C1164" s="1" t="s">
        <v>5342</v>
      </c>
      <c r="D1164" s="1" t="s">
        <v>5274</v>
      </c>
      <c r="E1164" s="1" t="s">
        <v>433</v>
      </c>
      <c r="F1164" s="1" t="s">
        <v>30</v>
      </c>
      <c r="G1164" s="1" t="s">
        <v>30</v>
      </c>
      <c r="H1164" s="1" t="s">
        <v>1762</v>
      </c>
      <c r="I1164" t="b">
        <f>COUNTIF(Estadísticas!I:I,'centraldecomunicacion.es'!H1164)&gt;0</f>
        <v>0</v>
      </c>
    </row>
    <row r="1165" spans="1:9" hidden="1">
      <c r="A1165" s="1" t="s">
        <v>5343</v>
      </c>
      <c r="B1165" s="1" t="s">
        <v>10</v>
      </c>
      <c r="C1165" s="1" t="s">
        <v>5344</v>
      </c>
      <c r="D1165" s="1" t="s">
        <v>432</v>
      </c>
      <c r="E1165" s="1" t="s">
        <v>433</v>
      </c>
      <c r="F1165" s="1" t="s">
        <v>30</v>
      </c>
      <c r="G1165" s="1" t="s">
        <v>5345</v>
      </c>
      <c r="H1165" s="1" t="s">
        <v>1762</v>
      </c>
      <c r="I1165" t="b">
        <f>COUNTIF(Estadísticas!I:I,'centraldecomunicacion.es'!H1165)&gt;0</f>
        <v>0</v>
      </c>
    </row>
    <row r="1166" spans="1:9" hidden="1">
      <c r="A1166" s="1" t="s">
        <v>5346</v>
      </c>
      <c r="B1166" s="1" t="s">
        <v>10</v>
      </c>
      <c r="C1166" s="1" t="s">
        <v>5347</v>
      </c>
      <c r="D1166" s="1" t="s">
        <v>5223</v>
      </c>
      <c r="E1166" s="1" t="s">
        <v>433</v>
      </c>
      <c r="F1166" s="1" t="s">
        <v>30</v>
      </c>
      <c r="G1166" s="1" t="s">
        <v>5348</v>
      </c>
      <c r="H1166" s="1" t="s">
        <v>1762</v>
      </c>
      <c r="I1166" t="b">
        <f>COUNTIF(Estadísticas!I:I,'centraldecomunicacion.es'!H1166)&gt;0</f>
        <v>0</v>
      </c>
    </row>
    <row r="1167" spans="1:9" hidden="1">
      <c r="A1167" s="1" t="s">
        <v>5349</v>
      </c>
      <c r="B1167" s="1" t="s">
        <v>10</v>
      </c>
      <c r="C1167" s="1" t="s">
        <v>5350</v>
      </c>
      <c r="D1167" s="1" t="s">
        <v>5351</v>
      </c>
      <c r="E1167" s="1" t="s">
        <v>433</v>
      </c>
      <c r="F1167" s="1" t="s">
        <v>30</v>
      </c>
      <c r="G1167" s="1" t="s">
        <v>5352</v>
      </c>
      <c r="H1167" s="1" t="s">
        <v>1762</v>
      </c>
      <c r="I1167" t="b">
        <f>COUNTIF(Estadísticas!I:I,'centraldecomunicacion.es'!H1167)&gt;0</f>
        <v>0</v>
      </c>
    </row>
    <row r="1168" spans="1:9" hidden="1">
      <c r="A1168" s="1" t="s">
        <v>5353</v>
      </c>
      <c r="B1168" s="1" t="s">
        <v>10</v>
      </c>
      <c r="C1168" s="1" t="s">
        <v>5354</v>
      </c>
      <c r="D1168" s="1" t="s">
        <v>5208</v>
      </c>
      <c r="E1168" s="1" t="s">
        <v>433</v>
      </c>
      <c r="F1168" s="1" t="s">
        <v>5355</v>
      </c>
      <c r="G1168" s="1" t="s">
        <v>5356</v>
      </c>
      <c r="H1168" s="1" t="s">
        <v>1783</v>
      </c>
      <c r="I1168" t="b">
        <f>COUNTIF(Estadísticas!I:I,'centraldecomunicacion.es'!H1168)&gt;0</f>
        <v>0</v>
      </c>
    </row>
    <row r="1169" spans="1:9" hidden="1">
      <c r="A1169" s="1" t="s">
        <v>5357</v>
      </c>
      <c r="B1169" s="1" t="s">
        <v>10</v>
      </c>
      <c r="C1169" s="1" t="s">
        <v>5358</v>
      </c>
      <c r="D1169" s="1" t="s">
        <v>5260</v>
      </c>
      <c r="E1169" s="1" t="s">
        <v>433</v>
      </c>
      <c r="F1169" s="1" t="s">
        <v>30</v>
      </c>
      <c r="G1169" s="1" t="s">
        <v>5359</v>
      </c>
      <c r="H1169" s="1" t="s">
        <v>1762</v>
      </c>
      <c r="I1169" t="b">
        <f>COUNTIF(Estadísticas!I:I,'centraldecomunicacion.es'!H1169)&gt;0</f>
        <v>0</v>
      </c>
    </row>
    <row r="1170" spans="1:9" hidden="1">
      <c r="A1170" s="1" t="s">
        <v>5360</v>
      </c>
      <c r="B1170" s="1" t="s">
        <v>10</v>
      </c>
      <c r="C1170" s="1" t="s">
        <v>5361</v>
      </c>
      <c r="D1170" s="1" t="s">
        <v>5208</v>
      </c>
      <c r="E1170" s="1" t="s">
        <v>433</v>
      </c>
      <c r="F1170" s="1" t="s">
        <v>30</v>
      </c>
      <c r="G1170" s="1" t="s">
        <v>5362</v>
      </c>
      <c r="H1170" s="1" t="s">
        <v>1762</v>
      </c>
      <c r="I1170" t="b">
        <f>COUNTIF(Estadísticas!I:I,'centraldecomunicacion.es'!H1170)&gt;0</f>
        <v>0</v>
      </c>
    </row>
    <row r="1171" spans="1:9" hidden="1">
      <c r="A1171" s="1" t="s">
        <v>5363</v>
      </c>
      <c r="B1171" s="1" t="s">
        <v>10</v>
      </c>
      <c r="C1171" s="1" t="s">
        <v>5364</v>
      </c>
      <c r="D1171" s="1" t="s">
        <v>5365</v>
      </c>
      <c r="E1171" s="1" t="s">
        <v>433</v>
      </c>
      <c r="F1171" s="1" t="s">
        <v>1984</v>
      </c>
      <c r="G1171" s="1" t="s">
        <v>5366</v>
      </c>
      <c r="H1171" s="1" t="s">
        <v>1762</v>
      </c>
      <c r="I1171" t="b">
        <f>COUNTIF(Estadísticas!I:I,'centraldecomunicacion.es'!H1171)&gt;0</f>
        <v>0</v>
      </c>
    </row>
    <row r="1172" spans="1:9" hidden="1">
      <c r="A1172" s="1" t="s">
        <v>5367</v>
      </c>
      <c r="B1172" s="1" t="s">
        <v>18</v>
      </c>
      <c r="C1172" s="1" t="s">
        <v>5368</v>
      </c>
      <c r="D1172" s="1" t="s">
        <v>5239</v>
      </c>
      <c r="E1172" s="1" t="s">
        <v>433</v>
      </c>
      <c r="F1172" s="1" t="s">
        <v>30</v>
      </c>
      <c r="G1172" s="1" t="s">
        <v>5369</v>
      </c>
      <c r="H1172" s="1" t="s">
        <v>1762</v>
      </c>
      <c r="I1172" t="b">
        <f>COUNTIF(Estadísticas!I:I,'centraldecomunicacion.es'!H1172)&gt;0</f>
        <v>0</v>
      </c>
    </row>
    <row r="1173" spans="1:9" hidden="1">
      <c r="A1173" s="1" t="s">
        <v>5370</v>
      </c>
      <c r="B1173" s="1" t="s">
        <v>18</v>
      </c>
      <c r="C1173" s="1" t="s">
        <v>5371</v>
      </c>
      <c r="D1173" s="1" t="s">
        <v>432</v>
      </c>
      <c r="E1173" s="1" t="s">
        <v>433</v>
      </c>
      <c r="F1173" s="1" t="s">
        <v>30</v>
      </c>
      <c r="G1173" s="1" t="s">
        <v>5372</v>
      </c>
      <c r="H1173" s="1" t="s">
        <v>1762</v>
      </c>
      <c r="I1173" t="b">
        <f>COUNTIF(Estadísticas!I:I,'centraldecomunicacion.es'!H1173)&gt;0</f>
        <v>0</v>
      </c>
    </row>
    <row r="1174" spans="1:9" hidden="1">
      <c r="A1174" s="1" t="s">
        <v>5373</v>
      </c>
      <c r="B1174" s="1" t="s">
        <v>18</v>
      </c>
      <c r="C1174" s="1" t="s">
        <v>5374</v>
      </c>
      <c r="D1174" s="1" t="s">
        <v>5375</v>
      </c>
      <c r="E1174" s="1" t="s">
        <v>433</v>
      </c>
      <c r="F1174" s="1" t="s">
        <v>30</v>
      </c>
      <c r="G1174" s="1" t="s">
        <v>5376</v>
      </c>
      <c r="H1174" s="1" t="s">
        <v>1762</v>
      </c>
      <c r="I1174" t="b">
        <f>COUNTIF(Estadísticas!I:I,'centraldecomunicacion.es'!H1174)&gt;0</f>
        <v>0</v>
      </c>
    </row>
    <row r="1175" spans="1:9" hidden="1">
      <c r="A1175" s="1" t="s">
        <v>5377</v>
      </c>
      <c r="B1175" s="1" t="s">
        <v>18</v>
      </c>
      <c r="C1175" s="1" t="s">
        <v>5378</v>
      </c>
      <c r="D1175" s="1" t="s">
        <v>432</v>
      </c>
      <c r="E1175" s="1" t="s">
        <v>433</v>
      </c>
      <c r="F1175" s="1" t="s">
        <v>30</v>
      </c>
      <c r="G1175" s="1" t="s">
        <v>5379</v>
      </c>
      <c r="H1175" s="1" t="s">
        <v>1762</v>
      </c>
      <c r="I1175" t="b">
        <f>COUNTIF(Estadísticas!I:I,'centraldecomunicacion.es'!H1175)&gt;0</f>
        <v>0</v>
      </c>
    </row>
    <row r="1176" spans="1:9" hidden="1">
      <c r="A1176" s="1" t="s">
        <v>5380</v>
      </c>
      <c r="B1176" s="1" t="s">
        <v>10</v>
      </c>
      <c r="C1176" s="1" t="s">
        <v>5381</v>
      </c>
      <c r="D1176" s="1" t="s">
        <v>5382</v>
      </c>
      <c r="E1176" s="1" t="s">
        <v>5382</v>
      </c>
      <c r="F1176" s="1" t="s">
        <v>30</v>
      </c>
      <c r="G1176" s="1" t="s">
        <v>5383</v>
      </c>
      <c r="H1176" s="1" t="s">
        <v>1762</v>
      </c>
      <c r="I1176" t="b">
        <f>COUNTIF(Estadísticas!I:I,'centraldecomunicacion.es'!H1176)&gt;0</f>
        <v>0</v>
      </c>
    </row>
    <row r="1177" spans="1:9" hidden="1">
      <c r="A1177" s="1" t="s">
        <v>5384</v>
      </c>
      <c r="B1177" s="1" t="s">
        <v>10</v>
      </c>
      <c r="C1177" s="1" t="s">
        <v>5385</v>
      </c>
      <c r="D1177" s="1" t="s">
        <v>5386</v>
      </c>
      <c r="E1177" s="1" t="s">
        <v>433</v>
      </c>
      <c r="F1177" s="1" t="s">
        <v>30</v>
      </c>
      <c r="G1177" s="1" t="s">
        <v>30</v>
      </c>
      <c r="H1177" s="1" t="s">
        <v>1762</v>
      </c>
      <c r="I1177" t="b">
        <f>COUNTIF(Estadísticas!I:I,'centraldecomunicacion.es'!H1177)&gt;0</f>
        <v>0</v>
      </c>
    </row>
    <row r="1178" spans="1:9" hidden="1">
      <c r="A1178" s="1" t="s">
        <v>5387</v>
      </c>
      <c r="B1178" s="1" t="s">
        <v>10</v>
      </c>
      <c r="C1178" s="1" t="s">
        <v>5388</v>
      </c>
      <c r="D1178" s="1" t="s">
        <v>5389</v>
      </c>
      <c r="E1178" s="1" t="s">
        <v>433</v>
      </c>
      <c r="F1178" s="1" t="s">
        <v>30</v>
      </c>
      <c r="G1178" s="1" t="s">
        <v>30</v>
      </c>
      <c r="H1178" s="1" t="s">
        <v>1762</v>
      </c>
      <c r="I1178" t="b">
        <f>COUNTIF(Estadísticas!I:I,'centraldecomunicacion.es'!H1178)&gt;0</f>
        <v>0</v>
      </c>
    </row>
    <row r="1179" spans="1:9" hidden="1">
      <c r="A1179" s="1" t="s">
        <v>5390</v>
      </c>
      <c r="B1179" s="1" t="s">
        <v>10</v>
      </c>
      <c r="C1179" s="1" t="s">
        <v>5391</v>
      </c>
      <c r="D1179" s="1" t="s">
        <v>5392</v>
      </c>
      <c r="E1179" s="1" t="s">
        <v>433</v>
      </c>
      <c r="F1179" s="1" t="s">
        <v>30</v>
      </c>
      <c r="G1179" s="1" t="s">
        <v>5393</v>
      </c>
      <c r="H1179" s="1" t="s">
        <v>1762</v>
      </c>
      <c r="I1179" t="b">
        <f>COUNTIF(Estadísticas!I:I,'centraldecomunicacion.es'!H1179)&gt;0</f>
        <v>0</v>
      </c>
    </row>
    <row r="1180" spans="1:9" hidden="1">
      <c r="A1180" s="1" t="s">
        <v>5394</v>
      </c>
      <c r="B1180" s="1" t="s">
        <v>18</v>
      </c>
      <c r="C1180" s="1" t="s">
        <v>5395</v>
      </c>
      <c r="D1180" s="1" t="s">
        <v>5203</v>
      </c>
      <c r="E1180" s="1" t="s">
        <v>433</v>
      </c>
      <c r="F1180" s="1" t="s">
        <v>5396</v>
      </c>
      <c r="G1180" s="1" t="s">
        <v>5397</v>
      </c>
      <c r="H1180" s="1" t="s">
        <v>1783</v>
      </c>
      <c r="I1180" t="b">
        <f>COUNTIF(Estadísticas!I:I,'centraldecomunicacion.es'!H1180)&gt;0</f>
        <v>0</v>
      </c>
    </row>
    <row r="1181" spans="1:9">
      <c r="A1181" s="1" t="s">
        <v>437</v>
      </c>
      <c r="B1181" s="1" t="s">
        <v>10</v>
      </c>
      <c r="C1181" s="1" t="s">
        <v>438</v>
      </c>
      <c r="D1181" s="1" t="s">
        <v>439</v>
      </c>
      <c r="E1181" s="1" t="s">
        <v>433</v>
      </c>
      <c r="F1181" s="1" t="s">
        <v>440</v>
      </c>
      <c r="G1181" s="1" t="s">
        <v>441</v>
      </c>
      <c r="H1181" s="1" t="s">
        <v>442</v>
      </c>
      <c r="I1181" t="b">
        <f>COUNTIF(Estadísticas!I:I,'centraldecomunicacion.es'!H1181)&gt;0</f>
        <v>1</v>
      </c>
    </row>
    <row r="1182" spans="1:9" hidden="1">
      <c r="A1182" s="1" t="s">
        <v>5398</v>
      </c>
      <c r="B1182" s="1" t="s">
        <v>10</v>
      </c>
      <c r="C1182" s="1" t="s">
        <v>5399</v>
      </c>
      <c r="D1182" s="1" t="s">
        <v>5386</v>
      </c>
      <c r="E1182" s="1" t="s">
        <v>433</v>
      </c>
      <c r="F1182" s="1" t="s">
        <v>30</v>
      </c>
      <c r="G1182" s="1" t="s">
        <v>5400</v>
      </c>
      <c r="H1182" s="1" t="s">
        <v>1762</v>
      </c>
      <c r="I1182" t="b">
        <f>COUNTIF(Estadísticas!I:I,'centraldecomunicacion.es'!H1182)&gt;0</f>
        <v>0</v>
      </c>
    </row>
    <row r="1183" spans="1:9" hidden="1">
      <c r="A1183" s="1" t="s">
        <v>5401</v>
      </c>
      <c r="B1183" s="1" t="s">
        <v>3050</v>
      </c>
      <c r="C1183" s="1" t="s">
        <v>5402</v>
      </c>
      <c r="D1183" s="1" t="s">
        <v>432</v>
      </c>
      <c r="E1183" s="1" t="s">
        <v>433</v>
      </c>
      <c r="F1183" s="1" t="s">
        <v>5265</v>
      </c>
      <c r="G1183" s="1" t="s">
        <v>5403</v>
      </c>
      <c r="H1183" s="1" t="s">
        <v>5267</v>
      </c>
      <c r="I1183" t="b">
        <f>COUNTIF(Estadísticas!I:I,'centraldecomunicacion.es'!H1183)&gt;0</f>
        <v>0</v>
      </c>
    </row>
    <row r="1184" spans="1:9" hidden="1">
      <c r="A1184" s="1" t="s">
        <v>5404</v>
      </c>
      <c r="B1184" s="1" t="s">
        <v>10</v>
      </c>
      <c r="C1184" s="1" t="s">
        <v>5405</v>
      </c>
      <c r="D1184" s="1" t="s">
        <v>5274</v>
      </c>
      <c r="E1184" s="1" t="s">
        <v>433</v>
      </c>
      <c r="F1184" s="1" t="s">
        <v>30</v>
      </c>
      <c r="G1184" s="1" t="s">
        <v>5406</v>
      </c>
      <c r="H1184" s="1" t="s">
        <v>1762</v>
      </c>
      <c r="I1184" t="b">
        <f>COUNTIF(Estadísticas!I:I,'centraldecomunicacion.es'!H1184)&gt;0</f>
        <v>0</v>
      </c>
    </row>
    <row r="1185" spans="1:9" hidden="1">
      <c r="A1185" s="1" t="s">
        <v>5407</v>
      </c>
      <c r="B1185" s="1" t="s">
        <v>10</v>
      </c>
      <c r="C1185" s="1" t="s">
        <v>5408</v>
      </c>
      <c r="D1185" s="1" t="s">
        <v>5203</v>
      </c>
      <c r="E1185" s="1" t="s">
        <v>433</v>
      </c>
      <c r="F1185" s="1" t="s">
        <v>5409</v>
      </c>
      <c r="G1185" s="1" t="s">
        <v>5410</v>
      </c>
      <c r="H1185" s="1" t="s">
        <v>5411</v>
      </c>
      <c r="I1185" t="b">
        <f>COUNTIF(Estadísticas!I:I,'centraldecomunicacion.es'!H1185)&gt;0</f>
        <v>0</v>
      </c>
    </row>
    <row r="1186" spans="1:9" hidden="1">
      <c r="A1186" s="1" t="s">
        <v>5412</v>
      </c>
      <c r="B1186" s="1" t="s">
        <v>10</v>
      </c>
      <c r="C1186" s="1" t="s">
        <v>5413</v>
      </c>
      <c r="D1186" s="1" t="s">
        <v>432</v>
      </c>
      <c r="E1186" s="1" t="s">
        <v>433</v>
      </c>
      <c r="F1186" s="1" t="s">
        <v>30</v>
      </c>
      <c r="G1186" s="1" t="s">
        <v>5414</v>
      </c>
      <c r="H1186" s="1" t="s">
        <v>1762</v>
      </c>
      <c r="I1186" t="b">
        <f>COUNTIF(Estadísticas!I:I,'centraldecomunicacion.es'!H1186)&gt;0</f>
        <v>0</v>
      </c>
    </row>
    <row r="1187" spans="1:9" hidden="1">
      <c r="A1187" s="1" t="s">
        <v>5415</v>
      </c>
      <c r="B1187" s="1" t="s">
        <v>10</v>
      </c>
      <c r="C1187" s="1" t="s">
        <v>5416</v>
      </c>
      <c r="D1187" s="1" t="s">
        <v>5417</v>
      </c>
      <c r="E1187" s="1" t="s">
        <v>1348</v>
      </c>
      <c r="F1187" s="1" t="s">
        <v>5418</v>
      </c>
      <c r="G1187" s="1" t="s">
        <v>5419</v>
      </c>
      <c r="H1187" s="1" t="s">
        <v>1762</v>
      </c>
      <c r="I1187" t="b">
        <f>COUNTIF(Estadísticas!I:I,'centraldecomunicacion.es'!H1187)&gt;0</f>
        <v>0</v>
      </c>
    </row>
    <row r="1188" spans="1:9" hidden="1">
      <c r="A1188" s="1" t="s">
        <v>5420</v>
      </c>
      <c r="B1188" s="1" t="s">
        <v>18</v>
      </c>
      <c r="C1188" s="1" t="s">
        <v>5421</v>
      </c>
      <c r="D1188" s="1" t="s">
        <v>5208</v>
      </c>
      <c r="E1188" s="1" t="s">
        <v>433</v>
      </c>
      <c r="F1188" s="1" t="s">
        <v>5422</v>
      </c>
      <c r="G1188" s="1" t="s">
        <v>5423</v>
      </c>
      <c r="H1188" s="1" t="s">
        <v>5424</v>
      </c>
      <c r="I1188" t="b">
        <f>COUNTIF(Estadísticas!I:I,'centraldecomunicacion.es'!H1188)&gt;0</f>
        <v>0</v>
      </c>
    </row>
    <row r="1189" spans="1:9" hidden="1">
      <c r="A1189" s="1" t="s">
        <v>5425</v>
      </c>
      <c r="B1189" s="1" t="s">
        <v>10</v>
      </c>
      <c r="C1189" s="1" t="s">
        <v>5426</v>
      </c>
      <c r="D1189" s="1" t="s">
        <v>5328</v>
      </c>
      <c r="E1189" s="1" t="s">
        <v>433</v>
      </c>
      <c r="F1189" s="1" t="s">
        <v>30</v>
      </c>
      <c r="G1189" s="1" t="s">
        <v>5427</v>
      </c>
      <c r="H1189" s="1" t="s">
        <v>1762</v>
      </c>
      <c r="I1189" t="b">
        <f>COUNTIF(Estadísticas!I:I,'centraldecomunicacion.es'!H1189)&gt;0</f>
        <v>0</v>
      </c>
    </row>
    <row r="1190" spans="1:9" hidden="1">
      <c r="A1190" s="1" t="s">
        <v>5428</v>
      </c>
      <c r="B1190" s="1" t="s">
        <v>10</v>
      </c>
      <c r="C1190" s="1" t="s">
        <v>5429</v>
      </c>
      <c r="D1190" s="1" t="s">
        <v>5197</v>
      </c>
      <c r="E1190" s="1" t="s">
        <v>433</v>
      </c>
      <c r="F1190" s="1" t="s">
        <v>30</v>
      </c>
      <c r="G1190" s="1" t="s">
        <v>30</v>
      </c>
      <c r="H1190" s="1" t="s">
        <v>1762</v>
      </c>
      <c r="I1190" t="b">
        <f>COUNTIF(Estadísticas!I:I,'centraldecomunicacion.es'!H1190)&gt;0</f>
        <v>0</v>
      </c>
    </row>
    <row r="1191" spans="1:9" hidden="1">
      <c r="A1191" s="1" t="s">
        <v>5430</v>
      </c>
      <c r="B1191" s="1" t="s">
        <v>10</v>
      </c>
      <c r="C1191" s="1" t="s">
        <v>5431</v>
      </c>
      <c r="D1191" s="1" t="s">
        <v>5432</v>
      </c>
      <c r="E1191" s="1" t="s">
        <v>433</v>
      </c>
      <c r="F1191" s="1" t="s">
        <v>30</v>
      </c>
      <c r="G1191" s="1" t="s">
        <v>5433</v>
      </c>
      <c r="H1191" s="1" t="s">
        <v>1762</v>
      </c>
      <c r="I1191" t="b">
        <f>COUNTIF(Estadísticas!I:I,'centraldecomunicacion.es'!H1191)&gt;0</f>
        <v>0</v>
      </c>
    </row>
    <row r="1192" spans="1:9" hidden="1">
      <c r="A1192" s="1" t="s">
        <v>5434</v>
      </c>
      <c r="B1192" s="1" t="s">
        <v>10</v>
      </c>
      <c r="C1192" s="1" t="s">
        <v>5435</v>
      </c>
      <c r="D1192" s="1" t="s">
        <v>432</v>
      </c>
      <c r="E1192" s="1" t="s">
        <v>433</v>
      </c>
      <c r="F1192" s="1" t="s">
        <v>5436</v>
      </c>
      <c r="G1192" s="1" t="s">
        <v>5437</v>
      </c>
      <c r="H1192" s="1" t="s">
        <v>5438</v>
      </c>
      <c r="I1192" t="b">
        <f>COUNTIF(Estadísticas!I:I,'centraldecomunicacion.es'!H1192)&gt;0</f>
        <v>0</v>
      </c>
    </row>
    <row r="1193" spans="1:9" hidden="1">
      <c r="A1193" s="1" t="s">
        <v>5439</v>
      </c>
      <c r="B1193" s="1" t="s">
        <v>10</v>
      </c>
      <c r="C1193" s="1" t="s">
        <v>5440</v>
      </c>
      <c r="D1193" s="1" t="s">
        <v>5302</v>
      </c>
      <c r="E1193" s="1" t="s">
        <v>433</v>
      </c>
      <c r="F1193" s="1" t="s">
        <v>30</v>
      </c>
      <c r="G1193" s="1" t="s">
        <v>30</v>
      </c>
      <c r="H1193" s="1" t="s">
        <v>1762</v>
      </c>
      <c r="I1193" t="b">
        <f>COUNTIF(Estadísticas!I:I,'centraldecomunicacion.es'!H1193)&gt;0</f>
        <v>0</v>
      </c>
    </row>
    <row r="1194" spans="1:9" hidden="1">
      <c r="A1194" s="1" t="s">
        <v>5441</v>
      </c>
      <c r="B1194" s="1" t="s">
        <v>10</v>
      </c>
      <c r="C1194" s="1" t="s">
        <v>5442</v>
      </c>
      <c r="D1194" s="1" t="s">
        <v>5443</v>
      </c>
      <c r="E1194" s="1" t="s">
        <v>433</v>
      </c>
      <c r="F1194" s="1" t="s">
        <v>30</v>
      </c>
      <c r="G1194" s="1" t="s">
        <v>5444</v>
      </c>
      <c r="H1194" s="1" t="s">
        <v>1762</v>
      </c>
      <c r="I1194" t="b">
        <f>COUNTIF(Estadísticas!I:I,'centraldecomunicacion.es'!H1194)&gt;0</f>
        <v>0</v>
      </c>
    </row>
    <row r="1195" spans="1:9" hidden="1">
      <c r="A1195" s="1" t="s">
        <v>5445</v>
      </c>
      <c r="B1195" s="1" t="s">
        <v>10</v>
      </c>
      <c r="C1195" s="1" t="s">
        <v>5446</v>
      </c>
      <c r="D1195" s="1" t="s">
        <v>5287</v>
      </c>
      <c r="E1195" s="1" t="s">
        <v>433</v>
      </c>
      <c r="F1195" s="1" t="s">
        <v>30</v>
      </c>
      <c r="G1195" s="1" t="s">
        <v>5447</v>
      </c>
      <c r="H1195" s="1" t="s">
        <v>1762</v>
      </c>
      <c r="I1195" t="b">
        <f>COUNTIF(Estadísticas!I:I,'centraldecomunicacion.es'!H1195)&gt;0</f>
        <v>0</v>
      </c>
    </row>
    <row r="1196" spans="1:9" hidden="1">
      <c r="A1196" s="1" t="s">
        <v>5448</v>
      </c>
      <c r="B1196" s="1" t="s">
        <v>10</v>
      </c>
      <c r="C1196" s="1" t="s">
        <v>5449</v>
      </c>
      <c r="D1196" s="1" t="s">
        <v>432</v>
      </c>
      <c r="E1196" s="1" t="s">
        <v>433</v>
      </c>
      <c r="F1196" s="1" t="s">
        <v>30</v>
      </c>
      <c r="G1196" s="1" t="s">
        <v>5450</v>
      </c>
      <c r="H1196" s="1" t="s">
        <v>1762</v>
      </c>
      <c r="I1196" t="b">
        <f>COUNTIF(Estadísticas!I:I,'centraldecomunicacion.es'!H1196)&gt;0</f>
        <v>0</v>
      </c>
    </row>
    <row r="1197" spans="1:9" hidden="1">
      <c r="A1197" s="1" t="s">
        <v>5451</v>
      </c>
      <c r="B1197" s="1" t="s">
        <v>10</v>
      </c>
      <c r="C1197" s="1" t="s">
        <v>5452</v>
      </c>
      <c r="D1197" s="1" t="s">
        <v>5260</v>
      </c>
      <c r="E1197" s="1" t="s">
        <v>433</v>
      </c>
      <c r="F1197" s="1" t="s">
        <v>30</v>
      </c>
      <c r="G1197" s="1" t="s">
        <v>5453</v>
      </c>
      <c r="H1197" s="1" t="s">
        <v>1762</v>
      </c>
      <c r="I1197" t="b">
        <f>COUNTIF(Estadísticas!I:I,'centraldecomunicacion.es'!H1197)&gt;0</f>
        <v>0</v>
      </c>
    </row>
    <row r="1198" spans="1:9" hidden="1">
      <c r="A1198" s="1" t="s">
        <v>5454</v>
      </c>
      <c r="B1198" s="1" t="s">
        <v>10</v>
      </c>
      <c r="C1198" s="1" t="s">
        <v>5455</v>
      </c>
      <c r="D1198" s="1" t="s">
        <v>5208</v>
      </c>
      <c r="E1198" s="1" t="s">
        <v>433</v>
      </c>
      <c r="F1198" s="1" t="s">
        <v>30</v>
      </c>
      <c r="G1198" s="1" t="s">
        <v>5456</v>
      </c>
      <c r="H1198" s="1" t="s">
        <v>1762</v>
      </c>
      <c r="I1198" t="b">
        <f>COUNTIF(Estadísticas!I:I,'centraldecomunicacion.es'!H1198)&gt;0</f>
        <v>0</v>
      </c>
    </row>
    <row r="1199" spans="1:9" hidden="1">
      <c r="A1199" s="1" t="s">
        <v>5457</v>
      </c>
      <c r="B1199" s="1" t="s">
        <v>18</v>
      </c>
      <c r="C1199" s="1" t="s">
        <v>5458</v>
      </c>
      <c r="D1199" s="1" t="s">
        <v>5459</v>
      </c>
      <c r="E1199" s="1" t="s">
        <v>433</v>
      </c>
      <c r="F1199" s="1" t="s">
        <v>5460</v>
      </c>
      <c r="G1199" s="1" t="s">
        <v>5461</v>
      </c>
      <c r="H1199" s="1" t="s">
        <v>1762</v>
      </c>
      <c r="I1199" t="b">
        <f>COUNTIF(Estadísticas!I:I,'centraldecomunicacion.es'!H1199)&gt;0</f>
        <v>0</v>
      </c>
    </row>
    <row r="1200" spans="1:9" hidden="1">
      <c r="A1200" s="1" t="s">
        <v>5462</v>
      </c>
      <c r="B1200" s="1" t="s">
        <v>10</v>
      </c>
      <c r="C1200" s="1" t="s">
        <v>5463</v>
      </c>
      <c r="D1200" s="1" t="s">
        <v>5464</v>
      </c>
      <c r="E1200" s="1" t="s">
        <v>433</v>
      </c>
      <c r="F1200" s="1" t="s">
        <v>30</v>
      </c>
      <c r="G1200" s="1" t="s">
        <v>30</v>
      </c>
      <c r="H1200" s="1" t="s">
        <v>1762</v>
      </c>
      <c r="I1200" t="b">
        <f>COUNTIF(Estadísticas!I:I,'centraldecomunicacion.es'!H1200)&gt;0</f>
        <v>0</v>
      </c>
    </row>
    <row r="1201" spans="1:9" hidden="1">
      <c r="A1201" s="1" t="s">
        <v>5465</v>
      </c>
      <c r="B1201" s="1" t="s">
        <v>10</v>
      </c>
      <c r="C1201" s="1" t="s">
        <v>5466</v>
      </c>
      <c r="D1201" s="1" t="s">
        <v>5467</v>
      </c>
      <c r="E1201" s="1" t="s">
        <v>433</v>
      </c>
      <c r="F1201" s="1" t="s">
        <v>30</v>
      </c>
      <c r="G1201" s="1" t="s">
        <v>5468</v>
      </c>
      <c r="H1201" s="1" t="s">
        <v>1762</v>
      </c>
      <c r="I1201" t="b">
        <f>COUNTIF(Estadísticas!I:I,'centraldecomunicacion.es'!H1201)&gt;0</f>
        <v>0</v>
      </c>
    </row>
    <row r="1202" spans="1:9" hidden="1">
      <c r="A1202" s="1" t="s">
        <v>5469</v>
      </c>
      <c r="B1202" s="1" t="s">
        <v>10</v>
      </c>
      <c r="C1202" s="1" t="s">
        <v>30</v>
      </c>
      <c r="D1202" s="1" t="s">
        <v>5197</v>
      </c>
      <c r="E1202" s="1" t="s">
        <v>30</v>
      </c>
      <c r="F1202" s="1" t="s">
        <v>30</v>
      </c>
      <c r="G1202" s="1" t="s">
        <v>5470</v>
      </c>
      <c r="H1202" s="1" t="s">
        <v>1762</v>
      </c>
      <c r="I1202" t="b">
        <f>COUNTIF(Estadísticas!I:I,'centraldecomunicacion.es'!H1202)&gt;0</f>
        <v>0</v>
      </c>
    </row>
    <row r="1203" spans="1:9" hidden="1">
      <c r="A1203" s="1" t="s">
        <v>5471</v>
      </c>
      <c r="B1203" s="1" t="s">
        <v>10</v>
      </c>
      <c r="C1203" s="1" t="s">
        <v>5472</v>
      </c>
      <c r="D1203" s="1" t="s">
        <v>5473</v>
      </c>
      <c r="E1203" s="1" t="s">
        <v>433</v>
      </c>
      <c r="F1203" s="1" t="s">
        <v>30</v>
      </c>
      <c r="G1203" s="1" t="s">
        <v>5474</v>
      </c>
      <c r="H1203" s="1" t="s">
        <v>1762</v>
      </c>
      <c r="I1203" t="b">
        <f>COUNTIF(Estadísticas!I:I,'centraldecomunicacion.es'!H1203)&gt;0</f>
        <v>0</v>
      </c>
    </row>
    <row r="1204" spans="1:9" hidden="1">
      <c r="A1204" s="1" t="s">
        <v>5475</v>
      </c>
      <c r="B1204" s="1" t="s">
        <v>10</v>
      </c>
      <c r="C1204" s="1" t="s">
        <v>5476</v>
      </c>
      <c r="D1204" s="1" t="s">
        <v>5386</v>
      </c>
      <c r="E1204" s="1" t="s">
        <v>433</v>
      </c>
      <c r="F1204" s="1" t="s">
        <v>30</v>
      </c>
      <c r="G1204" s="1" t="s">
        <v>30</v>
      </c>
      <c r="H1204" s="1" t="s">
        <v>1762</v>
      </c>
      <c r="I1204" t="b">
        <f>COUNTIF(Estadísticas!I:I,'centraldecomunicacion.es'!H1204)&gt;0</f>
        <v>0</v>
      </c>
    </row>
    <row r="1205" spans="1:9" hidden="1">
      <c r="A1205" s="1" t="s">
        <v>5477</v>
      </c>
      <c r="B1205" s="1" t="s">
        <v>10</v>
      </c>
      <c r="C1205" s="1" t="s">
        <v>5478</v>
      </c>
      <c r="D1205" s="1" t="s">
        <v>5479</v>
      </c>
      <c r="E1205" s="1" t="s">
        <v>433</v>
      </c>
      <c r="F1205" s="1" t="s">
        <v>30</v>
      </c>
      <c r="G1205" s="1" t="s">
        <v>5480</v>
      </c>
      <c r="H1205" s="1" t="s">
        <v>1762</v>
      </c>
      <c r="I1205" t="b">
        <f>COUNTIF(Estadísticas!I:I,'centraldecomunicacion.es'!H1205)&gt;0</f>
        <v>0</v>
      </c>
    </row>
    <row r="1206" spans="1:9" hidden="1">
      <c r="A1206" s="1" t="s">
        <v>5481</v>
      </c>
      <c r="B1206" s="1" t="s">
        <v>10</v>
      </c>
      <c r="C1206" s="1" t="s">
        <v>5482</v>
      </c>
      <c r="D1206" s="1" t="s">
        <v>5483</v>
      </c>
      <c r="E1206" s="1" t="s">
        <v>433</v>
      </c>
      <c r="F1206" s="1" t="s">
        <v>30</v>
      </c>
      <c r="G1206" s="1" t="s">
        <v>30</v>
      </c>
      <c r="H1206" s="1" t="s">
        <v>1762</v>
      </c>
      <c r="I1206" t="b">
        <f>COUNTIF(Estadísticas!I:I,'centraldecomunicacion.es'!H1206)&gt;0</f>
        <v>0</v>
      </c>
    </row>
    <row r="1207" spans="1:9">
      <c r="A1207" s="1" t="s">
        <v>443</v>
      </c>
      <c r="B1207" s="1" t="s">
        <v>18</v>
      </c>
      <c r="C1207" s="1" t="s">
        <v>444</v>
      </c>
      <c r="D1207" s="1" t="s">
        <v>445</v>
      </c>
      <c r="E1207" s="1" t="s">
        <v>433</v>
      </c>
      <c r="F1207" s="1" t="s">
        <v>446</v>
      </c>
      <c r="G1207" s="1" t="s">
        <v>447</v>
      </c>
      <c r="H1207" s="1" t="s">
        <v>448</v>
      </c>
      <c r="I1207" t="b">
        <f>COUNTIF(Estadísticas!I:I,'centraldecomunicacion.es'!H1207)&gt;0</f>
        <v>1</v>
      </c>
    </row>
    <row r="1208" spans="1:9" hidden="1">
      <c r="A1208" s="1" t="s">
        <v>5484</v>
      </c>
      <c r="B1208" s="1" t="s">
        <v>10</v>
      </c>
      <c r="C1208" s="1" t="s">
        <v>5485</v>
      </c>
      <c r="D1208" s="1" t="s">
        <v>432</v>
      </c>
      <c r="E1208" s="1" t="s">
        <v>433</v>
      </c>
      <c r="F1208" s="1" t="s">
        <v>30</v>
      </c>
      <c r="G1208" s="1" t="s">
        <v>5486</v>
      </c>
      <c r="H1208" s="1" t="s">
        <v>1762</v>
      </c>
      <c r="I1208" t="b">
        <f>COUNTIF(Estadísticas!I:I,'centraldecomunicacion.es'!H1208)&gt;0</f>
        <v>0</v>
      </c>
    </row>
    <row r="1209" spans="1:9" hidden="1">
      <c r="A1209" s="1" t="s">
        <v>5487</v>
      </c>
      <c r="B1209" s="1" t="s">
        <v>10</v>
      </c>
      <c r="C1209" s="1" t="s">
        <v>30</v>
      </c>
      <c r="D1209" s="1" t="s">
        <v>5197</v>
      </c>
      <c r="E1209" s="1" t="s">
        <v>30</v>
      </c>
      <c r="F1209" s="1" t="s">
        <v>30</v>
      </c>
      <c r="G1209" s="1" t="s">
        <v>5488</v>
      </c>
      <c r="H1209" s="1" t="s">
        <v>1762</v>
      </c>
      <c r="I1209" t="b">
        <f>COUNTIF(Estadísticas!I:I,'centraldecomunicacion.es'!H1209)&gt;0</f>
        <v>0</v>
      </c>
    </row>
    <row r="1210" spans="1:9" hidden="1">
      <c r="A1210" s="1" t="s">
        <v>5489</v>
      </c>
      <c r="B1210" s="1" t="s">
        <v>10</v>
      </c>
      <c r="C1210" s="1" t="s">
        <v>5490</v>
      </c>
      <c r="D1210" s="1" t="s">
        <v>5260</v>
      </c>
      <c r="E1210" s="1" t="s">
        <v>433</v>
      </c>
      <c r="F1210" s="1" t="s">
        <v>30</v>
      </c>
      <c r="G1210" s="1" t="s">
        <v>30</v>
      </c>
      <c r="H1210" s="1" t="s">
        <v>1762</v>
      </c>
      <c r="I1210" t="b">
        <f>COUNTIF(Estadísticas!I:I,'centraldecomunicacion.es'!H1210)&gt;0</f>
        <v>0</v>
      </c>
    </row>
    <row r="1211" spans="1:9" hidden="1">
      <c r="A1211" s="1" t="s">
        <v>1995</v>
      </c>
      <c r="B1211" s="1" t="s">
        <v>10</v>
      </c>
      <c r="C1211" s="1" t="s">
        <v>5491</v>
      </c>
      <c r="D1211" s="1" t="s">
        <v>5492</v>
      </c>
      <c r="E1211" s="1" t="s">
        <v>433</v>
      </c>
      <c r="F1211" s="1" t="s">
        <v>30</v>
      </c>
      <c r="G1211" s="1" t="s">
        <v>30</v>
      </c>
      <c r="H1211" s="1" t="s">
        <v>1762</v>
      </c>
      <c r="I1211" t="b">
        <f>COUNTIF(Estadísticas!I:I,'centraldecomunicacion.es'!H1211)&gt;0</f>
        <v>0</v>
      </c>
    </row>
    <row r="1212" spans="1:9" hidden="1">
      <c r="A1212" s="1" t="s">
        <v>5493</v>
      </c>
      <c r="B1212" s="1" t="s">
        <v>10</v>
      </c>
      <c r="C1212" s="1" t="s">
        <v>5494</v>
      </c>
      <c r="D1212" s="1" t="s">
        <v>5274</v>
      </c>
      <c r="E1212" s="1" t="s">
        <v>433</v>
      </c>
      <c r="F1212" s="1" t="s">
        <v>30</v>
      </c>
      <c r="G1212" s="1" t="s">
        <v>5495</v>
      </c>
      <c r="H1212" s="1" t="s">
        <v>1762</v>
      </c>
      <c r="I1212" t="b">
        <f>COUNTIF(Estadísticas!I:I,'centraldecomunicacion.es'!H1212)&gt;0</f>
        <v>0</v>
      </c>
    </row>
    <row r="1213" spans="1:9" hidden="1">
      <c r="A1213" s="1" t="s">
        <v>5496</v>
      </c>
      <c r="B1213" s="1" t="s">
        <v>10</v>
      </c>
      <c r="C1213" s="1" t="s">
        <v>5497</v>
      </c>
      <c r="D1213" s="1" t="s">
        <v>5479</v>
      </c>
      <c r="E1213" s="1" t="s">
        <v>433</v>
      </c>
      <c r="F1213" s="1" t="s">
        <v>30</v>
      </c>
      <c r="G1213" s="1" t="s">
        <v>5498</v>
      </c>
      <c r="H1213" s="1" t="s">
        <v>1762</v>
      </c>
      <c r="I1213" t="b">
        <f>COUNTIF(Estadísticas!I:I,'centraldecomunicacion.es'!H1213)&gt;0</f>
        <v>0</v>
      </c>
    </row>
    <row r="1214" spans="1:9" hidden="1">
      <c r="A1214" s="1" t="s">
        <v>5499</v>
      </c>
      <c r="B1214" s="1" t="s">
        <v>10</v>
      </c>
      <c r="C1214" s="1" t="s">
        <v>5500</v>
      </c>
      <c r="D1214" s="1" t="s">
        <v>432</v>
      </c>
      <c r="E1214" s="1" t="s">
        <v>433</v>
      </c>
      <c r="F1214" s="1" t="s">
        <v>30</v>
      </c>
      <c r="G1214" s="1" t="s">
        <v>5501</v>
      </c>
      <c r="H1214" s="1" t="s">
        <v>1762</v>
      </c>
      <c r="I1214" t="b">
        <f>COUNTIF(Estadísticas!I:I,'centraldecomunicacion.es'!H1214)&gt;0</f>
        <v>0</v>
      </c>
    </row>
    <row r="1215" spans="1:9" hidden="1">
      <c r="A1215" s="1" t="s">
        <v>5244</v>
      </c>
      <c r="B1215" s="1" t="s">
        <v>10</v>
      </c>
      <c r="C1215" s="1" t="s">
        <v>30</v>
      </c>
      <c r="D1215" s="1" t="s">
        <v>5197</v>
      </c>
      <c r="E1215" s="1" t="s">
        <v>30</v>
      </c>
      <c r="F1215" s="1" t="s">
        <v>30</v>
      </c>
      <c r="G1215" s="1" t="s">
        <v>435</v>
      </c>
      <c r="H1215" s="1" t="s">
        <v>1762</v>
      </c>
      <c r="I1215" t="b">
        <f>COUNTIF(Estadísticas!I:I,'centraldecomunicacion.es'!H1215)&gt;0</f>
        <v>0</v>
      </c>
    </row>
    <row r="1216" spans="1:9" hidden="1">
      <c r="A1216" s="1" t="s">
        <v>5502</v>
      </c>
      <c r="B1216" s="1" t="s">
        <v>10</v>
      </c>
      <c r="C1216" s="1" t="s">
        <v>5503</v>
      </c>
      <c r="D1216" s="1" t="s">
        <v>5459</v>
      </c>
      <c r="E1216" s="1" t="s">
        <v>5459</v>
      </c>
      <c r="F1216" s="1" t="s">
        <v>30</v>
      </c>
      <c r="G1216" s="1" t="s">
        <v>5504</v>
      </c>
      <c r="H1216" s="1" t="s">
        <v>1762</v>
      </c>
      <c r="I1216" t="b">
        <f>COUNTIF(Estadísticas!I:I,'centraldecomunicacion.es'!H1216)&gt;0</f>
        <v>0</v>
      </c>
    </row>
    <row r="1217" spans="1:9" hidden="1">
      <c r="A1217" s="1" t="s">
        <v>5505</v>
      </c>
      <c r="B1217" s="1" t="s">
        <v>18</v>
      </c>
      <c r="C1217" s="1" t="s">
        <v>5506</v>
      </c>
      <c r="D1217" s="1" t="s">
        <v>5459</v>
      </c>
      <c r="E1217" s="1" t="s">
        <v>433</v>
      </c>
      <c r="F1217" s="1" t="s">
        <v>30</v>
      </c>
      <c r="G1217" s="1" t="s">
        <v>5507</v>
      </c>
      <c r="H1217" s="1" t="s">
        <v>1762</v>
      </c>
      <c r="I1217" t="b">
        <f>COUNTIF(Estadísticas!I:I,'centraldecomunicacion.es'!H1217)&gt;0</f>
        <v>0</v>
      </c>
    </row>
    <row r="1218" spans="1:9" hidden="1">
      <c r="A1218" s="1" t="s">
        <v>5508</v>
      </c>
      <c r="B1218" s="1" t="s">
        <v>10</v>
      </c>
      <c r="C1218" s="1" t="s">
        <v>5509</v>
      </c>
      <c r="D1218" s="1" t="s">
        <v>5479</v>
      </c>
      <c r="E1218" s="1" t="s">
        <v>433</v>
      </c>
      <c r="F1218" s="1" t="s">
        <v>30</v>
      </c>
      <c r="G1218" s="1" t="s">
        <v>5510</v>
      </c>
      <c r="H1218" s="1" t="s">
        <v>1762</v>
      </c>
      <c r="I1218" t="b">
        <f>COUNTIF(Estadísticas!I:I,'centraldecomunicacion.es'!H1218)&gt;0</f>
        <v>0</v>
      </c>
    </row>
    <row r="1219" spans="1:9" hidden="1">
      <c r="A1219" s="1" t="s">
        <v>5511</v>
      </c>
      <c r="B1219" s="1" t="s">
        <v>10</v>
      </c>
      <c r="C1219" s="1" t="s">
        <v>5512</v>
      </c>
      <c r="D1219" s="1" t="s">
        <v>5320</v>
      </c>
      <c r="E1219" s="1" t="s">
        <v>433</v>
      </c>
      <c r="F1219" s="1" t="s">
        <v>30</v>
      </c>
      <c r="G1219" s="1" t="s">
        <v>30</v>
      </c>
      <c r="H1219" s="1" t="s">
        <v>1762</v>
      </c>
      <c r="I1219" t="b">
        <f>COUNTIF(Estadísticas!I:I,'centraldecomunicacion.es'!H1219)&gt;0</f>
        <v>0</v>
      </c>
    </row>
    <row r="1220" spans="1:9" hidden="1">
      <c r="A1220" s="1" t="s">
        <v>5513</v>
      </c>
      <c r="B1220" s="1" t="s">
        <v>10</v>
      </c>
      <c r="C1220" s="1" t="s">
        <v>5514</v>
      </c>
      <c r="D1220" s="1" t="s">
        <v>432</v>
      </c>
      <c r="E1220" s="1" t="s">
        <v>433</v>
      </c>
      <c r="F1220" s="1" t="s">
        <v>5515</v>
      </c>
      <c r="G1220" s="1" t="s">
        <v>5516</v>
      </c>
      <c r="H1220" s="1" t="s">
        <v>1762</v>
      </c>
      <c r="I1220" t="b">
        <f>COUNTIF(Estadísticas!I:I,'centraldecomunicacion.es'!H1220)&gt;0</f>
        <v>0</v>
      </c>
    </row>
    <row r="1221" spans="1:9" hidden="1">
      <c r="A1221" s="1" t="s">
        <v>5517</v>
      </c>
      <c r="B1221" s="1" t="s">
        <v>10</v>
      </c>
      <c r="C1221" s="1" t="s">
        <v>5518</v>
      </c>
      <c r="D1221" s="1" t="s">
        <v>439</v>
      </c>
      <c r="E1221" s="1" t="s">
        <v>439</v>
      </c>
      <c r="F1221" s="1" t="s">
        <v>30</v>
      </c>
      <c r="G1221" s="1" t="s">
        <v>5519</v>
      </c>
      <c r="H1221" s="1" t="s">
        <v>1762</v>
      </c>
      <c r="I1221" t="b">
        <f>COUNTIF(Estadísticas!I:I,'centraldecomunicacion.es'!H1221)&gt;0</f>
        <v>0</v>
      </c>
    </row>
    <row r="1222" spans="1:9" hidden="1">
      <c r="A1222" s="1" t="s">
        <v>5520</v>
      </c>
      <c r="B1222" s="1" t="s">
        <v>10</v>
      </c>
      <c r="C1222" s="1" t="s">
        <v>5521</v>
      </c>
      <c r="D1222" s="1" t="s">
        <v>5274</v>
      </c>
      <c r="E1222" s="1" t="s">
        <v>433</v>
      </c>
      <c r="F1222" s="1" t="s">
        <v>30</v>
      </c>
      <c r="G1222" s="1" t="s">
        <v>30</v>
      </c>
      <c r="H1222" s="1" t="s">
        <v>1762</v>
      </c>
      <c r="I1222" t="b">
        <f>COUNTIF(Estadísticas!I:I,'centraldecomunicacion.es'!H1222)&gt;0</f>
        <v>0</v>
      </c>
    </row>
    <row r="1223" spans="1:9" hidden="1">
      <c r="A1223" s="1" t="s">
        <v>5522</v>
      </c>
      <c r="B1223" s="1" t="s">
        <v>10</v>
      </c>
      <c r="C1223" s="1" t="s">
        <v>5523</v>
      </c>
      <c r="D1223" s="1" t="s">
        <v>5417</v>
      </c>
      <c r="E1223" s="1" t="s">
        <v>1348</v>
      </c>
      <c r="F1223" s="1" t="s">
        <v>30</v>
      </c>
      <c r="G1223" s="1" t="s">
        <v>30</v>
      </c>
      <c r="H1223" s="1" t="s">
        <v>1762</v>
      </c>
      <c r="I1223" t="b">
        <f>COUNTIF(Estadísticas!I:I,'centraldecomunicacion.es'!H1223)&gt;0</f>
        <v>0</v>
      </c>
    </row>
    <row r="1224" spans="1:9" hidden="1">
      <c r="A1224" s="1" t="s">
        <v>5524</v>
      </c>
      <c r="B1224" s="1" t="s">
        <v>10</v>
      </c>
      <c r="C1224" s="1" t="s">
        <v>5525</v>
      </c>
      <c r="D1224" s="1" t="s">
        <v>5526</v>
      </c>
      <c r="E1224" s="1" t="s">
        <v>433</v>
      </c>
      <c r="F1224" s="1" t="s">
        <v>30</v>
      </c>
      <c r="G1224" s="1" t="s">
        <v>5527</v>
      </c>
      <c r="H1224" s="1" t="s">
        <v>1762</v>
      </c>
      <c r="I1224" t="b">
        <f>COUNTIF(Estadísticas!I:I,'centraldecomunicacion.es'!H1224)&gt;0</f>
        <v>0</v>
      </c>
    </row>
    <row r="1225" spans="1:9" hidden="1">
      <c r="A1225" s="1" t="s">
        <v>5528</v>
      </c>
      <c r="B1225" s="1" t="s">
        <v>10</v>
      </c>
      <c r="C1225" s="1" t="s">
        <v>5529</v>
      </c>
      <c r="D1225" s="1" t="s">
        <v>5239</v>
      </c>
      <c r="E1225" s="1" t="s">
        <v>433</v>
      </c>
      <c r="F1225" s="1" t="s">
        <v>30</v>
      </c>
      <c r="G1225" s="1" t="s">
        <v>30</v>
      </c>
      <c r="H1225" s="1" t="s">
        <v>1762</v>
      </c>
      <c r="I1225" t="b">
        <f>COUNTIF(Estadísticas!I:I,'centraldecomunicacion.es'!H1225)&gt;0</f>
        <v>0</v>
      </c>
    </row>
    <row r="1226" spans="1:9" hidden="1">
      <c r="A1226" s="1" t="s">
        <v>5530</v>
      </c>
      <c r="B1226" s="1" t="s">
        <v>10</v>
      </c>
      <c r="C1226" s="1" t="s">
        <v>5531</v>
      </c>
      <c r="D1226" s="1" t="s">
        <v>439</v>
      </c>
      <c r="E1226" s="1" t="s">
        <v>433</v>
      </c>
      <c r="F1226" s="1" t="s">
        <v>30</v>
      </c>
      <c r="G1226" s="1" t="s">
        <v>5532</v>
      </c>
      <c r="H1226" s="1" t="s">
        <v>1762</v>
      </c>
      <c r="I1226" t="b">
        <f>COUNTIF(Estadísticas!I:I,'centraldecomunicacion.es'!H1226)&gt;0</f>
        <v>0</v>
      </c>
    </row>
    <row r="1227" spans="1:9" hidden="1">
      <c r="A1227" s="1" t="s">
        <v>5533</v>
      </c>
      <c r="B1227" s="1" t="s">
        <v>10</v>
      </c>
      <c r="C1227" s="1" t="s">
        <v>5534</v>
      </c>
      <c r="D1227" s="1" t="s">
        <v>5535</v>
      </c>
      <c r="E1227" s="1" t="s">
        <v>433</v>
      </c>
      <c r="F1227" s="1" t="s">
        <v>30</v>
      </c>
      <c r="G1227" s="1" t="s">
        <v>30</v>
      </c>
      <c r="H1227" s="1" t="s">
        <v>1762</v>
      </c>
      <c r="I1227" t="b">
        <f>COUNTIF(Estadísticas!I:I,'centraldecomunicacion.es'!H1227)&gt;0</f>
        <v>0</v>
      </c>
    </row>
    <row r="1228" spans="1:9" hidden="1">
      <c r="A1228" s="1" t="s">
        <v>5536</v>
      </c>
      <c r="B1228" s="1" t="s">
        <v>10</v>
      </c>
      <c r="C1228" s="1" t="s">
        <v>5537</v>
      </c>
      <c r="D1228" s="1" t="s">
        <v>5538</v>
      </c>
      <c r="E1228" s="1" t="s">
        <v>433</v>
      </c>
      <c r="F1228" s="1" t="s">
        <v>30</v>
      </c>
      <c r="G1228" s="1" t="s">
        <v>5539</v>
      </c>
      <c r="H1228" s="1" t="s">
        <v>1762</v>
      </c>
      <c r="I1228" t="b">
        <f>COUNTIF(Estadísticas!I:I,'centraldecomunicacion.es'!H1228)&gt;0</f>
        <v>0</v>
      </c>
    </row>
    <row r="1229" spans="1:9" hidden="1">
      <c r="A1229" s="1" t="s">
        <v>5540</v>
      </c>
      <c r="B1229" s="1" t="s">
        <v>10</v>
      </c>
      <c r="C1229" s="1" t="s">
        <v>5541</v>
      </c>
      <c r="D1229" s="1" t="s">
        <v>5542</v>
      </c>
      <c r="E1229" s="1" t="s">
        <v>433</v>
      </c>
      <c r="F1229" s="1" t="s">
        <v>30</v>
      </c>
      <c r="G1229" s="1" t="s">
        <v>5543</v>
      </c>
      <c r="H1229" s="1" t="s">
        <v>1762</v>
      </c>
      <c r="I1229" t="b">
        <f>COUNTIF(Estadísticas!I:I,'centraldecomunicacion.es'!H1229)&gt;0</f>
        <v>0</v>
      </c>
    </row>
    <row r="1230" spans="1:9" hidden="1">
      <c r="A1230" s="1" t="s">
        <v>5544</v>
      </c>
      <c r="B1230" s="1" t="s">
        <v>10</v>
      </c>
      <c r="C1230" s="1" t="s">
        <v>5545</v>
      </c>
      <c r="D1230" s="1" t="s">
        <v>5546</v>
      </c>
      <c r="E1230" s="1" t="s">
        <v>433</v>
      </c>
      <c r="F1230" s="1" t="s">
        <v>30</v>
      </c>
      <c r="G1230" s="1" t="s">
        <v>30</v>
      </c>
      <c r="H1230" s="1" t="s">
        <v>1762</v>
      </c>
      <c r="I1230" t="b">
        <f>COUNTIF(Estadísticas!I:I,'centraldecomunicacion.es'!H1230)&gt;0</f>
        <v>0</v>
      </c>
    </row>
    <row r="1231" spans="1:9" hidden="1">
      <c r="A1231" s="1" t="s">
        <v>5547</v>
      </c>
      <c r="B1231" s="1" t="s">
        <v>10</v>
      </c>
      <c r="C1231" s="1" t="s">
        <v>5548</v>
      </c>
      <c r="D1231" s="1" t="s">
        <v>5296</v>
      </c>
      <c r="E1231" s="1" t="s">
        <v>433</v>
      </c>
      <c r="F1231" s="1" t="s">
        <v>30</v>
      </c>
      <c r="G1231" s="1" t="s">
        <v>5549</v>
      </c>
      <c r="H1231" s="1" t="s">
        <v>1762</v>
      </c>
      <c r="I1231" t="b">
        <f>COUNTIF(Estadísticas!I:I,'centraldecomunicacion.es'!H1231)&gt;0</f>
        <v>0</v>
      </c>
    </row>
    <row r="1232" spans="1:9" hidden="1">
      <c r="A1232" s="1" t="s">
        <v>5550</v>
      </c>
      <c r="B1232" s="1" t="s">
        <v>10</v>
      </c>
      <c r="C1232" s="1" t="s">
        <v>5551</v>
      </c>
      <c r="D1232" s="1" t="s">
        <v>5467</v>
      </c>
      <c r="E1232" s="1" t="s">
        <v>5467</v>
      </c>
      <c r="F1232" s="1" t="s">
        <v>30</v>
      </c>
      <c r="G1232" s="1" t="s">
        <v>5552</v>
      </c>
      <c r="H1232" s="1" t="s">
        <v>1762</v>
      </c>
      <c r="I1232" t="b">
        <f>COUNTIF(Estadísticas!I:I,'centraldecomunicacion.es'!H1232)&gt;0</f>
        <v>0</v>
      </c>
    </row>
    <row r="1233" spans="1:9" hidden="1">
      <c r="A1233" s="1" t="s">
        <v>5553</v>
      </c>
      <c r="B1233" s="1" t="s">
        <v>10</v>
      </c>
      <c r="C1233" s="1" t="s">
        <v>5554</v>
      </c>
      <c r="D1233" s="1" t="s">
        <v>5260</v>
      </c>
      <c r="E1233" s="1" t="s">
        <v>433</v>
      </c>
      <c r="F1233" s="1" t="s">
        <v>30</v>
      </c>
      <c r="G1233" s="1" t="s">
        <v>30</v>
      </c>
      <c r="H1233" s="1" t="s">
        <v>1762</v>
      </c>
      <c r="I1233" t="b">
        <f>COUNTIF(Estadísticas!I:I,'centraldecomunicacion.es'!H1233)&gt;0</f>
        <v>0</v>
      </c>
    </row>
    <row r="1234" spans="1:9" hidden="1">
      <c r="A1234" s="1" t="s">
        <v>5555</v>
      </c>
      <c r="B1234" s="1" t="s">
        <v>10</v>
      </c>
      <c r="C1234" s="1" t="s">
        <v>5556</v>
      </c>
      <c r="D1234" s="1" t="s">
        <v>5557</v>
      </c>
      <c r="E1234" s="1" t="s">
        <v>433</v>
      </c>
      <c r="F1234" s="1" t="s">
        <v>30</v>
      </c>
      <c r="G1234" s="1" t="s">
        <v>5558</v>
      </c>
      <c r="H1234" s="1" t="s">
        <v>1762</v>
      </c>
      <c r="I1234" t="b">
        <f>COUNTIF(Estadísticas!I:I,'centraldecomunicacion.es'!H1234)&gt;0</f>
        <v>0</v>
      </c>
    </row>
    <row r="1235" spans="1:9" hidden="1">
      <c r="A1235" s="1" t="s">
        <v>5559</v>
      </c>
      <c r="B1235" s="1" t="s">
        <v>10</v>
      </c>
      <c r="C1235" s="1" t="s">
        <v>5560</v>
      </c>
      <c r="D1235" s="1" t="s">
        <v>5561</v>
      </c>
      <c r="E1235" s="1" t="s">
        <v>433</v>
      </c>
      <c r="F1235" s="1" t="s">
        <v>30</v>
      </c>
      <c r="G1235" s="1" t="s">
        <v>30</v>
      </c>
      <c r="H1235" s="1" t="s">
        <v>1762</v>
      </c>
      <c r="I1235" t="b">
        <f>COUNTIF(Estadísticas!I:I,'centraldecomunicacion.es'!H1235)&gt;0</f>
        <v>0</v>
      </c>
    </row>
    <row r="1236" spans="1:9" hidden="1">
      <c r="A1236" s="1" t="s">
        <v>5562</v>
      </c>
      <c r="B1236" s="1" t="s">
        <v>10</v>
      </c>
      <c r="C1236" s="1" t="s">
        <v>5563</v>
      </c>
      <c r="D1236" s="1" t="s">
        <v>5392</v>
      </c>
      <c r="E1236" s="1" t="s">
        <v>433</v>
      </c>
      <c r="F1236" s="1" t="s">
        <v>30</v>
      </c>
      <c r="G1236" s="1" t="s">
        <v>5564</v>
      </c>
      <c r="H1236" s="1" t="s">
        <v>1762</v>
      </c>
      <c r="I1236" t="b">
        <f>COUNTIF(Estadísticas!I:I,'centraldecomunicacion.es'!H1236)&gt;0</f>
        <v>0</v>
      </c>
    </row>
    <row r="1237" spans="1:9" hidden="1">
      <c r="A1237" s="1" t="s">
        <v>5565</v>
      </c>
      <c r="B1237" s="1" t="s">
        <v>10</v>
      </c>
      <c r="C1237" s="1" t="s">
        <v>5566</v>
      </c>
      <c r="D1237" s="1" t="s">
        <v>5567</v>
      </c>
      <c r="E1237" s="1" t="s">
        <v>433</v>
      </c>
      <c r="F1237" s="1" t="s">
        <v>30</v>
      </c>
      <c r="G1237" s="1" t="s">
        <v>5568</v>
      </c>
      <c r="H1237" s="1" t="s">
        <v>1762</v>
      </c>
      <c r="I1237" t="b">
        <f>COUNTIF(Estadísticas!I:I,'centraldecomunicacion.es'!H1237)&gt;0</f>
        <v>0</v>
      </c>
    </row>
    <row r="1238" spans="1:9" hidden="1">
      <c r="A1238" s="1" t="s">
        <v>5569</v>
      </c>
      <c r="B1238" s="1" t="s">
        <v>10</v>
      </c>
      <c r="C1238" s="1" t="s">
        <v>5570</v>
      </c>
      <c r="D1238" s="1" t="s">
        <v>5535</v>
      </c>
      <c r="E1238" s="1" t="s">
        <v>433</v>
      </c>
      <c r="F1238" s="1" t="s">
        <v>30</v>
      </c>
      <c r="G1238" s="1" t="s">
        <v>5571</v>
      </c>
      <c r="H1238" s="1" t="s">
        <v>1762</v>
      </c>
      <c r="I1238" t="b">
        <f>COUNTIF(Estadísticas!I:I,'centraldecomunicacion.es'!H1238)&gt;0</f>
        <v>0</v>
      </c>
    </row>
    <row r="1239" spans="1:9" hidden="1">
      <c r="A1239" s="1" t="s">
        <v>5572</v>
      </c>
      <c r="B1239" s="1" t="s">
        <v>10</v>
      </c>
      <c r="C1239" s="1" t="s">
        <v>5573</v>
      </c>
      <c r="D1239" s="1" t="s">
        <v>5417</v>
      </c>
      <c r="E1239" s="1" t="s">
        <v>1348</v>
      </c>
      <c r="F1239" s="1" t="s">
        <v>5574</v>
      </c>
      <c r="G1239" s="1" t="s">
        <v>5575</v>
      </c>
      <c r="H1239" s="1" t="s">
        <v>5576</v>
      </c>
      <c r="I1239" t="b">
        <f>COUNTIF(Estadísticas!I:I,'centraldecomunicacion.es'!H1239)&gt;0</f>
        <v>0</v>
      </c>
    </row>
    <row r="1240" spans="1:9" hidden="1">
      <c r="A1240" s="1" t="s">
        <v>5577</v>
      </c>
      <c r="B1240" s="1" t="s">
        <v>10</v>
      </c>
      <c r="C1240" s="1" t="s">
        <v>5578</v>
      </c>
      <c r="D1240" s="1" t="s">
        <v>5579</v>
      </c>
      <c r="E1240" s="1" t="s">
        <v>433</v>
      </c>
      <c r="F1240" s="1" t="s">
        <v>30</v>
      </c>
      <c r="G1240" s="1" t="s">
        <v>30</v>
      </c>
      <c r="H1240" s="1" t="s">
        <v>1762</v>
      </c>
      <c r="I1240" t="b">
        <f>COUNTIF(Estadísticas!I:I,'centraldecomunicacion.es'!H1240)&gt;0</f>
        <v>0</v>
      </c>
    </row>
    <row r="1241" spans="1:9" hidden="1">
      <c r="A1241" s="1" t="s">
        <v>5580</v>
      </c>
      <c r="B1241" s="1" t="s">
        <v>10</v>
      </c>
      <c r="C1241" s="1" t="s">
        <v>5581</v>
      </c>
      <c r="D1241" s="1" t="s">
        <v>5208</v>
      </c>
      <c r="E1241" s="1" t="s">
        <v>433</v>
      </c>
      <c r="F1241" s="1" t="s">
        <v>30</v>
      </c>
      <c r="G1241" s="1" t="s">
        <v>5582</v>
      </c>
      <c r="H1241" s="1" t="s">
        <v>1762</v>
      </c>
      <c r="I1241" t="b">
        <f>COUNTIF(Estadísticas!I:I,'centraldecomunicacion.es'!H1241)&gt;0</f>
        <v>0</v>
      </c>
    </row>
    <row r="1242" spans="1:9" hidden="1">
      <c r="A1242" s="1" t="s">
        <v>5428</v>
      </c>
      <c r="B1242" s="1" t="s">
        <v>10</v>
      </c>
      <c r="C1242" s="1" t="s">
        <v>5583</v>
      </c>
      <c r="D1242" s="1" t="s">
        <v>5197</v>
      </c>
      <c r="E1242" s="1" t="s">
        <v>433</v>
      </c>
      <c r="F1242" s="1" t="s">
        <v>30</v>
      </c>
      <c r="G1242" s="1" t="s">
        <v>30</v>
      </c>
      <c r="H1242" s="1" t="s">
        <v>1762</v>
      </c>
      <c r="I1242" t="b">
        <f>COUNTIF(Estadísticas!I:I,'centraldecomunicacion.es'!H1242)&gt;0</f>
        <v>0</v>
      </c>
    </row>
    <row r="1243" spans="1:9">
      <c r="A1243" s="1" t="s">
        <v>449</v>
      </c>
      <c r="B1243" s="1" t="s">
        <v>10</v>
      </c>
      <c r="C1243" s="1" t="s">
        <v>450</v>
      </c>
      <c r="D1243" s="1" t="s">
        <v>451</v>
      </c>
      <c r="E1243" s="1" t="s">
        <v>433</v>
      </c>
      <c r="F1243" s="1" t="s">
        <v>452</v>
      </c>
      <c r="G1243" s="1" t="s">
        <v>453</v>
      </c>
      <c r="H1243" s="1" t="s">
        <v>454</v>
      </c>
      <c r="I1243" t="b">
        <f>COUNTIF(Estadísticas!I:I,'centraldecomunicacion.es'!H1243)&gt;0</f>
        <v>1</v>
      </c>
    </row>
    <row r="1244" spans="1:9" hidden="1">
      <c r="A1244" s="1" t="s">
        <v>5584</v>
      </c>
      <c r="B1244" s="1" t="s">
        <v>10</v>
      </c>
      <c r="C1244" s="1" t="s">
        <v>5585</v>
      </c>
      <c r="D1244" s="1" t="s">
        <v>5197</v>
      </c>
      <c r="E1244" s="1" t="s">
        <v>433</v>
      </c>
      <c r="F1244" s="1" t="s">
        <v>30</v>
      </c>
      <c r="G1244" s="1" t="s">
        <v>5586</v>
      </c>
      <c r="H1244" s="1" t="s">
        <v>1762</v>
      </c>
      <c r="I1244" t="b">
        <f>COUNTIF(Estadísticas!I:I,'centraldecomunicacion.es'!H1244)&gt;0</f>
        <v>0</v>
      </c>
    </row>
    <row r="1245" spans="1:9" hidden="1">
      <c r="A1245" s="1" t="s">
        <v>5587</v>
      </c>
      <c r="B1245" s="1" t="s">
        <v>10</v>
      </c>
      <c r="C1245" s="1" t="s">
        <v>5588</v>
      </c>
      <c r="D1245" s="1" t="s">
        <v>5197</v>
      </c>
      <c r="E1245" s="1" t="s">
        <v>433</v>
      </c>
      <c r="F1245" s="1" t="s">
        <v>30</v>
      </c>
      <c r="G1245" s="1" t="s">
        <v>5589</v>
      </c>
      <c r="H1245" s="1" t="s">
        <v>1762</v>
      </c>
      <c r="I1245" t="b">
        <f>COUNTIF(Estadísticas!I:I,'centraldecomunicacion.es'!H1245)&gt;0</f>
        <v>0</v>
      </c>
    </row>
    <row r="1246" spans="1:9" hidden="1">
      <c r="A1246" s="1" t="s">
        <v>5590</v>
      </c>
      <c r="B1246" s="1" t="s">
        <v>10</v>
      </c>
      <c r="C1246" s="1" t="s">
        <v>5591</v>
      </c>
      <c r="D1246" s="1" t="s">
        <v>5208</v>
      </c>
      <c r="E1246" s="1" t="s">
        <v>433</v>
      </c>
      <c r="F1246" s="1" t="s">
        <v>5592</v>
      </c>
      <c r="G1246" s="1" t="s">
        <v>5593</v>
      </c>
      <c r="H1246" s="1" t="s">
        <v>1762</v>
      </c>
      <c r="I1246" t="b">
        <f>COUNTIF(Estadísticas!I:I,'centraldecomunicacion.es'!H1246)&gt;0</f>
        <v>0</v>
      </c>
    </row>
    <row r="1247" spans="1:9" hidden="1">
      <c r="A1247" s="1" t="s">
        <v>5594</v>
      </c>
      <c r="B1247" s="1" t="s">
        <v>10</v>
      </c>
      <c r="C1247" s="1" t="s">
        <v>5595</v>
      </c>
      <c r="D1247" s="1" t="s">
        <v>5274</v>
      </c>
      <c r="E1247" s="1" t="s">
        <v>433</v>
      </c>
      <c r="F1247" s="1" t="s">
        <v>5596</v>
      </c>
      <c r="G1247" s="1" t="s">
        <v>5597</v>
      </c>
      <c r="H1247" s="1" t="s">
        <v>1762</v>
      </c>
      <c r="I1247" t="b">
        <f>COUNTIF(Estadísticas!I:I,'centraldecomunicacion.es'!H1247)&gt;0</f>
        <v>0</v>
      </c>
    </row>
    <row r="1248" spans="1:9" hidden="1">
      <c r="A1248" s="1" t="s">
        <v>5598</v>
      </c>
      <c r="B1248" s="1" t="s">
        <v>10</v>
      </c>
      <c r="C1248" s="1" t="s">
        <v>5599</v>
      </c>
      <c r="D1248" s="1" t="s">
        <v>432</v>
      </c>
      <c r="E1248" s="1" t="s">
        <v>433</v>
      </c>
      <c r="F1248" s="1" t="s">
        <v>5600</v>
      </c>
      <c r="G1248" s="1" t="s">
        <v>5601</v>
      </c>
      <c r="H1248" s="1" t="s">
        <v>1762</v>
      </c>
      <c r="I1248" t="b">
        <f>COUNTIF(Estadísticas!I:I,'centraldecomunicacion.es'!H1248)&gt;0</f>
        <v>0</v>
      </c>
    </row>
    <row r="1249" spans="1:9" hidden="1">
      <c r="A1249" s="1" t="s">
        <v>5602</v>
      </c>
      <c r="B1249" s="1" t="s">
        <v>10</v>
      </c>
      <c r="C1249" s="1" t="s">
        <v>5603</v>
      </c>
      <c r="D1249" s="1" t="s">
        <v>5492</v>
      </c>
      <c r="E1249" s="1" t="s">
        <v>5604</v>
      </c>
      <c r="F1249" s="1" t="s">
        <v>30</v>
      </c>
      <c r="G1249" s="1" t="s">
        <v>5605</v>
      </c>
      <c r="H1249" s="1" t="s">
        <v>1762</v>
      </c>
      <c r="I1249" t="b">
        <f>COUNTIF(Estadísticas!I:I,'centraldecomunicacion.es'!H1249)&gt;0</f>
        <v>0</v>
      </c>
    </row>
    <row r="1250" spans="1:9" hidden="1">
      <c r="A1250" s="1" t="s">
        <v>5606</v>
      </c>
      <c r="B1250" s="1" t="s">
        <v>10</v>
      </c>
      <c r="C1250" s="1" t="s">
        <v>5607</v>
      </c>
      <c r="D1250" s="1" t="s">
        <v>5386</v>
      </c>
      <c r="E1250" s="1" t="s">
        <v>433</v>
      </c>
      <c r="F1250" s="1" t="s">
        <v>30</v>
      </c>
      <c r="G1250" s="1" t="s">
        <v>30</v>
      </c>
      <c r="H1250" s="1" t="s">
        <v>1762</v>
      </c>
      <c r="I1250" t="b">
        <f>COUNTIF(Estadísticas!I:I,'centraldecomunicacion.es'!H1250)&gt;0</f>
        <v>0</v>
      </c>
    </row>
    <row r="1251" spans="1:9" hidden="1">
      <c r="A1251" s="1" t="s">
        <v>5608</v>
      </c>
      <c r="B1251" s="1" t="s">
        <v>18</v>
      </c>
      <c r="C1251" s="1" t="s">
        <v>5609</v>
      </c>
      <c r="D1251" s="1" t="s">
        <v>5239</v>
      </c>
      <c r="E1251" s="1" t="s">
        <v>433</v>
      </c>
      <c r="F1251" s="1" t="s">
        <v>30</v>
      </c>
      <c r="G1251" s="1" t="s">
        <v>5610</v>
      </c>
      <c r="H1251" s="1" t="s">
        <v>1762</v>
      </c>
      <c r="I1251" t="b">
        <f>COUNTIF(Estadísticas!I:I,'centraldecomunicacion.es'!H1251)&gt;0</f>
        <v>0</v>
      </c>
    </row>
    <row r="1252" spans="1:9" hidden="1">
      <c r="A1252" s="1" t="s">
        <v>5611</v>
      </c>
      <c r="B1252" s="1" t="s">
        <v>18</v>
      </c>
      <c r="C1252" s="1" t="s">
        <v>5612</v>
      </c>
      <c r="D1252" s="1" t="s">
        <v>432</v>
      </c>
      <c r="E1252" s="1" t="s">
        <v>433</v>
      </c>
      <c r="F1252" s="1" t="s">
        <v>5613</v>
      </c>
      <c r="G1252" s="1" t="s">
        <v>5614</v>
      </c>
      <c r="H1252" s="1" t="s">
        <v>5615</v>
      </c>
      <c r="I1252" t="b">
        <f>COUNTIF(Estadísticas!I:I,'centraldecomunicacion.es'!H1252)&gt;0</f>
        <v>0</v>
      </c>
    </row>
    <row r="1253" spans="1:9" hidden="1">
      <c r="A1253" s="1" t="s">
        <v>5616</v>
      </c>
      <c r="B1253" s="1" t="s">
        <v>18</v>
      </c>
      <c r="C1253" s="1" t="s">
        <v>5617</v>
      </c>
      <c r="D1253" s="1" t="s">
        <v>5274</v>
      </c>
      <c r="E1253" s="1" t="s">
        <v>433</v>
      </c>
      <c r="F1253" s="1" t="s">
        <v>30</v>
      </c>
      <c r="G1253" s="1" t="s">
        <v>5618</v>
      </c>
      <c r="H1253" s="1" t="s">
        <v>1762</v>
      </c>
      <c r="I1253" t="b">
        <f>COUNTIF(Estadísticas!I:I,'centraldecomunicacion.es'!H1253)&gt;0</f>
        <v>0</v>
      </c>
    </row>
    <row r="1254" spans="1:9" hidden="1">
      <c r="A1254" s="1" t="s">
        <v>5619</v>
      </c>
      <c r="B1254" s="1" t="s">
        <v>18</v>
      </c>
      <c r="C1254" s="1" t="s">
        <v>5620</v>
      </c>
      <c r="D1254" s="1" t="s">
        <v>5386</v>
      </c>
      <c r="E1254" s="1" t="s">
        <v>433</v>
      </c>
      <c r="F1254" s="1" t="s">
        <v>30</v>
      </c>
      <c r="G1254" s="1" t="s">
        <v>30</v>
      </c>
      <c r="H1254" s="1" t="s">
        <v>1762</v>
      </c>
      <c r="I1254" t="b">
        <f>COUNTIF(Estadísticas!I:I,'centraldecomunicacion.es'!H1254)&gt;0</f>
        <v>0</v>
      </c>
    </row>
    <row r="1255" spans="1:9" hidden="1">
      <c r="A1255" s="1" t="s">
        <v>5621</v>
      </c>
      <c r="B1255" s="1" t="s">
        <v>10</v>
      </c>
      <c r="C1255" s="1" t="s">
        <v>5622</v>
      </c>
      <c r="D1255" s="1" t="s">
        <v>882</v>
      </c>
      <c r="E1255" s="1" t="s">
        <v>882</v>
      </c>
      <c r="F1255" s="1" t="s">
        <v>30</v>
      </c>
      <c r="G1255" s="1" t="s">
        <v>5623</v>
      </c>
      <c r="H1255" s="1" t="s">
        <v>1762</v>
      </c>
      <c r="I1255" t="b">
        <f>COUNTIF(Estadísticas!I:I,'centraldecomunicacion.es'!H1255)&gt;0</f>
        <v>0</v>
      </c>
    </row>
    <row r="1256" spans="1:9" hidden="1">
      <c r="A1256" s="1" t="s">
        <v>5624</v>
      </c>
      <c r="B1256" s="1" t="s">
        <v>18</v>
      </c>
      <c r="C1256" s="1" t="s">
        <v>5625</v>
      </c>
      <c r="D1256" s="1" t="s">
        <v>5626</v>
      </c>
      <c r="E1256" s="1" t="s">
        <v>882</v>
      </c>
      <c r="F1256" s="1" t="s">
        <v>1830</v>
      </c>
      <c r="G1256" s="1" t="s">
        <v>5627</v>
      </c>
      <c r="H1256" s="1" t="s">
        <v>1762</v>
      </c>
      <c r="I1256" t="b">
        <f>COUNTIF(Estadísticas!I:I,'centraldecomunicacion.es'!H1256)&gt;0</f>
        <v>0</v>
      </c>
    </row>
    <row r="1257" spans="1:9" hidden="1">
      <c r="A1257" s="1" t="s">
        <v>5628</v>
      </c>
      <c r="B1257" s="1" t="s">
        <v>10</v>
      </c>
      <c r="C1257" s="1" t="s">
        <v>5629</v>
      </c>
      <c r="D1257" s="1" t="s">
        <v>5630</v>
      </c>
      <c r="E1257" s="1" t="s">
        <v>660</v>
      </c>
      <c r="F1257" s="1" t="s">
        <v>30</v>
      </c>
      <c r="G1257" s="1" t="s">
        <v>5631</v>
      </c>
      <c r="H1257" s="1" t="s">
        <v>1762</v>
      </c>
      <c r="I1257" t="b">
        <f>COUNTIF(Estadísticas!I:I,'centraldecomunicacion.es'!H1257)&gt;0</f>
        <v>0</v>
      </c>
    </row>
    <row r="1258" spans="1:9" hidden="1">
      <c r="A1258" s="1" t="s">
        <v>5632</v>
      </c>
      <c r="B1258" s="1" t="s">
        <v>10</v>
      </c>
      <c r="C1258" s="1" t="s">
        <v>5633</v>
      </c>
      <c r="D1258" s="1" t="s">
        <v>5634</v>
      </c>
      <c r="E1258" s="1" t="s">
        <v>660</v>
      </c>
      <c r="F1258" s="1" t="s">
        <v>30</v>
      </c>
      <c r="G1258" s="1" t="s">
        <v>5635</v>
      </c>
      <c r="H1258" s="1" t="s">
        <v>1762</v>
      </c>
      <c r="I1258" t="b">
        <f>COUNTIF(Estadísticas!I:I,'centraldecomunicacion.es'!H1258)&gt;0</f>
        <v>0</v>
      </c>
    </row>
    <row r="1259" spans="1:9" hidden="1">
      <c r="A1259" s="1" t="s">
        <v>5636</v>
      </c>
      <c r="B1259" s="1" t="s">
        <v>10</v>
      </c>
      <c r="C1259" s="1" t="s">
        <v>5637</v>
      </c>
      <c r="D1259" s="1" t="s">
        <v>5638</v>
      </c>
      <c r="E1259" s="1" t="s">
        <v>882</v>
      </c>
      <c r="F1259" s="1" t="s">
        <v>30</v>
      </c>
      <c r="G1259" s="1" t="s">
        <v>30</v>
      </c>
      <c r="H1259" s="1" t="s">
        <v>1762</v>
      </c>
      <c r="I1259" t="b">
        <f>COUNTIF(Estadísticas!I:I,'centraldecomunicacion.es'!H1259)&gt;0</f>
        <v>0</v>
      </c>
    </row>
    <row r="1260" spans="1:9" hidden="1">
      <c r="A1260" s="1" t="s">
        <v>5441</v>
      </c>
      <c r="B1260" s="1" t="s">
        <v>10</v>
      </c>
      <c r="C1260" s="1" t="s">
        <v>5639</v>
      </c>
      <c r="D1260" s="1" t="s">
        <v>5638</v>
      </c>
      <c r="E1260" s="1" t="s">
        <v>882</v>
      </c>
      <c r="F1260" s="1" t="s">
        <v>30</v>
      </c>
      <c r="G1260" s="1" t="s">
        <v>5640</v>
      </c>
      <c r="H1260" s="1" t="s">
        <v>1762</v>
      </c>
      <c r="I1260" t="b">
        <f>COUNTIF(Estadísticas!I:I,'centraldecomunicacion.es'!H1260)&gt;0</f>
        <v>0</v>
      </c>
    </row>
    <row r="1261" spans="1:9" hidden="1">
      <c r="A1261" s="1" t="s">
        <v>5641</v>
      </c>
      <c r="B1261" s="1" t="s">
        <v>10</v>
      </c>
      <c r="C1261" s="1" t="s">
        <v>5642</v>
      </c>
      <c r="D1261" s="1" t="s">
        <v>5630</v>
      </c>
      <c r="E1261" s="1" t="s">
        <v>660</v>
      </c>
      <c r="F1261" s="1" t="s">
        <v>30</v>
      </c>
      <c r="G1261" s="1" t="s">
        <v>5643</v>
      </c>
      <c r="H1261" s="1" t="s">
        <v>1762</v>
      </c>
      <c r="I1261" t="b">
        <f>COUNTIF(Estadísticas!I:I,'centraldecomunicacion.es'!H1261)&gt;0</f>
        <v>0</v>
      </c>
    </row>
    <row r="1262" spans="1:9" hidden="1">
      <c r="A1262" s="1" t="s">
        <v>5644</v>
      </c>
      <c r="B1262" s="1" t="s">
        <v>10</v>
      </c>
      <c r="C1262" s="1" t="s">
        <v>5645</v>
      </c>
      <c r="D1262" s="1" t="s">
        <v>882</v>
      </c>
      <c r="E1262" s="1" t="s">
        <v>882</v>
      </c>
      <c r="F1262" s="1" t="s">
        <v>30</v>
      </c>
      <c r="G1262" s="1" t="s">
        <v>5646</v>
      </c>
      <c r="H1262" s="1" t="s">
        <v>1762</v>
      </c>
      <c r="I1262" t="b">
        <f>COUNTIF(Estadísticas!I:I,'centraldecomunicacion.es'!H1262)&gt;0</f>
        <v>0</v>
      </c>
    </row>
    <row r="1263" spans="1:9" hidden="1">
      <c r="A1263" s="1" t="s">
        <v>5647</v>
      </c>
      <c r="B1263" s="1" t="s">
        <v>10</v>
      </c>
      <c r="C1263" s="1" t="s">
        <v>5648</v>
      </c>
      <c r="D1263" s="1" t="s">
        <v>5649</v>
      </c>
      <c r="E1263" s="1" t="s">
        <v>882</v>
      </c>
      <c r="F1263" s="1" t="s">
        <v>30</v>
      </c>
      <c r="G1263" s="1" t="s">
        <v>5650</v>
      </c>
      <c r="H1263" s="1" t="s">
        <v>1762</v>
      </c>
      <c r="I1263" t="b">
        <f>COUNTIF(Estadísticas!I:I,'centraldecomunicacion.es'!H1263)&gt;0</f>
        <v>0</v>
      </c>
    </row>
    <row r="1264" spans="1:9" hidden="1">
      <c r="A1264" s="1" t="s">
        <v>5651</v>
      </c>
      <c r="B1264" s="1" t="s">
        <v>10</v>
      </c>
      <c r="C1264" s="1" t="s">
        <v>5652</v>
      </c>
      <c r="D1264" s="1" t="s">
        <v>5653</v>
      </c>
      <c r="E1264" s="1" t="s">
        <v>882</v>
      </c>
      <c r="F1264" s="1" t="s">
        <v>30</v>
      </c>
      <c r="G1264" s="1" t="s">
        <v>30</v>
      </c>
      <c r="H1264" s="1" t="s">
        <v>1762</v>
      </c>
      <c r="I1264" t="b">
        <f>COUNTIF(Estadísticas!I:I,'centraldecomunicacion.es'!H1264)&gt;0</f>
        <v>0</v>
      </c>
    </row>
    <row r="1265" spans="1:9" hidden="1">
      <c r="A1265" s="1" t="s">
        <v>5654</v>
      </c>
      <c r="B1265" s="1" t="s">
        <v>18</v>
      </c>
      <c r="C1265" s="1" t="s">
        <v>5655</v>
      </c>
      <c r="D1265" s="1" t="s">
        <v>882</v>
      </c>
      <c r="E1265" s="1" t="s">
        <v>882</v>
      </c>
      <c r="F1265" s="1" t="s">
        <v>4288</v>
      </c>
      <c r="G1265" s="1" t="s">
        <v>5656</v>
      </c>
      <c r="H1265" s="1" t="s">
        <v>4290</v>
      </c>
      <c r="I1265" t="b">
        <f>COUNTIF(Estadísticas!I:I,'centraldecomunicacion.es'!H1265)&gt;0</f>
        <v>0</v>
      </c>
    </row>
    <row r="1266" spans="1:9" hidden="1">
      <c r="A1266" s="1" t="s">
        <v>5657</v>
      </c>
      <c r="B1266" s="1" t="s">
        <v>18</v>
      </c>
      <c r="C1266" s="1" t="s">
        <v>5658</v>
      </c>
      <c r="D1266" s="1" t="s">
        <v>5653</v>
      </c>
      <c r="E1266" s="1" t="s">
        <v>882</v>
      </c>
      <c r="F1266" s="1" t="s">
        <v>4288</v>
      </c>
      <c r="G1266" s="1" t="s">
        <v>5659</v>
      </c>
      <c r="H1266" s="1" t="s">
        <v>4290</v>
      </c>
      <c r="I1266" t="b">
        <f>COUNTIF(Estadísticas!I:I,'centraldecomunicacion.es'!H1266)&gt;0</f>
        <v>0</v>
      </c>
    </row>
    <row r="1267" spans="1:9" hidden="1">
      <c r="A1267" s="1" t="s">
        <v>5621</v>
      </c>
      <c r="B1267" s="1" t="s">
        <v>10</v>
      </c>
      <c r="C1267" s="1" t="s">
        <v>30</v>
      </c>
      <c r="D1267" s="1" t="s">
        <v>5197</v>
      </c>
      <c r="E1267" s="1" t="s">
        <v>30</v>
      </c>
      <c r="F1267" s="1" t="s">
        <v>30</v>
      </c>
      <c r="G1267" s="1" t="s">
        <v>5623</v>
      </c>
      <c r="H1267" s="1" t="s">
        <v>1762</v>
      </c>
      <c r="I1267" t="b">
        <f>COUNTIF(Estadísticas!I:I,'centraldecomunicacion.es'!H1267)&gt;0</f>
        <v>0</v>
      </c>
    </row>
    <row r="1268" spans="1:9" hidden="1">
      <c r="A1268" s="1" t="s">
        <v>5660</v>
      </c>
      <c r="B1268" s="1" t="s">
        <v>10</v>
      </c>
      <c r="C1268" s="1" t="s">
        <v>5661</v>
      </c>
      <c r="D1268" s="1" t="s">
        <v>5630</v>
      </c>
      <c r="E1268" s="1" t="s">
        <v>660</v>
      </c>
      <c r="F1268" s="1" t="s">
        <v>30</v>
      </c>
      <c r="G1268" s="1" t="s">
        <v>5662</v>
      </c>
      <c r="H1268" s="1" t="s">
        <v>1762</v>
      </c>
      <c r="I1268" t="b">
        <f>COUNTIF(Estadísticas!I:I,'centraldecomunicacion.es'!H1268)&gt;0</f>
        <v>0</v>
      </c>
    </row>
    <row r="1269" spans="1:9">
      <c r="A1269" s="1" t="s">
        <v>455</v>
      </c>
      <c r="B1269" s="1" t="s">
        <v>10</v>
      </c>
      <c r="C1269" s="1" t="s">
        <v>456</v>
      </c>
      <c r="D1269" s="1" t="s">
        <v>457</v>
      </c>
      <c r="E1269" s="1" t="s">
        <v>457</v>
      </c>
      <c r="F1269" s="1" t="s">
        <v>458</v>
      </c>
      <c r="G1269" s="1" t="s">
        <v>459</v>
      </c>
      <c r="H1269" s="1" t="s">
        <v>460</v>
      </c>
      <c r="I1269" t="b">
        <f>COUNTIF(Estadísticas!I:I,'centraldecomunicacion.es'!H1269)&gt;0</f>
        <v>1</v>
      </c>
    </row>
    <row r="1270" spans="1:9" hidden="1">
      <c r="A1270" s="1" t="s">
        <v>5663</v>
      </c>
      <c r="B1270" s="1" t="s">
        <v>10</v>
      </c>
      <c r="C1270" s="1" t="s">
        <v>5664</v>
      </c>
      <c r="D1270" s="1" t="s">
        <v>5665</v>
      </c>
      <c r="E1270" s="1" t="s">
        <v>660</v>
      </c>
      <c r="F1270" s="1" t="s">
        <v>30</v>
      </c>
      <c r="G1270" s="1" t="s">
        <v>30</v>
      </c>
      <c r="H1270" s="1" t="s">
        <v>1762</v>
      </c>
      <c r="I1270" t="b">
        <f>COUNTIF(Estadísticas!I:I,'centraldecomunicacion.es'!H1270)&gt;0</f>
        <v>0</v>
      </c>
    </row>
    <row r="1271" spans="1:9" hidden="1">
      <c r="A1271" s="1" t="s">
        <v>5666</v>
      </c>
      <c r="B1271" s="1" t="s">
        <v>18</v>
      </c>
      <c r="C1271" s="1" t="s">
        <v>5667</v>
      </c>
      <c r="D1271" s="1" t="s">
        <v>5653</v>
      </c>
      <c r="E1271" s="1" t="s">
        <v>882</v>
      </c>
      <c r="F1271" s="1" t="s">
        <v>30</v>
      </c>
      <c r="G1271" s="1" t="s">
        <v>5668</v>
      </c>
      <c r="H1271" s="1" t="s">
        <v>1762</v>
      </c>
      <c r="I1271" t="b">
        <f>COUNTIF(Estadísticas!I:I,'centraldecomunicacion.es'!H1271)&gt;0</f>
        <v>0</v>
      </c>
    </row>
    <row r="1272" spans="1:9" hidden="1">
      <c r="A1272" s="1" t="s">
        <v>5669</v>
      </c>
      <c r="B1272" s="1" t="s">
        <v>10</v>
      </c>
      <c r="C1272" s="1" t="s">
        <v>5670</v>
      </c>
      <c r="D1272" s="1" t="s">
        <v>1423</v>
      </c>
      <c r="E1272" s="1" t="s">
        <v>1413</v>
      </c>
      <c r="F1272" s="1" t="s">
        <v>5671</v>
      </c>
      <c r="G1272" s="1" t="s">
        <v>5672</v>
      </c>
      <c r="H1272" s="1" t="s">
        <v>5673</v>
      </c>
      <c r="I1272" t="b">
        <f>COUNTIF(Estadísticas!I:I,'centraldecomunicacion.es'!H1272)&gt;0</f>
        <v>0</v>
      </c>
    </row>
    <row r="1273" spans="1:9" hidden="1">
      <c r="A1273" s="1" t="s">
        <v>5674</v>
      </c>
      <c r="B1273" s="1" t="s">
        <v>10</v>
      </c>
      <c r="C1273" s="1" t="s">
        <v>5675</v>
      </c>
      <c r="D1273" s="1" t="s">
        <v>5676</v>
      </c>
      <c r="E1273" s="1" t="s">
        <v>464</v>
      </c>
      <c r="F1273" s="1" t="s">
        <v>30</v>
      </c>
      <c r="G1273" s="1" t="s">
        <v>5677</v>
      </c>
      <c r="H1273" s="1" t="s">
        <v>1762</v>
      </c>
      <c r="I1273" t="b">
        <f>COUNTIF(Estadísticas!I:I,'centraldecomunicacion.es'!H1273)&gt;0</f>
        <v>0</v>
      </c>
    </row>
    <row r="1274" spans="1:9" hidden="1">
      <c r="A1274" s="1" t="s">
        <v>5678</v>
      </c>
      <c r="B1274" s="1" t="s">
        <v>10</v>
      </c>
      <c r="C1274" s="1" t="s">
        <v>30</v>
      </c>
      <c r="D1274" s="1" t="s">
        <v>5679</v>
      </c>
      <c r="E1274" s="1" t="s">
        <v>30</v>
      </c>
      <c r="F1274" s="1" t="s">
        <v>5680</v>
      </c>
      <c r="G1274" s="1" t="s">
        <v>5681</v>
      </c>
      <c r="H1274" s="1" t="s">
        <v>1762</v>
      </c>
      <c r="I1274" t="b">
        <f>COUNTIF(Estadísticas!I:I,'centraldecomunicacion.es'!H1274)&gt;0</f>
        <v>0</v>
      </c>
    </row>
    <row r="1275" spans="1:9" hidden="1">
      <c r="A1275" s="1" t="s">
        <v>5682</v>
      </c>
      <c r="B1275" s="1" t="s">
        <v>10</v>
      </c>
      <c r="C1275" s="1" t="s">
        <v>5683</v>
      </c>
      <c r="D1275" s="1" t="s">
        <v>463</v>
      </c>
      <c r="E1275" s="1" t="s">
        <v>464</v>
      </c>
      <c r="F1275" s="1" t="s">
        <v>5684</v>
      </c>
      <c r="G1275" s="1" t="s">
        <v>5685</v>
      </c>
      <c r="H1275" s="1" t="s">
        <v>5686</v>
      </c>
      <c r="I1275" t="b">
        <f>COUNTIF(Estadísticas!I:I,'centraldecomunicacion.es'!H1275)&gt;0</f>
        <v>0</v>
      </c>
    </row>
    <row r="1276" spans="1:9" hidden="1">
      <c r="A1276" s="1" t="s">
        <v>5687</v>
      </c>
      <c r="B1276" s="1" t="s">
        <v>10</v>
      </c>
      <c r="C1276" s="1" t="s">
        <v>5688</v>
      </c>
      <c r="D1276" s="1" t="s">
        <v>463</v>
      </c>
      <c r="E1276" s="1" t="s">
        <v>512</v>
      </c>
      <c r="F1276" s="1" t="s">
        <v>5689</v>
      </c>
      <c r="G1276" s="1" t="s">
        <v>5690</v>
      </c>
      <c r="H1276" s="1" t="s">
        <v>5691</v>
      </c>
      <c r="I1276" t="b">
        <f>COUNTIF(Estadísticas!I:I,'centraldecomunicacion.es'!H1276)&gt;0</f>
        <v>0</v>
      </c>
    </row>
    <row r="1277" spans="1:9">
      <c r="A1277" s="1" t="s">
        <v>461</v>
      </c>
      <c r="B1277" s="1" t="s">
        <v>10</v>
      </c>
      <c r="C1277" s="1" t="s">
        <v>462</v>
      </c>
      <c r="D1277" s="1" t="s">
        <v>463</v>
      </c>
      <c r="E1277" s="1" t="s">
        <v>464</v>
      </c>
      <c r="F1277" s="1" t="s">
        <v>465</v>
      </c>
      <c r="G1277" s="1" t="s">
        <v>466</v>
      </c>
      <c r="H1277" s="1" t="s">
        <v>467</v>
      </c>
      <c r="I1277" t="b">
        <f>COUNTIF(Estadísticas!I:I,'centraldecomunicacion.es'!H1277)&gt;0</f>
        <v>1</v>
      </c>
    </row>
    <row r="1278" spans="1:9">
      <c r="A1278" s="1" t="s">
        <v>468</v>
      </c>
      <c r="B1278" s="1" t="s">
        <v>10</v>
      </c>
      <c r="C1278" s="1" t="s">
        <v>469</v>
      </c>
      <c r="D1278" s="1" t="s">
        <v>463</v>
      </c>
      <c r="E1278" s="1" t="s">
        <v>464</v>
      </c>
      <c r="F1278" s="1" t="s">
        <v>470</v>
      </c>
      <c r="G1278" s="1" t="s">
        <v>471</v>
      </c>
      <c r="H1278" s="1" t="s">
        <v>472</v>
      </c>
      <c r="I1278" t="b">
        <f>COUNTIF(Estadísticas!I:I,'centraldecomunicacion.es'!H1278)&gt;0</f>
        <v>1</v>
      </c>
    </row>
    <row r="1279" spans="1:9">
      <c r="A1279" s="1" t="s">
        <v>473</v>
      </c>
      <c r="B1279" s="1" t="s">
        <v>10</v>
      </c>
      <c r="C1279" s="1" t="s">
        <v>474</v>
      </c>
      <c r="D1279" s="1" t="s">
        <v>463</v>
      </c>
      <c r="E1279" s="1" t="s">
        <v>464</v>
      </c>
      <c r="F1279" s="1" t="s">
        <v>475</v>
      </c>
      <c r="G1279" s="1" t="s">
        <v>476</v>
      </c>
      <c r="H1279" s="1" t="s">
        <v>477</v>
      </c>
      <c r="I1279" t="b">
        <f>COUNTIF(Estadísticas!I:I,'centraldecomunicacion.es'!H1279)&gt;0</f>
        <v>1</v>
      </c>
    </row>
    <row r="1280" spans="1:9" hidden="1">
      <c r="A1280" s="1" t="s">
        <v>5692</v>
      </c>
      <c r="B1280" s="1" t="s">
        <v>10</v>
      </c>
      <c r="C1280" s="1" t="s">
        <v>5693</v>
      </c>
      <c r="D1280" s="1" t="s">
        <v>463</v>
      </c>
      <c r="E1280" s="1" t="s">
        <v>464</v>
      </c>
      <c r="F1280" s="1" t="s">
        <v>5694</v>
      </c>
      <c r="G1280" s="1" t="s">
        <v>5695</v>
      </c>
      <c r="H1280" s="1" t="s">
        <v>5696</v>
      </c>
      <c r="I1280" t="b">
        <f>COUNTIF(Estadísticas!I:I,'centraldecomunicacion.es'!H1280)&gt;0</f>
        <v>0</v>
      </c>
    </row>
    <row r="1281" spans="1:9" hidden="1">
      <c r="A1281" s="1" t="s">
        <v>5697</v>
      </c>
      <c r="B1281" s="1" t="s">
        <v>10</v>
      </c>
      <c r="C1281" s="1" t="s">
        <v>5698</v>
      </c>
      <c r="D1281" s="1" t="s">
        <v>463</v>
      </c>
      <c r="E1281" s="1" t="s">
        <v>464</v>
      </c>
      <c r="F1281" s="1" t="s">
        <v>5699</v>
      </c>
      <c r="G1281" s="1" t="s">
        <v>5700</v>
      </c>
      <c r="H1281" s="1" t="s">
        <v>1762</v>
      </c>
      <c r="I1281" t="b">
        <f>COUNTIF(Estadísticas!I:I,'centraldecomunicacion.es'!H1281)&gt;0</f>
        <v>0</v>
      </c>
    </row>
    <row r="1282" spans="1:9" hidden="1">
      <c r="A1282" s="1" t="s">
        <v>5701</v>
      </c>
      <c r="B1282" s="1" t="s">
        <v>10</v>
      </c>
      <c r="C1282" s="1" t="s">
        <v>5702</v>
      </c>
      <c r="D1282" s="1" t="s">
        <v>463</v>
      </c>
      <c r="E1282" s="1" t="s">
        <v>464</v>
      </c>
      <c r="F1282" s="1" t="s">
        <v>5703</v>
      </c>
      <c r="G1282" s="1" t="s">
        <v>5704</v>
      </c>
      <c r="H1282" s="1" t="s">
        <v>5705</v>
      </c>
      <c r="I1282" t="b">
        <f>COUNTIF(Estadísticas!I:I,'centraldecomunicacion.es'!H1282)&gt;0</f>
        <v>0</v>
      </c>
    </row>
    <row r="1283" spans="1:9" hidden="1">
      <c r="A1283" s="1" t="s">
        <v>5706</v>
      </c>
      <c r="B1283" s="1" t="s">
        <v>10</v>
      </c>
      <c r="C1283" s="1" t="s">
        <v>5707</v>
      </c>
      <c r="D1283" s="1" t="s">
        <v>463</v>
      </c>
      <c r="E1283" s="1" t="s">
        <v>464</v>
      </c>
      <c r="F1283" s="1" t="s">
        <v>5708</v>
      </c>
      <c r="G1283" s="1" t="s">
        <v>5709</v>
      </c>
      <c r="H1283" s="1" t="s">
        <v>1762</v>
      </c>
      <c r="I1283" t="b">
        <f>COUNTIF(Estadísticas!I:I,'centraldecomunicacion.es'!H1283)&gt;0</f>
        <v>0</v>
      </c>
    </row>
    <row r="1284" spans="1:9">
      <c r="A1284" s="1" t="s">
        <v>478</v>
      </c>
      <c r="B1284" s="1" t="s">
        <v>10</v>
      </c>
      <c r="C1284" s="1" t="s">
        <v>479</v>
      </c>
      <c r="D1284" s="1" t="s">
        <v>463</v>
      </c>
      <c r="E1284" s="1" t="s">
        <v>464</v>
      </c>
      <c r="F1284" s="1" t="s">
        <v>480</v>
      </c>
      <c r="G1284" s="1" t="s">
        <v>481</v>
      </c>
      <c r="H1284" s="1" t="s">
        <v>482</v>
      </c>
      <c r="I1284" t="b">
        <f>COUNTIF(Estadísticas!I:I,'centraldecomunicacion.es'!H1284)&gt;0</f>
        <v>1</v>
      </c>
    </row>
    <row r="1285" spans="1:9" hidden="1">
      <c r="A1285" s="1" t="s">
        <v>5710</v>
      </c>
      <c r="B1285" s="1" t="s">
        <v>10</v>
      </c>
      <c r="C1285" s="1" t="s">
        <v>5711</v>
      </c>
      <c r="D1285" s="1" t="s">
        <v>463</v>
      </c>
      <c r="E1285" s="1" t="s">
        <v>464</v>
      </c>
      <c r="F1285" s="1" t="s">
        <v>5712</v>
      </c>
      <c r="G1285" s="1" t="s">
        <v>5713</v>
      </c>
      <c r="H1285" s="1" t="s">
        <v>1762</v>
      </c>
      <c r="I1285" t="b">
        <f>COUNTIF(Estadísticas!I:I,'centraldecomunicacion.es'!H1285)&gt;0</f>
        <v>0</v>
      </c>
    </row>
    <row r="1286" spans="1:9" hidden="1">
      <c r="A1286" s="1" t="s">
        <v>5714</v>
      </c>
      <c r="B1286" s="1" t="s">
        <v>10</v>
      </c>
      <c r="C1286" s="1" t="s">
        <v>5715</v>
      </c>
      <c r="D1286" s="1" t="s">
        <v>463</v>
      </c>
      <c r="E1286" s="1" t="s">
        <v>464</v>
      </c>
      <c r="F1286" s="1" t="s">
        <v>5716</v>
      </c>
      <c r="G1286" s="1" t="s">
        <v>5717</v>
      </c>
      <c r="H1286" s="1" t="s">
        <v>5718</v>
      </c>
      <c r="I1286" t="b">
        <f>COUNTIF(Estadísticas!I:I,'centraldecomunicacion.es'!H1286)&gt;0</f>
        <v>0</v>
      </c>
    </row>
    <row r="1287" spans="1:9" hidden="1">
      <c r="A1287" s="1" t="s">
        <v>5719</v>
      </c>
      <c r="B1287" s="1" t="s">
        <v>10</v>
      </c>
      <c r="C1287" s="1" t="s">
        <v>5720</v>
      </c>
      <c r="D1287" s="1" t="s">
        <v>463</v>
      </c>
      <c r="E1287" s="1" t="s">
        <v>512</v>
      </c>
      <c r="F1287" s="1" t="s">
        <v>5721</v>
      </c>
      <c r="G1287" s="1" t="s">
        <v>5722</v>
      </c>
      <c r="H1287" s="1" t="s">
        <v>5723</v>
      </c>
      <c r="I1287" t="b">
        <f>COUNTIF(Estadísticas!I:I,'centraldecomunicacion.es'!H1287)&gt;0</f>
        <v>0</v>
      </c>
    </row>
    <row r="1288" spans="1:9" hidden="1">
      <c r="A1288" s="1" t="s">
        <v>5724</v>
      </c>
      <c r="B1288" s="1" t="s">
        <v>10</v>
      </c>
      <c r="C1288" s="1" t="s">
        <v>5725</v>
      </c>
      <c r="D1288" s="1" t="s">
        <v>5726</v>
      </c>
      <c r="E1288" s="1" t="s">
        <v>464</v>
      </c>
      <c r="F1288" s="1" t="s">
        <v>5727</v>
      </c>
      <c r="G1288" s="1" t="s">
        <v>5728</v>
      </c>
      <c r="H1288" s="1" t="s">
        <v>1762</v>
      </c>
      <c r="I1288" t="b">
        <f>COUNTIF(Estadísticas!I:I,'centraldecomunicacion.es'!H1288)&gt;0</f>
        <v>0</v>
      </c>
    </row>
    <row r="1289" spans="1:9" hidden="1">
      <c r="A1289" s="1" t="s">
        <v>5729</v>
      </c>
      <c r="B1289" s="1" t="s">
        <v>10</v>
      </c>
      <c r="C1289" s="1" t="s">
        <v>5730</v>
      </c>
      <c r="D1289" s="1" t="s">
        <v>463</v>
      </c>
      <c r="E1289" s="1" t="s">
        <v>464</v>
      </c>
      <c r="F1289" s="1" t="s">
        <v>5684</v>
      </c>
      <c r="G1289" s="1" t="s">
        <v>5731</v>
      </c>
      <c r="H1289" s="1" t="s">
        <v>5686</v>
      </c>
      <c r="I1289" t="b">
        <f>COUNTIF(Estadísticas!I:I,'centraldecomunicacion.es'!H1289)&gt;0</f>
        <v>0</v>
      </c>
    </row>
    <row r="1290" spans="1:9" hidden="1">
      <c r="A1290" s="1" t="s">
        <v>5732</v>
      </c>
      <c r="B1290" s="1" t="s">
        <v>10</v>
      </c>
      <c r="C1290" s="1" t="s">
        <v>5733</v>
      </c>
      <c r="D1290" s="1" t="s">
        <v>5734</v>
      </c>
      <c r="E1290" s="1" t="s">
        <v>464</v>
      </c>
      <c r="F1290" s="1" t="s">
        <v>30</v>
      </c>
      <c r="G1290" s="1" t="s">
        <v>30</v>
      </c>
      <c r="H1290" s="1" t="s">
        <v>1762</v>
      </c>
      <c r="I1290" t="b">
        <f>COUNTIF(Estadísticas!I:I,'centraldecomunicacion.es'!H1290)&gt;0</f>
        <v>0</v>
      </c>
    </row>
    <row r="1291" spans="1:9" hidden="1">
      <c r="A1291" s="1" t="s">
        <v>5735</v>
      </c>
      <c r="B1291" s="1" t="s">
        <v>10</v>
      </c>
      <c r="C1291" s="1" t="s">
        <v>5736</v>
      </c>
      <c r="D1291" s="1" t="s">
        <v>5737</v>
      </c>
      <c r="E1291" s="1" t="s">
        <v>464</v>
      </c>
      <c r="F1291" s="1" t="s">
        <v>5738</v>
      </c>
      <c r="G1291" s="1" t="s">
        <v>5739</v>
      </c>
      <c r="H1291" s="1" t="s">
        <v>5740</v>
      </c>
      <c r="I1291" t="b">
        <f>COUNTIF(Estadísticas!I:I,'centraldecomunicacion.es'!H1291)&gt;0</f>
        <v>0</v>
      </c>
    </row>
    <row r="1292" spans="1:9" hidden="1">
      <c r="A1292" s="1" t="s">
        <v>5741</v>
      </c>
      <c r="B1292" s="1" t="s">
        <v>10</v>
      </c>
      <c r="C1292" s="1" t="s">
        <v>5742</v>
      </c>
      <c r="D1292" s="1" t="s">
        <v>5743</v>
      </c>
      <c r="E1292" s="1" t="s">
        <v>464</v>
      </c>
      <c r="F1292" s="1" t="s">
        <v>5744</v>
      </c>
      <c r="G1292" s="1" t="s">
        <v>5745</v>
      </c>
      <c r="H1292" s="1" t="s">
        <v>1762</v>
      </c>
      <c r="I1292" t="b">
        <f>COUNTIF(Estadísticas!I:I,'centraldecomunicacion.es'!H1292)&gt;0</f>
        <v>0</v>
      </c>
    </row>
    <row r="1293" spans="1:9" hidden="1">
      <c r="A1293" s="1" t="s">
        <v>5746</v>
      </c>
      <c r="B1293" s="1" t="s">
        <v>18</v>
      </c>
      <c r="C1293" s="1" t="s">
        <v>5747</v>
      </c>
      <c r="D1293" s="1" t="s">
        <v>463</v>
      </c>
      <c r="E1293" s="1" t="s">
        <v>464</v>
      </c>
      <c r="F1293" s="1" t="s">
        <v>5748</v>
      </c>
      <c r="G1293" s="1" t="s">
        <v>5749</v>
      </c>
      <c r="H1293" s="1" t="s">
        <v>5750</v>
      </c>
      <c r="I1293" t="b">
        <f>COUNTIF(Estadísticas!I:I,'centraldecomunicacion.es'!H1293)&gt;0</f>
        <v>0</v>
      </c>
    </row>
    <row r="1294" spans="1:9" hidden="1">
      <c r="A1294" s="1" t="s">
        <v>5746</v>
      </c>
      <c r="B1294" s="1" t="s">
        <v>18</v>
      </c>
      <c r="C1294" s="1" t="s">
        <v>5751</v>
      </c>
      <c r="D1294" s="1" t="s">
        <v>5752</v>
      </c>
      <c r="E1294" s="1" t="s">
        <v>512</v>
      </c>
      <c r="F1294" s="1" t="s">
        <v>5748</v>
      </c>
      <c r="G1294" s="1" t="s">
        <v>5753</v>
      </c>
      <c r="H1294" s="1" t="s">
        <v>5750</v>
      </c>
      <c r="I1294" t="b">
        <f>COUNTIF(Estadísticas!I:I,'centraldecomunicacion.es'!H1294)&gt;0</f>
        <v>0</v>
      </c>
    </row>
    <row r="1295" spans="1:9" hidden="1">
      <c r="A1295" s="1" t="s">
        <v>5754</v>
      </c>
      <c r="B1295" s="1" t="s">
        <v>10</v>
      </c>
      <c r="C1295" s="1" t="s">
        <v>5755</v>
      </c>
      <c r="D1295" s="1" t="s">
        <v>5752</v>
      </c>
      <c r="E1295" s="1" t="s">
        <v>464</v>
      </c>
      <c r="F1295" s="1" t="s">
        <v>30</v>
      </c>
      <c r="G1295" s="1" t="s">
        <v>5756</v>
      </c>
      <c r="H1295" s="1" t="s">
        <v>1762</v>
      </c>
      <c r="I1295" t="b">
        <f>COUNTIF(Estadísticas!I:I,'centraldecomunicacion.es'!H1295)&gt;0</f>
        <v>0</v>
      </c>
    </row>
    <row r="1296" spans="1:9" hidden="1">
      <c r="A1296" s="1" t="s">
        <v>5757</v>
      </c>
      <c r="B1296" s="1" t="s">
        <v>10</v>
      </c>
      <c r="C1296" s="1" t="s">
        <v>5758</v>
      </c>
      <c r="D1296" s="1" t="s">
        <v>5759</v>
      </c>
      <c r="E1296" s="1" t="s">
        <v>464</v>
      </c>
      <c r="F1296" s="1" t="s">
        <v>30</v>
      </c>
      <c r="G1296" s="1" t="s">
        <v>5760</v>
      </c>
      <c r="H1296" s="1" t="s">
        <v>1762</v>
      </c>
      <c r="I1296" t="b">
        <f>COUNTIF(Estadísticas!I:I,'centraldecomunicacion.es'!H1296)&gt;0</f>
        <v>0</v>
      </c>
    </row>
    <row r="1297" spans="1:9" hidden="1">
      <c r="A1297" s="1" t="s">
        <v>5761</v>
      </c>
      <c r="B1297" s="1" t="s">
        <v>10</v>
      </c>
      <c r="C1297" s="1" t="s">
        <v>30</v>
      </c>
      <c r="D1297" s="1" t="s">
        <v>5679</v>
      </c>
      <c r="E1297" s="1" t="s">
        <v>30</v>
      </c>
      <c r="F1297" s="1" t="s">
        <v>5762</v>
      </c>
      <c r="G1297" s="1" t="s">
        <v>5763</v>
      </c>
      <c r="H1297" s="1" t="s">
        <v>1762</v>
      </c>
      <c r="I1297" t="b">
        <f>COUNTIF(Estadísticas!I:I,'centraldecomunicacion.es'!H1297)&gt;0</f>
        <v>0</v>
      </c>
    </row>
    <row r="1298" spans="1:9" hidden="1">
      <c r="A1298" s="1" t="s">
        <v>5764</v>
      </c>
      <c r="B1298" s="1" t="s">
        <v>18</v>
      </c>
      <c r="C1298" s="1" t="s">
        <v>5765</v>
      </c>
      <c r="D1298" s="1" t="s">
        <v>5766</v>
      </c>
      <c r="E1298" s="1" t="s">
        <v>464</v>
      </c>
      <c r="F1298" s="1" t="s">
        <v>5748</v>
      </c>
      <c r="G1298" s="1" t="s">
        <v>5767</v>
      </c>
      <c r="H1298" s="1" t="s">
        <v>5750</v>
      </c>
      <c r="I1298" t="b">
        <f>COUNTIF(Estadísticas!I:I,'centraldecomunicacion.es'!H1298)&gt;0</f>
        <v>0</v>
      </c>
    </row>
    <row r="1299" spans="1:9" hidden="1">
      <c r="A1299" s="1" t="s">
        <v>5746</v>
      </c>
      <c r="B1299" s="1" t="s">
        <v>18</v>
      </c>
      <c r="C1299" s="1" t="s">
        <v>5768</v>
      </c>
      <c r="D1299" s="1" t="s">
        <v>5769</v>
      </c>
      <c r="E1299" s="1" t="s">
        <v>512</v>
      </c>
      <c r="F1299" s="1" t="s">
        <v>5748</v>
      </c>
      <c r="G1299" s="1" t="s">
        <v>5770</v>
      </c>
      <c r="H1299" s="1" t="s">
        <v>5750</v>
      </c>
      <c r="I1299" t="b">
        <f>COUNTIF(Estadísticas!I:I,'centraldecomunicacion.es'!H1299)&gt;0</f>
        <v>0</v>
      </c>
    </row>
    <row r="1300" spans="1:9" hidden="1">
      <c r="A1300" s="1" t="s">
        <v>5477</v>
      </c>
      <c r="B1300" s="1" t="s">
        <v>10</v>
      </c>
      <c r="C1300" s="1" t="s">
        <v>5771</v>
      </c>
      <c r="D1300" s="1" t="s">
        <v>463</v>
      </c>
      <c r="E1300" s="1" t="s">
        <v>464</v>
      </c>
      <c r="F1300" s="1" t="s">
        <v>30</v>
      </c>
      <c r="G1300" s="1" t="s">
        <v>5772</v>
      </c>
      <c r="H1300" s="1" t="s">
        <v>1762</v>
      </c>
      <c r="I1300" t="b">
        <f>COUNTIF(Estadísticas!I:I,'centraldecomunicacion.es'!H1300)&gt;0</f>
        <v>0</v>
      </c>
    </row>
    <row r="1301" spans="1:9" hidden="1">
      <c r="A1301" s="1" t="s">
        <v>5773</v>
      </c>
      <c r="B1301" s="1" t="s">
        <v>18</v>
      </c>
      <c r="C1301" s="1" t="s">
        <v>5774</v>
      </c>
      <c r="D1301" s="1" t="s">
        <v>463</v>
      </c>
      <c r="E1301" s="1" t="s">
        <v>512</v>
      </c>
      <c r="F1301" s="1" t="s">
        <v>5775</v>
      </c>
      <c r="G1301" s="1" t="s">
        <v>5776</v>
      </c>
      <c r="H1301" s="1" t="s">
        <v>5777</v>
      </c>
      <c r="I1301" t="b">
        <f>COUNTIF(Estadísticas!I:I,'centraldecomunicacion.es'!H1301)&gt;0</f>
        <v>0</v>
      </c>
    </row>
    <row r="1302" spans="1:9">
      <c r="A1302" s="1" t="s">
        <v>483</v>
      </c>
      <c r="B1302" s="1" t="s">
        <v>10</v>
      </c>
      <c r="C1302" s="1" t="s">
        <v>484</v>
      </c>
      <c r="D1302" s="1" t="s">
        <v>463</v>
      </c>
      <c r="E1302" s="1" t="s">
        <v>464</v>
      </c>
      <c r="F1302" s="1" t="s">
        <v>485</v>
      </c>
      <c r="G1302" s="1" t="s">
        <v>486</v>
      </c>
      <c r="H1302" s="1" t="s">
        <v>487</v>
      </c>
      <c r="I1302" t="b">
        <f>COUNTIF(Estadísticas!I:I,'centraldecomunicacion.es'!H1302)&gt;0</f>
        <v>1</v>
      </c>
    </row>
    <row r="1303" spans="1:9" hidden="1">
      <c r="A1303" s="1" t="s">
        <v>5778</v>
      </c>
      <c r="B1303" s="1" t="s">
        <v>10</v>
      </c>
      <c r="C1303" s="1" t="s">
        <v>5779</v>
      </c>
      <c r="D1303" s="1" t="s">
        <v>5780</v>
      </c>
      <c r="E1303" s="1" t="s">
        <v>464</v>
      </c>
      <c r="F1303" s="1" t="s">
        <v>30</v>
      </c>
      <c r="G1303" s="1" t="s">
        <v>5781</v>
      </c>
      <c r="H1303" s="1" t="s">
        <v>1762</v>
      </c>
      <c r="I1303" t="b">
        <f>COUNTIF(Estadísticas!I:I,'centraldecomunicacion.es'!H1303)&gt;0</f>
        <v>0</v>
      </c>
    </row>
    <row r="1304" spans="1:9" hidden="1">
      <c r="A1304" s="1" t="s">
        <v>5782</v>
      </c>
      <c r="B1304" s="1" t="s">
        <v>10</v>
      </c>
      <c r="C1304" s="1" t="s">
        <v>5783</v>
      </c>
      <c r="D1304" s="1" t="s">
        <v>463</v>
      </c>
      <c r="E1304" s="1" t="s">
        <v>464</v>
      </c>
      <c r="F1304" s="1" t="s">
        <v>5784</v>
      </c>
      <c r="G1304" s="1" t="s">
        <v>5785</v>
      </c>
      <c r="H1304" s="1" t="s">
        <v>5786</v>
      </c>
      <c r="I1304" t="b">
        <f>COUNTIF(Estadísticas!I:I,'centraldecomunicacion.es'!H1304)&gt;0</f>
        <v>0</v>
      </c>
    </row>
    <row r="1305" spans="1:9" hidden="1">
      <c r="A1305" s="1" t="s">
        <v>5787</v>
      </c>
      <c r="B1305" s="1" t="s">
        <v>10</v>
      </c>
      <c r="C1305" s="1" t="s">
        <v>5788</v>
      </c>
      <c r="D1305" s="1" t="s">
        <v>5789</v>
      </c>
      <c r="E1305" s="1" t="s">
        <v>464</v>
      </c>
      <c r="F1305" s="1" t="s">
        <v>30</v>
      </c>
      <c r="G1305" s="1" t="s">
        <v>5790</v>
      </c>
      <c r="H1305" s="1" t="s">
        <v>1762</v>
      </c>
      <c r="I1305" t="b">
        <f>COUNTIF(Estadísticas!I:I,'centraldecomunicacion.es'!H1305)&gt;0</f>
        <v>0</v>
      </c>
    </row>
    <row r="1306" spans="1:9" hidden="1">
      <c r="A1306" s="1" t="s">
        <v>5791</v>
      </c>
      <c r="B1306" s="1" t="s">
        <v>10</v>
      </c>
      <c r="C1306" s="1" t="s">
        <v>5792</v>
      </c>
      <c r="D1306" s="1" t="s">
        <v>5726</v>
      </c>
      <c r="E1306" s="1" t="s">
        <v>464</v>
      </c>
      <c r="F1306" s="1" t="s">
        <v>5793</v>
      </c>
      <c r="G1306" s="1" t="s">
        <v>5794</v>
      </c>
      <c r="H1306" s="1" t="s">
        <v>1762</v>
      </c>
      <c r="I1306" t="b">
        <f>COUNTIF(Estadísticas!I:I,'centraldecomunicacion.es'!H1306)&gt;0</f>
        <v>0</v>
      </c>
    </row>
    <row r="1307" spans="1:9">
      <c r="A1307" s="1" t="s">
        <v>488</v>
      </c>
      <c r="B1307" s="1" t="s">
        <v>10</v>
      </c>
      <c r="C1307" s="1" t="s">
        <v>489</v>
      </c>
      <c r="D1307" s="1" t="s">
        <v>490</v>
      </c>
      <c r="E1307" s="1" t="s">
        <v>490</v>
      </c>
      <c r="F1307" s="1" t="s">
        <v>491</v>
      </c>
      <c r="G1307" s="1" t="s">
        <v>492</v>
      </c>
      <c r="H1307" s="1" t="s">
        <v>493</v>
      </c>
      <c r="I1307" t="b">
        <f>COUNTIF(Estadísticas!I:I,'centraldecomunicacion.es'!H1307)&gt;0</f>
        <v>1</v>
      </c>
    </row>
    <row r="1308" spans="1:9">
      <c r="A1308" s="1" t="s">
        <v>494</v>
      </c>
      <c r="B1308" s="1" t="s">
        <v>18</v>
      </c>
      <c r="C1308" s="1" t="s">
        <v>495</v>
      </c>
      <c r="D1308" s="1" t="s">
        <v>463</v>
      </c>
      <c r="E1308" s="1" t="s">
        <v>464</v>
      </c>
      <c r="F1308" s="1" t="s">
        <v>496</v>
      </c>
      <c r="G1308" s="1" t="s">
        <v>497</v>
      </c>
      <c r="H1308" s="1" t="s">
        <v>498</v>
      </c>
      <c r="I1308" t="b">
        <f>COUNTIF(Estadísticas!I:I,'centraldecomunicacion.es'!H1308)&gt;0</f>
        <v>1</v>
      </c>
    </row>
    <row r="1309" spans="1:9" hidden="1">
      <c r="A1309" s="1" t="s">
        <v>3604</v>
      </c>
      <c r="B1309" s="1" t="s">
        <v>10</v>
      </c>
      <c r="C1309" s="1" t="s">
        <v>5795</v>
      </c>
      <c r="D1309" s="1" t="s">
        <v>463</v>
      </c>
      <c r="E1309" s="1" t="s">
        <v>464</v>
      </c>
      <c r="F1309" s="1" t="s">
        <v>30</v>
      </c>
      <c r="G1309" s="1" t="s">
        <v>5796</v>
      </c>
      <c r="H1309" s="1" t="s">
        <v>1762</v>
      </c>
      <c r="I1309" t="b">
        <f>COUNTIF(Estadísticas!I:I,'centraldecomunicacion.es'!H1309)&gt;0</f>
        <v>0</v>
      </c>
    </row>
    <row r="1310" spans="1:9" hidden="1">
      <c r="A1310" s="1" t="s">
        <v>5797</v>
      </c>
      <c r="B1310" s="1" t="s">
        <v>10</v>
      </c>
      <c r="C1310" s="1" t="s">
        <v>5798</v>
      </c>
      <c r="D1310" s="1" t="s">
        <v>5752</v>
      </c>
      <c r="E1310" s="1" t="s">
        <v>464</v>
      </c>
      <c r="F1310" s="1" t="s">
        <v>30</v>
      </c>
      <c r="G1310" s="1" t="s">
        <v>5799</v>
      </c>
      <c r="H1310" s="1" t="s">
        <v>1762</v>
      </c>
      <c r="I1310" t="b">
        <f>COUNTIF(Estadísticas!I:I,'centraldecomunicacion.es'!H1310)&gt;0</f>
        <v>0</v>
      </c>
    </row>
    <row r="1311" spans="1:9" hidden="1">
      <c r="A1311" s="1" t="s">
        <v>5800</v>
      </c>
      <c r="B1311" s="1" t="s">
        <v>10</v>
      </c>
      <c r="C1311" s="1" t="s">
        <v>5801</v>
      </c>
      <c r="D1311" s="1" t="s">
        <v>5766</v>
      </c>
      <c r="E1311" s="1" t="s">
        <v>464</v>
      </c>
      <c r="F1311" s="1" t="s">
        <v>30</v>
      </c>
      <c r="G1311" s="1" t="s">
        <v>5802</v>
      </c>
      <c r="H1311" s="1" t="s">
        <v>1762</v>
      </c>
      <c r="I1311" t="b">
        <f>COUNTIF(Estadísticas!I:I,'centraldecomunicacion.es'!H1311)&gt;0</f>
        <v>0</v>
      </c>
    </row>
    <row r="1312" spans="1:9" hidden="1">
      <c r="A1312" s="1" t="s">
        <v>5803</v>
      </c>
      <c r="B1312" s="1" t="s">
        <v>10</v>
      </c>
      <c r="C1312" s="1" t="s">
        <v>5804</v>
      </c>
      <c r="D1312" s="1" t="s">
        <v>5805</v>
      </c>
      <c r="E1312" s="1" t="s">
        <v>464</v>
      </c>
      <c r="F1312" s="1" t="s">
        <v>30</v>
      </c>
      <c r="G1312" s="1" t="s">
        <v>5806</v>
      </c>
      <c r="H1312" s="1" t="s">
        <v>1762</v>
      </c>
      <c r="I1312" t="b">
        <f>COUNTIF(Estadísticas!I:I,'centraldecomunicacion.es'!H1312)&gt;0</f>
        <v>0</v>
      </c>
    </row>
    <row r="1313" spans="1:9" hidden="1">
      <c r="A1313" s="1" t="s">
        <v>5807</v>
      </c>
      <c r="B1313" s="1" t="s">
        <v>10</v>
      </c>
      <c r="C1313" s="1" t="s">
        <v>5808</v>
      </c>
      <c r="D1313" s="1" t="s">
        <v>5809</v>
      </c>
      <c r="E1313" s="1" t="s">
        <v>464</v>
      </c>
      <c r="F1313" s="1" t="s">
        <v>5810</v>
      </c>
      <c r="G1313" s="1" t="s">
        <v>5811</v>
      </c>
      <c r="H1313" s="1" t="s">
        <v>5812</v>
      </c>
      <c r="I1313" t="b">
        <f>COUNTIF(Estadísticas!I:I,'centraldecomunicacion.es'!H1313)&gt;0</f>
        <v>0</v>
      </c>
    </row>
    <row r="1314" spans="1:9" hidden="1">
      <c r="A1314" s="1" t="s">
        <v>5813</v>
      </c>
      <c r="B1314" s="1" t="s">
        <v>10</v>
      </c>
      <c r="C1314" s="1" t="s">
        <v>5814</v>
      </c>
      <c r="D1314" s="1" t="s">
        <v>5815</v>
      </c>
      <c r="E1314" s="1" t="s">
        <v>464</v>
      </c>
      <c r="F1314" s="1" t="s">
        <v>5816</v>
      </c>
      <c r="G1314" s="1" t="s">
        <v>5817</v>
      </c>
      <c r="H1314" s="1" t="s">
        <v>5818</v>
      </c>
      <c r="I1314" t="b">
        <f>COUNTIF(Estadísticas!I:I,'centraldecomunicacion.es'!H1314)&gt;0</f>
        <v>0</v>
      </c>
    </row>
    <row r="1315" spans="1:9" hidden="1">
      <c r="A1315" s="1" t="s">
        <v>5819</v>
      </c>
      <c r="B1315" s="1" t="s">
        <v>10</v>
      </c>
      <c r="C1315" s="1" t="s">
        <v>5820</v>
      </c>
      <c r="D1315" s="1" t="s">
        <v>5821</v>
      </c>
      <c r="E1315" s="1" t="s">
        <v>464</v>
      </c>
      <c r="F1315" s="1" t="s">
        <v>30</v>
      </c>
      <c r="G1315" s="1" t="s">
        <v>5822</v>
      </c>
      <c r="H1315" s="1" t="s">
        <v>1762</v>
      </c>
      <c r="I1315" t="b">
        <f>COUNTIF(Estadísticas!I:I,'centraldecomunicacion.es'!H1315)&gt;0</f>
        <v>0</v>
      </c>
    </row>
    <row r="1316" spans="1:9" hidden="1">
      <c r="A1316" s="1" t="s">
        <v>5823</v>
      </c>
      <c r="B1316" s="1" t="s">
        <v>10</v>
      </c>
      <c r="C1316" s="1" t="s">
        <v>5824</v>
      </c>
      <c r="D1316" s="1" t="s">
        <v>5825</v>
      </c>
      <c r="E1316" s="1" t="s">
        <v>512</v>
      </c>
      <c r="F1316" s="1" t="s">
        <v>30</v>
      </c>
      <c r="G1316" s="1" t="s">
        <v>30</v>
      </c>
      <c r="H1316" s="1" t="s">
        <v>1762</v>
      </c>
      <c r="I1316" t="b">
        <f>COUNTIF(Estadísticas!I:I,'centraldecomunicacion.es'!H1316)&gt;0</f>
        <v>0</v>
      </c>
    </row>
    <row r="1317" spans="1:9" hidden="1">
      <c r="A1317" s="1" t="s">
        <v>499</v>
      </c>
      <c r="B1317" s="1" t="s">
        <v>10</v>
      </c>
      <c r="C1317" s="1" t="s">
        <v>5826</v>
      </c>
      <c r="D1317" s="1" t="s">
        <v>463</v>
      </c>
      <c r="E1317" s="1" t="s">
        <v>464</v>
      </c>
      <c r="F1317" s="1" t="s">
        <v>5827</v>
      </c>
      <c r="G1317" s="1" t="s">
        <v>5828</v>
      </c>
      <c r="H1317" s="1" t="s">
        <v>1762</v>
      </c>
      <c r="I1317" t="b">
        <f>COUNTIF(Estadísticas!I:I,'centraldecomunicacion.es'!H1317)&gt;0</f>
        <v>0</v>
      </c>
    </row>
    <row r="1318" spans="1:9" hidden="1">
      <c r="A1318" s="1" t="s">
        <v>5829</v>
      </c>
      <c r="B1318" s="1" t="s">
        <v>10</v>
      </c>
      <c r="C1318" s="1" t="s">
        <v>5830</v>
      </c>
      <c r="D1318" s="1" t="s">
        <v>5831</v>
      </c>
      <c r="E1318" s="1" t="s">
        <v>464</v>
      </c>
      <c r="F1318" s="1" t="s">
        <v>30</v>
      </c>
      <c r="G1318" s="1" t="s">
        <v>5832</v>
      </c>
      <c r="H1318" s="1" t="s">
        <v>1762</v>
      </c>
      <c r="I1318" t="b">
        <f>COUNTIF(Estadísticas!I:I,'centraldecomunicacion.es'!H1318)&gt;0</f>
        <v>0</v>
      </c>
    </row>
    <row r="1319" spans="1:9" hidden="1">
      <c r="A1319" s="1" t="s">
        <v>5833</v>
      </c>
      <c r="B1319" s="1" t="s">
        <v>10</v>
      </c>
      <c r="C1319" s="1" t="s">
        <v>5834</v>
      </c>
      <c r="D1319" s="1" t="s">
        <v>5835</v>
      </c>
      <c r="E1319" s="1" t="s">
        <v>464</v>
      </c>
      <c r="F1319" s="1" t="s">
        <v>1830</v>
      </c>
      <c r="G1319" s="1" t="s">
        <v>5836</v>
      </c>
      <c r="H1319" s="1" t="s">
        <v>1762</v>
      </c>
      <c r="I1319" t="b">
        <f>COUNTIF(Estadísticas!I:I,'centraldecomunicacion.es'!H1319)&gt;0</f>
        <v>0</v>
      </c>
    </row>
    <row r="1320" spans="1:9" hidden="1">
      <c r="A1320" s="1" t="s">
        <v>5837</v>
      </c>
      <c r="B1320" s="1" t="s">
        <v>10</v>
      </c>
      <c r="C1320" s="1" t="s">
        <v>5838</v>
      </c>
      <c r="D1320" s="1" t="s">
        <v>5839</v>
      </c>
      <c r="E1320" s="1" t="s">
        <v>464</v>
      </c>
      <c r="F1320" s="1" t="s">
        <v>30</v>
      </c>
      <c r="G1320" s="1" t="s">
        <v>5840</v>
      </c>
      <c r="H1320" s="1" t="s">
        <v>1762</v>
      </c>
      <c r="I1320" t="b">
        <f>COUNTIF(Estadísticas!I:I,'centraldecomunicacion.es'!H1320)&gt;0</f>
        <v>0</v>
      </c>
    </row>
    <row r="1321" spans="1:9" hidden="1">
      <c r="A1321" s="1" t="s">
        <v>5841</v>
      </c>
      <c r="B1321" s="1" t="s">
        <v>10</v>
      </c>
      <c r="C1321" s="1" t="s">
        <v>5842</v>
      </c>
      <c r="D1321" s="1" t="s">
        <v>5743</v>
      </c>
      <c r="E1321" s="1" t="s">
        <v>464</v>
      </c>
      <c r="F1321" s="1" t="s">
        <v>30</v>
      </c>
      <c r="G1321" s="1" t="s">
        <v>30</v>
      </c>
      <c r="H1321" s="1" t="s">
        <v>1762</v>
      </c>
      <c r="I1321" t="b">
        <f>COUNTIF(Estadísticas!I:I,'centraldecomunicacion.es'!H1321)&gt;0</f>
        <v>0</v>
      </c>
    </row>
    <row r="1322" spans="1:9" hidden="1">
      <c r="A1322" s="1" t="s">
        <v>5843</v>
      </c>
      <c r="B1322" s="1" t="s">
        <v>10</v>
      </c>
      <c r="C1322" s="1" t="s">
        <v>5844</v>
      </c>
      <c r="D1322" s="1" t="s">
        <v>5845</v>
      </c>
      <c r="E1322" s="1" t="s">
        <v>464</v>
      </c>
      <c r="F1322" s="1" t="s">
        <v>30</v>
      </c>
      <c r="G1322" s="1" t="s">
        <v>5846</v>
      </c>
      <c r="H1322" s="1" t="s">
        <v>1762</v>
      </c>
      <c r="I1322" t="b">
        <f>COUNTIF(Estadísticas!I:I,'centraldecomunicacion.es'!H1322)&gt;0</f>
        <v>0</v>
      </c>
    </row>
    <row r="1323" spans="1:9" hidden="1">
      <c r="A1323" s="1" t="s">
        <v>5847</v>
      </c>
      <c r="B1323" s="1" t="s">
        <v>10</v>
      </c>
      <c r="C1323" s="1" t="s">
        <v>5848</v>
      </c>
      <c r="D1323" s="1" t="s">
        <v>463</v>
      </c>
      <c r="E1323" s="1" t="s">
        <v>464</v>
      </c>
      <c r="F1323" s="1" t="s">
        <v>30</v>
      </c>
      <c r="G1323" s="1" t="s">
        <v>5849</v>
      </c>
      <c r="H1323" s="1" t="s">
        <v>1762</v>
      </c>
      <c r="I1323" t="b">
        <f>COUNTIF(Estadísticas!I:I,'centraldecomunicacion.es'!H1323)&gt;0</f>
        <v>0</v>
      </c>
    </row>
    <row r="1324" spans="1:9" hidden="1">
      <c r="A1324" s="1" t="s">
        <v>5746</v>
      </c>
      <c r="B1324" s="1" t="s">
        <v>18</v>
      </c>
      <c r="C1324" s="1" t="s">
        <v>5850</v>
      </c>
      <c r="D1324" s="1" t="s">
        <v>463</v>
      </c>
      <c r="E1324" s="1" t="s">
        <v>464</v>
      </c>
      <c r="F1324" s="1" t="s">
        <v>5748</v>
      </c>
      <c r="G1324" s="1" t="s">
        <v>5851</v>
      </c>
      <c r="H1324" s="1" t="s">
        <v>5750</v>
      </c>
      <c r="I1324" t="b">
        <f>COUNTIF(Estadísticas!I:I,'centraldecomunicacion.es'!H1324)&gt;0</f>
        <v>0</v>
      </c>
    </row>
    <row r="1325" spans="1:9" hidden="1">
      <c r="A1325" s="1" t="s">
        <v>5852</v>
      </c>
      <c r="B1325" s="1" t="s">
        <v>10</v>
      </c>
      <c r="C1325" s="1" t="s">
        <v>5853</v>
      </c>
      <c r="D1325" s="1" t="s">
        <v>511</v>
      </c>
      <c r="E1325" s="1" t="s">
        <v>464</v>
      </c>
      <c r="F1325" s="1" t="s">
        <v>30</v>
      </c>
      <c r="G1325" s="1" t="s">
        <v>5854</v>
      </c>
      <c r="H1325" s="1" t="s">
        <v>1762</v>
      </c>
      <c r="I1325" t="b">
        <f>COUNTIF(Estadísticas!I:I,'centraldecomunicacion.es'!H1325)&gt;0</f>
        <v>0</v>
      </c>
    </row>
    <row r="1326" spans="1:9" hidden="1">
      <c r="A1326" s="1" t="s">
        <v>5855</v>
      </c>
      <c r="B1326" s="1" t="s">
        <v>10</v>
      </c>
      <c r="C1326" s="1" t="s">
        <v>5856</v>
      </c>
      <c r="D1326" s="1" t="s">
        <v>5857</v>
      </c>
      <c r="E1326" s="1" t="s">
        <v>464</v>
      </c>
      <c r="F1326" s="1" t="s">
        <v>30</v>
      </c>
      <c r="G1326" s="1" t="s">
        <v>5858</v>
      </c>
      <c r="H1326" s="1" t="s">
        <v>1762</v>
      </c>
      <c r="I1326" t="b">
        <f>COUNTIF(Estadísticas!I:I,'centraldecomunicacion.es'!H1326)&gt;0</f>
        <v>0</v>
      </c>
    </row>
    <row r="1327" spans="1:9" hidden="1">
      <c r="A1327" s="1" t="s">
        <v>5859</v>
      </c>
      <c r="B1327" s="1" t="s">
        <v>10</v>
      </c>
      <c r="C1327" s="1" t="s">
        <v>5860</v>
      </c>
      <c r="D1327" s="1" t="s">
        <v>5861</v>
      </c>
      <c r="E1327" s="1" t="s">
        <v>464</v>
      </c>
      <c r="F1327" s="1" t="s">
        <v>30</v>
      </c>
      <c r="G1327" s="1" t="s">
        <v>5862</v>
      </c>
      <c r="H1327" s="1" t="s">
        <v>1762</v>
      </c>
      <c r="I1327" t="b">
        <f>COUNTIF(Estadísticas!I:I,'centraldecomunicacion.es'!H1327)&gt;0</f>
        <v>0</v>
      </c>
    </row>
    <row r="1328" spans="1:9" hidden="1">
      <c r="A1328" s="1" t="s">
        <v>5863</v>
      </c>
      <c r="B1328" s="1" t="s">
        <v>10</v>
      </c>
      <c r="C1328" s="1" t="s">
        <v>5864</v>
      </c>
      <c r="D1328" s="1" t="s">
        <v>463</v>
      </c>
      <c r="E1328" s="1" t="s">
        <v>464</v>
      </c>
      <c r="F1328" s="1" t="s">
        <v>1984</v>
      </c>
      <c r="G1328" s="1" t="s">
        <v>5865</v>
      </c>
      <c r="H1328" s="1" t="s">
        <v>1762</v>
      </c>
      <c r="I1328" t="b">
        <f>COUNTIF(Estadísticas!I:I,'centraldecomunicacion.es'!H1328)&gt;0</f>
        <v>0</v>
      </c>
    </row>
    <row r="1329" spans="1:9" hidden="1">
      <c r="A1329" s="1" t="s">
        <v>5866</v>
      </c>
      <c r="B1329" s="1" t="s">
        <v>10</v>
      </c>
      <c r="C1329" s="1" t="s">
        <v>5867</v>
      </c>
      <c r="D1329" s="1" t="s">
        <v>5868</v>
      </c>
      <c r="E1329" s="1" t="s">
        <v>464</v>
      </c>
      <c r="F1329" s="1" t="s">
        <v>30</v>
      </c>
      <c r="G1329" s="1" t="s">
        <v>5869</v>
      </c>
      <c r="H1329" s="1" t="s">
        <v>1762</v>
      </c>
      <c r="I1329" t="b">
        <f>COUNTIF(Estadísticas!I:I,'centraldecomunicacion.es'!H1329)&gt;0</f>
        <v>0</v>
      </c>
    </row>
    <row r="1330" spans="1:9" hidden="1">
      <c r="A1330" s="1" t="s">
        <v>5870</v>
      </c>
      <c r="B1330" s="1" t="s">
        <v>10</v>
      </c>
      <c r="C1330" s="1" t="s">
        <v>5871</v>
      </c>
      <c r="D1330" s="1" t="s">
        <v>5737</v>
      </c>
      <c r="E1330" s="1" t="s">
        <v>464</v>
      </c>
      <c r="F1330" s="1" t="s">
        <v>5872</v>
      </c>
      <c r="G1330" s="1" t="s">
        <v>5873</v>
      </c>
      <c r="H1330" s="1" t="s">
        <v>1762</v>
      </c>
      <c r="I1330" t="b">
        <f>COUNTIF(Estadísticas!I:I,'centraldecomunicacion.es'!H1330)&gt;0</f>
        <v>0</v>
      </c>
    </row>
    <row r="1331" spans="1:9" hidden="1">
      <c r="A1331" s="1" t="s">
        <v>5874</v>
      </c>
      <c r="B1331" s="1" t="s">
        <v>10</v>
      </c>
      <c r="C1331" s="1" t="s">
        <v>5875</v>
      </c>
      <c r="D1331" s="1" t="s">
        <v>5737</v>
      </c>
      <c r="E1331" s="1" t="s">
        <v>464</v>
      </c>
      <c r="F1331" s="1" t="s">
        <v>5876</v>
      </c>
      <c r="G1331" s="1" t="s">
        <v>5877</v>
      </c>
      <c r="H1331" s="1" t="s">
        <v>1762</v>
      </c>
      <c r="I1331" t="b">
        <f>COUNTIF(Estadísticas!I:I,'centraldecomunicacion.es'!H1331)&gt;0</f>
        <v>0</v>
      </c>
    </row>
    <row r="1332" spans="1:9">
      <c r="A1332" s="1" t="s">
        <v>499</v>
      </c>
      <c r="B1332" s="1" t="s">
        <v>10</v>
      </c>
      <c r="C1332" s="1" t="s">
        <v>500</v>
      </c>
      <c r="D1332" s="1" t="s">
        <v>463</v>
      </c>
      <c r="E1332" s="1" t="s">
        <v>464</v>
      </c>
      <c r="F1332" s="1" t="s">
        <v>501</v>
      </c>
      <c r="G1332" s="1" t="s">
        <v>502</v>
      </c>
      <c r="H1332" s="1" t="s">
        <v>503</v>
      </c>
      <c r="I1332" t="b">
        <f>COUNTIF(Estadísticas!I:I,'centraldecomunicacion.es'!H1332)&gt;0</f>
        <v>1</v>
      </c>
    </row>
    <row r="1333" spans="1:9" hidden="1">
      <c r="A1333" s="1" t="s">
        <v>5878</v>
      </c>
      <c r="B1333" s="1" t="s">
        <v>10</v>
      </c>
      <c r="C1333" s="1" t="s">
        <v>5879</v>
      </c>
      <c r="D1333" s="1" t="s">
        <v>5679</v>
      </c>
      <c r="E1333" s="1" t="s">
        <v>5880</v>
      </c>
      <c r="F1333" s="1" t="s">
        <v>30</v>
      </c>
      <c r="G1333" s="1" t="s">
        <v>5881</v>
      </c>
      <c r="H1333" s="1" t="s">
        <v>1762</v>
      </c>
      <c r="I1333" t="b">
        <f>COUNTIF(Estadísticas!I:I,'centraldecomunicacion.es'!H1333)&gt;0</f>
        <v>0</v>
      </c>
    </row>
    <row r="1334" spans="1:9" hidden="1">
      <c r="A1334" s="1" t="s">
        <v>5882</v>
      </c>
      <c r="B1334" s="1" t="s">
        <v>10</v>
      </c>
      <c r="C1334" s="1" t="s">
        <v>5883</v>
      </c>
      <c r="D1334" s="1" t="s">
        <v>463</v>
      </c>
      <c r="E1334" s="1" t="s">
        <v>464</v>
      </c>
      <c r="F1334" s="1" t="s">
        <v>30</v>
      </c>
      <c r="G1334" s="1" t="s">
        <v>5884</v>
      </c>
      <c r="H1334" s="1" t="s">
        <v>1762</v>
      </c>
      <c r="I1334" t="b">
        <f>COUNTIF(Estadísticas!I:I,'centraldecomunicacion.es'!H1334)&gt;0</f>
        <v>0</v>
      </c>
    </row>
    <row r="1335" spans="1:9" hidden="1">
      <c r="A1335" s="1" t="s">
        <v>5885</v>
      </c>
      <c r="B1335" s="1" t="s">
        <v>10</v>
      </c>
      <c r="C1335" s="1" t="s">
        <v>5886</v>
      </c>
      <c r="D1335" s="1" t="s">
        <v>5868</v>
      </c>
      <c r="E1335" s="1" t="s">
        <v>464</v>
      </c>
      <c r="F1335" s="1" t="s">
        <v>30</v>
      </c>
      <c r="G1335" s="1" t="s">
        <v>5887</v>
      </c>
      <c r="H1335" s="1" t="s">
        <v>1762</v>
      </c>
      <c r="I1335" t="b">
        <f>COUNTIF(Estadísticas!I:I,'centraldecomunicacion.es'!H1335)&gt;0</f>
        <v>0</v>
      </c>
    </row>
    <row r="1336" spans="1:9" hidden="1">
      <c r="A1336" s="1" t="s">
        <v>5888</v>
      </c>
      <c r="B1336" s="1" t="s">
        <v>10</v>
      </c>
      <c r="C1336" s="1" t="s">
        <v>30</v>
      </c>
      <c r="D1336" s="1" t="s">
        <v>5679</v>
      </c>
      <c r="E1336" s="1" t="s">
        <v>30</v>
      </c>
      <c r="F1336" s="1" t="s">
        <v>1984</v>
      </c>
      <c r="G1336" s="1" t="s">
        <v>5889</v>
      </c>
      <c r="H1336" s="1" t="s">
        <v>1762</v>
      </c>
      <c r="I1336" t="b">
        <f>COUNTIF(Estadísticas!I:I,'centraldecomunicacion.es'!H1336)&gt;0</f>
        <v>0</v>
      </c>
    </row>
    <row r="1337" spans="1:9" hidden="1">
      <c r="A1337" s="1" t="s">
        <v>5890</v>
      </c>
      <c r="B1337" s="1" t="s">
        <v>10</v>
      </c>
      <c r="C1337" s="1" t="s">
        <v>5891</v>
      </c>
      <c r="D1337" s="1" t="s">
        <v>5737</v>
      </c>
      <c r="E1337" s="1" t="s">
        <v>512</v>
      </c>
      <c r="F1337" s="1" t="s">
        <v>30</v>
      </c>
      <c r="G1337" s="1" t="s">
        <v>30</v>
      </c>
      <c r="H1337" s="1" t="s">
        <v>1762</v>
      </c>
      <c r="I1337" t="b">
        <f>COUNTIF(Estadísticas!I:I,'centraldecomunicacion.es'!H1337)&gt;0</f>
        <v>0</v>
      </c>
    </row>
    <row r="1338" spans="1:9" hidden="1">
      <c r="A1338" s="1" t="s">
        <v>5892</v>
      </c>
      <c r="B1338" s="1" t="s">
        <v>10</v>
      </c>
      <c r="C1338" s="1" t="s">
        <v>5893</v>
      </c>
      <c r="D1338" s="1" t="s">
        <v>5894</v>
      </c>
      <c r="E1338" s="1" t="s">
        <v>464</v>
      </c>
      <c r="F1338" s="1" t="s">
        <v>30</v>
      </c>
      <c r="G1338" s="1" t="s">
        <v>5895</v>
      </c>
      <c r="H1338" s="1" t="s">
        <v>1762</v>
      </c>
      <c r="I1338" t="b">
        <f>COUNTIF(Estadísticas!I:I,'centraldecomunicacion.es'!H1338)&gt;0</f>
        <v>0</v>
      </c>
    </row>
    <row r="1339" spans="1:9" hidden="1">
      <c r="A1339" s="1" t="s">
        <v>5896</v>
      </c>
      <c r="B1339" s="1" t="s">
        <v>10</v>
      </c>
      <c r="C1339" s="1" t="s">
        <v>30</v>
      </c>
      <c r="D1339" s="1" t="s">
        <v>5679</v>
      </c>
      <c r="E1339" s="1" t="s">
        <v>30</v>
      </c>
      <c r="F1339" s="1" t="s">
        <v>1984</v>
      </c>
      <c r="G1339" s="1" t="s">
        <v>5897</v>
      </c>
      <c r="H1339" s="1" t="s">
        <v>1762</v>
      </c>
      <c r="I1339" t="b">
        <f>COUNTIF(Estadísticas!I:I,'centraldecomunicacion.es'!H1339)&gt;0</f>
        <v>0</v>
      </c>
    </row>
    <row r="1340" spans="1:9" hidden="1">
      <c r="A1340" s="1" t="s">
        <v>5898</v>
      </c>
      <c r="B1340" s="1" t="s">
        <v>10</v>
      </c>
      <c r="C1340" s="1" t="s">
        <v>5899</v>
      </c>
      <c r="D1340" s="1" t="s">
        <v>5900</v>
      </c>
      <c r="E1340" s="1" t="s">
        <v>464</v>
      </c>
      <c r="F1340" s="1" t="s">
        <v>30</v>
      </c>
      <c r="G1340" s="1" t="s">
        <v>5901</v>
      </c>
      <c r="H1340" s="1" t="s">
        <v>1762</v>
      </c>
      <c r="I1340" t="b">
        <f>COUNTIF(Estadísticas!I:I,'centraldecomunicacion.es'!H1340)&gt;0</f>
        <v>0</v>
      </c>
    </row>
    <row r="1341" spans="1:9" hidden="1">
      <c r="A1341" s="1" t="s">
        <v>5902</v>
      </c>
      <c r="B1341" s="1" t="s">
        <v>10</v>
      </c>
      <c r="C1341" s="1" t="s">
        <v>5903</v>
      </c>
      <c r="D1341" s="1" t="s">
        <v>463</v>
      </c>
      <c r="E1341" s="1" t="s">
        <v>464</v>
      </c>
      <c r="F1341" s="1" t="s">
        <v>5904</v>
      </c>
      <c r="G1341" s="1" t="s">
        <v>5905</v>
      </c>
      <c r="H1341" s="1" t="s">
        <v>1762</v>
      </c>
      <c r="I1341" t="b">
        <f>COUNTIF(Estadísticas!I:I,'centraldecomunicacion.es'!H1341)&gt;0</f>
        <v>0</v>
      </c>
    </row>
    <row r="1342" spans="1:9" hidden="1">
      <c r="A1342" s="1" t="s">
        <v>5906</v>
      </c>
      <c r="B1342" s="1" t="s">
        <v>10</v>
      </c>
      <c r="C1342" s="1" t="s">
        <v>5907</v>
      </c>
      <c r="D1342" s="1" t="s">
        <v>463</v>
      </c>
      <c r="E1342" s="1" t="s">
        <v>464</v>
      </c>
      <c r="F1342" s="1" t="s">
        <v>30</v>
      </c>
      <c r="G1342" s="1" t="s">
        <v>5908</v>
      </c>
      <c r="H1342" s="1" t="s">
        <v>1762</v>
      </c>
      <c r="I1342" t="b">
        <f>COUNTIF(Estadísticas!I:I,'centraldecomunicacion.es'!H1342)&gt;0</f>
        <v>0</v>
      </c>
    </row>
    <row r="1343" spans="1:9" hidden="1">
      <c r="A1343" s="1" t="s">
        <v>5909</v>
      </c>
      <c r="B1343" s="1" t="s">
        <v>10</v>
      </c>
      <c r="C1343" s="1" t="s">
        <v>5910</v>
      </c>
      <c r="D1343" s="1" t="s">
        <v>5911</v>
      </c>
      <c r="E1343" s="1" t="s">
        <v>512</v>
      </c>
      <c r="F1343" s="1" t="s">
        <v>5912</v>
      </c>
      <c r="G1343" s="1" t="s">
        <v>5913</v>
      </c>
      <c r="H1343" s="1" t="s">
        <v>1762</v>
      </c>
      <c r="I1343" t="b">
        <f>COUNTIF(Estadísticas!I:I,'centraldecomunicacion.es'!H1343)&gt;0</f>
        <v>0</v>
      </c>
    </row>
    <row r="1344" spans="1:9" hidden="1">
      <c r="A1344" s="1" t="s">
        <v>5914</v>
      </c>
      <c r="B1344" s="1" t="s">
        <v>10</v>
      </c>
      <c r="C1344" s="1" t="s">
        <v>30</v>
      </c>
      <c r="D1344" s="1" t="s">
        <v>5679</v>
      </c>
      <c r="E1344" s="1" t="s">
        <v>30</v>
      </c>
      <c r="F1344" s="1" t="s">
        <v>30</v>
      </c>
      <c r="G1344" s="1" t="s">
        <v>5915</v>
      </c>
      <c r="H1344" s="1" t="s">
        <v>1762</v>
      </c>
      <c r="I1344" t="b">
        <f>COUNTIF(Estadísticas!I:I,'centraldecomunicacion.es'!H1344)&gt;0</f>
        <v>0</v>
      </c>
    </row>
    <row r="1345" spans="1:9" hidden="1">
      <c r="A1345" s="1" t="s">
        <v>5916</v>
      </c>
      <c r="B1345" s="1" t="s">
        <v>10</v>
      </c>
      <c r="C1345" s="1" t="s">
        <v>5917</v>
      </c>
      <c r="D1345" s="1" t="s">
        <v>5734</v>
      </c>
      <c r="E1345" s="1" t="s">
        <v>464</v>
      </c>
      <c r="F1345" s="1" t="s">
        <v>30</v>
      </c>
      <c r="G1345" s="1" t="s">
        <v>5918</v>
      </c>
      <c r="H1345" s="1" t="s">
        <v>1762</v>
      </c>
      <c r="I1345" t="b">
        <f>COUNTIF(Estadísticas!I:I,'centraldecomunicacion.es'!H1345)&gt;0</f>
        <v>0</v>
      </c>
    </row>
    <row r="1346" spans="1:9" hidden="1">
      <c r="A1346" s="1" t="s">
        <v>5919</v>
      </c>
      <c r="B1346" s="1" t="s">
        <v>10</v>
      </c>
      <c r="C1346" s="1" t="s">
        <v>5920</v>
      </c>
      <c r="D1346" s="1" t="s">
        <v>5743</v>
      </c>
      <c r="E1346" s="1" t="s">
        <v>512</v>
      </c>
      <c r="F1346" s="1" t="s">
        <v>30</v>
      </c>
      <c r="G1346" s="1" t="s">
        <v>5921</v>
      </c>
      <c r="H1346" s="1" t="s">
        <v>1762</v>
      </c>
      <c r="I1346" t="b">
        <f>COUNTIF(Estadísticas!I:I,'centraldecomunicacion.es'!H1346)&gt;0</f>
        <v>0</v>
      </c>
    </row>
    <row r="1347" spans="1:9" hidden="1">
      <c r="A1347" s="1" t="s">
        <v>5922</v>
      </c>
      <c r="B1347" s="1" t="s">
        <v>10</v>
      </c>
      <c r="C1347" s="1" t="s">
        <v>5923</v>
      </c>
      <c r="D1347" s="1" t="s">
        <v>490</v>
      </c>
      <c r="E1347" s="1" t="s">
        <v>464</v>
      </c>
      <c r="F1347" s="1" t="s">
        <v>30</v>
      </c>
      <c r="G1347" s="1" t="s">
        <v>5924</v>
      </c>
      <c r="H1347" s="1" t="s">
        <v>1762</v>
      </c>
      <c r="I1347" t="b">
        <f>COUNTIF(Estadísticas!I:I,'centraldecomunicacion.es'!H1347)&gt;0</f>
        <v>0</v>
      </c>
    </row>
    <row r="1348" spans="1:9" hidden="1">
      <c r="A1348" s="1" t="s">
        <v>5925</v>
      </c>
      <c r="B1348" s="1" t="s">
        <v>10</v>
      </c>
      <c r="C1348" s="1" t="s">
        <v>5926</v>
      </c>
      <c r="D1348" s="1" t="s">
        <v>5743</v>
      </c>
      <c r="E1348" s="1" t="s">
        <v>464</v>
      </c>
      <c r="F1348" s="1" t="s">
        <v>5927</v>
      </c>
      <c r="G1348" s="1" t="s">
        <v>5928</v>
      </c>
      <c r="H1348" s="1" t="s">
        <v>5929</v>
      </c>
      <c r="I1348" t="b">
        <f>COUNTIF(Estadísticas!I:I,'centraldecomunicacion.es'!H1348)&gt;0</f>
        <v>0</v>
      </c>
    </row>
    <row r="1349" spans="1:9" hidden="1">
      <c r="A1349" s="1" t="s">
        <v>5930</v>
      </c>
      <c r="B1349" s="1" t="s">
        <v>18</v>
      </c>
      <c r="C1349" s="1" t="s">
        <v>5931</v>
      </c>
      <c r="D1349" s="1" t="s">
        <v>5737</v>
      </c>
      <c r="E1349" s="1" t="s">
        <v>464</v>
      </c>
      <c r="F1349" s="1" t="s">
        <v>5932</v>
      </c>
      <c r="G1349" s="1" t="s">
        <v>5933</v>
      </c>
      <c r="H1349" s="1" t="s">
        <v>1762</v>
      </c>
      <c r="I1349" t="b">
        <f>COUNTIF(Estadísticas!I:I,'centraldecomunicacion.es'!H1349)&gt;0</f>
        <v>0</v>
      </c>
    </row>
    <row r="1350" spans="1:9" hidden="1">
      <c r="A1350" s="1" t="s">
        <v>5934</v>
      </c>
      <c r="B1350" s="1" t="s">
        <v>10</v>
      </c>
      <c r="C1350" s="1" t="s">
        <v>5935</v>
      </c>
      <c r="D1350" s="1" t="s">
        <v>463</v>
      </c>
      <c r="E1350" s="1" t="s">
        <v>464</v>
      </c>
      <c r="F1350" s="1" t="s">
        <v>1984</v>
      </c>
      <c r="G1350" s="1" t="s">
        <v>5936</v>
      </c>
      <c r="H1350" s="1" t="s">
        <v>1762</v>
      </c>
      <c r="I1350" t="b">
        <f>COUNTIF(Estadísticas!I:I,'centraldecomunicacion.es'!H1350)&gt;0</f>
        <v>0</v>
      </c>
    </row>
    <row r="1351" spans="1:9" hidden="1">
      <c r="A1351" s="1" t="s">
        <v>5937</v>
      </c>
      <c r="B1351" s="1" t="s">
        <v>10</v>
      </c>
      <c r="C1351" s="1" t="s">
        <v>5938</v>
      </c>
      <c r="D1351" s="1" t="s">
        <v>5939</v>
      </c>
      <c r="E1351" s="1" t="s">
        <v>464</v>
      </c>
      <c r="F1351" s="1" t="s">
        <v>30</v>
      </c>
      <c r="G1351" s="1" t="s">
        <v>5940</v>
      </c>
      <c r="H1351" s="1" t="s">
        <v>1762</v>
      </c>
      <c r="I1351" t="b">
        <f>COUNTIF(Estadísticas!I:I,'centraldecomunicacion.es'!H1351)&gt;0</f>
        <v>0</v>
      </c>
    </row>
    <row r="1352" spans="1:9">
      <c r="A1352" s="1" t="s">
        <v>504</v>
      </c>
      <c r="B1352" s="1" t="s">
        <v>18</v>
      </c>
      <c r="C1352" s="1" t="s">
        <v>505</v>
      </c>
      <c r="D1352" s="1" t="s">
        <v>463</v>
      </c>
      <c r="E1352" s="1" t="s">
        <v>464</v>
      </c>
      <c r="F1352" s="1" t="s">
        <v>506</v>
      </c>
      <c r="G1352" s="1" t="s">
        <v>507</v>
      </c>
      <c r="H1352" s="1" t="s">
        <v>508</v>
      </c>
      <c r="I1352" t="b">
        <f>COUNTIF(Estadísticas!I:I,'centraldecomunicacion.es'!H1352)&gt;0</f>
        <v>1</v>
      </c>
    </row>
    <row r="1353" spans="1:9" hidden="1">
      <c r="A1353" s="1" t="s">
        <v>5941</v>
      </c>
      <c r="B1353" s="1" t="s">
        <v>10</v>
      </c>
      <c r="C1353" s="1" t="s">
        <v>5942</v>
      </c>
      <c r="D1353" s="1" t="s">
        <v>5943</v>
      </c>
      <c r="E1353" s="1" t="s">
        <v>464</v>
      </c>
      <c r="F1353" s="1" t="s">
        <v>5944</v>
      </c>
      <c r="G1353" s="1" t="s">
        <v>5945</v>
      </c>
      <c r="H1353" s="1" t="s">
        <v>1783</v>
      </c>
      <c r="I1353" t="b">
        <f>COUNTIF(Estadísticas!I:I,'centraldecomunicacion.es'!H1353)&gt;0</f>
        <v>0</v>
      </c>
    </row>
    <row r="1354" spans="1:9" hidden="1">
      <c r="A1354" s="1" t="s">
        <v>5946</v>
      </c>
      <c r="B1354" s="1" t="s">
        <v>10</v>
      </c>
      <c r="C1354" s="1" t="s">
        <v>5947</v>
      </c>
      <c r="D1354" s="1" t="s">
        <v>463</v>
      </c>
      <c r="E1354" s="1" t="s">
        <v>464</v>
      </c>
      <c r="F1354" s="1" t="s">
        <v>30</v>
      </c>
      <c r="G1354" s="1" t="s">
        <v>5948</v>
      </c>
      <c r="H1354" s="1" t="s">
        <v>1762</v>
      </c>
      <c r="I1354" t="b">
        <f>COUNTIF(Estadísticas!I:I,'centraldecomunicacion.es'!H1354)&gt;0</f>
        <v>0</v>
      </c>
    </row>
    <row r="1355" spans="1:9" hidden="1">
      <c r="A1355" s="1" t="s">
        <v>5949</v>
      </c>
      <c r="B1355" s="1" t="s">
        <v>10</v>
      </c>
      <c r="C1355" s="1" t="s">
        <v>5950</v>
      </c>
      <c r="D1355" s="1" t="s">
        <v>5951</v>
      </c>
      <c r="E1355" s="1" t="s">
        <v>464</v>
      </c>
      <c r="F1355" s="1" t="s">
        <v>5952</v>
      </c>
      <c r="G1355" s="1" t="s">
        <v>5953</v>
      </c>
      <c r="H1355" s="1" t="s">
        <v>5954</v>
      </c>
      <c r="I1355" t="b">
        <f>COUNTIF(Estadísticas!I:I,'centraldecomunicacion.es'!H1355)&gt;0</f>
        <v>0</v>
      </c>
    </row>
    <row r="1356" spans="1:9" hidden="1">
      <c r="A1356" s="1" t="s">
        <v>5955</v>
      </c>
      <c r="B1356" s="1" t="s">
        <v>10</v>
      </c>
      <c r="C1356" s="1" t="s">
        <v>5956</v>
      </c>
      <c r="D1356" s="1" t="s">
        <v>5957</v>
      </c>
      <c r="E1356" s="1" t="s">
        <v>464</v>
      </c>
      <c r="F1356" s="1" t="s">
        <v>30</v>
      </c>
      <c r="G1356" s="1" t="s">
        <v>5958</v>
      </c>
      <c r="H1356" s="1" t="s">
        <v>1762</v>
      </c>
      <c r="I1356" t="b">
        <f>COUNTIF(Estadísticas!I:I,'centraldecomunicacion.es'!H1356)&gt;0</f>
        <v>0</v>
      </c>
    </row>
    <row r="1357" spans="1:9" hidden="1">
      <c r="A1357" s="1" t="s">
        <v>5959</v>
      </c>
      <c r="B1357" s="1" t="s">
        <v>10</v>
      </c>
      <c r="C1357" s="1" t="s">
        <v>5960</v>
      </c>
      <c r="D1357" s="1" t="s">
        <v>463</v>
      </c>
      <c r="E1357" s="1" t="s">
        <v>464</v>
      </c>
      <c r="F1357" s="1" t="s">
        <v>30</v>
      </c>
      <c r="G1357" s="1" t="s">
        <v>5961</v>
      </c>
      <c r="H1357" s="1" t="s">
        <v>1762</v>
      </c>
      <c r="I1357" t="b">
        <f>COUNTIF(Estadísticas!I:I,'centraldecomunicacion.es'!H1357)&gt;0</f>
        <v>0</v>
      </c>
    </row>
    <row r="1358" spans="1:9" hidden="1">
      <c r="A1358" s="1" t="s">
        <v>5962</v>
      </c>
      <c r="B1358" s="1" t="s">
        <v>10</v>
      </c>
      <c r="C1358" s="1" t="s">
        <v>30</v>
      </c>
      <c r="D1358" s="1" t="s">
        <v>5679</v>
      </c>
      <c r="E1358" s="1" t="s">
        <v>30</v>
      </c>
      <c r="F1358" s="1" t="s">
        <v>30</v>
      </c>
      <c r="G1358" s="1" t="s">
        <v>5963</v>
      </c>
      <c r="H1358" s="1" t="s">
        <v>1762</v>
      </c>
      <c r="I1358" t="b">
        <f>COUNTIF(Estadísticas!I:I,'centraldecomunicacion.es'!H1358)&gt;0</f>
        <v>0</v>
      </c>
    </row>
    <row r="1359" spans="1:9">
      <c r="A1359" s="1" t="s">
        <v>509</v>
      </c>
      <c r="B1359" s="1" t="s">
        <v>10</v>
      </c>
      <c r="C1359" s="1" t="s">
        <v>510</v>
      </c>
      <c r="D1359" s="1" t="s">
        <v>511</v>
      </c>
      <c r="E1359" s="1" t="s">
        <v>512</v>
      </c>
      <c r="F1359" s="1" t="s">
        <v>513</v>
      </c>
      <c r="G1359" s="1" t="s">
        <v>514</v>
      </c>
      <c r="H1359" s="1" t="s">
        <v>515</v>
      </c>
      <c r="I1359" t="b">
        <f>COUNTIF(Estadísticas!I:I,'centraldecomunicacion.es'!H1359)&gt;0</f>
        <v>1</v>
      </c>
    </row>
    <row r="1360" spans="1:9" hidden="1">
      <c r="A1360" s="1" t="s">
        <v>5964</v>
      </c>
      <c r="B1360" s="1" t="s">
        <v>10</v>
      </c>
      <c r="C1360" s="1" t="s">
        <v>5965</v>
      </c>
      <c r="D1360" s="1" t="s">
        <v>5966</v>
      </c>
      <c r="E1360" s="1" t="s">
        <v>512</v>
      </c>
      <c r="F1360" s="1" t="s">
        <v>30</v>
      </c>
      <c r="G1360" s="1" t="s">
        <v>30</v>
      </c>
      <c r="H1360" s="1" t="s">
        <v>1762</v>
      </c>
      <c r="I1360" t="b">
        <f>COUNTIF(Estadísticas!I:I,'centraldecomunicacion.es'!H1360)&gt;0</f>
        <v>0</v>
      </c>
    </row>
    <row r="1361" spans="1:9">
      <c r="A1361" s="1" t="s">
        <v>516</v>
      </c>
      <c r="B1361" s="1" t="s">
        <v>10</v>
      </c>
      <c r="C1361" s="1" t="s">
        <v>517</v>
      </c>
      <c r="D1361" s="1" t="s">
        <v>518</v>
      </c>
      <c r="E1361" s="1" t="s">
        <v>464</v>
      </c>
      <c r="F1361" s="1" t="s">
        <v>519</v>
      </c>
      <c r="G1361" s="1" t="s">
        <v>520</v>
      </c>
      <c r="H1361" s="1" t="s">
        <v>521</v>
      </c>
      <c r="I1361" t="b">
        <f>COUNTIF(Estadísticas!I:I,'centraldecomunicacion.es'!H1361)&gt;0</f>
        <v>1</v>
      </c>
    </row>
    <row r="1362" spans="1:9" hidden="1">
      <c r="A1362" s="1" t="s">
        <v>5967</v>
      </c>
      <c r="B1362" s="1" t="s">
        <v>10</v>
      </c>
      <c r="C1362" s="1" t="s">
        <v>5926</v>
      </c>
      <c r="D1362" s="1" t="s">
        <v>5743</v>
      </c>
      <c r="E1362" s="1" t="s">
        <v>464</v>
      </c>
      <c r="F1362" s="1" t="s">
        <v>5927</v>
      </c>
      <c r="G1362" s="1" t="s">
        <v>5928</v>
      </c>
      <c r="H1362" s="1" t="s">
        <v>5929</v>
      </c>
      <c r="I1362" t="b">
        <f>COUNTIF(Estadísticas!I:I,'centraldecomunicacion.es'!H1362)&gt;0</f>
        <v>0</v>
      </c>
    </row>
    <row r="1363" spans="1:9" hidden="1">
      <c r="A1363" s="1" t="s">
        <v>5968</v>
      </c>
      <c r="B1363" s="1" t="s">
        <v>10</v>
      </c>
      <c r="C1363" s="1" t="s">
        <v>5969</v>
      </c>
      <c r="D1363" s="1" t="s">
        <v>5970</v>
      </c>
      <c r="E1363" s="1" t="s">
        <v>464</v>
      </c>
      <c r="F1363" s="1" t="s">
        <v>2851</v>
      </c>
      <c r="G1363" s="1" t="s">
        <v>5971</v>
      </c>
      <c r="H1363" s="1" t="s">
        <v>1762</v>
      </c>
      <c r="I1363" t="b">
        <f>COUNTIF(Estadísticas!I:I,'centraldecomunicacion.es'!H1363)&gt;0</f>
        <v>0</v>
      </c>
    </row>
    <row r="1364" spans="1:9" hidden="1">
      <c r="A1364" s="1" t="s">
        <v>5972</v>
      </c>
      <c r="B1364" s="1" t="s">
        <v>10</v>
      </c>
      <c r="C1364" s="1" t="s">
        <v>5973</v>
      </c>
      <c r="D1364" s="1" t="s">
        <v>5974</v>
      </c>
      <c r="E1364" s="1" t="s">
        <v>464</v>
      </c>
      <c r="F1364" s="1" t="s">
        <v>30</v>
      </c>
      <c r="G1364" s="1" t="s">
        <v>5975</v>
      </c>
      <c r="H1364" s="1" t="s">
        <v>1762</v>
      </c>
      <c r="I1364" t="b">
        <f>COUNTIF(Estadísticas!I:I,'centraldecomunicacion.es'!H1364)&gt;0</f>
        <v>0</v>
      </c>
    </row>
    <row r="1365" spans="1:9" hidden="1">
      <c r="A1365" s="1" t="s">
        <v>5976</v>
      </c>
      <c r="B1365" s="1" t="s">
        <v>10</v>
      </c>
      <c r="C1365" s="1" t="s">
        <v>5977</v>
      </c>
      <c r="D1365" s="1" t="s">
        <v>5831</v>
      </c>
      <c r="E1365" s="1" t="s">
        <v>464</v>
      </c>
      <c r="F1365" s="1" t="s">
        <v>5978</v>
      </c>
      <c r="G1365" s="1" t="s">
        <v>5979</v>
      </c>
      <c r="H1365" s="1" t="s">
        <v>1762</v>
      </c>
      <c r="I1365" t="b">
        <f>COUNTIF(Estadísticas!I:I,'centraldecomunicacion.es'!H1365)&gt;0</f>
        <v>0</v>
      </c>
    </row>
    <row r="1366" spans="1:9" hidden="1">
      <c r="A1366" s="1" t="s">
        <v>5980</v>
      </c>
      <c r="B1366" s="1" t="s">
        <v>10</v>
      </c>
      <c r="C1366" s="1" t="s">
        <v>5981</v>
      </c>
      <c r="D1366" s="1" t="s">
        <v>5759</v>
      </c>
      <c r="E1366" s="1" t="s">
        <v>464</v>
      </c>
      <c r="F1366" s="1" t="s">
        <v>1984</v>
      </c>
      <c r="G1366" s="1" t="s">
        <v>5982</v>
      </c>
      <c r="H1366" s="1" t="s">
        <v>1762</v>
      </c>
      <c r="I1366" t="b">
        <f>COUNTIF(Estadísticas!I:I,'centraldecomunicacion.es'!H1366)&gt;0</f>
        <v>0</v>
      </c>
    </row>
    <row r="1367" spans="1:9" hidden="1">
      <c r="A1367" s="1" t="s">
        <v>5983</v>
      </c>
      <c r="B1367" s="1" t="s">
        <v>10</v>
      </c>
      <c r="C1367" s="1" t="s">
        <v>5984</v>
      </c>
      <c r="D1367" s="1" t="s">
        <v>5985</v>
      </c>
      <c r="E1367" s="1" t="s">
        <v>464</v>
      </c>
      <c r="F1367" s="1" t="s">
        <v>30</v>
      </c>
      <c r="G1367" s="1" t="s">
        <v>5986</v>
      </c>
      <c r="H1367" s="1" t="s">
        <v>1762</v>
      </c>
      <c r="I1367" t="b">
        <f>COUNTIF(Estadísticas!I:I,'centraldecomunicacion.es'!H1367)&gt;0</f>
        <v>0</v>
      </c>
    </row>
    <row r="1368" spans="1:9" hidden="1">
      <c r="A1368" s="1" t="s">
        <v>5987</v>
      </c>
      <c r="B1368" s="1" t="s">
        <v>10</v>
      </c>
      <c r="C1368" s="1" t="s">
        <v>5988</v>
      </c>
      <c r="D1368" s="1" t="s">
        <v>463</v>
      </c>
      <c r="E1368" s="1" t="s">
        <v>464</v>
      </c>
      <c r="F1368" s="1" t="s">
        <v>1984</v>
      </c>
      <c r="G1368" s="1" t="s">
        <v>5989</v>
      </c>
      <c r="H1368" s="1" t="s">
        <v>1762</v>
      </c>
      <c r="I1368" t="b">
        <f>COUNTIF(Estadísticas!I:I,'centraldecomunicacion.es'!H1368)&gt;0</f>
        <v>0</v>
      </c>
    </row>
    <row r="1369" spans="1:9" hidden="1">
      <c r="A1369" s="1" t="s">
        <v>5990</v>
      </c>
      <c r="B1369" s="1" t="s">
        <v>10</v>
      </c>
      <c r="C1369" s="1" t="s">
        <v>5991</v>
      </c>
      <c r="D1369" s="1" t="s">
        <v>463</v>
      </c>
      <c r="E1369" s="1" t="s">
        <v>464</v>
      </c>
      <c r="F1369" s="1" t="s">
        <v>30</v>
      </c>
      <c r="G1369" s="1" t="s">
        <v>5992</v>
      </c>
      <c r="H1369" s="1" t="s">
        <v>1762</v>
      </c>
      <c r="I1369" t="b">
        <f>COUNTIF(Estadísticas!I:I,'centraldecomunicacion.es'!H1369)&gt;0</f>
        <v>0</v>
      </c>
    </row>
    <row r="1370" spans="1:9">
      <c r="A1370" s="1" t="s">
        <v>522</v>
      </c>
      <c r="B1370" s="1" t="s">
        <v>10</v>
      </c>
      <c r="C1370" s="1" t="s">
        <v>523</v>
      </c>
      <c r="D1370" s="1" t="s">
        <v>463</v>
      </c>
      <c r="E1370" s="1" t="s">
        <v>512</v>
      </c>
      <c r="F1370" s="1" t="s">
        <v>524</v>
      </c>
      <c r="G1370" s="1" t="s">
        <v>525</v>
      </c>
      <c r="H1370" s="1" t="s">
        <v>526</v>
      </c>
      <c r="I1370" t="b">
        <f>COUNTIF(Estadísticas!I:I,'centraldecomunicacion.es'!H1370)&gt;0</f>
        <v>1</v>
      </c>
    </row>
    <row r="1371" spans="1:9" hidden="1">
      <c r="A1371" s="1" t="s">
        <v>5993</v>
      </c>
      <c r="B1371" s="1" t="s">
        <v>10</v>
      </c>
      <c r="C1371" s="1" t="s">
        <v>5994</v>
      </c>
      <c r="D1371" s="1" t="s">
        <v>5995</v>
      </c>
      <c r="E1371" s="1" t="s">
        <v>464</v>
      </c>
      <c r="F1371" s="1" t="s">
        <v>30</v>
      </c>
      <c r="G1371" s="1" t="s">
        <v>5996</v>
      </c>
      <c r="H1371" s="1" t="s">
        <v>1762</v>
      </c>
      <c r="I1371" t="b">
        <f>COUNTIF(Estadísticas!I:I,'centraldecomunicacion.es'!H1371)&gt;0</f>
        <v>0</v>
      </c>
    </row>
    <row r="1372" spans="1:9" hidden="1">
      <c r="A1372" s="1" t="s">
        <v>5997</v>
      </c>
      <c r="B1372" s="1" t="s">
        <v>10</v>
      </c>
      <c r="C1372" s="1" t="s">
        <v>5998</v>
      </c>
      <c r="D1372" s="1" t="s">
        <v>463</v>
      </c>
      <c r="E1372" s="1" t="s">
        <v>464</v>
      </c>
      <c r="F1372" s="1" t="s">
        <v>30</v>
      </c>
      <c r="G1372" s="1" t="s">
        <v>5999</v>
      </c>
      <c r="H1372" s="1" t="s">
        <v>1762</v>
      </c>
      <c r="I1372" t="b">
        <f>COUNTIF(Estadísticas!I:I,'centraldecomunicacion.es'!H1372)&gt;0</f>
        <v>0</v>
      </c>
    </row>
    <row r="1373" spans="1:9" hidden="1">
      <c r="A1373" s="1" t="s">
        <v>6000</v>
      </c>
      <c r="B1373" s="1" t="s">
        <v>10</v>
      </c>
      <c r="C1373" s="1" t="s">
        <v>30</v>
      </c>
      <c r="D1373" s="1" t="s">
        <v>5679</v>
      </c>
      <c r="E1373" s="1" t="s">
        <v>30</v>
      </c>
      <c r="F1373" s="1" t="s">
        <v>6001</v>
      </c>
      <c r="G1373" s="1" t="s">
        <v>6002</v>
      </c>
      <c r="H1373" s="1" t="s">
        <v>1762</v>
      </c>
      <c r="I1373" t="b">
        <f>COUNTIF(Estadísticas!I:I,'centraldecomunicacion.es'!H1373)&gt;0</f>
        <v>0</v>
      </c>
    </row>
    <row r="1374" spans="1:9" hidden="1">
      <c r="A1374" s="1" t="s">
        <v>6003</v>
      </c>
      <c r="B1374" s="1" t="s">
        <v>10</v>
      </c>
      <c r="C1374" s="1" t="s">
        <v>6004</v>
      </c>
      <c r="D1374" s="1" t="s">
        <v>6005</v>
      </c>
      <c r="E1374" s="1" t="s">
        <v>464</v>
      </c>
      <c r="F1374" s="1" t="s">
        <v>30</v>
      </c>
      <c r="G1374" s="1" t="s">
        <v>30</v>
      </c>
      <c r="H1374" s="1" t="s">
        <v>1762</v>
      </c>
      <c r="I1374" t="b">
        <f>COUNTIF(Estadísticas!I:I,'centraldecomunicacion.es'!H1374)&gt;0</f>
        <v>0</v>
      </c>
    </row>
    <row r="1375" spans="1:9" hidden="1">
      <c r="A1375" s="1" t="s">
        <v>6006</v>
      </c>
      <c r="B1375" s="1" t="s">
        <v>10</v>
      </c>
      <c r="C1375" s="1" t="s">
        <v>6007</v>
      </c>
      <c r="D1375" s="1" t="s">
        <v>6008</v>
      </c>
      <c r="E1375" s="1" t="s">
        <v>464</v>
      </c>
      <c r="F1375" s="1" t="s">
        <v>30</v>
      </c>
      <c r="G1375" s="1" t="s">
        <v>30</v>
      </c>
      <c r="H1375" s="1" t="s">
        <v>1762</v>
      </c>
      <c r="I1375" t="b">
        <f>COUNTIF(Estadísticas!I:I,'centraldecomunicacion.es'!H1375)&gt;0</f>
        <v>0</v>
      </c>
    </row>
    <row r="1376" spans="1:9" hidden="1">
      <c r="A1376" s="1" t="s">
        <v>5746</v>
      </c>
      <c r="B1376" s="1" t="s">
        <v>18</v>
      </c>
      <c r="C1376" s="1" t="s">
        <v>6009</v>
      </c>
      <c r="D1376" s="1" t="s">
        <v>6010</v>
      </c>
      <c r="E1376" s="1" t="s">
        <v>512</v>
      </c>
      <c r="F1376" s="1" t="s">
        <v>5748</v>
      </c>
      <c r="G1376" s="1" t="s">
        <v>6011</v>
      </c>
      <c r="H1376" s="1" t="s">
        <v>5750</v>
      </c>
      <c r="I1376" t="b">
        <f>COUNTIF(Estadísticas!I:I,'centraldecomunicacion.es'!H1376)&gt;0</f>
        <v>0</v>
      </c>
    </row>
    <row r="1377" spans="1:9" hidden="1">
      <c r="A1377" s="1" t="s">
        <v>6012</v>
      </c>
      <c r="B1377" s="1" t="s">
        <v>10</v>
      </c>
      <c r="C1377" s="1" t="s">
        <v>6013</v>
      </c>
      <c r="D1377" s="1" t="s">
        <v>5900</v>
      </c>
      <c r="E1377" s="1" t="s">
        <v>464</v>
      </c>
      <c r="F1377" s="1" t="s">
        <v>30</v>
      </c>
      <c r="G1377" s="1" t="s">
        <v>6014</v>
      </c>
      <c r="H1377" s="1" t="s">
        <v>1762</v>
      </c>
      <c r="I1377" t="b">
        <f>COUNTIF(Estadísticas!I:I,'centraldecomunicacion.es'!H1377)&gt;0</f>
        <v>0</v>
      </c>
    </row>
    <row r="1378" spans="1:9" hidden="1">
      <c r="A1378" s="1" t="s">
        <v>6015</v>
      </c>
      <c r="B1378" s="1" t="s">
        <v>10</v>
      </c>
      <c r="C1378" s="1" t="s">
        <v>6016</v>
      </c>
      <c r="D1378" s="1" t="s">
        <v>463</v>
      </c>
      <c r="E1378" s="1" t="s">
        <v>464</v>
      </c>
      <c r="F1378" s="1" t="s">
        <v>6017</v>
      </c>
      <c r="G1378" s="1" t="s">
        <v>6018</v>
      </c>
      <c r="H1378" s="1" t="s">
        <v>1762</v>
      </c>
      <c r="I1378" t="b">
        <f>COUNTIF(Estadísticas!I:I,'centraldecomunicacion.es'!H1378)&gt;0</f>
        <v>0</v>
      </c>
    </row>
    <row r="1379" spans="1:9" hidden="1">
      <c r="A1379" s="1" t="s">
        <v>6019</v>
      </c>
      <c r="B1379" s="1" t="s">
        <v>10</v>
      </c>
      <c r="C1379" s="1" t="s">
        <v>6020</v>
      </c>
      <c r="D1379" s="1" t="s">
        <v>5985</v>
      </c>
      <c r="E1379" s="1" t="s">
        <v>464</v>
      </c>
      <c r="F1379" s="1" t="s">
        <v>30</v>
      </c>
      <c r="G1379" s="1" t="s">
        <v>6021</v>
      </c>
      <c r="H1379" s="1" t="s">
        <v>1762</v>
      </c>
      <c r="I1379" t="b">
        <f>COUNTIF(Estadísticas!I:I,'centraldecomunicacion.es'!H1379)&gt;0</f>
        <v>0</v>
      </c>
    </row>
    <row r="1380" spans="1:9" hidden="1">
      <c r="A1380" s="1" t="s">
        <v>6022</v>
      </c>
      <c r="B1380" s="1" t="s">
        <v>18</v>
      </c>
      <c r="C1380" s="1" t="s">
        <v>6023</v>
      </c>
      <c r="D1380" s="1" t="s">
        <v>5766</v>
      </c>
      <c r="E1380" s="1" t="s">
        <v>464</v>
      </c>
      <c r="F1380" s="1" t="s">
        <v>6024</v>
      </c>
      <c r="G1380" s="1" t="s">
        <v>6025</v>
      </c>
      <c r="H1380" s="1" t="s">
        <v>6026</v>
      </c>
      <c r="I1380" t="b">
        <f>COUNTIF(Estadísticas!I:I,'centraldecomunicacion.es'!H1380)&gt;0</f>
        <v>0</v>
      </c>
    </row>
    <row r="1381" spans="1:9" hidden="1">
      <c r="A1381" s="1" t="s">
        <v>6027</v>
      </c>
      <c r="B1381" s="1" t="s">
        <v>10</v>
      </c>
      <c r="C1381" s="1" t="s">
        <v>6028</v>
      </c>
      <c r="D1381" s="1" t="s">
        <v>5831</v>
      </c>
      <c r="E1381" s="1" t="s">
        <v>464</v>
      </c>
      <c r="F1381" s="1" t="s">
        <v>30</v>
      </c>
      <c r="G1381" s="1" t="s">
        <v>6029</v>
      </c>
      <c r="H1381" s="1" t="s">
        <v>1762</v>
      </c>
      <c r="I1381" t="b">
        <f>COUNTIF(Estadísticas!I:I,'centraldecomunicacion.es'!H1381)&gt;0</f>
        <v>0</v>
      </c>
    </row>
    <row r="1382" spans="1:9" hidden="1">
      <c r="A1382" s="1" t="s">
        <v>6030</v>
      </c>
      <c r="B1382" s="1" t="s">
        <v>10</v>
      </c>
      <c r="C1382" s="1" t="s">
        <v>6031</v>
      </c>
      <c r="D1382" s="1" t="s">
        <v>5835</v>
      </c>
      <c r="E1382" s="1" t="s">
        <v>464</v>
      </c>
      <c r="F1382" s="1" t="s">
        <v>30</v>
      </c>
      <c r="G1382" s="1" t="s">
        <v>6032</v>
      </c>
      <c r="H1382" s="1" t="s">
        <v>1762</v>
      </c>
      <c r="I1382" t="b">
        <f>COUNTIF(Estadísticas!I:I,'centraldecomunicacion.es'!H1382)&gt;0</f>
        <v>0</v>
      </c>
    </row>
    <row r="1383" spans="1:9" hidden="1">
      <c r="A1383" s="1" t="s">
        <v>6033</v>
      </c>
      <c r="B1383" s="1" t="s">
        <v>10</v>
      </c>
      <c r="C1383" s="1" t="s">
        <v>6034</v>
      </c>
      <c r="D1383" s="1" t="s">
        <v>6035</v>
      </c>
      <c r="E1383" s="1" t="s">
        <v>464</v>
      </c>
      <c r="F1383" s="1" t="s">
        <v>30</v>
      </c>
      <c r="G1383" s="1" t="s">
        <v>6036</v>
      </c>
      <c r="H1383" s="1" t="s">
        <v>1762</v>
      </c>
      <c r="I1383" t="b">
        <f>COUNTIF(Estadísticas!I:I,'centraldecomunicacion.es'!H1383)&gt;0</f>
        <v>0</v>
      </c>
    </row>
    <row r="1384" spans="1:9" hidden="1">
      <c r="A1384" s="1" t="s">
        <v>6037</v>
      </c>
      <c r="B1384" s="1" t="s">
        <v>10</v>
      </c>
      <c r="C1384" s="1" t="s">
        <v>6038</v>
      </c>
      <c r="D1384" s="1" t="s">
        <v>6039</v>
      </c>
      <c r="E1384" s="1" t="s">
        <v>464</v>
      </c>
      <c r="F1384" s="1" t="s">
        <v>30</v>
      </c>
      <c r="G1384" s="1" t="s">
        <v>6040</v>
      </c>
      <c r="H1384" s="1" t="s">
        <v>1762</v>
      </c>
      <c r="I1384" t="b">
        <f>COUNTIF(Estadísticas!I:I,'centraldecomunicacion.es'!H1384)&gt;0</f>
        <v>0</v>
      </c>
    </row>
    <row r="1385" spans="1:9" hidden="1">
      <c r="A1385" s="1" t="s">
        <v>6041</v>
      </c>
      <c r="B1385" s="1" t="s">
        <v>10</v>
      </c>
      <c r="C1385" s="1" t="s">
        <v>6042</v>
      </c>
      <c r="D1385" s="1" t="s">
        <v>5752</v>
      </c>
      <c r="E1385" s="1" t="s">
        <v>464</v>
      </c>
      <c r="F1385" s="1" t="s">
        <v>30</v>
      </c>
      <c r="G1385" s="1" t="s">
        <v>6043</v>
      </c>
      <c r="H1385" s="1" t="s">
        <v>1762</v>
      </c>
      <c r="I1385" t="b">
        <f>COUNTIF(Estadísticas!I:I,'centraldecomunicacion.es'!H1385)&gt;0</f>
        <v>0</v>
      </c>
    </row>
    <row r="1386" spans="1:9" hidden="1">
      <c r="A1386" s="1" t="s">
        <v>6044</v>
      </c>
      <c r="B1386" s="1" t="s">
        <v>10</v>
      </c>
      <c r="C1386" s="1" t="s">
        <v>6045</v>
      </c>
      <c r="D1386" s="1" t="s">
        <v>5752</v>
      </c>
      <c r="E1386" s="1" t="s">
        <v>464</v>
      </c>
      <c r="F1386" s="1" t="s">
        <v>30</v>
      </c>
      <c r="G1386" s="1" t="s">
        <v>6046</v>
      </c>
      <c r="H1386" s="1" t="s">
        <v>1762</v>
      </c>
      <c r="I1386" t="b">
        <f>COUNTIF(Estadísticas!I:I,'centraldecomunicacion.es'!H1386)&gt;0</f>
        <v>0</v>
      </c>
    </row>
    <row r="1387" spans="1:9" hidden="1">
      <c r="A1387" s="1" t="s">
        <v>6047</v>
      </c>
      <c r="B1387" s="1" t="s">
        <v>10</v>
      </c>
      <c r="C1387" s="1" t="s">
        <v>6048</v>
      </c>
      <c r="D1387" s="1" t="s">
        <v>5734</v>
      </c>
      <c r="E1387" s="1" t="s">
        <v>464</v>
      </c>
      <c r="F1387" s="1" t="s">
        <v>30</v>
      </c>
      <c r="G1387" s="1" t="s">
        <v>6049</v>
      </c>
      <c r="H1387" s="1" t="s">
        <v>1762</v>
      </c>
      <c r="I1387" t="b">
        <f>COUNTIF(Estadísticas!I:I,'centraldecomunicacion.es'!H1387)&gt;0</f>
        <v>0</v>
      </c>
    </row>
    <row r="1388" spans="1:9" hidden="1">
      <c r="A1388" s="1" t="s">
        <v>6050</v>
      </c>
      <c r="B1388" s="1" t="s">
        <v>10</v>
      </c>
      <c r="C1388" s="1" t="s">
        <v>6051</v>
      </c>
      <c r="D1388" s="1" t="s">
        <v>6052</v>
      </c>
      <c r="E1388" s="1" t="s">
        <v>464</v>
      </c>
      <c r="F1388" s="1" t="s">
        <v>30</v>
      </c>
      <c r="G1388" s="1" t="s">
        <v>30</v>
      </c>
      <c r="H1388" s="1" t="s">
        <v>1762</v>
      </c>
      <c r="I1388" t="b">
        <f>COUNTIF(Estadísticas!I:I,'centraldecomunicacion.es'!H1388)&gt;0</f>
        <v>0</v>
      </c>
    </row>
    <row r="1389" spans="1:9" hidden="1">
      <c r="A1389" s="1" t="s">
        <v>6053</v>
      </c>
      <c r="B1389" s="1" t="s">
        <v>10</v>
      </c>
      <c r="C1389" s="1" t="s">
        <v>30</v>
      </c>
      <c r="D1389" s="1" t="s">
        <v>5679</v>
      </c>
      <c r="E1389" s="1" t="s">
        <v>30</v>
      </c>
      <c r="F1389" s="1" t="s">
        <v>6054</v>
      </c>
      <c r="G1389" s="1" t="s">
        <v>6055</v>
      </c>
      <c r="H1389" s="1" t="s">
        <v>6056</v>
      </c>
      <c r="I1389" t="b">
        <f>COUNTIF(Estadísticas!I:I,'centraldecomunicacion.es'!H1389)&gt;0</f>
        <v>0</v>
      </c>
    </row>
    <row r="1390" spans="1:9" hidden="1">
      <c r="A1390" s="1" t="s">
        <v>6057</v>
      </c>
      <c r="B1390" s="1" t="s">
        <v>10</v>
      </c>
      <c r="C1390" s="1" t="s">
        <v>6058</v>
      </c>
      <c r="D1390" s="1" t="s">
        <v>5845</v>
      </c>
      <c r="E1390" s="1" t="s">
        <v>464</v>
      </c>
      <c r="F1390" s="1" t="s">
        <v>30</v>
      </c>
      <c r="G1390" s="1" t="s">
        <v>6059</v>
      </c>
      <c r="H1390" s="1" t="s">
        <v>1762</v>
      </c>
      <c r="I1390" t="b">
        <f>COUNTIF(Estadísticas!I:I,'centraldecomunicacion.es'!H1390)&gt;0</f>
        <v>0</v>
      </c>
    </row>
    <row r="1391" spans="1:9" hidden="1">
      <c r="A1391" s="1" t="s">
        <v>6060</v>
      </c>
      <c r="B1391" s="1" t="s">
        <v>10</v>
      </c>
      <c r="C1391" s="1" t="s">
        <v>6061</v>
      </c>
      <c r="D1391" s="1" t="s">
        <v>6062</v>
      </c>
      <c r="E1391" s="1" t="s">
        <v>464</v>
      </c>
      <c r="F1391" s="1" t="s">
        <v>30</v>
      </c>
      <c r="G1391" s="1" t="s">
        <v>6063</v>
      </c>
      <c r="H1391" s="1" t="s">
        <v>1762</v>
      </c>
      <c r="I1391" t="b">
        <f>COUNTIF(Estadísticas!I:I,'centraldecomunicacion.es'!H1391)&gt;0</f>
        <v>0</v>
      </c>
    </row>
    <row r="1392" spans="1:9" hidden="1">
      <c r="A1392" s="1" t="s">
        <v>6064</v>
      </c>
      <c r="B1392" s="1" t="s">
        <v>10</v>
      </c>
      <c r="C1392" s="1" t="s">
        <v>6065</v>
      </c>
      <c r="D1392" s="1" t="s">
        <v>6066</v>
      </c>
      <c r="E1392" s="1" t="s">
        <v>512</v>
      </c>
      <c r="F1392" s="1" t="s">
        <v>30</v>
      </c>
      <c r="G1392" s="1" t="s">
        <v>6067</v>
      </c>
      <c r="H1392" s="1" t="s">
        <v>1762</v>
      </c>
      <c r="I1392" t="b">
        <f>COUNTIF(Estadísticas!I:I,'centraldecomunicacion.es'!H1392)&gt;0</f>
        <v>0</v>
      </c>
    </row>
    <row r="1393" spans="1:9" hidden="1">
      <c r="A1393" s="1" t="s">
        <v>6068</v>
      </c>
      <c r="B1393" s="1" t="s">
        <v>10</v>
      </c>
      <c r="C1393" s="1" t="s">
        <v>6069</v>
      </c>
      <c r="D1393" s="1" t="s">
        <v>6070</v>
      </c>
      <c r="E1393" s="1" t="s">
        <v>464</v>
      </c>
      <c r="F1393" s="1" t="s">
        <v>30</v>
      </c>
      <c r="G1393" s="1" t="s">
        <v>6071</v>
      </c>
      <c r="H1393" s="1" t="s">
        <v>1762</v>
      </c>
      <c r="I1393" t="b">
        <f>COUNTIF(Estadísticas!I:I,'centraldecomunicacion.es'!H1393)&gt;0</f>
        <v>0</v>
      </c>
    </row>
    <row r="1394" spans="1:9" hidden="1">
      <c r="A1394" s="1" t="s">
        <v>6072</v>
      </c>
      <c r="B1394" s="1" t="s">
        <v>18</v>
      </c>
      <c r="C1394" s="1" t="s">
        <v>6073</v>
      </c>
      <c r="D1394" s="1" t="s">
        <v>5970</v>
      </c>
      <c r="E1394" s="1" t="s">
        <v>464</v>
      </c>
      <c r="F1394" s="1" t="s">
        <v>30</v>
      </c>
      <c r="G1394" s="1" t="s">
        <v>6074</v>
      </c>
      <c r="H1394" s="1" t="s">
        <v>1762</v>
      </c>
      <c r="I1394" t="b">
        <f>COUNTIF(Estadísticas!I:I,'centraldecomunicacion.es'!H1394)&gt;0</f>
        <v>0</v>
      </c>
    </row>
    <row r="1395" spans="1:9" hidden="1">
      <c r="A1395" s="1" t="s">
        <v>6075</v>
      </c>
      <c r="B1395" s="1" t="s">
        <v>10</v>
      </c>
      <c r="C1395" s="1" t="s">
        <v>6076</v>
      </c>
      <c r="D1395" s="1" t="s">
        <v>5726</v>
      </c>
      <c r="E1395" s="1" t="s">
        <v>464</v>
      </c>
      <c r="F1395" s="1" t="s">
        <v>30</v>
      </c>
      <c r="G1395" s="1" t="s">
        <v>30</v>
      </c>
      <c r="H1395" s="1" t="s">
        <v>1762</v>
      </c>
      <c r="I1395" t="b">
        <f>COUNTIF(Estadísticas!I:I,'centraldecomunicacion.es'!H1395)&gt;0</f>
        <v>0</v>
      </c>
    </row>
    <row r="1396" spans="1:9" hidden="1">
      <c r="A1396" s="1" t="s">
        <v>6077</v>
      </c>
      <c r="B1396" s="1" t="s">
        <v>10</v>
      </c>
      <c r="C1396" s="1" t="s">
        <v>6078</v>
      </c>
      <c r="D1396" s="1" t="s">
        <v>6070</v>
      </c>
      <c r="E1396" s="1" t="s">
        <v>464</v>
      </c>
      <c r="F1396" s="1" t="s">
        <v>30</v>
      </c>
      <c r="G1396" s="1" t="s">
        <v>6079</v>
      </c>
      <c r="H1396" s="1" t="s">
        <v>1762</v>
      </c>
      <c r="I1396" t="b">
        <f>COUNTIF(Estadísticas!I:I,'centraldecomunicacion.es'!H1396)&gt;0</f>
        <v>0</v>
      </c>
    </row>
    <row r="1397" spans="1:9" hidden="1">
      <c r="A1397" s="1" t="s">
        <v>6022</v>
      </c>
      <c r="B1397" s="1" t="s">
        <v>18</v>
      </c>
      <c r="C1397" s="1" t="s">
        <v>6080</v>
      </c>
      <c r="D1397" s="1" t="s">
        <v>5743</v>
      </c>
      <c r="E1397" s="1" t="s">
        <v>464</v>
      </c>
      <c r="F1397" s="1" t="s">
        <v>6024</v>
      </c>
      <c r="G1397" s="1" t="s">
        <v>6081</v>
      </c>
      <c r="H1397" s="1" t="s">
        <v>6026</v>
      </c>
      <c r="I1397" t="b">
        <f>COUNTIF(Estadísticas!I:I,'centraldecomunicacion.es'!H1397)&gt;0</f>
        <v>0</v>
      </c>
    </row>
    <row r="1398" spans="1:9">
      <c r="A1398" s="1" t="s">
        <v>527</v>
      </c>
      <c r="B1398" s="1" t="s">
        <v>10</v>
      </c>
      <c r="C1398" s="1" t="s">
        <v>528</v>
      </c>
      <c r="D1398" s="1" t="s">
        <v>529</v>
      </c>
      <c r="E1398" s="1" t="s">
        <v>464</v>
      </c>
      <c r="F1398" s="1" t="s">
        <v>530</v>
      </c>
      <c r="G1398" s="1" t="s">
        <v>531</v>
      </c>
      <c r="H1398" s="1" t="s">
        <v>532</v>
      </c>
      <c r="I1398" t="b">
        <f>COUNTIF(Estadísticas!I:I,'centraldecomunicacion.es'!H1398)&gt;0</f>
        <v>1</v>
      </c>
    </row>
    <row r="1399" spans="1:9" hidden="1">
      <c r="A1399" s="1" t="s">
        <v>6082</v>
      </c>
      <c r="B1399" s="1" t="s">
        <v>10</v>
      </c>
      <c r="C1399" s="1" t="s">
        <v>6083</v>
      </c>
      <c r="D1399" s="1" t="s">
        <v>6084</v>
      </c>
      <c r="E1399" s="1" t="s">
        <v>464</v>
      </c>
      <c r="F1399" s="1" t="s">
        <v>30</v>
      </c>
      <c r="G1399" s="1" t="s">
        <v>6085</v>
      </c>
      <c r="H1399" s="1" t="s">
        <v>1762</v>
      </c>
      <c r="I1399" t="b">
        <f>COUNTIF(Estadísticas!I:I,'centraldecomunicacion.es'!H1399)&gt;0</f>
        <v>0</v>
      </c>
    </row>
    <row r="1400" spans="1:9" hidden="1">
      <c r="A1400" s="1" t="s">
        <v>6086</v>
      </c>
      <c r="B1400" s="1" t="s">
        <v>10</v>
      </c>
      <c r="C1400" s="1" t="s">
        <v>6087</v>
      </c>
      <c r="D1400" s="1" t="s">
        <v>5752</v>
      </c>
      <c r="E1400" s="1" t="s">
        <v>464</v>
      </c>
      <c r="F1400" s="1" t="s">
        <v>5708</v>
      </c>
      <c r="G1400" s="1" t="s">
        <v>6088</v>
      </c>
      <c r="H1400" s="1" t="s">
        <v>1762</v>
      </c>
      <c r="I1400" t="b">
        <f>COUNTIF(Estadísticas!I:I,'centraldecomunicacion.es'!H1400)&gt;0</f>
        <v>0</v>
      </c>
    </row>
    <row r="1401" spans="1:9" hidden="1">
      <c r="A1401" s="1" t="s">
        <v>6089</v>
      </c>
      <c r="B1401" s="1" t="s">
        <v>10</v>
      </c>
      <c r="C1401" s="1" t="s">
        <v>6090</v>
      </c>
      <c r="D1401" s="1" t="s">
        <v>5900</v>
      </c>
      <c r="E1401" s="1" t="s">
        <v>464</v>
      </c>
      <c r="F1401" s="1" t="s">
        <v>30</v>
      </c>
      <c r="G1401" s="1" t="s">
        <v>6091</v>
      </c>
      <c r="H1401" s="1" t="s">
        <v>1762</v>
      </c>
      <c r="I1401" t="b">
        <f>COUNTIF(Estadísticas!I:I,'centraldecomunicacion.es'!H1401)&gt;0</f>
        <v>0</v>
      </c>
    </row>
    <row r="1402" spans="1:9" hidden="1">
      <c r="A1402" s="1" t="s">
        <v>6092</v>
      </c>
      <c r="B1402" s="1" t="s">
        <v>10</v>
      </c>
      <c r="C1402" s="1" t="s">
        <v>6093</v>
      </c>
      <c r="D1402" s="1" t="s">
        <v>5766</v>
      </c>
      <c r="E1402" s="1" t="s">
        <v>464</v>
      </c>
      <c r="F1402" s="1" t="s">
        <v>30</v>
      </c>
      <c r="G1402" s="1" t="s">
        <v>6094</v>
      </c>
      <c r="H1402" s="1" t="s">
        <v>1762</v>
      </c>
      <c r="I1402" t="b">
        <f>COUNTIF(Estadísticas!I:I,'centraldecomunicacion.es'!H1402)&gt;0</f>
        <v>0</v>
      </c>
    </row>
    <row r="1403" spans="1:9" hidden="1">
      <c r="A1403" s="1" t="s">
        <v>6095</v>
      </c>
      <c r="B1403" s="1" t="s">
        <v>10</v>
      </c>
      <c r="C1403" s="1" t="s">
        <v>6096</v>
      </c>
      <c r="D1403" s="1" t="s">
        <v>6097</v>
      </c>
      <c r="E1403" s="1" t="s">
        <v>464</v>
      </c>
      <c r="F1403" s="1" t="s">
        <v>30</v>
      </c>
      <c r="G1403" s="1" t="s">
        <v>6098</v>
      </c>
      <c r="H1403" s="1" t="s">
        <v>1762</v>
      </c>
      <c r="I1403" t="b">
        <f>COUNTIF(Estadísticas!I:I,'centraldecomunicacion.es'!H1403)&gt;0</f>
        <v>0</v>
      </c>
    </row>
    <row r="1404" spans="1:9" hidden="1">
      <c r="A1404" s="1" t="s">
        <v>6099</v>
      </c>
      <c r="B1404" s="1" t="s">
        <v>18</v>
      </c>
      <c r="C1404" s="1" t="s">
        <v>6100</v>
      </c>
      <c r="D1404" s="1" t="s">
        <v>5868</v>
      </c>
      <c r="E1404" s="1" t="s">
        <v>6101</v>
      </c>
      <c r="F1404" s="1" t="s">
        <v>30</v>
      </c>
      <c r="G1404" s="1" t="s">
        <v>6102</v>
      </c>
      <c r="H1404" s="1" t="s">
        <v>1762</v>
      </c>
      <c r="I1404" t="b">
        <f>COUNTIF(Estadísticas!I:I,'centraldecomunicacion.es'!H1404)&gt;0</f>
        <v>0</v>
      </c>
    </row>
    <row r="1405" spans="1:9" hidden="1">
      <c r="A1405" s="1" t="s">
        <v>6103</v>
      </c>
      <c r="B1405" s="1" t="s">
        <v>10</v>
      </c>
      <c r="C1405" s="1" t="s">
        <v>6104</v>
      </c>
      <c r="D1405" s="1" t="s">
        <v>6105</v>
      </c>
      <c r="E1405" s="1" t="s">
        <v>464</v>
      </c>
      <c r="F1405" s="1" t="s">
        <v>30</v>
      </c>
      <c r="G1405" s="1" t="s">
        <v>6106</v>
      </c>
      <c r="H1405" s="1" t="s">
        <v>1762</v>
      </c>
      <c r="I1405" t="b">
        <f>COUNTIF(Estadísticas!I:I,'centraldecomunicacion.es'!H1405)&gt;0</f>
        <v>0</v>
      </c>
    </row>
    <row r="1406" spans="1:9" hidden="1">
      <c r="A1406" s="1" t="s">
        <v>6107</v>
      </c>
      <c r="B1406" s="1" t="s">
        <v>10</v>
      </c>
      <c r="C1406" s="1" t="s">
        <v>6108</v>
      </c>
      <c r="D1406" s="1" t="s">
        <v>5825</v>
      </c>
      <c r="E1406" s="1" t="s">
        <v>512</v>
      </c>
      <c r="F1406" s="1" t="s">
        <v>30</v>
      </c>
      <c r="G1406" s="1" t="s">
        <v>30</v>
      </c>
      <c r="H1406" s="1" t="s">
        <v>1762</v>
      </c>
      <c r="I1406" t="b">
        <f>COUNTIF(Estadísticas!I:I,'centraldecomunicacion.es'!H1406)&gt;0</f>
        <v>0</v>
      </c>
    </row>
    <row r="1407" spans="1:9" hidden="1">
      <c r="A1407" s="1" t="s">
        <v>6109</v>
      </c>
      <c r="B1407" s="1" t="s">
        <v>10</v>
      </c>
      <c r="C1407" s="1" t="s">
        <v>6110</v>
      </c>
      <c r="D1407" s="1" t="s">
        <v>5752</v>
      </c>
      <c r="E1407" s="1" t="s">
        <v>464</v>
      </c>
      <c r="F1407" s="1" t="s">
        <v>30</v>
      </c>
      <c r="G1407" s="1" t="s">
        <v>6111</v>
      </c>
      <c r="H1407" s="1" t="s">
        <v>1762</v>
      </c>
      <c r="I1407" t="b">
        <f>COUNTIF(Estadísticas!I:I,'centraldecomunicacion.es'!H1407)&gt;0</f>
        <v>0</v>
      </c>
    </row>
    <row r="1408" spans="1:9" hidden="1">
      <c r="A1408" s="1" t="s">
        <v>6112</v>
      </c>
      <c r="B1408" s="1" t="s">
        <v>10</v>
      </c>
      <c r="C1408" s="1" t="s">
        <v>6108</v>
      </c>
      <c r="D1408" s="1" t="s">
        <v>5825</v>
      </c>
      <c r="E1408" s="1" t="s">
        <v>512</v>
      </c>
      <c r="F1408" s="1" t="s">
        <v>30</v>
      </c>
      <c r="G1408" s="1" t="s">
        <v>6113</v>
      </c>
      <c r="H1408" s="1" t="s">
        <v>1762</v>
      </c>
      <c r="I1408" t="b">
        <f>COUNTIF(Estadísticas!I:I,'centraldecomunicacion.es'!H1408)&gt;0</f>
        <v>0</v>
      </c>
    </row>
    <row r="1409" spans="1:9" hidden="1">
      <c r="A1409" s="1" t="s">
        <v>6114</v>
      </c>
      <c r="B1409" s="1" t="s">
        <v>10</v>
      </c>
      <c r="C1409" s="1" t="s">
        <v>30</v>
      </c>
      <c r="D1409" s="1" t="s">
        <v>5679</v>
      </c>
      <c r="E1409" s="1" t="s">
        <v>30</v>
      </c>
      <c r="F1409" s="1" t="s">
        <v>30</v>
      </c>
      <c r="G1409" s="1" t="s">
        <v>6115</v>
      </c>
      <c r="H1409" s="1" t="s">
        <v>1762</v>
      </c>
      <c r="I1409" t="b">
        <f>COUNTIF(Estadísticas!I:I,'centraldecomunicacion.es'!H1409)&gt;0</f>
        <v>0</v>
      </c>
    </row>
    <row r="1410" spans="1:9" hidden="1">
      <c r="A1410" s="1" t="s">
        <v>6116</v>
      </c>
      <c r="B1410" s="1" t="s">
        <v>10</v>
      </c>
      <c r="C1410" s="1" t="s">
        <v>6117</v>
      </c>
      <c r="D1410" s="1" t="s">
        <v>5900</v>
      </c>
      <c r="E1410" s="1" t="s">
        <v>464</v>
      </c>
      <c r="F1410" s="1" t="s">
        <v>30</v>
      </c>
      <c r="G1410" s="1" t="s">
        <v>6118</v>
      </c>
      <c r="H1410" s="1" t="s">
        <v>1762</v>
      </c>
      <c r="I1410" t="b">
        <f>COUNTIF(Estadísticas!I:I,'centraldecomunicacion.es'!H1410)&gt;0</f>
        <v>0</v>
      </c>
    </row>
    <row r="1411" spans="1:9" hidden="1">
      <c r="A1411" s="1" t="s">
        <v>6119</v>
      </c>
      <c r="B1411" s="1" t="s">
        <v>10</v>
      </c>
      <c r="C1411" s="1" t="s">
        <v>6120</v>
      </c>
      <c r="D1411" s="1" t="s">
        <v>511</v>
      </c>
      <c r="E1411" s="1" t="s">
        <v>464</v>
      </c>
      <c r="F1411" s="1" t="s">
        <v>1984</v>
      </c>
      <c r="G1411" s="1" t="s">
        <v>30</v>
      </c>
      <c r="H1411" s="1" t="s">
        <v>1762</v>
      </c>
      <c r="I1411" t="b">
        <f>COUNTIF(Estadísticas!I:I,'centraldecomunicacion.es'!H1411)&gt;0</f>
        <v>0</v>
      </c>
    </row>
    <row r="1412" spans="1:9" hidden="1">
      <c r="A1412" s="1" t="s">
        <v>6121</v>
      </c>
      <c r="B1412" s="1" t="s">
        <v>10</v>
      </c>
      <c r="C1412" s="1" t="s">
        <v>6122</v>
      </c>
      <c r="D1412" s="1" t="s">
        <v>6070</v>
      </c>
      <c r="E1412" s="1" t="s">
        <v>512</v>
      </c>
      <c r="F1412" s="1" t="s">
        <v>30</v>
      </c>
      <c r="G1412" s="1" t="s">
        <v>6123</v>
      </c>
      <c r="H1412" s="1" t="s">
        <v>1762</v>
      </c>
      <c r="I1412" t="b">
        <f>COUNTIF(Estadísticas!I:I,'centraldecomunicacion.es'!H1412)&gt;0</f>
        <v>0</v>
      </c>
    </row>
    <row r="1413" spans="1:9" hidden="1">
      <c r="A1413" s="1" t="s">
        <v>6124</v>
      </c>
      <c r="B1413" s="1" t="s">
        <v>10</v>
      </c>
      <c r="C1413" s="1" t="s">
        <v>6125</v>
      </c>
      <c r="D1413" s="1" t="s">
        <v>5825</v>
      </c>
      <c r="E1413" s="1" t="s">
        <v>512</v>
      </c>
      <c r="F1413" s="1" t="s">
        <v>6126</v>
      </c>
      <c r="G1413" s="1" t="s">
        <v>6127</v>
      </c>
      <c r="H1413" s="1" t="s">
        <v>6128</v>
      </c>
      <c r="I1413" t="b">
        <f>COUNTIF(Estadísticas!I:I,'centraldecomunicacion.es'!H1413)&gt;0</f>
        <v>0</v>
      </c>
    </row>
    <row r="1414" spans="1:9" hidden="1">
      <c r="A1414" s="1" t="s">
        <v>6129</v>
      </c>
      <c r="B1414" s="1" t="s">
        <v>10</v>
      </c>
      <c r="C1414" s="1" t="s">
        <v>6130</v>
      </c>
      <c r="D1414" s="1" t="s">
        <v>6131</v>
      </c>
      <c r="E1414" s="1" t="s">
        <v>464</v>
      </c>
      <c r="F1414" s="1" t="s">
        <v>30</v>
      </c>
      <c r="G1414" s="1" t="s">
        <v>30</v>
      </c>
      <c r="H1414" s="1" t="s">
        <v>1762</v>
      </c>
      <c r="I1414" t="b">
        <f>COUNTIF(Estadísticas!I:I,'centraldecomunicacion.es'!H1414)&gt;0</f>
        <v>0</v>
      </c>
    </row>
    <row r="1415" spans="1:9" hidden="1">
      <c r="A1415" s="1" t="s">
        <v>6132</v>
      </c>
      <c r="B1415" s="1" t="s">
        <v>10</v>
      </c>
      <c r="C1415" s="1" t="s">
        <v>6133</v>
      </c>
      <c r="D1415" s="1" t="s">
        <v>463</v>
      </c>
      <c r="E1415" s="1" t="s">
        <v>464</v>
      </c>
      <c r="F1415" s="1" t="s">
        <v>30</v>
      </c>
      <c r="G1415" s="1" t="s">
        <v>6134</v>
      </c>
      <c r="H1415" s="1" t="s">
        <v>1762</v>
      </c>
      <c r="I1415" t="b">
        <f>COUNTIF(Estadísticas!I:I,'centraldecomunicacion.es'!H1415)&gt;0</f>
        <v>0</v>
      </c>
    </row>
    <row r="1416" spans="1:9" hidden="1">
      <c r="A1416" s="1" t="s">
        <v>6135</v>
      </c>
      <c r="B1416" s="1" t="s">
        <v>10</v>
      </c>
      <c r="C1416" s="1" t="s">
        <v>6136</v>
      </c>
      <c r="D1416" s="1" t="s">
        <v>6137</v>
      </c>
      <c r="E1416" s="1" t="s">
        <v>464</v>
      </c>
      <c r="F1416" s="1" t="s">
        <v>30</v>
      </c>
      <c r="G1416" s="1" t="s">
        <v>6138</v>
      </c>
      <c r="H1416" s="1" t="s">
        <v>1762</v>
      </c>
      <c r="I1416" t="b">
        <f>COUNTIF(Estadísticas!I:I,'centraldecomunicacion.es'!H1416)&gt;0</f>
        <v>0</v>
      </c>
    </row>
    <row r="1417" spans="1:9" hidden="1">
      <c r="A1417" s="1" t="s">
        <v>6139</v>
      </c>
      <c r="B1417" s="1" t="s">
        <v>18</v>
      </c>
      <c r="C1417" s="1" t="s">
        <v>6140</v>
      </c>
      <c r="D1417" s="1" t="s">
        <v>6141</v>
      </c>
      <c r="E1417" s="1" t="s">
        <v>512</v>
      </c>
      <c r="F1417" s="1" t="s">
        <v>30</v>
      </c>
      <c r="G1417" s="1" t="s">
        <v>6142</v>
      </c>
      <c r="H1417" s="1" t="s">
        <v>1762</v>
      </c>
      <c r="I1417" t="b">
        <f>COUNTIF(Estadísticas!I:I,'centraldecomunicacion.es'!H1417)&gt;0</f>
        <v>0</v>
      </c>
    </row>
    <row r="1418" spans="1:9" hidden="1">
      <c r="A1418" s="1" t="s">
        <v>6143</v>
      </c>
      <c r="B1418" s="1" t="s">
        <v>10</v>
      </c>
      <c r="C1418" s="1" t="s">
        <v>6144</v>
      </c>
      <c r="D1418" s="1" t="s">
        <v>518</v>
      </c>
      <c r="E1418" s="1" t="s">
        <v>512</v>
      </c>
      <c r="F1418" s="1" t="s">
        <v>30</v>
      </c>
      <c r="G1418" s="1" t="s">
        <v>30</v>
      </c>
      <c r="H1418" s="1" t="s">
        <v>1762</v>
      </c>
      <c r="I1418" t="b">
        <f>COUNTIF(Estadísticas!I:I,'centraldecomunicacion.es'!H1418)&gt;0</f>
        <v>0</v>
      </c>
    </row>
    <row r="1419" spans="1:9" hidden="1">
      <c r="A1419" s="1" t="s">
        <v>6145</v>
      </c>
      <c r="B1419" s="1" t="s">
        <v>10</v>
      </c>
      <c r="C1419" s="1" t="s">
        <v>6146</v>
      </c>
      <c r="D1419" s="1" t="s">
        <v>5900</v>
      </c>
      <c r="E1419" s="1" t="s">
        <v>464</v>
      </c>
      <c r="F1419" s="1" t="s">
        <v>30</v>
      </c>
      <c r="G1419" s="1" t="s">
        <v>6147</v>
      </c>
      <c r="H1419" s="1" t="s">
        <v>1762</v>
      </c>
      <c r="I1419" t="b">
        <f>COUNTIF(Estadísticas!I:I,'centraldecomunicacion.es'!H1419)&gt;0</f>
        <v>0</v>
      </c>
    </row>
    <row r="1420" spans="1:9" hidden="1">
      <c r="A1420" s="1" t="s">
        <v>6148</v>
      </c>
      <c r="B1420" s="1" t="s">
        <v>10</v>
      </c>
      <c r="C1420" s="1" t="s">
        <v>6149</v>
      </c>
      <c r="D1420" s="1" t="s">
        <v>518</v>
      </c>
      <c r="E1420" s="1" t="s">
        <v>512</v>
      </c>
      <c r="F1420" s="1" t="s">
        <v>30</v>
      </c>
      <c r="G1420" s="1" t="s">
        <v>30</v>
      </c>
      <c r="H1420" s="1" t="s">
        <v>1762</v>
      </c>
      <c r="I1420" t="b">
        <f>COUNTIF(Estadísticas!I:I,'centraldecomunicacion.es'!H1420)&gt;0</f>
        <v>0</v>
      </c>
    </row>
    <row r="1421" spans="1:9" hidden="1">
      <c r="A1421" s="1" t="s">
        <v>6150</v>
      </c>
      <c r="B1421" s="1" t="s">
        <v>10</v>
      </c>
      <c r="C1421" s="1" t="s">
        <v>6151</v>
      </c>
      <c r="D1421" s="1" t="s">
        <v>463</v>
      </c>
      <c r="E1421" s="1" t="s">
        <v>464</v>
      </c>
      <c r="F1421" s="1" t="s">
        <v>6152</v>
      </c>
      <c r="G1421" s="1" t="s">
        <v>6153</v>
      </c>
      <c r="H1421" s="1" t="s">
        <v>6154</v>
      </c>
      <c r="I1421" t="b">
        <f>COUNTIF(Estadísticas!I:I,'centraldecomunicacion.es'!H1421)&gt;0</f>
        <v>0</v>
      </c>
    </row>
    <row r="1422" spans="1:9" hidden="1">
      <c r="A1422" s="1" t="s">
        <v>6155</v>
      </c>
      <c r="B1422" s="1" t="s">
        <v>10</v>
      </c>
      <c r="C1422" s="1" t="s">
        <v>6156</v>
      </c>
      <c r="D1422" s="1" t="s">
        <v>463</v>
      </c>
      <c r="E1422" s="1" t="s">
        <v>464</v>
      </c>
      <c r="F1422" s="1" t="s">
        <v>30</v>
      </c>
      <c r="G1422" s="1" t="s">
        <v>30</v>
      </c>
      <c r="H1422" s="1" t="s">
        <v>1762</v>
      </c>
      <c r="I1422" t="b">
        <f>COUNTIF(Estadísticas!I:I,'centraldecomunicacion.es'!H1422)&gt;0</f>
        <v>0</v>
      </c>
    </row>
    <row r="1423" spans="1:9" hidden="1">
      <c r="A1423" s="1" t="s">
        <v>6157</v>
      </c>
      <c r="B1423" s="1" t="s">
        <v>18</v>
      </c>
      <c r="C1423" s="1" t="s">
        <v>6158</v>
      </c>
      <c r="D1423" s="1" t="s">
        <v>5868</v>
      </c>
      <c r="E1423" s="1" t="s">
        <v>464</v>
      </c>
      <c r="F1423" s="1" t="s">
        <v>30</v>
      </c>
      <c r="G1423" s="1" t="s">
        <v>6159</v>
      </c>
      <c r="H1423" s="1" t="s">
        <v>1762</v>
      </c>
      <c r="I1423" t="b">
        <f>COUNTIF(Estadísticas!I:I,'centraldecomunicacion.es'!H1423)&gt;0</f>
        <v>0</v>
      </c>
    </row>
    <row r="1424" spans="1:9" hidden="1">
      <c r="A1424" s="1" t="s">
        <v>6160</v>
      </c>
      <c r="B1424" s="1" t="s">
        <v>10</v>
      </c>
      <c r="C1424" s="1" t="s">
        <v>6161</v>
      </c>
      <c r="D1424" s="1" t="s">
        <v>5679</v>
      </c>
      <c r="E1424" s="1" t="s">
        <v>512</v>
      </c>
      <c r="F1424" s="1" t="s">
        <v>30</v>
      </c>
      <c r="G1424" s="1" t="s">
        <v>6162</v>
      </c>
      <c r="H1424" s="1" t="s">
        <v>1762</v>
      </c>
      <c r="I1424" t="b">
        <f>COUNTIF(Estadísticas!I:I,'centraldecomunicacion.es'!H1424)&gt;0</f>
        <v>0</v>
      </c>
    </row>
    <row r="1425" spans="1:9" hidden="1">
      <c r="A1425" s="1" t="s">
        <v>6163</v>
      </c>
      <c r="B1425" s="1" t="s">
        <v>10</v>
      </c>
      <c r="C1425" s="1" t="s">
        <v>6164</v>
      </c>
      <c r="D1425" s="1" t="s">
        <v>463</v>
      </c>
      <c r="E1425" s="1" t="s">
        <v>464</v>
      </c>
      <c r="F1425" s="1" t="s">
        <v>30</v>
      </c>
      <c r="G1425" s="1" t="s">
        <v>6165</v>
      </c>
      <c r="H1425" s="1" t="s">
        <v>1762</v>
      </c>
      <c r="I1425" t="b">
        <f>COUNTIF(Estadísticas!I:I,'centraldecomunicacion.es'!H1425)&gt;0</f>
        <v>0</v>
      </c>
    </row>
    <row r="1426" spans="1:9">
      <c r="A1426" s="1" t="s">
        <v>533</v>
      </c>
      <c r="B1426" s="1" t="s">
        <v>18</v>
      </c>
      <c r="C1426" s="1" t="s">
        <v>534</v>
      </c>
      <c r="D1426" s="1" t="s">
        <v>463</v>
      </c>
      <c r="E1426" s="1" t="s">
        <v>512</v>
      </c>
      <c r="F1426" s="1" t="s">
        <v>535</v>
      </c>
      <c r="G1426" s="1" t="s">
        <v>536</v>
      </c>
      <c r="H1426" s="1" t="s">
        <v>537</v>
      </c>
      <c r="I1426" t="b">
        <f>COUNTIF(Estadísticas!I:I,'centraldecomunicacion.es'!H1426)&gt;0</f>
        <v>1</v>
      </c>
    </row>
    <row r="1427" spans="1:9" hidden="1">
      <c r="A1427" s="1" t="s">
        <v>6166</v>
      </c>
      <c r="B1427" s="1" t="s">
        <v>10</v>
      </c>
      <c r="C1427" s="1" t="s">
        <v>6167</v>
      </c>
      <c r="D1427" s="1" t="s">
        <v>518</v>
      </c>
      <c r="E1427" s="1" t="s">
        <v>464</v>
      </c>
      <c r="F1427" s="1" t="s">
        <v>30</v>
      </c>
      <c r="G1427" s="1" t="s">
        <v>30</v>
      </c>
      <c r="H1427" s="1" t="s">
        <v>1762</v>
      </c>
      <c r="I1427" t="b">
        <f>COUNTIF(Estadísticas!I:I,'centraldecomunicacion.es'!H1427)&gt;0</f>
        <v>0</v>
      </c>
    </row>
    <row r="1428" spans="1:9" hidden="1">
      <c r="A1428" s="1" t="s">
        <v>6168</v>
      </c>
      <c r="B1428" s="1" t="s">
        <v>10</v>
      </c>
      <c r="C1428" s="1" t="s">
        <v>6169</v>
      </c>
      <c r="D1428" s="1" t="s">
        <v>463</v>
      </c>
      <c r="E1428" s="1" t="s">
        <v>464</v>
      </c>
      <c r="F1428" s="1" t="s">
        <v>30</v>
      </c>
      <c r="G1428" s="1" t="s">
        <v>6170</v>
      </c>
      <c r="H1428" s="1" t="s">
        <v>1762</v>
      </c>
      <c r="I1428" t="b">
        <f>COUNTIF(Estadísticas!I:I,'centraldecomunicacion.es'!H1428)&gt;0</f>
        <v>0</v>
      </c>
    </row>
    <row r="1429" spans="1:9" hidden="1">
      <c r="A1429" s="1" t="s">
        <v>6171</v>
      </c>
      <c r="B1429" s="1" t="s">
        <v>18</v>
      </c>
      <c r="C1429" s="1" t="s">
        <v>6172</v>
      </c>
      <c r="D1429" s="1" t="s">
        <v>6173</v>
      </c>
      <c r="E1429" s="1" t="s">
        <v>464</v>
      </c>
      <c r="F1429" s="1" t="s">
        <v>1830</v>
      </c>
      <c r="G1429" s="1" t="s">
        <v>6174</v>
      </c>
      <c r="H1429" s="1" t="s">
        <v>1762</v>
      </c>
      <c r="I1429" t="b">
        <f>COUNTIF(Estadísticas!I:I,'centraldecomunicacion.es'!H1429)&gt;0</f>
        <v>0</v>
      </c>
    </row>
    <row r="1430" spans="1:9" hidden="1">
      <c r="A1430" s="1" t="s">
        <v>6175</v>
      </c>
      <c r="B1430" s="1" t="s">
        <v>10</v>
      </c>
      <c r="C1430" s="1" t="s">
        <v>6176</v>
      </c>
      <c r="D1430" s="1" t="s">
        <v>5900</v>
      </c>
      <c r="E1430" s="1" t="s">
        <v>464</v>
      </c>
      <c r="F1430" s="1" t="s">
        <v>30</v>
      </c>
      <c r="G1430" s="1" t="s">
        <v>6177</v>
      </c>
      <c r="H1430" s="1" t="s">
        <v>1762</v>
      </c>
      <c r="I1430" t="b">
        <f>COUNTIF(Estadísticas!I:I,'centraldecomunicacion.es'!H1430)&gt;0</f>
        <v>0</v>
      </c>
    </row>
    <row r="1431" spans="1:9" hidden="1">
      <c r="A1431" s="1" t="s">
        <v>6178</v>
      </c>
      <c r="B1431" s="1" t="s">
        <v>10</v>
      </c>
      <c r="C1431" s="1" t="s">
        <v>6179</v>
      </c>
      <c r="D1431" s="1" t="s">
        <v>463</v>
      </c>
      <c r="E1431" s="1" t="s">
        <v>512</v>
      </c>
      <c r="F1431" s="1" t="s">
        <v>30</v>
      </c>
      <c r="G1431" s="1" t="s">
        <v>6180</v>
      </c>
      <c r="H1431" s="1" t="s">
        <v>1762</v>
      </c>
      <c r="I1431" t="b">
        <f>COUNTIF(Estadísticas!I:I,'centraldecomunicacion.es'!H1431)&gt;0</f>
        <v>0</v>
      </c>
    </row>
    <row r="1432" spans="1:9" hidden="1">
      <c r="A1432" s="1" t="s">
        <v>6181</v>
      </c>
      <c r="B1432" s="1" t="s">
        <v>10</v>
      </c>
      <c r="C1432" s="1" t="s">
        <v>6182</v>
      </c>
      <c r="D1432" s="1" t="s">
        <v>463</v>
      </c>
      <c r="E1432" s="1" t="s">
        <v>464</v>
      </c>
      <c r="F1432" s="1" t="s">
        <v>30</v>
      </c>
      <c r="G1432" s="1" t="s">
        <v>6183</v>
      </c>
      <c r="H1432" s="1" t="s">
        <v>1762</v>
      </c>
      <c r="I1432" t="b">
        <f>COUNTIF(Estadísticas!I:I,'centraldecomunicacion.es'!H1432)&gt;0</f>
        <v>0</v>
      </c>
    </row>
    <row r="1433" spans="1:9" hidden="1">
      <c r="A1433" s="1" t="s">
        <v>6184</v>
      </c>
      <c r="B1433" s="1" t="s">
        <v>18</v>
      </c>
      <c r="C1433" s="1" t="s">
        <v>6185</v>
      </c>
      <c r="D1433" s="1" t="s">
        <v>6186</v>
      </c>
      <c r="E1433" s="1" t="s">
        <v>464</v>
      </c>
      <c r="F1433" s="1" t="s">
        <v>30</v>
      </c>
      <c r="G1433" s="1" t="s">
        <v>6187</v>
      </c>
      <c r="H1433" s="1" t="s">
        <v>1762</v>
      </c>
      <c r="I1433" t="b">
        <f>COUNTIF(Estadísticas!I:I,'centraldecomunicacion.es'!H1433)&gt;0</f>
        <v>0</v>
      </c>
    </row>
    <row r="1434" spans="1:9" hidden="1">
      <c r="A1434" s="1" t="s">
        <v>6188</v>
      </c>
      <c r="B1434" s="1" t="s">
        <v>18</v>
      </c>
      <c r="C1434" s="1" t="s">
        <v>6189</v>
      </c>
      <c r="D1434" s="1" t="s">
        <v>6190</v>
      </c>
      <c r="E1434" s="1" t="s">
        <v>464</v>
      </c>
      <c r="F1434" s="1" t="s">
        <v>30</v>
      </c>
      <c r="G1434" s="1" t="s">
        <v>30</v>
      </c>
      <c r="H1434" s="1" t="s">
        <v>1762</v>
      </c>
      <c r="I1434" t="b">
        <f>COUNTIF(Estadísticas!I:I,'centraldecomunicacion.es'!H1434)&gt;0</f>
        <v>0</v>
      </c>
    </row>
    <row r="1435" spans="1:9" hidden="1">
      <c r="A1435" s="1" t="s">
        <v>6191</v>
      </c>
      <c r="B1435" s="1" t="s">
        <v>18</v>
      </c>
      <c r="C1435" s="1" t="s">
        <v>6192</v>
      </c>
      <c r="D1435" s="1" t="s">
        <v>5845</v>
      </c>
      <c r="E1435" s="1" t="s">
        <v>464</v>
      </c>
      <c r="F1435" s="1" t="s">
        <v>6193</v>
      </c>
      <c r="G1435" s="1" t="s">
        <v>6194</v>
      </c>
      <c r="H1435" s="1" t="s">
        <v>6195</v>
      </c>
      <c r="I1435" t="b">
        <f>COUNTIF(Estadísticas!I:I,'centraldecomunicacion.es'!H1435)&gt;0</f>
        <v>0</v>
      </c>
    </row>
    <row r="1436" spans="1:9" hidden="1">
      <c r="A1436" s="1" t="s">
        <v>6196</v>
      </c>
      <c r="B1436" s="1" t="s">
        <v>18</v>
      </c>
      <c r="C1436" s="1" t="s">
        <v>6197</v>
      </c>
      <c r="D1436" s="1" t="s">
        <v>6190</v>
      </c>
      <c r="E1436" s="1" t="s">
        <v>512</v>
      </c>
      <c r="F1436" s="1" t="s">
        <v>30</v>
      </c>
      <c r="G1436" s="1" t="s">
        <v>6198</v>
      </c>
      <c r="H1436" s="1" t="s">
        <v>1762</v>
      </c>
      <c r="I1436" t="b">
        <f>COUNTIF(Estadísticas!I:I,'centraldecomunicacion.es'!H1436)&gt;0</f>
        <v>0</v>
      </c>
    </row>
    <row r="1437" spans="1:9" hidden="1">
      <c r="A1437" s="1" t="s">
        <v>6199</v>
      </c>
      <c r="B1437" s="1" t="s">
        <v>18</v>
      </c>
      <c r="C1437" s="1" t="s">
        <v>6200</v>
      </c>
      <c r="D1437" s="1" t="s">
        <v>6201</v>
      </c>
      <c r="E1437" s="1" t="s">
        <v>926</v>
      </c>
      <c r="F1437" s="1" t="s">
        <v>30</v>
      </c>
      <c r="G1437" s="1" t="s">
        <v>6202</v>
      </c>
      <c r="H1437" s="1" t="s">
        <v>1762</v>
      </c>
      <c r="I1437" t="b">
        <f>COUNTIF(Estadísticas!I:I,'centraldecomunicacion.es'!H1437)&gt;0</f>
        <v>0</v>
      </c>
    </row>
    <row r="1438" spans="1:9" hidden="1">
      <c r="A1438" s="1" t="s">
        <v>6203</v>
      </c>
      <c r="B1438" s="1" t="s">
        <v>10</v>
      </c>
      <c r="C1438" s="1" t="s">
        <v>30</v>
      </c>
      <c r="D1438" s="1" t="s">
        <v>6204</v>
      </c>
      <c r="E1438" s="1" t="s">
        <v>30</v>
      </c>
      <c r="F1438" s="1" t="s">
        <v>30</v>
      </c>
      <c r="G1438" s="1" t="s">
        <v>6205</v>
      </c>
      <c r="H1438" s="1" t="s">
        <v>1762</v>
      </c>
      <c r="I1438" t="b">
        <f>COUNTIF(Estadísticas!I:I,'centraldecomunicacion.es'!H1438)&gt;0</f>
        <v>0</v>
      </c>
    </row>
    <row r="1439" spans="1:9" hidden="1">
      <c r="A1439" s="1" t="s">
        <v>6206</v>
      </c>
      <c r="B1439" s="1" t="s">
        <v>10</v>
      </c>
      <c r="C1439" s="1" t="s">
        <v>6207</v>
      </c>
      <c r="D1439" s="1" t="s">
        <v>6208</v>
      </c>
      <c r="E1439" s="1" t="s">
        <v>1237</v>
      </c>
      <c r="F1439" s="1" t="s">
        <v>30</v>
      </c>
      <c r="G1439" s="1" t="s">
        <v>6209</v>
      </c>
      <c r="H1439" s="1" t="s">
        <v>1762</v>
      </c>
      <c r="I1439" t="b">
        <f>COUNTIF(Estadísticas!I:I,'centraldecomunicacion.es'!H1439)&gt;0</f>
        <v>0</v>
      </c>
    </row>
    <row r="1440" spans="1:9" hidden="1">
      <c r="A1440" s="1" t="s">
        <v>6210</v>
      </c>
      <c r="B1440" s="1" t="s">
        <v>10</v>
      </c>
      <c r="C1440" s="1" t="s">
        <v>6211</v>
      </c>
      <c r="D1440" s="1" t="s">
        <v>540</v>
      </c>
      <c r="E1440" s="1" t="s">
        <v>541</v>
      </c>
      <c r="F1440" s="1" t="s">
        <v>6212</v>
      </c>
      <c r="G1440" s="1" t="s">
        <v>6213</v>
      </c>
      <c r="H1440" s="1" t="s">
        <v>6214</v>
      </c>
      <c r="I1440" t="b">
        <f>COUNTIF(Estadísticas!I:I,'centraldecomunicacion.es'!H1440)&gt;0</f>
        <v>0</v>
      </c>
    </row>
    <row r="1441" spans="1:9" hidden="1">
      <c r="A1441" s="1" t="s">
        <v>6215</v>
      </c>
      <c r="B1441" s="1" t="s">
        <v>10</v>
      </c>
      <c r="C1441" s="1" t="s">
        <v>6216</v>
      </c>
      <c r="D1441" s="1" t="s">
        <v>540</v>
      </c>
      <c r="E1441" s="1" t="s">
        <v>541</v>
      </c>
      <c r="F1441" s="1" t="s">
        <v>6217</v>
      </c>
      <c r="G1441" s="1" t="s">
        <v>6218</v>
      </c>
      <c r="H1441" s="1" t="s">
        <v>1762</v>
      </c>
      <c r="I1441" t="b">
        <f>COUNTIF(Estadísticas!I:I,'centraldecomunicacion.es'!H1441)&gt;0</f>
        <v>0</v>
      </c>
    </row>
    <row r="1442" spans="1:9" hidden="1">
      <c r="A1442" s="1" t="s">
        <v>6219</v>
      </c>
      <c r="B1442" s="1" t="s">
        <v>10</v>
      </c>
      <c r="C1442" s="1" t="s">
        <v>6220</v>
      </c>
      <c r="D1442" s="1" t="s">
        <v>540</v>
      </c>
      <c r="E1442" s="1" t="s">
        <v>541</v>
      </c>
      <c r="F1442" s="1" t="s">
        <v>6221</v>
      </c>
      <c r="G1442" s="1" t="s">
        <v>6222</v>
      </c>
      <c r="H1442" s="1" t="s">
        <v>6223</v>
      </c>
      <c r="I1442" t="b">
        <f>COUNTIF(Estadísticas!I:I,'centraldecomunicacion.es'!H1442)&gt;0</f>
        <v>0</v>
      </c>
    </row>
    <row r="1443" spans="1:9">
      <c r="A1443" s="1" t="s">
        <v>538</v>
      </c>
      <c r="B1443" s="1" t="s">
        <v>10</v>
      </c>
      <c r="C1443" s="1" t="s">
        <v>539</v>
      </c>
      <c r="D1443" s="1" t="s">
        <v>540</v>
      </c>
      <c r="E1443" s="1" t="s">
        <v>541</v>
      </c>
      <c r="F1443" s="1" t="s">
        <v>542</v>
      </c>
      <c r="G1443" s="1" t="s">
        <v>543</v>
      </c>
      <c r="H1443" s="1" t="s">
        <v>544</v>
      </c>
      <c r="I1443" t="b">
        <f>COUNTIF(Estadísticas!I:I,'centraldecomunicacion.es'!H1443)&gt;0</f>
        <v>1</v>
      </c>
    </row>
    <row r="1444" spans="1:9">
      <c r="A1444" s="1" t="s">
        <v>545</v>
      </c>
      <c r="B1444" s="1" t="s">
        <v>10</v>
      </c>
      <c r="C1444" s="1" t="s">
        <v>546</v>
      </c>
      <c r="D1444" s="1" t="s">
        <v>540</v>
      </c>
      <c r="E1444" s="1" t="s">
        <v>541</v>
      </c>
      <c r="F1444" s="1" t="s">
        <v>547</v>
      </c>
      <c r="G1444" s="1" t="s">
        <v>548</v>
      </c>
      <c r="H1444" s="1" t="s">
        <v>549</v>
      </c>
      <c r="I1444" t="b">
        <f>COUNTIF(Estadísticas!I:I,'centraldecomunicacion.es'!H1444)&gt;0</f>
        <v>1</v>
      </c>
    </row>
    <row r="1445" spans="1:9" hidden="1">
      <c r="A1445" s="1" t="s">
        <v>6224</v>
      </c>
      <c r="B1445" s="1" t="s">
        <v>10</v>
      </c>
      <c r="C1445" s="1" t="s">
        <v>6225</v>
      </c>
      <c r="D1445" s="1" t="s">
        <v>540</v>
      </c>
      <c r="E1445" s="1" t="s">
        <v>541</v>
      </c>
      <c r="F1445" s="1" t="s">
        <v>6226</v>
      </c>
      <c r="G1445" s="1" t="s">
        <v>6227</v>
      </c>
      <c r="H1445" s="1" t="s">
        <v>6228</v>
      </c>
      <c r="I1445" t="b">
        <f>COUNTIF(Estadísticas!I:I,'centraldecomunicacion.es'!H1445)&gt;0</f>
        <v>0</v>
      </c>
    </row>
    <row r="1446" spans="1:9" hidden="1">
      <c r="A1446" s="1" t="s">
        <v>6229</v>
      </c>
      <c r="B1446" s="1" t="s">
        <v>10</v>
      </c>
      <c r="C1446" s="1" t="s">
        <v>6230</v>
      </c>
      <c r="D1446" s="1" t="s">
        <v>6204</v>
      </c>
      <c r="E1446" s="1" t="s">
        <v>541</v>
      </c>
      <c r="F1446" s="1" t="s">
        <v>30</v>
      </c>
      <c r="G1446" s="1" t="s">
        <v>6231</v>
      </c>
      <c r="H1446" s="1" t="s">
        <v>1762</v>
      </c>
      <c r="I1446" t="b">
        <f>COUNTIF(Estadísticas!I:I,'centraldecomunicacion.es'!H1446)&gt;0</f>
        <v>0</v>
      </c>
    </row>
    <row r="1447" spans="1:9" hidden="1">
      <c r="A1447" s="1" t="s">
        <v>6232</v>
      </c>
      <c r="B1447" s="1" t="s">
        <v>10</v>
      </c>
      <c r="C1447" s="1" t="s">
        <v>6233</v>
      </c>
      <c r="D1447" s="1" t="s">
        <v>540</v>
      </c>
      <c r="E1447" s="1" t="s">
        <v>541</v>
      </c>
      <c r="F1447" s="1" t="s">
        <v>30</v>
      </c>
      <c r="G1447" s="1" t="s">
        <v>6234</v>
      </c>
      <c r="H1447" s="1" t="s">
        <v>1762</v>
      </c>
      <c r="I1447" t="b">
        <f>COUNTIF(Estadísticas!I:I,'centraldecomunicacion.es'!H1447)&gt;0</f>
        <v>0</v>
      </c>
    </row>
    <row r="1448" spans="1:9" hidden="1">
      <c r="A1448" s="1" t="s">
        <v>6235</v>
      </c>
      <c r="B1448" s="1" t="s">
        <v>10</v>
      </c>
      <c r="C1448" s="1" t="s">
        <v>6236</v>
      </c>
      <c r="D1448" s="1" t="s">
        <v>540</v>
      </c>
      <c r="E1448" s="1" t="s">
        <v>541</v>
      </c>
      <c r="F1448" s="1" t="s">
        <v>6237</v>
      </c>
      <c r="G1448" s="1" t="s">
        <v>6238</v>
      </c>
      <c r="H1448" s="1" t="s">
        <v>1762</v>
      </c>
      <c r="I1448" t="b">
        <f>COUNTIF(Estadísticas!I:I,'centraldecomunicacion.es'!H1448)&gt;0</f>
        <v>0</v>
      </c>
    </row>
    <row r="1449" spans="1:9" hidden="1">
      <c r="A1449" s="1" t="s">
        <v>6239</v>
      </c>
      <c r="B1449" s="1" t="s">
        <v>10</v>
      </c>
      <c r="C1449" s="1" t="s">
        <v>6240</v>
      </c>
      <c r="D1449" s="1" t="s">
        <v>6241</v>
      </c>
      <c r="E1449" s="1" t="s">
        <v>541</v>
      </c>
      <c r="F1449" s="1" t="s">
        <v>6242</v>
      </c>
      <c r="G1449" s="1" t="s">
        <v>6243</v>
      </c>
      <c r="H1449" s="1" t="s">
        <v>6244</v>
      </c>
      <c r="I1449" t="b">
        <f>COUNTIF(Estadísticas!I:I,'centraldecomunicacion.es'!H1449)&gt;0</f>
        <v>0</v>
      </c>
    </row>
    <row r="1450" spans="1:9" hidden="1">
      <c r="A1450" s="1" t="s">
        <v>6245</v>
      </c>
      <c r="B1450" s="1" t="s">
        <v>10</v>
      </c>
      <c r="C1450" s="1" t="s">
        <v>30</v>
      </c>
      <c r="D1450" s="1" t="s">
        <v>6204</v>
      </c>
      <c r="E1450" s="1" t="s">
        <v>30</v>
      </c>
      <c r="F1450" s="1" t="s">
        <v>6246</v>
      </c>
      <c r="G1450" s="1" t="s">
        <v>6247</v>
      </c>
      <c r="H1450" s="1" t="s">
        <v>1762</v>
      </c>
      <c r="I1450" t="b">
        <f>COUNTIF(Estadísticas!I:I,'centraldecomunicacion.es'!H1450)&gt;0</f>
        <v>0</v>
      </c>
    </row>
    <row r="1451" spans="1:9" hidden="1">
      <c r="A1451" s="1" t="s">
        <v>6248</v>
      </c>
      <c r="B1451" s="1" t="s">
        <v>10</v>
      </c>
      <c r="C1451" s="1" t="s">
        <v>6249</v>
      </c>
      <c r="D1451" s="1" t="s">
        <v>540</v>
      </c>
      <c r="E1451" s="1" t="s">
        <v>541</v>
      </c>
      <c r="F1451" s="1" t="s">
        <v>30</v>
      </c>
      <c r="G1451" s="1" t="s">
        <v>6250</v>
      </c>
      <c r="H1451" s="1" t="s">
        <v>1762</v>
      </c>
      <c r="I1451" t="b">
        <f>COUNTIF(Estadísticas!I:I,'centraldecomunicacion.es'!H1451)&gt;0</f>
        <v>0</v>
      </c>
    </row>
    <row r="1452" spans="1:9" hidden="1">
      <c r="A1452" s="1" t="s">
        <v>6251</v>
      </c>
      <c r="B1452" s="1" t="s">
        <v>10</v>
      </c>
      <c r="C1452" s="1" t="s">
        <v>6252</v>
      </c>
      <c r="D1452" s="1" t="s">
        <v>540</v>
      </c>
      <c r="E1452" s="1" t="s">
        <v>541</v>
      </c>
      <c r="F1452" s="1" t="s">
        <v>30</v>
      </c>
      <c r="G1452" s="1" t="s">
        <v>6253</v>
      </c>
      <c r="H1452" s="1" t="s">
        <v>1762</v>
      </c>
      <c r="I1452" t="b">
        <f>COUNTIF(Estadísticas!I:I,'centraldecomunicacion.es'!H1452)&gt;0</f>
        <v>0</v>
      </c>
    </row>
    <row r="1453" spans="1:9" hidden="1">
      <c r="A1453" s="1" t="s">
        <v>6254</v>
      </c>
      <c r="B1453" s="1" t="s">
        <v>10</v>
      </c>
      <c r="C1453" s="1" t="s">
        <v>6255</v>
      </c>
      <c r="D1453" s="1" t="s">
        <v>540</v>
      </c>
      <c r="E1453" s="1" t="s">
        <v>541</v>
      </c>
      <c r="F1453" s="1" t="s">
        <v>6256</v>
      </c>
      <c r="G1453" s="1" t="s">
        <v>6257</v>
      </c>
      <c r="H1453" s="1" t="s">
        <v>6258</v>
      </c>
      <c r="I1453" t="b">
        <f>COUNTIF(Estadísticas!I:I,'centraldecomunicacion.es'!H1453)&gt;0</f>
        <v>0</v>
      </c>
    </row>
    <row r="1454" spans="1:9" hidden="1">
      <c r="A1454" s="1" t="s">
        <v>6259</v>
      </c>
      <c r="B1454" s="1" t="s">
        <v>18</v>
      </c>
      <c r="C1454" s="1" t="s">
        <v>6260</v>
      </c>
      <c r="D1454" s="1" t="s">
        <v>540</v>
      </c>
      <c r="E1454" s="1" t="s">
        <v>541</v>
      </c>
      <c r="F1454" s="1" t="s">
        <v>30</v>
      </c>
      <c r="G1454" s="1" t="s">
        <v>6261</v>
      </c>
      <c r="H1454" s="1" t="s">
        <v>1762</v>
      </c>
      <c r="I1454" t="b">
        <f>COUNTIF(Estadísticas!I:I,'centraldecomunicacion.es'!H1454)&gt;0</f>
        <v>0</v>
      </c>
    </row>
    <row r="1455" spans="1:9" hidden="1">
      <c r="A1455" s="1" t="s">
        <v>6262</v>
      </c>
      <c r="B1455" s="1" t="s">
        <v>10</v>
      </c>
      <c r="C1455" s="1" t="s">
        <v>6263</v>
      </c>
      <c r="D1455" s="1" t="s">
        <v>540</v>
      </c>
      <c r="E1455" s="1" t="s">
        <v>541</v>
      </c>
      <c r="F1455" s="1" t="s">
        <v>30</v>
      </c>
      <c r="G1455" s="1" t="s">
        <v>6264</v>
      </c>
      <c r="H1455" s="1" t="s">
        <v>1762</v>
      </c>
      <c r="I1455" t="b">
        <f>COUNTIF(Estadísticas!I:I,'centraldecomunicacion.es'!H1455)&gt;0</f>
        <v>0</v>
      </c>
    </row>
    <row r="1456" spans="1:9" hidden="1">
      <c r="A1456" s="1" t="s">
        <v>6265</v>
      </c>
      <c r="B1456" s="1" t="s">
        <v>10</v>
      </c>
      <c r="C1456" s="1" t="s">
        <v>6266</v>
      </c>
      <c r="D1456" s="1" t="s">
        <v>6267</v>
      </c>
      <c r="E1456" s="1" t="s">
        <v>541</v>
      </c>
      <c r="F1456" s="1" t="s">
        <v>30</v>
      </c>
      <c r="G1456" s="1" t="s">
        <v>6268</v>
      </c>
      <c r="H1456" s="1" t="s">
        <v>1762</v>
      </c>
      <c r="I1456" t="b">
        <f>COUNTIF(Estadísticas!I:I,'centraldecomunicacion.es'!H1456)&gt;0</f>
        <v>0</v>
      </c>
    </row>
    <row r="1457" spans="1:9" hidden="1">
      <c r="A1457" s="1" t="s">
        <v>6269</v>
      </c>
      <c r="B1457" s="1" t="s">
        <v>10</v>
      </c>
      <c r="C1457" s="1" t="s">
        <v>6270</v>
      </c>
      <c r="D1457" s="1" t="s">
        <v>540</v>
      </c>
      <c r="E1457" s="1" t="s">
        <v>541</v>
      </c>
      <c r="F1457" s="1" t="s">
        <v>30</v>
      </c>
      <c r="G1457" s="1" t="s">
        <v>6271</v>
      </c>
      <c r="H1457" s="1" t="s">
        <v>1762</v>
      </c>
      <c r="I1457" t="b">
        <f>COUNTIF(Estadísticas!I:I,'centraldecomunicacion.es'!H1457)&gt;0</f>
        <v>0</v>
      </c>
    </row>
    <row r="1458" spans="1:9" hidden="1">
      <c r="A1458" s="1" t="s">
        <v>6272</v>
      </c>
      <c r="B1458" s="1" t="s">
        <v>10</v>
      </c>
      <c r="C1458" s="1" t="s">
        <v>6273</v>
      </c>
      <c r="D1458" s="1" t="s">
        <v>540</v>
      </c>
      <c r="E1458" s="1" t="s">
        <v>541</v>
      </c>
      <c r="F1458" s="1" t="s">
        <v>6274</v>
      </c>
      <c r="G1458" s="1" t="s">
        <v>6275</v>
      </c>
      <c r="H1458" s="1" t="s">
        <v>1762</v>
      </c>
      <c r="I1458" t="b">
        <f>COUNTIF(Estadísticas!I:I,'centraldecomunicacion.es'!H1458)&gt;0</f>
        <v>0</v>
      </c>
    </row>
    <row r="1459" spans="1:9" hidden="1">
      <c r="A1459" s="1" t="s">
        <v>6276</v>
      </c>
      <c r="B1459" s="1" t="s">
        <v>10</v>
      </c>
      <c r="C1459" s="1" t="s">
        <v>6277</v>
      </c>
      <c r="D1459" s="1" t="s">
        <v>540</v>
      </c>
      <c r="E1459" s="1" t="s">
        <v>541</v>
      </c>
      <c r="F1459" s="1" t="s">
        <v>30</v>
      </c>
      <c r="G1459" s="1" t="s">
        <v>6278</v>
      </c>
      <c r="H1459" s="1" t="s">
        <v>1762</v>
      </c>
      <c r="I1459" t="b">
        <f>COUNTIF(Estadísticas!I:I,'centraldecomunicacion.es'!H1459)&gt;0</f>
        <v>0</v>
      </c>
    </row>
    <row r="1460" spans="1:9" hidden="1">
      <c r="A1460" s="1" t="s">
        <v>6279</v>
      </c>
      <c r="B1460" s="1" t="s">
        <v>10</v>
      </c>
      <c r="C1460" s="1" t="s">
        <v>6280</v>
      </c>
      <c r="D1460" s="1" t="s">
        <v>6241</v>
      </c>
      <c r="E1460" s="1" t="s">
        <v>541</v>
      </c>
      <c r="F1460" s="1" t="s">
        <v>30</v>
      </c>
      <c r="G1460" s="1" t="s">
        <v>6281</v>
      </c>
      <c r="H1460" s="1" t="s">
        <v>1762</v>
      </c>
      <c r="I1460" t="b">
        <f>COUNTIF(Estadísticas!I:I,'centraldecomunicacion.es'!H1460)&gt;0</f>
        <v>0</v>
      </c>
    </row>
    <row r="1461" spans="1:9" hidden="1">
      <c r="A1461" s="1" t="s">
        <v>6282</v>
      </c>
      <c r="B1461" s="1" t="s">
        <v>10</v>
      </c>
      <c r="C1461" s="1" t="s">
        <v>6283</v>
      </c>
      <c r="D1461" s="1" t="s">
        <v>540</v>
      </c>
      <c r="E1461" s="1" t="s">
        <v>541</v>
      </c>
      <c r="F1461" s="1" t="s">
        <v>6284</v>
      </c>
      <c r="G1461" s="1" t="s">
        <v>6285</v>
      </c>
      <c r="H1461" s="1" t="s">
        <v>1762</v>
      </c>
      <c r="I1461" t="b">
        <f>COUNTIF(Estadísticas!I:I,'centraldecomunicacion.es'!H1461)&gt;0</f>
        <v>0</v>
      </c>
    </row>
    <row r="1462" spans="1:9" hidden="1">
      <c r="A1462" s="1" t="s">
        <v>6286</v>
      </c>
      <c r="B1462" s="1" t="s">
        <v>10</v>
      </c>
      <c r="C1462" s="1" t="s">
        <v>6287</v>
      </c>
      <c r="D1462" s="1" t="s">
        <v>540</v>
      </c>
      <c r="E1462" s="1" t="s">
        <v>541</v>
      </c>
      <c r="F1462" s="1" t="s">
        <v>30</v>
      </c>
      <c r="G1462" s="1" t="s">
        <v>30</v>
      </c>
      <c r="H1462" s="1" t="s">
        <v>1762</v>
      </c>
      <c r="I1462" t="b">
        <f>COUNTIF(Estadísticas!I:I,'centraldecomunicacion.es'!H1462)&gt;0</f>
        <v>0</v>
      </c>
    </row>
    <row r="1463" spans="1:9" hidden="1">
      <c r="A1463" s="1" t="s">
        <v>6288</v>
      </c>
      <c r="B1463" s="1" t="s">
        <v>10</v>
      </c>
      <c r="C1463" s="1" t="s">
        <v>6289</v>
      </c>
      <c r="D1463" s="1" t="s">
        <v>540</v>
      </c>
      <c r="E1463" s="1" t="s">
        <v>541</v>
      </c>
      <c r="F1463" s="1" t="s">
        <v>30</v>
      </c>
      <c r="G1463" s="1" t="s">
        <v>6290</v>
      </c>
      <c r="H1463" s="1" t="s">
        <v>1762</v>
      </c>
      <c r="I1463" t="b">
        <f>COUNTIF(Estadísticas!I:I,'centraldecomunicacion.es'!H1463)&gt;0</f>
        <v>0</v>
      </c>
    </row>
    <row r="1464" spans="1:9" hidden="1">
      <c r="A1464" s="1" t="s">
        <v>6291</v>
      </c>
      <c r="B1464" s="1" t="s">
        <v>10</v>
      </c>
      <c r="C1464" s="1" t="s">
        <v>6292</v>
      </c>
      <c r="D1464" s="1" t="s">
        <v>540</v>
      </c>
      <c r="E1464" s="1" t="s">
        <v>541</v>
      </c>
      <c r="F1464" s="1" t="s">
        <v>30</v>
      </c>
      <c r="G1464" s="1" t="s">
        <v>6293</v>
      </c>
      <c r="H1464" s="1" t="s">
        <v>1762</v>
      </c>
      <c r="I1464" t="b">
        <f>COUNTIF(Estadísticas!I:I,'centraldecomunicacion.es'!H1464)&gt;0</f>
        <v>0</v>
      </c>
    </row>
    <row r="1465" spans="1:9" hidden="1">
      <c r="A1465" s="1" t="s">
        <v>6294</v>
      </c>
      <c r="B1465" s="1" t="s">
        <v>10</v>
      </c>
      <c r="C1465" s="1" t="s">
        <v>6295</v>
      </c>
      <c r="D1465" s="1" t="s">
        <v>540</v>
      </c>
      <c r="E1465" s="1" t="s">
        <v>541</v>
      </c>
      <c r="F1465" s="1" t="s">
        <v>6296</v>
      </c>
      <c r="G1465" s="1" t="s">
        <v>6297</v>
      </c>
      <c r="H1465" s="1" t="s">
        <v>6298</v>
      </c>
      <c r="I1465" t="b">
        <f>COUNTIF(Estadísticas!I:I,'centraldecomunicacion.es'!H1465)&gt;0</f>
        <v>0</v>
      </c>
    </row>
    <row r="1466" spans="1:9" hidden="1">
      <c r="A1466" s="1" t="s">
        <v>6299</v>
      </c>
      <c r="B1466" s="1" t="s">
        <v>10</v>
      </c>
      <c r="C1466" s="1" t="s">
        <v>6300</v>
      </c>
      <c r="D1466" s="1" t="s">
        <v>6301</v>
      </c>
      <c r="E1466" s="1" t="s">
        <v>541</v>
      </c>
      <c r="F1466" s="1" t="s">
        <v>30</v>
      </c>
      <c r="G1466" s="1" t="s">
        <v>30</v>
      </c>
      <c r="H1466" s="1" t="s">
        <v>1762</v>
      </c>
      <c r="I1466" t="b">
        <f>COUNTIF(Estadísticas!I:I,'centraldecomunicacion.es'!H1466)&gt;0</f>
        <v>0</v>
      </c>
    </row>
    <row r="1467" spans="1:9" hidden="1">
      <c r="A1467" s="1" t="s">
        <v>6302</v>
      </c>
      <c r="B1467" s="1" t="s">
        <v>10</v>
      </c>
      <c r="C1467" s="1" t="s">
        <v>30</v>
      </c>
      <c r="D1467" s="1" t="s">
        <v>6204</v>
      </c>
      <c r="E1467" s="1" t="s">
        <v>30</v>
      </c>
      <c r="F1467" s="1" t="s">
        <v>30</v>
      </c>
      <c r="G1467" s="1" t="s">
        <v>6303</v>
      </c>
      <c r="H1467" s="1" t="s">
        <v>1762</v>
      </c>
      <c r="I1467" t="b">
        <f>COUNTIF(Estadísticas!I:I,'centraldecomunicacion.es'!H1467)&gt;0</f>
        <v>0</v>
      </c>
    </row>
    <row r="1468" spans="1:9" hidden="1">
      <c r="A1468" s="1" t="s">
        <v>6304</v>
      </c>
      <c r="B1468" s="1" t="s">
        <v>10</v>
      </c>
      <c r="C1468" s="1" t="s">
        <v>6305</v>
      </c>
      <c r="D1468" s="1" t="s">
        <v>552</v>
      </c>
      <c r="E1468" s="1" t="s">
        <v>541</v>
      </c>
      <c r="F1468" s="1" t="s">
        <v>6306</v>
      </c>
      <c r="G1468" s="1" t="s">
        <v>6307</v>
      </c>
      <c r="H1468" s="1" t="s">
        <v>1762</v>
      </c>
      <c r="I1468" t="b">
        <f>COUNTIF(Estadísticas!I:I,'centraldecomunicacion.es'!H1468)&gt;0</f>
        <v>0</v>
      </c>
    </row>
    <row r="1469" spans="1:9" hidden="1">
      <c r="A1469" s="1" t="s">
        <v>6308</v>
      </c>
      <c r="B1469" s="1" t="s">
        <v>10</v>
      </c>
      <c r="C1469" s="1" t="s">
        <v>6309</v>
      </c>
      <c r="D1469" s="1" t="s">
        <v>540</v>
      </c>
      <c r="E1469" s="1" t="s">
        <v>541</v>
      </c>
      <c r="F1469" s="1" t="s">
        <v>6310</v>
      </c>
      <c r="G1469" s="1" t="s">
        <v>6311</v>
      </c>
      <c r="H1469" s="1" t="s">
        <v>6312</v>
      </c>
      <c r="I1469" t="b">
        <f>COUNTIF(Estadísticas!I:I,'centraldecomunicacion.es'!H1469)&gt;0</f>
        <v>0</v>
      </c>
    </row>
    <row r="1470" spans="1:9" hidden="1">
      <c r="A1470" s="1" t="s">
        <v>6313</v>
      </c>
      <c r="B1470" s="1" t="s">
        <v>10</v>
      </c>
      <c r="C1470" s="1" t="s">
        <v>6314</v>
      </c>
      <c r="D1470" s="1" t="s">
        <v>540</v>
      </c>
      <c r="E1470" s="1" t="s">
        <v>541</v>
      </c>
      <c r="F1470" s="1" t="s">
        <v>30</v>
      </c>
      <c r="G1470" s="1" t="s">
        <v>6315</v>
      </c>
      <c r="H1470" s="1" t="s">
        <v>1762</v>
      </c>
      <c r="I1470" t="b">
        <f>COUNTIF(Estadísticas!I:I,'centraldecomunicacion.es'!H1470)&gt;0</f>
        <v>0</v>
      </c>
    </row>
    <row r="1471" spans="1:9" hidden="1">
      <c r="A1471" s="1" t="s">
        <v>6316</v>
      </c>
      <c r="B1471" s="1" t="s">
        <v>10</v>
      </c>
      <c r="C1471" s="1" t="s">
        <v>6317</v>
      </c>
      <c r="D1471" s="1" t="s">
        <v>552</v>
      </c>
      <c r="E1471" s="1" t="s">
        <v>541</v>
      </c>
      <c r="F1471" s="1" t="s">
        <v>1984</v>
      </c>
      <c r="G1471" s="1" t="s">
        <v>6318</v>
      </c>
      <c r="H1471" s="1" t="s">
        <v>1762</v>
      </c>
      <c r="I1471" t="b">
        <f>COUNTIF(Estadísticas!I:I,'centraldecomunicacion.es'!H1471)&gt;0</f>
        <v>0</v>
      </c>
    </row>
    <row r="1472" spans="1:9" hidden="1">
      <c r="A1472" s="1" t="s">
        <v>6319</v>
      </c>
      <c r="B1472" s="1" t="s">
        <v>10</v>
      </c>
      <c r="C1472" s="1" t="s">
        <v>6320</v>
      </c>
      <c r="D1472" s="1" t="s">
        <v>540</v>
      </c>
      <c r="E1472" s="1" t="s">
        <v>541</v>
      </c>
      <c r="F1472" s="1" t="s">
        <v>30</v>
      </c>
      <c r="G1472" s="1" t="s">
        <v>6321</v>
      </c>
      <c r="H1472" s="1" t="s">
        <v>1762</v>
      </c>
      <c r="I1472" t="b">
        <f>COUNTIF(Estadísticas!I:I,'centraldecomunicacion.es'!H1472)&gt;0</f>
        <v>0</v>
      </c>
    </row>
    <row r="1473" spans="1:9" hidden="1">
      <c r="A1473" s="1" t="s">
        <v>6319</v>
      </c>
      <c r="B1473" s="1" t="s">
        <v>10</v>
      </c>
      <c r="C1473" s="1" t="s">
        <v>6322</v>
      </c>
      <c r="D1473" s="1" t="s">
        <v>6323</v>
      </c>
      <c r="E1473" s="1" t="s">
        <v>541</v>
      </c>
      <c r="F1473" s="1" t="s">
        <v>30</v>
      </c>
      <c r="G1473" s="1" t="s">
        <v>6321</v>
      </c>
      <c r="H1473" s="1" t="s">
        <v>1762</v>
      </c>
      <c r="I1473" t="b">
        <f>COUNTIF(Estadísticas!I:I,'centraldecomunicacion.es'!H1473)&gt;0</f>
        <v>0</v>
      </c>
    </row>
    <row r="1474" spans="1:9" hidden="1">
      <c r="A1474" s="1" t="s">
        <v>6324</v>
      </c>
      <c r="B1474" s="1" t="s">
        <v>10</v>
      </c>
      <c r="C1474" s="1" t="s">
        <v>6325</v>
      </c>
      <c r="D1474" s="1" t="s">
        <v>540</v>
      </c>
      <c r="E1474" s="1" t="s">
        <v>541</v>
      </c>
      <c r="F1474" s="1" t="s">
        <v>30</v>
      </c>
      <c r="G1474" s="1" t="s">
        <v>30</v>
      </c>
      <c r="H1474" s="1" t="s">
        <v>1762</v>
      </c>
      <c r="I1474" t="b">
        <f>COUNTIF(Estadísticas!I:I,'centraldecomunicacion.es'!H1474)&gt;0</f>
        <v>0</v>
      </c>
    </row>
    <row r="1475" spans="1:9" hidden="1">
      <c r="A1475" s="1" t="s">
        <v>6326</v>
      </c>
      <c r="B1475" s="1" t="s">
        <v>18</v>
      </c>
      <c r="C1475" s="1" t="s">
        <v>6220</v>
      </c>
      <c r="D1475" s="1" t="s">
        <v>540</v>
      </c>
      <c r="E1475" s="1" t="s">
        <v>541</v>
      </c>
      <c r="F1475" s="1" t="s">
        <v>30</v>
      </c>
      <c r="G1475" s="1" t="s">
        <v>6222</v>
      </c>
      <c r="H1475" s="1" t="s">
        <v>1762</v>
      </c>
      <c r="I1475" t="b">
        <f>COUNTIF(Estadísticas!I:I,'centraldecomunicacion.es'!H1475)&gt;0</f>
        <v>0</v>
      </c>
    </row>
    <row r="1476" spans="1:9" hidden="1">
      <c r="A1476" s="1" t="s">
        <v>6327</v>
      </c>
      <c r="B1476" s="1" t="s">
        <v>10</v>
      </c>
      <c r="C1476" s="1" t="s">
        <v>6328</v>
      </c>
      <c r="D1476" s="1" t="s">
        <v>540</v>
      </c>
      <c r="E1476" s="1" t="s">
        <v>541</v>
      </c>
      <c r="F1476" s="1" t="s">
        <v>30</v>
      </c>
      <c r="G1476" s="1" t="s">
        <v>30</v>
      </c>
      <c r="H1476" s="1" t="s">
        <v>1762</v>
      </c>
      <c r="I1476" t="b">
        <f>COUNTIF(Estadísticas!I:I,'centraldecomunicacion.es'!H1476)&gt;0</f>
        <v>0</v>
      </c>
    </row>
    <row r="1477" spans="1:9" hidden="1">
      <c r="A1477" s="1" t="s">
        <v>6329</v>
      </c>
      <c r="B1477" s="1" t="s">
        <v>10</v>
      </c>
      <c r="C1477" s="1" t="s">
        <v>6330</v>
      </c>
      <c r="D1477" s="1" t="s">
        <v>540</v>
      </c>
      <c r="E1477" s="1" t="s">
        <v>541</v>
      </c>
      <c r="F1477" s="1" t="s">
        <v>30</v>
      </c>
      <c r="G1477" s="1" t="s">
        <v>30</v>
      </c>
      <c r="H1477" s="1" t="s">
        <v>1762</v>
      </c>
      <c r="I1477" t="b">
        <f>COUNTIF(Estadísticas!I:I,'centraldecomunicacion.es'!H1477)&gt;0</f>
        <v>0</v>
      </c>
    </row>
    <row r="1478" spans="1:9" hidden="1">
      <c r="A1478" s="1" t="s">
        <v>6331</v>
      </c>
      <c r="B1478" s="1" t="s">
        <v>10</v>
      </c>
      <c r="C1478" s="1" t="s">
        <v>6332</v>
      </c>
      <c r="D1478" s="1" t="s">
        <v>6333</v>
      </c>
      <c r="E1478" s="1" t="s">
        <v>541</v>
      </c>
      <c r="F1478" s="1" t="s">
        <v>30</v>
      </c>
      <c r="G1478" s="1" t="s">
        <v>6334</v>
      </c>
      <c r="H1478" s="1" t="s">
        <v>1762</v>
      </c>
      <c r="I1478" t="b">
        <f>COUNTIF(Estadísticas!I:I,'centraldecomunicacion.es'!H1478)&gt;0</f>
        <v>0</v>
      </c>
    </row>
    <row r="1479" spans="1:9" hidden="1">
      <c r="A1479" s="1" t="s">
        <v>6335</v>
      </c>
      <c r="B1479" s="1" t="s">
        <v>10</v>
      </c>
      <c r="C1479" s="1" t="s">
        <v>6336</v>
      </c>
      <c r="D1479" s="1" t="s">
        <v>6323</v>
      </c>
      <c r="E1479" s="1" t="s">
        <v>541</v>
      </c>
      <c r="F1479" s="1" t="s">
        <v>30</v>
      </c>
      <c r="G1479" s="1" t="s">
        <v>6337</v>
      </c>
      <c r="H1479" s="1" t="s">
        <v>1762</v>
      </c>
      <c r="I1479" t="b">
        <f>COUNTIF(Estadísticas!I:I,'centraldecomunicacion.es'!H1479)&gt;0</f>
        <v>0</v>
      </c>
    </row>
    <row r="1480" spans="1:9" hidden="1">
      <c r="A1480" s="1" t="s">
        <v>6338</v>
      </c>
      <c r="B1480" s="1" t="s">
        <v>10</v>
      </c>
      <c r="C1480" s="1" t="s">
        <v>6339</v>
      </c>
      <c r="D1480" s="1" t="s">
        <v>540</v>
      </c>
      <c r="E1480" s="1" t="s">
        <v>541</v>
      </c>
      <c r="F1480" s="1" t="s">
        <v>30</v>
      </c>
      <c r="G1480" s="1" t="s">
        <v>30</v>
      </c>
      <c r="H1480" s="1" t="s">
        <v>1762</v>
      </c>
      <c r="I1480" t="b">
        <f>COUNTIF(Estadísticas!I:I,'centraldecomunicacion.es'!H1480)&gt;0</f>
        <v>0</v>
      </c>
    </row>
    <row r="1481" spans="1:9" hidden="1">
      <c r="A1481" s="1" t="s">
        <v>3073</v>
      </c>
      <c r="B1481" s="1" t="s">
        <v>10</v>
      </c>
      <c r="C1481" s="1" t="s">
        <v>6340</v>
      </c>
      <c r="D1481" s="1" t="s">
        <v>540</v>
      </c>
      <c r="E1481" s="1" t="s">
        <v>541</v>
      </c>
      <c r="F1481" s="1" t="s">
        <v>30</v>
      </c>
      <c r="G1481" s="1" t="s">
        <v>6341</v>
      </c>
      <c r="H1481" s="1" t="s">
        <v>1762</v>
      </c>
      <c r="I1481" t="b">
        <f>COUNTIF(Estadísticas!I:I,'centraldecomunicacion.es'!H1481)&gt;0</f>
        <v>0</v>
      </c>
    </row>
    <row r="1482" spans="1:9" hidden="1">
      <c r="A1482" s="1" t="s">
        <v>6342</v>
      </c>
      <c r="B1482" s="1" t="s">
        <v>10</v>
      </c>
      <c r="C1482" s="1" t="s">
        <v>6343</v>
      </c>
      <c r="D1482" s="1" t="s">
        <v>6323</v>
      </c>
      <c r="E1482" s="1" t="s">
        <v>541</v>
      </c>
      <c r="F1482" s="1" t="s">
        <v>30</v>
      </c>
      <c r="G1482" s="1" t="s">
        <v>6278</v>
      </c>
      <c r="H1482" s="1" t="s">
        <v>1762</v>
      </c>
      <c r="I1482" t="b">
        <f>COUNTIF(Estadísticas!I:I,'centraldecomunicacion.es'!H1482)&gt;0</f>
        <v>0</v>
      </c>
    </row>
    <row r="1483" spans="1:9" hidden="1">
      <c r="A1483" s="1" t="s">
        <v>6344</v>
      </c>
      <c r="B1483" s="1" t="s">
        <v>10</v>
      </c>
      <c r="C1483" s="1" t="s">
        <v>6345</v>
      </c>
      <c r="D1483" s="1" t="s">
        <v>540</v>
      </c>
      <c r="E1483" s="1" t="s">
        <v>541</v>
      </c>
      <c r="F1483" s="1" t="s">
        <v>30</v>
      </c>
      <c r="G1483" s="1" t="s">
        <v>6346</v>
      </c>
      <c r="H1483" s="1" t="s">
        <v>1762</v>
      </c>
      <c r="I1483" t="b">
        <f>COUNTIF(Estadísticas!I:I,'centraldecomunicacion.es'!H1483)&gt;0</f>
        <v>0</v>
      </c>
    </row>
    <row r="1484" spans="1:9" hidden="1">
      <c r="A1484" s="1" t="s">
        <v>6347</v>
      </c>
      <c r="B1484" s="1" t="s">
        <v>10</v>
      </c>
      <c r="C1484" s="1" t="s">
        <v>30</v>
      </c>
      <c r="D1484" s="1" t="s">
        <v>6204</v>
      </c>
      <c r="E1484" s="1" t="s">
        <v>30</v>
      </c>
      <c r="F1484" s="1" t="s">
        <v>6348</v>
      </c>
      <c r="G1484" s="1" t="s">
        <v>6349</v>
      </c>
      <c r="H1484" s="1" t="s">
        <v>1762</v>
      </c>
      <c r="I1484" t="b">
        <f>COUNTIF(Estadísticas!I:I,'centraldecomunicacion.es'!H1484)&gt;0</f>
        <v>0</v>
      </c>
    </row>
    <row r="1485" spans="1:9" hidden="1">
      <c r="A1485" s="1" t="s">
        <v>6350</v>
      </c>
      <c r="B1485" s="1" t="s">
        <v>10</v>
      </c>
      <c r="C1485" s="1" t="s">
        <v>6351</v>
      </c>
      <c r="D1485" s="1" t="s">
        <v>540</v>
      </c>
      <c r="E1485" s="1" t="s">
        <v>541</v>
      </c>
      <c r="F1485" s="1" t="s">
        <v>6352</v>
      </c>
      <c r="G1485" s="1" t="s">
        <v>30</v>
      </c>
      <c r="H1485" s="1" t="s">
        <v>1762</v>
      </c>
      <c r="I1485" t="b">
        <f>COUNTIF(Estadísticas!I:I,'centraldecomunicacion.es'!H1485)&gt;0</f>
        <v>0</v>
      </c>
    </row>
    <row r="1486" spans="1:9">
      <c r="A1486" s="1" t="s">
        <v>550</v>
      </c>
      <c r="B1486" s="1" t="s">
        <v>18</v>
      </c>
      <c r="C1486" s="1" t="s">
        <v>551</v>
      </c>
      <c r="D1486" s="1" t="s">
        <v>552</v>
      </c>
      <c r="E1486" s="1" t="s">
        <v>541</v>
      </c>
      <c r="F1486" s="1" t="s">
        <v>553</v>
      </c>
      <c r="G1486" s="1" t="s">
        <v>554</v>
      </c>
      <c r="H1486" s="1" t="s">
        <v>555</v>
      </c>
      <c r="I1486" t="b">
        <f>COUNTIF(Estadísticas!I:I,'centraldecomunicacion.es'!H1486)&gt;0</f>
        <v>1</v>
      </c>
    </row>
    <row r="1487" spans="1:9" hidden="1">
      <c r="A1487" s="1" t="s">
        <v>6353</v>
      </c>
      <c r="B1487" s="1" t="s">
        <v>10</v>
      </c>
      <c r="C1487" s="1" t="s">
        <v>6354</v>
      </c>
      <c r="D1487" s="1" t="s">
        <v>6355</v>
      </c>
      <c r="E1487" s="1" t="s">
        <v>541</v>
      </c>
      <c r="F1487" s="1" t="s">
        <v>30</v>
      </c>
      <c r="G1487" s="1" t="s">
        <v>6356</v>
      </c>
      <c r="H1487" s="1" t="s">
        <v>1762</v>
      </c>
      <c r="I1487" t="b">
        <f>COUNTIF(Estadísticas!I:I,'centraldecomunicacion.es'!H1487)&gt;0</f>
        <v>0</v>
      </c>
    </row>
    <row r="1488" spans="1:9" hidden="1">
      <c r="A1488" s="1" t="s">
        <v>6357</v>
      </c>
      <c r="B1488" s="1" t="s">
        <v>10</v>
      </c>
      <c r="C1488" s="1" t="s">
        <v>6358</v>
      </c>
      <c r="D1488" s="1" t="s">
        <v>540</v>
      </c>
      <c r="E1488" s="1" t="s">
        <v>541</v>
      </c>
      <c r="F1488" s="1" t="s">
        <v>30</v>
      </c>
      <c r="G1488" s="1" t="s">
        <v>6359</v>
      </c>
      <c r="H1488" s="1" t="s">
        <v>1762</v>
      </c>
      <c r="I1488" t="b">
        <f>COUNTIF(Estadísticas!I:I,'centraldecomunicacion.es'!H1488)&gt;0</f>
        <v>0</v>
      </c>
    </row>
    <row r="1489" spans="1:9" hidden="1">
      <c r="A1489" s="1" t="s">
        <v>6360</v>
      </c>
      <c r="B1489" s="1" t="s">
        <v>10</v>
      </c>
      <c r="C1489" s="1" t="s">
        <v>6361</v>
      </c>
      <c r="D1489" s="1" t="s">
        <v>6362</v>
      </c>
      <c r="E1489" s="1" t="s">
        <v>541</v>
      </c>
      <c r="F1489" s="1" t="s">
        <v>30</v>
      </c>
      <c r="G1489" s="1" t="s">
        <v>6363</v>
      </c>
      <c r="H1489" s="1" t="s">
        <v>1762</v>
      </c>
      <c r="I1489" t="b">
        <f>COUNTIF(Estadísticas!I:I,'centraldecomunicacion.es'!H1489)&gt;0</f>
        <v>0</v>
      </c>
    </row>
    <row r="1490" spans="1:9" hidden="1">
      <c r="A1490" s="1" t="s">
        <v>6364</v>
      </c>
      <c r="B1490" s="1" t="s">
        <v>10</v>
      </c>
      <c r="C1490" s="1" t="s">
        <v>6365</v>
      </c>
      <c r="D1490" s="1" t="s">
        <v>6366</v>
      </c>
      <c r="E1490" s="1" t="s">
        <v>541</v>
      </c>
      <c r="F1490" s="1" t="s">
        <v>30</v>
      </c>
      <c r="G1490" s="1" t="s">
        <v>6367</v>
      </c>
      <c r="H1490" s="1" t="s">
        <v>1762</v>
      </c>
      <c r="I1490" t="b">
        <f>COUNTIF(Estadísticas!I:I,'centraldecomunicacion.es'!H1490)&gt;0</f>
        <v>0</v>
      </c>
    </row>
    <row r="1491" spans="1:9" hidden="1">
      <c r="A1491" s="1" t="s">
        <v>6368</v>
      </c>
      <c r="B1491" s="1" t="s">
        <v>18</v>
      </c>
      <c r="C1491" s="1" t="s">
        <v>6369</v>
      </c>
      <c r="D1491" s="1" t="s">
        <v>540</v>
      </c>
      <c r="E1491" s="1" t="s">
        <v>541</v>
      </c>
      <c r="F1491" s="1" t="s">
        <v>30</v>
      </c>
      <c r="G1491" s="1" t="s">
        <v>6370</v>
      </c>
      <c r="H1491" s="1" t="s">
        <v>1762</v>
      </c>
      <c r="I1491" t="b">
        <f>COUNTIF(Estadísticas!I:I,'centraldecomunicacion.es'!H1491)&gt;0</f>
        <v>0</v>
      </c>
    </row>
    <row r="1492" spans="1:9" hidden="1">
      <c r="A1492" s="1" t="s">
        <v>6371</v>
      </c>
      <c r="B1492" s="1" t="s">
        <v>10</v>
      </c>
      <c r="C1492" s="1" t="s">
        <v>6372</v>
      </c>
      <c r="D1492" s="1" t="s">
        <v>552</v>
      </c>
      <c r="E1492" s="1" t="s">
        <v>541</v>
      </c>
      <c r="F1492" s="1" t="s">
        <v>30</v>
      </c>
      <c r="G1492" s="1" t="s">
        <v>6373</v>
      </c>
      <c r="H1492" s="1" t="s">
        <v>1762</v>
      </c>
      <c r="I1492" t="b">
        <f>COUNTIF(Estadísticas!I:I,'centraldecomunicacion.es'!H1492)&gt;0</f>
        <v>0</v>
      </c>
    </row>
    <row r="1493" spans="1:9" hidden="1">
      <c r="A1493" s="1" t="s">
        <v>6374</v>
      </c>
      <c r="B1493" s="1" t="s">
        <v>10</v>
      </c>
      <c r="C1493" s="1" t="s">
        <v>6375</v>
      </c>
      <c r="D1493" s="1" t="s">
        <v>6376</v>
      </c>
      <c r="E1493" s="1" t="s">
        <v>541</v>
      </c>
      <c r="F1493" s="1" t="s">
        <v>30</v>
      </c>
      <c r="G1493" s="1" t="s">
        <v>6377</v>
      </c>
      <c r="H1493" s="1" t="s">
        <v>1762</v>
      </c>
      <c r="I1493" t="b">
        <f>COUNTIF(Estadísticas!I:I,'centraldecomunicacion.es'!H1493)&gt;0</f>
        <v>0</v>
      </c>
    </row>
    <row r="1494" spans="1:9" hidden="1">
      <c r="A1494" s="1" t="s">
        <v>6378</v>
      </c>
      <c r="B1494" s="1" t="s">
        <v>10</v>
      </c>
      <c r="C1494" s="1" t="s">
        <v>6379</v>
      </c>
      <c r="D1494" s="1" t="s">
        <v>552</v>
      </c>
      <c r="E1494" s="1" t="s">
        <v>541</v>
      </c>
      <c r="F1494" s="1" t="s">
        <v>30</v>
      </c>
      <c r="G1494" s="1" t="s">
        <v>6380</v>
      </c>
      <c r="H1494" s="1" t="s">
        <v>1762</v>
      </c>
      <c r="I1494" t="b">
        <f>COUNTIF(Estadísticas!I:I,'centraldecomunicacion.es'!H1494)&gt;0</f>
        <v>0</v>
      </c>
    </row>
    <row r="1495" spans="1:9" hidden="1">
      <c r="A1495" s="1" t="s">
        <v>6381</v>
      </c>
      <c r="B1495" s="1" t="s">
        <v>10</v>
      </c>
      <c r="C1495" s="1" t="s">
        <v>6382</v>
      </c>
      <c r="D1495" s="1" t="s">
        <v>6383</v>
      </c>
      <c r="E1495" s="1" t="s">
        <v>6384</v>
      </c>
      <c r="F1495" s="1" t="s">
        <v>6385</v>
      </c>
      <c r="G1495" s="1" t="s">
        <v>6386</v>
      </c>
      <c r="H1495" s="1" t="s">
        <v>1762</v>
      </c>
      <c r="I1495" t="b">
        <f>COUNTIF(Estadísticas!I:I,'centraldecomunicacion.es'!H1495)&gt;0</f>
        <v>0</v>
      </c>
    </row>
    <row r="1496" spans="1:9" hidden="1">
      <c r="A1496" s="1" t="s">
        <v>6387</v>
      </c>
      <c r="B1496" s="1" t="s">
        <v>10</v>
      </c>
      <c r="C1496" s="1" t="s">
        <v>6388</v>
      </c>
      <c r="D1496" s="1" t="s">
        <v>6389</v>
      </c>
      <c r="E1496" s="1" t="s">
        <v>541</v>
      </c>
      <c r="F1496" s="1" t="s">
        <v>30</v>
      </c>
      <c r="G1496" s="1" t="s">
        <v>6390</v>
      </c>
      <c r="H1496" s="1" t="s">
        <v>1762</v>
      </c>
      <c r="I1496" t="b">
        <f>COUNTIF(Estadísticas!I:I,'centraldecomunicacion.es'!H1496)&gt;0</f>
        <v>0</v>
      </c>
    </row>
    <row r="1497" spans="1:9" hidden="1">
      <c r="A1497" s="1" t="s">
        <v>6391</v>
      </c>
      <c r="B1497" s="1" t="s">
        <v>18</v>
      </c>
      <c r="C1497" s="1" t="s">
        <v>6392</v>
      </c>
      <c r="D1497" s="1" t="s">
        <v>540</v>
      </c>
      <c r="E1497" s="1" t="s">
        <v>541</v>
      </c>
      <c r="F1497" s="1" t="s">
        <v>30</v>
      </c>
      <c r="G1497" s="1" t="s">
        <v>6393</v>
      </c>
      <c r="H1497" s="1" t="s">
        <v>1762</v>
      </c>
      <c r="I1497" t="b">
        <f>COUNTIF(Estadísticas!I:I,'centraldecomunicacion.es'!H1497)&gt;0</f>
        <v>0</v>
      </c>
    </row>
    <row r="1498" spans="1:9" hidden="1">
      <c r="A1498" s="1" t="s">
        <v>6394</v>
      </c>
      <c r="B1498" s="1" t="s">
        <v>10</v>
      </c>
      <c r="C1498" s="1" t="s">
        <v>6395</v>
      </c>
      <c r="D1498" s="1" t="s">
        <v>6396</v>
      </c>
      <c r="E1498" s="1" t="s">
        <v>541</v>
      </c>
      <c r="F1498" s="1" t="s">
        <v>30</v>
      </c>
      <c r="G1498" s="1" t="s">
        <v>6397</v>
      </c>
      <c r="H1498" s="1" t="s">
        <v>1762</v>
      </c>
      <c r="I1498" t="b">
        <f>COUNTIF(Estadísticas!I:I,'centraldecomunicacion.es'!H1498)&gt;0</f>
        <v>0</v>
      </c>
    </row>
    <row r="1499" spans="1:9" hidden="1">
      <c r="A1499" s="1" t="s">
        <v>6398</v>
      </c>
      <c r="B1499" s="1" t="s">
        <v>10</v>
      </c>
      <c r="C1499" s="1" t="s">
        <v>6399</v>
      </c>
      <c r="D1499" s="1" t="s">
        <v>6400</v>
      </c>
      <c r="E1499" s="1" t="s">
        <v>541</v>
      </c>
      <c r="F1499" s="1" t="s">
        <v>30</v>
      </c>
      <c r="G1499" s="1" t="s">
        <v>6401</v>
      </c>
      <c r="H1499" s="1" t="s">
        <v>1762</v>
      </c>
      <c r="I1499" t="b">
        <f>COUNTIF(Estadísticas!I:I,'centraldecomunicacion.es'!H1499)&gt;0</f>
        <v>0</v>
      </c>
    </row>
    <row r="1500" spans="1:9" hidden="1">
      <c r="A1500" s="1" t="s">
        <v>6402</v>
      </c>
      <c r="B1500" s="1" t="s">
        <v>10</v>
      </c>
      <c r="C1500" s="1" t="s">
        <v>6403</v>
      </c>
      <c r="D1500" s="1" t="s">
        <v>6404</v>
      </c>
      <c r="E1500" s="1" t="s">
        <v>541</v>
      </c>
      <c r="F1500" s="1" t="s">
        <v>30</v>
      </c>
      <c r="G1500" s="1" t="s">
        <v>6405</v>
      </c>
      <c r="H1500" s="1" t="s">
        <v>1762</v>
      </c>
      <c r="I1500" t="b">
        <f>COUNTIF(Estadísticas!I:I,'centraldecomunicacion.es'!H1500)&gt;0</f>
        <v>0</v>
      </c>
    </row>
    <row r="1501" spans="1:9" hidden="1">
      <c r="A1501" s="1" t="s">
        <v>6406</v>
      </c>
      <c r="B1501" s="1" t="s">
        <v>18</v>
      </c>
      <c r="C1501" s="1" t="s">
        <v>6407</v>
      </c>
      <c r="D1501" s="1" t="s">
        <v>552</v>
      </c>
      <c r="E1501" s="1" t="s">
        <v>541</v>
      </c>
      <c r="F1501" s="1" t="s">
        <v>6408</v>
      </c>
      <c r="G1501" s="1" t="s">
        <v>6409</v>
      </c>
      <c r="H1501" s="1" t="s">
        <v>6410</v>
      </c>
      <c r="I1501" t="b">
        <f>COUNTIF(Estadísticas!I:I,'centraldecomunicacion.es'!H1501)&gt;0</f>
        <v>0</v>
      </c>
    </row>
    <row r="1502" spans="1:9" hidden="1">
      <c r="A1502" s="1" t="s">
        <v>6411</v>
      </c>
      <c r="B1502" s="1" t="s">
        <v>18</v>
      </c>
      <c r="C1502" s="1" t="s">
        <v>6412</v>
      </c>
      <c r="D1502" s="1" t="s">
        <v>6413</v>
      </c>
      <c r="E1502" s="1" t="s">
        <v>541</v>
      </c>
      <c r="F1502" s="1" t="s">
        <v>6408</v>
      </c>
      <c r="G1502" s="1" t="s">
        <v>6414</v>
      </c>
      <c r="H1502" s="1" t="s">
        <v>6410</v>
      </c>
      <c r="I1502" t="b">
        <f>COUNTIF(Estadísticas!I:I,'centraldecomunicacion.es'!H1502)&gt;0</f>
        <v>0</v>
      </c>
    </row>
    <row r="1503" spans="1:9" hidden="1">
      <c r="A1503" s="1" t="s">
        <v>6415</v>
      </c>
      <c r="B1503" s="1" t="s">
        <v>10</v>
      </c>
      <c r="C1503" s="1" t="s">
        <v>6416</v>
      </c>
      <c r="D1503" s="1" t="s">
        <v>6417</v>
      </c>
      <c r="E1503" s="1" t="s">
        <v>541</v>
      </c>
      <c r="F1503" s="1" t="s">
        <v>30</v>
      </c>
      <c r="G1503" s="1" t="s">
        <v>6418</v>
      </c>
      <c r="H1503" s="1" t="s">
        <v>1762</v>
      </c>
      <c r="I1503" t="b">
        <f>COUNTIF(Estadísticas!I:I,'centraldecomunicacion.es'!H1503)&gt;0</f>
        <v>0</v>
      </c>
    </row>
    <row r="1504" spans="1:9" hidden="1">
      <c r="A1504" s="1" t="s">
        <v>6419</v>
      </c>
      <c r="B1504" s="1" t="s">
        <v>10</v>
      </c>
      <c r="C1504" s="1" t="s">
        <v>6420</v>
      </c>
      <c r="D1504" s="1" t="s">
        <v>6421</v>
      </c>
      <c r="E1504" s="1" t="s">
        <v>541</v>
      </c>
      <c r="F1504" s="1" t="s">
        <v>30</v>
      </c>
      <c r="G1504" s="1" t="s">
        <v>6422</v>
      </c>
      <c r="H1504" s="1" t="s">
        <v>1762</v>
      </c>
      <c r="I1504" t="b">
        <f>COUNTIF(Estadísticas!I:I,'centraldecomunicacion.es'!H1504)&gt;0</f>
        <v>0</v>
      </c>
    </row>
    <row r="1505" spans="1:9" hidden="1">
      <c r="A1505" s="1" t="s">
        <v>6423</v>
      </c>
      <c r="B1505" s="1" t="s">
        <v>10</v>
      </c>
      <c r="C1505" s="1" t="s">
        <v>6424</v>
      </c>
      <c r="D1505" s="1" t="s">
        <v>6425</v>
      </c>
      <c r="E1505" s="1" t="s">
        <v>541</v>
      </c>
      <c r="F1505" s="1" t="s">
        <v>30</v>
      </c>
      <c r="G1505" s="1" t="s">
        <v>6426</v>
      </c>
      <c r="H1505" s="1" t="s">
        <v>1762</v>
      </c>
      <c r="I1505" t="b">
        <f>COUNTIF(Estadísticas!I:I,'centraldecomunicacion.es'!H1505)&gt;0</f>
        <v>0</v>
      </c>
    </row>
    <row r="1506" spans="1:9" hidden="1">
      <c r="A1506" s="1" t="s">
        <v>6427</v>
      </c>
      <c r="B1506" s="1" t="s">
        <v>10</v>
      </c>
      <c r="C1506" s="1" t="s">
        <v>6428</v>
      </c>
      <c r="D1506" s="1" t="s">
        <v>6429</v>
      </c>
      <c r="E1506" s="1" t="s">
        <v>541</v>
      </c>
      <c r="F1506" s="1" t="s">
        <v>30</v>
      </c>
      <c r="G1506" s="1" t="s">
        <v>6430</v>
      </c>
      <c r="H1506" s="1" t="s">
        <v>1762</v>
      </c>
      <c r="I1506" t="b">
        <f>COUNTIF(Estadísticas!I:I,'centraldecomunicacion.es'!H1506)&gt;0</f>
        <v>0</v>
      </c>
    </row>
    <row r="1507" spans="1:9" hidden="1">
      <c r="A1507" s="1" t="s">
        <v>6431</v>
      </c>
      <c r="B1507" s="1" t="s">
        <v>10</v>
      </c>
      <c r="C1507" s="1" t="s">
        <v>6432</v>
      </c>
      <c r="D1507" s="1" t="s">
        <v>6425</v>
      </c>
      <c r="E1507" s="1" t="s">
        <v>541</v>
      </c>
      <c r="F1507" s="1" t="s">
        <v>6433</v>
      </c>
      <c r="G1507" s="1" t="s">
        <v>6434</v>
      </c>
      <c r="H1507" s="1" t="s">
        <v>1762</v>
      </c>
      <c r="I1507" t="b">
        <f>COUNTIF(Estadísticas!I:I,'centraldecomunicacion.es'!H1507)&gt;0</f>
        <v>0</v>
      </c>
    </row>
    <row r="1508" spans="1:9" hidden="1">
      <c r="A1508" s="1" t="s">
        <v>6435</v>
      </c>
      <c r="B1508" s="1" t="s">
        <v>10</v>
      </c>
      <c r="C1508" s="1" t="s">
        <v>30</v>
      </c>
      <c r="D1508" s="1" t="s">
        <v>6204</v>
      </c>
      <c r="E1508" s="1" t="s">
        <v>30</v>
      </c>
      <c r="F1508" s="1" t="s">
        <v>6436</v>
      </c>
      <c r="G1508" s="1" t="s">
        <v>6303</v>
      </c>
      <c r="H1508" s="1" t="s">
        <v>1762</v>
      </c>
      <c r="I1508" t="b">
        <f>COUNTIF(Estadísticas!I:I,'centraldecomunicacion.es'!H1508)&gt;0</f>
        <v>0</v>
      </c>
    </row>
    <row r="1509" spans="1:9">
      <c r="A1509" s="1" t="s">
        <v>556</v>
      </c>
      <c r="B1509" s="1" t="s">
        <v>10</v>
      </c>
      <c r="C1509" s="1" t="s">
        <v>557</v>
      </c>
      <c r="D1509" s="1" t="s">
        <v>558</v>
      </c>
      <c r="E1509" s="1" t="s">
        <v>541</v>
      </c>
      <c r="F1509" s="1" t="s">
        <v>559</v>
      </c>
      <c r="G1509" s="1" t="s">
        <v>560</v>
      </c>
      <c r="H1509" s="1" t="s">
        <v>561</v>
      </c>
      <c r="I1509" t="b">
        <f>COUNTIF(Estadísticas!I:I,'centraldecomunicacion.es'!H1509)&gt;0</f>
        <v>1</v>
      </c>
    </row>
    <row r="1510" spans="1:9" hidden="1">
      <c r="A1510" s="1" t="s">
        <v>6437</v>
      </c>
      <c r="B1510" s="1" t="s">
        <v>18</v>
      </c>
      <c r="C1510" s="1" t="s">
        <v>6438</v>
      </c>
      <c r="D1510" s="1" t="s">
        <v>6417</v>
      </c>
      <c r="E1510" s="1" t="s">
        <v>541</v>
      </c>
      <c r="F1510" s="1" t="s">
        <v>30</v>
      </c>
      <c r="G1510" s="1" t="s">
        <v>6439</v>
      </c>
      <c r="H1510" s="1" t="s">
        <v>1762</v>
      </c>
      <c r="I1510" t="b">
        <f>COUNTIF(Estadísticas!I:I,'centraldecomunicacion.es'!H1510)&gt;0</f>
        <v>0</v>
      </c>
    </row>
    <row r="1511" spans="1:9" hidden="1">
      <c r="A1511" s="1" t="s">
        <v>6419</v>
      </c>
      <c r="B1511" s="1" t="s">
        <v>10</v>
      </c>
      <c r="C1511" s="1" t="s">
        <v>6440</v>
      </c>
      <c r="D1511" s="1" t="s">
        <v>6441</v>
      </c>
      <c r="E1511" s="1" t="s">
        <v>541</v>
      </c>
      <c r="F1511" s="1" t="s">
        <v>30</v>
      </c>
      <c r="G1511" s="1" t="s">
        <v>6442</v>
      </c>
      <c r="H1511" s="1" t="s">
        <v>1762</v>
      </c>
      <c r="I1511" t="b">
        <f>COUNTIF(Estadísticas!I:I,'centraldecomunicacion.es'!H1511)&gt;0</f>
        <v>0</v>
      </c>
    </row>
    <row r="1512" spans="1:9" hidden="1">
      <c r="A1512" s="1" t="s">
        <v>6443</v>
      </c>
      <c r="B1512" s="1" t="s">
        <v>3050</v>
      </c>
      <c r="C1512" s="1" t="s">
        <v>6444</v>
      </c>
      <c r="D1512" s="1" t="s">
        <v>6445</v>
      </c>
      <c r="E1512" s="1" t="s">
        <v>541</v>
      </c>
      <c r="F1512" s="1" t="s">
        <v>30</v>
      </c>
      <c r="G1512" s="1" t="s">
        <v>6446</v>
      </c>
      <c r="H1512" s="1" t="s">
        <v>1762</v>
      </c>
      <c r="I1512" t="b">
        <f>COUNTIF(Estadísticas!I:I,'centraldecomunicacion.es'!H1512)&gt;0</f>
        <v>0</v>
      </c>
    </row>
    <row r="1513" spans="1:9" hidden="1">
      <c r="A1513" s="1" t="s">
        <v>6447</v>
      </c>
      <c r="B1513" s="1" t="s">
        <v>10</v>
      </c>
      <c r="C1513" s="1" t="s">
        <v>6448</v>
      </c>
      <c r="D1513" s="1" t="s">
        <v>564</v>
      </c>
      <c r="E1513" s="1" t="s">
        <v>541</v>
      </c>
      <c r="F1513" s="1" t="s">
        <v>30</v>
      </c>
      <c r="G1513" s="1" t="s">
        <v>6449</v>
      </c>
      <c r="H1513" s="1" t="s">
        <v>1762</v>
      </c>
      <c r="I1513" t="b">
        <f>COUNTIF(Estadísticas!I:I,'centraldecomunicacion.es'!H1513)&gt;0</f>
        <v>0</v>
      </c>
    </row>
    <row r="1514" spans="1:9" hidden="1">
      <c r="A1514" s="1" t="s">
        <v>6450</v>
      </c>
      <c r="B1514" s="1" t="s">
        <v>10</v>
      </c>
      <c r="C1514" s="1" t="s">
        <v>6451</v>
      </c>
      <c r="D1514" s="1" t="s">
        <v>6452</v>
      </c>
      <c r="E1514" s="1" t="s">
        <v>541</v>
      </c>
      <c r="F1514" s="1" t="s">
        <v>6453</v>
      </c>
      <c r="G1514" s="1" t="s">
        <v>6454</v>
      </c>
      <c r="H1514" s="1" t="s">
        <v>6455</v>
      </c>
      <c r="I1514" t="b">
        <f>COUNTIF(Estadísticas!I:I,'centraldecomunicacion.es'!H1514)&gt;0</f>
        <v>0</v>
      </c>
    </row>
    <row r="1515" spans="1:9" hidden="1">
      <c r="A1515" s="1" t="s">
        <v>6456</v>
      </c>
      <c r="B1515" s="1" t="s">
        <v>10</v>
      </c>
      <c r="C1515" s="1" t="s">
        <v>6457</v>
      </c>
      <c r="D1515" s="1" t="s">
        <v>6452</v>
      </c>
      <c r="E1515" s="1" t="s">
        <v>541</v>
      </c>
      <c r="F1515" s="1" t="s">
        <v>6458</v>
      </c>
      <c r="G1515" s="1" t="s">
        <v>6459</v>
      </c>
      <c r="H1515" s="1" t="s">
        <v>1783</v>
      </c>
      <c r="I1515" t="b">
        <f>COUNTIF(Estadísticas!I:I,'centraldecomunicacion.es'!H1515)&gt;0</f>
        <v>0</v>
      </c>
    </row>
    <row r="1516" spans="1:9" hidden="1">
      <c r="A1516" s="1" t="s">
        <v>6460</v>
      </c>
      <c r="B1516" s="1" t="s">
        <v>10</v>
      </c>
      <c r="C1516" s="1" t="s">
        <v>6461</v>
      </c>
      <c r="D1516" s="1" t="s">
        <v>6462</v>
      </c>
      <c r="E1516" s="1" t="s">
        <v>541</v>
      </c>
      <c r="F1516" s="1" t="s">
        <v>30</v>
      </c>
      <c r="G1516" s="1" t="s">
        <v>6463</v>
      </c>
      <c r="H1516" s="1" t="s">
        <v>1762</v>
      </c>
      <c r="I1516" t="b">
        <f>COUNTIF(Estadísticas!I:I,'centraldecomunicacion.es'!H1516)&gt;0</f>
        <v>0</v>
      </c>
    </row>
    <row r="1517" spans="1:9">
      <c r="A1517" s="1" t="s">
        <v>562</v>
      </c>
      <c r="B1517" s="1" t="s">
        <v>10</v>
      </c>
      <c r="C1517" s="1" t="s">
        <v>563</v>
      </c>
      <c r="D1517" s="1" t="s">
        <v>564</v>
      </c>
      <c r="E1517" s="1" t="s">
        <v>541</v>
      </c>
      <c r="F1517" s="1" t="s">
        <v>565</v>
      </c>
      <c r="G1517" s="1" t="s">
        <v>566</v>
      </c>
      <c r="H1517" s="1" t="s">
        <v>567</v>
      </c>
      <c r="I1517" t="b">
        <f>COUNTIF(Estadísticas!I:I,'centraldecomunicacion.es'!H1517)&gt;0</f>
        <v>1</v>
      </c>
    </row>
    <row r="1518" spans="1:9" hidden="1">
      <c r="A1518" s="1" t="s">
        <v>6464</v>
      </c>
      <c r="B1518" s="1" t="s">
        <v>10</v>
      </c>
      <c r="C1518" s="1" t="s">
        <v>6465</v>
      </c>
      <c r="D1518" s="1" t="s">
        <v>6466</v>
      </c>
      <c r="E1518" s="1" t="s">
        <v>541</v>
      </c>
      <c r="F1518" s="1" t="s">
        <v>30</v>
      </c>
      <c r="G1518" s="1" t="s">
        <v>30</v>
      </c>
      <c r="H1518" s="1" t="s">
        <v>1762</v>
      </c>
      <c r="I1518" t="b">
        <f>COUNTIF(Estadísticas!I:I,'centraldecomunicacion.es'!H1518)&gt;0</f>
        <v>0</v>
      </c>
    </row>
    <row r="1519" spans="1:9" hidden="1">
      <c r="A1519" s="1" t="s">
        <v>6467</v>
      </c>
      <c r="B1519" s="1" t="s">
        <v>18</v>
      </c>
      <c r="C1519" s="1" t="s">
        <v>6468</v>
      </c>
      <c r="D1519" s="1" t="s">
        <v>6452</v>
      </c>
      <c r="E1519" s="1" t="s">
        <v>541</v>
      </c>
      <c r="F1519" s="1" t="s">
        <v>6408</v>
      </c>
      <c r="G1519" s="1" t="s">
        <v>6469</v>
      </c>
      <c r="H1519" s="1" t="s">
        <v>6410</v>
      </c>
      <c r="I1519" t="b">
        <f>COUNTIF(Estadísticas!I:I,'centraldecomunicacion.es'!H1519)&gt;0</f>
        <v>0</v>
      </c>
    </row>
    <row r="1520" spans="1:9" hidden="1">
      <c r="A1520" s="1" t="s">
        <v>6470</v>
      </c>
      <c r="B1520" s="1" t="s">
        <v>10</v>
      </c>
      <c r="C1520" s="1" t="s">
        <v>6471</v>
      </c>
      <c r="D1520" s="1" t="s">
        <v>6452</v>
      </c>
      <c r="E1520" s="1" t="s">
        <v>541</v>
      </c>
      <c r="F1520" s="1" t="s">
        <v>30</v>
      </c>
      <c r="G1520" s="1" t="s">
        <v>6472</v>
      </c>
      <c r="H1520" s="1" t="s">
        <v>1762</v>
      </c>
      <c r="I1520" t="b">
        <f>COUNTIF(Estadísticas!I:I,'centraldecomunicacion.es'!H1520)&gt;0</f>
        <v>0</v>
      </c>
    </row>
    <row r="1521" spans="1:9" hidden="1">
      <c r="A1521" s="1" t="s">
        <v>6473</v>
      </c>
      <c r="B1521" s="1" t="s">
        <v>18</v>
      </c>
      <c r="C1521" s="1" t="s">
        <v>6474</v>
      </c>
      <c r="D1521" s="1" t="s">
        <v>6475</v>
      </c>
      <c r="E1521" s="1" t="s">
        <v>541</v>
      </c>
      <c r="F1521" s="1" t="s">
        <v>6408</v>
      </c>
      <c r="G1521" s="1" t="s">
        <v>6476</v>
      </c>
      <c r="H1521" s="1" t="s">
        <v>6410</v>
      </c>
      <c r="I1521" t="b">
        <f>COUNTIF(Estadísticas!I:I,'centraldecomunicacion.es'!H1521)&gt;0</f>
        <v>0</v>
      </c>
    </row>
    <row r="1522" spans="1:9" hidden="1">
      <c r="A1522" s="1" t="s">
        <v>6477</v>
      </c>
      <c r="B1522" s="1" t="s">
        <v>10</v>
      </c>
      <c r="C1522" s="1" t="s">
        <v>6478</v>
      </c>
      <c r="D1522" s="1" t="s">
        <v>6479</v>
      </c>
      <c r="E1522" s="1" t="s">
        <v>1132</v>
      </c>
      <c r="F1522" s="1" t="s">
        <v>6480</v>
      </c>
      <c r="G1522" s="1" t="s">
        <v>6481</v>
      </c>
      <c r="H1522" s="1" t="s">
        <v>1762</v>
      </c>
      <c r="I1522" t="b">
        <f>COUNTIF(Estadísticas!I:I,'centraldecomunicacion.es'!H1522)&gt;0</f>
        <v>0</v>
      </c>
    </row>
    <row r="1523" spans="1:9" hidden="1">
      <c r="A1523" s="1" t="s">
        <v>6482</v>
      </c>
      <c r="B1523" s="1" t="s">
        <v>10</v>
      </c>
      <c r="C1523" s="1" t="s">
        <v>6483</v>
      </c>
      <c r="D1523" s="1" t="s">
        <v>570</v>
      </c>
      <c r="E1523" s="1" t="s">
        <v>570</v>
      </c>
      <c r="F1523" s="1" t="s">
        <v>6484</v>
      </c>
      <c r="G1523" s="1" t="s">
        <v>6485</v>
      </c>
      <c r="H1523" s="1" t="s">
        <v>6486</v>
      </c>
      <c r="I1523" t="b">
        <f>COUNTIF(Estadísticas!I:I,'centraldecomunicacion.es'!H1523)&gt;0</f>
        <v>0</v>
      </c>
    </row>
    <row r="1524" spans="1:9">
      <c r="A1524" s="1" t="s">
        <v>568</v>
      </c>
      <c r="B1524" s="1" t="s">
        <v>10</v>
      </c>
      <c r="C1524" s="1" t="s">
        <v>569</v>
      </c>
      <c r="D1524" s="1" t="s">
        <v>570</v>
      </c>
      <c r="E1524" s="1" t="s">
        <v>570</v>
      </c>
      <c r="F1524" s="1" t="s">
        <v>571</v>
      </c>
      <c r="G1524" s="1" t="s">
        <v>572</v>
      </c>
      <c r="H1524" s="1" t="s">
        <v>573</v>
      </c>
      <c r="I1524" t="b">
        <f>COUNTIF(Estadísticas!I:I,'centraldecomunicacion.es'!H1524)&gt;0</f>
        <v>1</v>
      </c>
    </row>
    <row r="1525" spans="1:9" hidden="1">
      <c r="A1525" s="1" t="s">
        <v>6487</v>
      </c>
      <c r="B1525" s="1" t="s">
        <v>10</v>
      </c>
      <c r="C1525" s="1" t="s">
        <v>6488</v>
      </c>
      <c r="D1525" s="1" t="s">
        <v>570</v>
      </c>
      <c r="E1525" s="1" t="s">
        <v>570</v>
      </c>
      <c r="F1525" s="1" t="s">
        <v>6489</v>
      </c>
      <c r="G1525" s="1" t="s">
        <v>6490</v>
      </c>
      <c r="H1525" s="1" t="s">
        <v>1762</v>
      </c>
      <c r="I1525" t="b">
        <f>COUNTIF(Estadísticas!I:I,'centraldecomunicacion.es'!H1525)&gt;0</f>
        <v>0</v>
      </c>
    </row>
    <row r="1526" spans="1:9" hidden="1">
      <c r="A1526" s="1" t="s">
        <v>6491</v>
      </c>
      <c r="B1526" s="1" t="s">
        <v>10</v>
      </c>
      <c r="C1526" s="1" t="s">
        <v>6492</v>
      </c>
      <c r="D1526" s="1" t="s">
        <v>570</v>
      </c>
      <c r="E1526" s="1" t="s">
        <v>570</v>
      </c>
      <c r="F1526" s="1" t="s">
        <v>6352</v>
      </c>
      <c r="G1526" s="1" t="s">
        <v>6493</v>
      </c>
      <c r="H1526" s="1" t="s">
        <v>1762</v>
      </c>
      <c r="I1526" t="b">
        <f>COUNTIF(Estadísticas!I:I,'centraldecomunicacion.es'!H1526)&gt;0</f>
        <v>0</v>
      </c>
    </row>
    <row r="1527" spans="1:9" hidden="1">
      <c r="A1527" s="1" t="s">
        <v>6494</v>
      </c>
      <c r="B1527" s="1" t="s">
        <v>18</v>
      </c>
      <c r="C1527" s="1" t="s">
        <v>6495</v>
      </c>
      <c r="D1527" s="1" t="s">
        <v>570</v>
      </c>
      <c r="E1527" s="1" t="s">
        <v>570</v>
      </c>
      <c r="F1527" s="1" t="s">
        <v>6496</v>
      </c>
      <c r="G1527" s="1" t="s">
        <v>6497</v>
      </c>
      <c r="H1527" s="1" t="s">
        <v>1762</v>
      </c>
      <c r="I1527" t="b">
        <f>COUNTIF(Estadísticas!I:I,'centraldecomunicacion.es'!H1527)&gt;0</f>
        <v>0</v>
      </c>
    </row>
    <row r="1528" spans="1:9" hidden="1">
      <c r="A1528" s="1" t="s">
        <v>6498</v>
      </c>
      <c r="B1528" s="1" t="s">
        <v>18</v>
      </c>
      <c r="C1528" s="1" t="s">
        <v>6499</v>
      </c>
      <c r="D1528" s="1" t="s">
        <v>576</v>
      </c>
      <c r="E1528" s="1" t="s">
        <v>570</v>
      </c>
      <c r="F1528" s="1" t="s">
        <v>6500</v>
      </c>
      <c r="G1528" s="1" t="s">
        <v>6501</v>
      </c>
      <c r="H1528" s="1" t="s">
        <v>6502</v>
      </c>
      <c r="I1528" t="b">
        <f>COUNTIF(Estadísticas!I:I,'centraldecomunicacion.es'!H1528)&gt;0</f>
        <v>0</v>
      </c>
    </row>
    <row r="1529" spans="1:9" hidden="1">
      <c r="A1529" s="1" t="s">
        <v>6503</v>
      </c>
      <c r="B1529" s="1" t="s">
        <v>10</v>
      </c>
      <c r="C1529" s="1" t="s">
        <v>30</v>
      </c>
      <c r="D1529" s="1" t="s">
        <v>586</v>
      </c>
      <c r="E1529" s="1" t="s">
        <v>30</v>
      </c>
      <c r="F1529" s="1" t="s">
        <v>6504</v>
      </c>
      <c r="G1529" s="1" t="s">
        <v>6505</v>
      </c>
      <c r="H1529" s="1" t="s">
        <v>1762</v>
      </c>
      <c r="I1529" t="b">
        <f>COUNTIF(Estadísticas!I:I,'centraldecomunicacion.es'!H1529)&gt;0</f>
        <v>0</v>
      </c>
    </row>
    <row r="1530" spans="1:9">
      <c r="A1530" s="1" t="s">
        <v>574</v>
      </c>
      <c r="B1530" s="1" t="s">
        <v>10</v>
      </c>
      <c r="C1530" s="1" t="s">
        <v>575</v>
      </c>
      <c r="D1530" s="1" t="s">
        <v>576</v>
      </c>
      <c r="E1530" s="1" t="s">
        <v>570</v>
      </c>
      <c r="F1530" s="1" t="s">
        <v>577</v>
      </c>
      <c r="G1530" s="1" t="s">
        <v>578</v>
      </c>
      <c r="H1530" s="1" t="s">
        <v>579</v>
      </c>
      <c r="I1530" t="b">
        <f>COUNTIF(Estadísticas!I:I,'centraldecomunicacion.es'!H1530)&gt;0</f>
        <v>1</v>
      </c>
    </row>
    <row r="1531" spans="1:9" hidden="1">
      <c r="A1531" s="1" t="s">
        <v>6506</v>
      </c>
      <c r="B1531" s="1" t="s">
        <v>10</v>
      </c>
      <c r="C1531" s="1" t="s">
        <v>6507</v>
      </c>
      <c r="D1531" s="1" t="s">
        <v>570</v>
      </c>
      <c r="E1531" s="1" t="s">
        <v>570</v>
      </c>
      <c r="F1531" s="1" t="s">
        <v>30</v>
      </c>
      <c r="G1531" s="1" t="s">
        <v>6508</v>
      </c>
      <c r="H1531" s="1" t="s">
        <v>1762</v>
      </c>
      <c r="I1531" t="b">
        <f>COUNTIF(Estadísticas!I:I,'centraldecomunicacion.es'!H1531)&gt;0</f>
        <v>0</v>
      </c>
    </row>
    <row r="1532" spans="1:9" hidden="1">
      <c r="A1532" s="1" t="s">
        <v>6509</v>
      </c>
      <c r="B1532" s="1" t="s">
        <v>10</v>
      </c>
      <c r="C1532" s="1" t="s">
        <v>6510</v>
      </c>
      <c r="D1532" s="1" t="s">
        <v>570</v>
      </c>
      <c r="E1532" s="1" t="s">
        <v>570</v>
      </c>
      <c r="F1532" s="1" t="s">
        <v>30</v>
      </c>
      <c r="G1532" s="1" t="s">
        <v>6511</v>
      </c>
      <c r="H1532" s="1" t="s">
        <v>1762</v>
      </c>
      <c r="I1532" t="b">
        <f>COUNTIF(Estadísticas!I:I,'centraldecomunicacion.es'!H1532)&gt;0</f>
        <v>0</v>
      </c>
    </row>
    <row r="1533" spans="1:9" hidden="1">
      <c r="A1533" s="1" t="s">
        <v>6512</v>
      </c>
      <c r="B1533" s="1" t="s">
        <v>10</v>
      </c>
      <c r="C1533" s="1" t="s">
        <v>30</v>
      </c>
      <c r="D1533" s="1" t="s">
        <v>586</v>
      </c>
      <c r="E1533" s="1" t="s">
        <v>30</v>
      </c>
      <c r="F1533" s="1" t="s">
        <v>6513</v>
      </c>
      <c r="G1533" s="1" t="s">
        <v>6303</v>
      </c>
      <c r="H1533" s="1" t="s">
        <v>6514</v>
      </c>
      <c r="I1533" t="b">
        <f>COUNTIF(Estadísticas!I:I,'centraldecomunicacion.es'!H1533)&gt;0</f>
        <v>0</v>
      </c>
    </row>
    <row r="1534" spans="1:9" hidden="1">
      <c r="A1534" s="1" t="s">
        <v>6515</v>
      </c>
      <c r="B1534" s="1" t="s">
        <v>10</v>
      </c>
      <c r="C1534" s="1" t="s">
        <v>6516</v>
      </c>
      <c r="D1534" s="1" t="s">
        <v>6421</v>
      </c>
      <c r="E1534" s="1" t="s">
        <v>570</v>
      </c>
      <c r="F1534" s="1" t="s">
        <v>6517</v>
      </c>
      <c r="G1534" s="1" t="s">
        <v>6518</v>
      </c>
      <c r="H1534" s="1" t="s">
        <v>1762</v>
      </c>
      <c r="I1534" t="b">
        <f>COUNTIF(Estadísticas!I:I,'centraldecomunicacion.es'!H1534)&gt;0</f>
        <v>0</v>
      </c>
    </row>
    <row r="1535" spans="1:9" hidden="1">
      <c r="A1535" s="1" t="s">
        <v>6519</v>
      </c>
      <c r="B1535" s="1" t="s">
        <v>10</v>
      </c>
      <c r="C1535" s="1" t="s">
        <v>6520</v>
      </c>
      <c r="D1535" s="1" t="s">
        <v>6521</v>
      </c>
      <c r="E1535" s="1" t="s">
        <v>570</v>
      </c>
      <c r="F1535" s="1" t="s">
        <v>6522</v>
      </c>
      <c r="G1535" s="1" t="s">
        <v>6523</v>
      </c>
      <c r="H1535" s="1" t="s">
        <v>1762</v>
      </c>
      <c r="I1535" t="b">
        <f>COUNTIF(Estadísticas!I:I,'centraldecomunicacion.es'!H1535)&gt;0</f>
        <v>0</v>
      </c>
    </row>
    <row r="1536" spans="1:9" hidden="1">
      <c r="A1536" s="1" t="s">
        <v>6524</v>
      </c>
      <c r="B1536" s="1" t="s">
        <v>3050</v>
      </c>
      <c r="C1536" s="1" t="s">
        <v>6525</v>
      </c>
      <c r="D1536" s="1" t="s">
        <v>570</v>
      </c>
      <c r="E1536" s="1" t="s">
        <v>570</v>
      </c>
      <c r="F1536" s="1" t="s">
        <v>6526</v>
      </c>
      <c r="G1536" s="1" t="s">
        <v>6527</v>
      </c>
      <c r="H1536" s="1" t="s">
        <v>6528</v>
      </c>
      <c r="I1536" t="b">
        <f>COUNTIF(Estadísticas!I:I,'centraldecomunicacion.es'!H1536)&gt;0</f>
        <v>0</v>
      </c>
    </row>
    <row r="1537" spans="1:9" hidden="1">
      <c r="A1537" s="1" t="s">
        <v>6529</v>
      </c>
      <c r="B1537" s="1" t="s">
        <v>10</v>
      </c>
      <c r="C1537" s="1" t="s">
        <v>6530</v>
      </c>
      <c r="D1537" s="1" t="s">
        <v>570</v>
      </c>
      <c r="E1537" s="1" t="s">
        <v>570</v>
      </c>
      <c r="F1537" s="1" t="s">
        <v>6531</v>
      </c>
      <c r="G1537" s="1" t="s">
        <v>6493</v>
      </c>
      <c r="H1537" s="1" t="s">
        <v>1762</v>
      </c>
      <c r="I1537" t="b">
        <f>COUNTIF(Estadísticas!I:I,'centraldecomunicacion.es'!H1537)&gt;0</f>
        <v>0</v>
      </c>
    </row>
    <row r="1538" spans="1:9" hidden="1">
      <c r="A1538" s="1" t="s">
        <v>6532</v>
      </c>
      <c r="B1538" s="1" t="s">
        <v>10</v>
      </c>
      <c r="C1538" s="1" t="s">
        <v>30</v>
      </c>
      <c r="D1538" s="1" t="s">
        <v>586</v>
      </c>
      <c r="E1538" s="1" t="s">
        <v>30</v>
      </c>
      <c r="F1538" s="1" t="s">
        <v>6533</v>
      </c>
      <c r="G1538" s="1" t="s">
        <v>6534</v>
      </c>
      <c r="H1538" s="1" t="s">
        <v>6535</v>
      </c>
      <c r="I1538" t="b">
        <f>COUNTIF(Estadísticas!I:I,'centraldecomunicacion.es'!H1538)&gt;0</f>
        <v>0</v>
      </c>
    </row>
    <row r="1539" spans="1:9">
      <c r="A1539" s="1" t="s">
        <v>580</v>
      </c>
      <c r="B1539" s="1" t="s">
        <v>10</v>
      </c>
      <c r="C1539" s="1" t="s">
        <v>581</v>
      </c>
      <c r="D1539" s="1" t="s">
        <v>582</v>
      </c>
      <c r="E1539" s="1" t="s">
        <v>570</v>
      </c>
      <c r="F1539" s="1" t="s">
        <v>583</v>
      </c>
      <c r="G1539" s="1" t="s">
        <v>30</v>
      </c>
      <c r="H1539" s="1" t="s">
        <v>584</v>
      </c>
      <c r="I1539" t="b">
        <f>COUNTIF(Estadísticas!I:I,'centraldecomunicacion.es'!H1539)&gt;0</f>
        <v>1</v>
      </c>
    </row>
    <row r="1540" spans="1:9" hidden="1">
      <c r="A1540" s="1" t="s">
        <v>6536</v>
      </c>
      <c r="B1540" s="1" t="s">
        <v>10</v>
      </c>
      <c r="C1540" s="1" t="s">
        <v>6537</v>
      </c>
      <c r="D1540" s="1" t="s">
        <v>570</v>
      </c>
      <c r="E1540" s="1" t="s">
        <v>570</v>
      </c>
      <c r="F1540" s="1" t="s">
        <v>30</v>
      </c>
      <c r="G1540" s="1" t="s">
        <v>30</v>
      </c>
      <c r="H1540" s="1" t="s">
        <v>1762</v>
      </c>
      <c r="I1540" t="b">
        <f>COUNTIF(Estadísticas!I:I,'centraldecomunicacion.es'!H1540)&gt;0</f>
        <v>0</v>
      </c>
    </row>
    <row r="1541" spans="1:9" hidden="1">
      <c r="A1541" s="1" t="s">
        <v>6529</v>
      </c>
      <c r="B1541" s="1" t="s">
        <v>10</v>
      </c>
      <c r="C1541" s="1" t="s">
        <v>6538</v>
      </c>
      <c r="D1541" s="1" t="s">
        <v>570</v>
      </c>
      <c r="E1541" s="1" t="s">
        <v>570</v>
      </c>
      <c r="F1541" s="1" t="s">
        <v>6539</v>
      </c>
      <c r="G1541" s="1" t="s">
        <v>6540</v>
      </c>
      <c r="H1541" s="1" t="s">
        <v>1762</v>
      </c>
      <c r="I1541" t="b">
        <f>COUNTIF(Estadísticas!I:I,'centraldecomunicacion.es'!H1541)&gt;0</f>
        <v>0</v>
      </c>
    </row>
    <row r="1542" spans="1:9">
      <c r="A1542" s="1" t="s">
        <v>6541</v>
      </c>
      <c r="B1542" s="1" t="s">
        <v>10</v>
      </c>
      <c r="C1542" s="1" t="s">
        <v>581</v>
      </c>
      <c r="D1542" s="1" t="s">
        <v>582</v>
      </c>
      <c r="E1542" s="1" t="s">
        <v>570</v>
      </c>
      <c r="F1542" s="1" t="s">
        <v>583</v>
      </c>
      <c r="G1542" s="1" t="s">
        <v>6542</v>
      </c>
      <c r="H1542" s="1" t="s">
        <v>584</v>
      </c>
      <c r="I1542" t="b">
        <f>COUNTIF(Estadísticas!I:I,'centraldecomunicacion.es'!H1542)&gt;0</f>
        <v>1</v>
      </c>
    </row>
    <row r="1543" spans="1:9" hidden="1">
      <c r="A1543" s="1" t="s">
        <v>6411</v>
      </c>
      <c r="B1543" s="1" t="s">
        <v>18</v>
      </c>
      <c r="C1543" s="1" t="s">
        <v>6543</v>
      </c>
      <c r="D1543" s="1" t="s">
        <v>6544</v>
      </c>
      <c r="E1543" s="1" t="s">
        <v>570</v>
      </c>
      <c r="F1543" s="1" t="s">
        <v>6545</v>
      </c>
      <c r="G1543" s="1" t="s">
        <v>6546</v>
      </c>
      <c r="H1543" s="1" t="s">
        <v>1762</v>
      </c>
      <c r="I1543" t="b">
        <f>COUNTIF(Estadísticas!I:I,'centraldecomunicacion.es'!H1543)&gt;0</f>
        <v>0</v>
      </c>
    </row>
    <row r="1544" spans="1:9" hidden="1">
      <c r="A1544" s="1" t="s">
        <v>6547</v>
      </c>
      <c r="B1544" s="1" t="s">
        <v>10</v>
      </c>
      <c r="C1544" s="1" t="s">
        <v>6548</v>
      </c>
      <c r="D1544" s="1" t="s">
        <v>570</v>
      </c>
      <c r="E1544" s="1" t="s">
        <v>570</v>
      </c>
      <c r="F1544" s="1" t="s">
        <v>30</v>
      </c>
      <c r="G1544" s="1" t="s">
        <v>6549</v>
      </c>
      <c r="H1544" s="1" t="s">
        <v>1762</v>
      </c>
      <c r="I1544" t="b">
        <f>COUNTIF(Estadísticas!I:I,'centraldecomunicacion.es'!H1544)&gt;0</f>
        <v>0</v>
      </c>
    </row>
    <row r="1545" spans="1:9" hidden="1">
      <c r="A1545" s="1" t="s">
        <v>6550</v>
      </c>
      <c r="B1545" s="1" t="s">
        <v>10</v>
      </c>
      <c r="C1545" s="1" t="s">
        <v>6551</v>
      </c>
      <c r="D1545" s="1" t="s">
        <v>576</v>
      </c>
      <c r="E1545" s="1" t="s">
        <v>570</v>
      </c>
      <c r="F1545" s="1" t="s">
        <v>30</v>
      </c>
      <c r="G1545" s="1" t="s">
        <v>6552</v>
      </c>
      <c r="H1545" s="1" t="s">
        <v>1762</v>
      </c>
      <c r="I1545" t="b">
        <f>COUNTIF(Estadísticas!I:I,'centraldecomunicacion.es'!H1545)&gt;0</f>
        <v>0</v>
      </c>
    </row>
    <row r="1546" spans="1:9" hidden="1">
      <c r="A1546" s="1" t="s">
        <v>6553</v>
      </c>
      <c r="B1546" s="1" t="s">
        <v>10</v>
      </c>
      <c r="C1546" s="1" t="s">
        <v>6554</v>
      </c>
      <c r="D1546" s="1" t="s">
        <v>570</v>
      </c>
      <c r="E1546" s="1" t="s">
        <v>570</v>
      </c>
      <c r="F1546" s="1" t="s">
        <v>30</v>
      </c>
      <c r="G1546" s="1" t="s">
        <v>6555</v>
      </c>
      <c r="H1546" s="1" t="s">
        <v>1762</v>
      </c>
      <c r="I1546" t="b">
        <f>COUNTIF(Estadísticas!I:I,'centraldecomunicacion.es'!H1546)&gt;0</f>
        <v>0</v>
      </c>
    </row>
    <row r="1547" spans="1:9">
      <c r="A1547" s="1" t="s">
        <v>585</v>
      </c>
      <c r="B1547" s="1" t="s">
        <v>10</v>
      </c>
      <c r="C1547" s="1" t="s">
        <v>30</v>
      </c>
      <c r="D1547" s="1" t="s">
        <v>586</v>
      </c>
      <c r="E1547" s="1" t="s">
        <v>30</v>
      </c>
      <c r="F1547" s="1" t="s">
        <v>587</v>
      </c>
      <c r="G1547" s="1" t="s">
        <v>588</v>
      </c>
      <c r="H1547" s="1" t="s">
        <v>589</v>
      </c>
      <c r="I1547" t="b">
        <f>COUNTIF(Estadísticas!I:I,'centraldecomunicacion.es'!H1547)&gt;0</f>
        <v>1</v>
      </c>
    </row>
    <row r="1548" spans="1:9" hidden="1">
      <c r="A1548" s="1" t="s">
        <v>6556</v>
      </c>
      <c r="B1548" s="1" t="s">
        <v>10</v>
      </c>
      <c r="C1548" s="1" t="s">
        <v>6520</v>
      </c>
      <c r="D1548" s="1" t="s">
        <v>6521</v>
      </c>
      <c r="E1548" s="1" t="s">
        <v>570</v>
      </c>
      <c r="F1548" s="1" t="s">
        <v>30</v>
      </c>
      <c r="G1548" s="1" t="s">
        <v>30</v>
      </c>
      <c r="H1548" s="1" t="s">
        <v>1762</v>
      </c>
      <c r="I1548" t="b">
        <f>COUNTIF(Estadísticas!I:I,'centraldecomunicacion.es'!H1548)&gt;0</f>
        <v>0</v>
      </c>
    </row>
    <row r="1549" spans="1:9" hidden="1">
      <c r="A1549" s="1" t="s">
        <v>6557</v>
      </c>
      <c r="B1549" s="1" t="s">
        <v>10</v>
      </c>
      <c r="C1549" s="1" t="s">
        <v>30</v>
      </c>
      <c r="D1549" s="1" t="s">
        <v>586</v>
      </c>
      <c r="E1549" s="1" t="s">
        <v>30</v>
      </c>
      <c r="F1549" s="1" t="s">
        <v>1984</v>
      </c>
      <c r="G1549" s="1" t="s">
        <v>6558</v>
      </c>
      <c r="H1549" s="1" t="s">
        <v>1762</v>
      </c>
      <c r="I1549" t="b">
        <f>COUNTIF(Estadísticas!I:I,'centraldecomunicacion.es'!H1549)&gt;0</f>
        <v>0</v>
      </c>
    </row>
    <row r="1550" spans="1:9" hidden="1">
      <c r="A1550" s="1" t="s">
        <v>6559</v>
      </c>
      <c r="B1550" s="1" t="s">
        <v>10</v>
      </c>
      <c r="C1550" s="1" t="s">
        <v>6510</v>
      </c>
      <c r="D1550" s="1" t="s">
        <v>570</v>
      </c>
      <c r="E1550" s="1" t="s">
        <v>570</v>
      </c>
      <c r="F1550" s="1" t="s">
        <v>30</v>
      </c>
      <c r="G1550" s="1" t="s">
        <v>6560</v>
      </c>
      <c r="H1550" s="1" t="s">
        <v>1762</v>
      </c>
      <c r="I1550" t="b">
        <f>COUNTIF(Estadísticas!I:I,'centraldecomunicacion.es'!H1550)&gt;0</f>
        <v>0</v>
      </c>
    </row>
    <row r="1551" spans="1:9" hidden="1">
      <c r="A1551" s="1" t="s">
        <v>6561</v>
      </c>
      <c r="B1551" s="1" t="s">
        <v>10</v>
      </c>
      <c r="C1551" s="1" t="s">
        <v>6562</v>
      </c>
      <c r="D1551" s="1" t="s">
        <v>570</v>
      </c>
      <c r="E1551" s="1" t="s">
        <v>570</v>
      </c>
      <c r="F1551" s="1" t="s">
        <v>6563</v>
      </c>
      <c r="G1551" s="1" t="s">
        <v>6564</v>
      </c>
      <c r="H1551" s="1" t="s">
        <v>1762</v>
      </c>
      <c r="I1551" t="b">
        <f>COUNTIF(Estadísticas!I:I,'centraldecomunicacion.es'!H1551)&gt;0</f>
        <v>0</v>
      </c>
    </row>
    <row r="1552" spans="1:9" hidden="1">
      <c r="A1552" s="1" t="s">
        <v>6565</v>
      </c>
      <c r="B1552" s="1" t="s">
        <v>10</v>
      </c>
      <c r="C1552" s="1" t="s">
        <v>6566</v>
      </c>
      <c r="D1552" s="1" t="s">
        <v>576</v>
      </c>
      <c r="E1552" s="1" t="s">
        <v>570</v>
      </c>
      <c r="F1552" s="1" t="s">
        <v>6567</v>
      </c>
      <c r="G1552" s="1" t="s">
        <v>6568</v>
      </c>
      <c r="H1552" s="1" t="s">
        <v>1762</v>
      </c>
      <c r="I1552" t="b">
        <f>COUNTIF(Estadísticas!I:I,'centraldecomunicacion.es'!H1552)&gt;0</f>
        <v>0</v>
      </c>
    </row>
    <row r="1553" spans="1:9" hidden="1">
      <c r="A1553" s="1" t="s">
        <v>6569</v>
      </c>
      <c r="B1553" s="1" t="s">
        <v>10</v>
      </c>
      <c r="C1553" s="1" t="s">
        <v>6570</v>
      </c>
      <c r="D1553" s="1" t="s">
        <v>576</v>
      </c>
      <c r="E1553" s="1" t="s">
        <v>570</v>
      </c>
      <c r="F1553" s="1" t="s">
        <v>30</v>
      </c>
      <c r="G1553" s="1" t="s">
        <v>30</v>
      </c>
      <c r="H1553" s="1" t="s">
        <v>1762</v>
      </c>
      <c r="I1553" t="b">
        <f>COUNTIF(Estadísticas!I:I,'centraldecomunicacion.es'!H1553)&gt;0</f>
        <v>0</v>
      </c>
    </row>
    <row r="1554" spans="1:9">
      <c r="A1554" s="1" t="s">
        <v>590</v>
      </c>
      <c r="B1554" s="1" t="s">
        <v>18</v>
      </c>
      <c r="C1554" s="1" t="s">
        <v>591</v>
      </c>
      <c r="D1554" s="1" t="s">
        <v>576</v>
      </c>
      <c r="E1554" s="1" t="s">
        <v>570</v>
      </c>
      <c r="F1554" s="1" t="s">
        <v>592</v>
      </c>
      <c r="G1554" s="1" t="s">
        <v>593</v>
      </c>
      <c r="H1554" s="1" t="s">
        <v>594</v>
      </c>
      <c r="I1554" t="b">
        <f>COUNTIF(Estadísticas!I:I,'centraldecomunicacion.es'!H1554)&gt;0</f>
        <v>1</v>
      </c>
    </row>
    <row r="1555" spans="1:9" hidden="1">
      <c r="A1555" s="1" t="s">
        <v>6571</v>
      </c>
      <c r="B1555" s="1" t="s">
        <v>10</v>
      </c>
      <c r="C1555" s="1" t="s">
        <v>6572</v>
      </c>
      <c r="D1555" s="1" t="s">
        <v>570</v>
      </c>
      <c r="E1555" s="1" t="s">
        <v>570</v>
      </c>
      <c r="F1555" s="1" t="s">
        <v>30</v>
      </c>
      <c r="G1555" s="1" t="s">
        <v>30</v>
      </c>
      <c r="H1555" s="1" t="s">
        <v>1762</v>
      </c>
      <c r="I1555" t="b">
        <f>COUNTIF(Estadísticas!I:I,'centraldecomunicacion.es'!H1555)&gt;0</f>
        <v>0</v>
      </c>
    </row>
    <row r="1556" spans="1:9" hidden="1">
      <c r="A1556" s="1" t="s">
        <v>6573</v>
      </c>
      <c r="B1556" s="1" t="s">
        <v>10</v>
      </c>
      <c r="C1556" s="1" t="s">
        <v>6574</v>
      </c>
      <c r="D1556" s="1" t="s">
        <v>576</v>
      </c>
      <c r="E1556" s="1" t="s">
        <v>570</v>
      </c>
      <c r="F1556" s="1" t="s">
        <v>6575</v>
      </c>
      <c r="G1556" s="1" t="s">
        <v>6576</v>
      </c>
      <c r="H1556" s="1" t="s">
        <v>1762</v>
      </c>
      <c r="I1556" t="b">
        <f>COUNTIF(Estadísticas!I:I,'centraldecomunicacion.es'!H1556)&gt;0</f>
        <v>0</v>
      </c>
    </row>
    <row r="1557" spans="1:9" hidden="1">
      <c r="A1557" s="1" t="s">
        <v>6577</v>
      </c>
      <c r="B1557" s="1" t="s">
        <v>10</v>
      </c>
      <c r="C1557" s="1" t="s">
        <v>6578</v>
      </c>
      <c r="D1557" s="1" t="s">
        <v>570</v>
      </c>
      <c r="E1557" s="1" t="s">
        <v>570</v>
      </c>
      <c r="F1557" s="1" t="s">
        <v>30</v>
      </c>
      <c r="G1557" s="1" t="s">
        <v>6579</v>
      </c>
      <c r="H1557" s="1" t="s">
        <v>1762</v>
      </c>
      <c r="I1557" t="b">
        <f>COUNTIF(Estadísticas!I:I,'centraldecomunicacion.es'!H1557)&gt;0</f>
        <v>0</v>
      </c>
    </row>
    <row r="1558" spans="1:9" hidden="1">
      <c r="A1558" s="1" t="s">
        <v>6580</v>
      </c>
      <c r="B1558" s="1" t="s">
        <v>10</v>
      </c>
      <c r="C1558" s="1" t="s">
        <v>30</v>
      </c>
      <c r="D1558" s="1" t="s">
        <v>586</v>
      </c>
      <c r="E1558" s="1" t="s">
        <v>30</v>
      </c>
      <c r="F1558" s="1" t="s">
        <v>1984</v>
      </c>
      <c r="G1558" s="1" t="s">
        <v>6581</v>
      </c>
      <c r="H1558" s="1" t="s">
        <v>1762</v>
      </c>
      <c r="I1558" t="b">
        <f>COUNTIF(Estadísticas!I:I,'centraldecomunicacion.es'!H1558)&gt;0</f>
        <v>0</v>
      </c>
    </row>
    <row r="1559" spans="1:9" hidden="1">
      <c r="A1559" s="1" t="s">
        <v>6582</v>
      </c>
      <c r="B1559" s="1" t="s">
        <v>10</v>
      </c>
      <c r="C1559" s="1" t="s">
        <v>6583</v>
      </c>
      <c r="D1559" s="1" t="s">
        <v>576</v>
      </c>
      <c r="E1559" s="1" t="s">
        <v>570</v>
      </c>
      <c r="F1559" s="1" t="s">
        <v>6584</v>
      </c>
      <c r="G1559" s="1" t="s">
        <v>6585</v>
      </c>
      <c r="H1559" s="1" t="s">
        <v>6586</v>
      </c>
      <c r="I1559" t="b">
        <f>COUNTIF(Estadísticas!I:I,'centraldecomunicacion.es'!H1559)&gt;0</f>
        <v>0</v>
      </c>
    </row>
    <row r="1560" spans="1:9" hidden="1">
      <c r="A1560" s="1" t="s">
        <v>6587</v>
      </c>
      <c r="B1560" s="1" t="s">
        <v>18</v>
      </c>
      <c r="C1560" s="1" t="s">
        <v>6588</v>
      </c>
      <c r="D1560" s="1" t="s">
        <v>6521</v>
      </c>
      <c r="E1560" s="1" t="s">
        <v>570</v>
      </c>
      <c r="F1560" s="1" t="s">
        <v>6589</v>
      </c>
      <c r="G1560" s="1" t="s">
        <v>6590</v>
      </c>
      <c r="H1560" s="1" t="s">
        <v>1783</v>
      </c>
      <c r="I1560" t="b">
        <f>COUNTIF(Estadísticas!I:I,'centraldecomunicacion.es'!H1560)&gt;0</f>
        <v>0</v>
      </c>
    </row>
    <row r="1561" spans="1:9" hidden="1">
      <c r="A1561" s="1" t="s">
        <v>6591</v>
      </c>
      <c r="B1561" s="1" t="s">
        <v>10</v>
      </c>
      <c r="C1561" s="1" t="s">
        <v>6592</v>
      </c>
      <c r="D1561" s="1" t="s">
        <v>6593</v>
      </c>
      <c r="E1561" s="1" t="s">
        <v>570</v>
      </c>
      <c r="F1561" s="1" t="s">
        <v>30</v>
      </c>
      <c r="G1561" s="1" t="s">
        <v>6594</v>
      </c>
      <c r="H1561" s="1" t="s">
        <v>1762</v>
      </c>
      <c r="I1561" t="b">
        <f>COUNTIF(Estadísticas!I:I,'centraldecomunicacion.es'!H1561)&gt;0</f>
        <v>0</v>
      </c>
    </row>
    <row r="1562" spans="1:9" hidden="1">
      <c r="A1562" s="1" t="s">
        <v>6595</v>
      </c>
      <c r="B1562" s="1" t="s">
        <v>10</v>
      </c>
      <c r="C1562" s="1" t="s">
        <v>6596</v>
      </c>
      <c r="D1562" s="1" t="s">
        <v>570</v>
      </c>
      <c r="E1562" s="1" t="s">
        <v>570</v>
      </c>
      <c r="F1562" s="1" t="s">
        <v>30</v>
      </c>
      <c r="G1562" s="1" t="s">
        <v>6597</v>
      </c>
      <c r="H1562" s="1" t="s">
        <v>1762</v>
      </c>
      <c r="I1562" t="b">
        <f>COUNTIF(Estadísticas!I:I,'centraldecomunicacion.es'!H1562)&gt;0</f>
        <v>0</v>
      </c>
    </row>
    <row r="1563" spans="1:9">
      <c r="A1563" s="1" t="s">
        <v>595</v>
      </c>
      <c r="B1563" s="1" t="s">
        <v>10</v>
      </c>
      <c r="C1563" s="1" t="s">
        <v>30</v>
      </c>
      <c r="D1563" s="1" t="s">
        <v>586</v>
      </c>
      <c r="E1563" s="1" t="s">
        <v>30</v>
      </c>
      <c r="F1563" s="1" t="s">
        <v>596</v>
      </c>
      <c r="G1563" s="1" t="s">
        <v>597</v>
      </c>
      <c r="H1563" s="1" t="s">
        <v>598</v>
      </c>
      <c r="I1563" t="b">
        <f>COUNTIF(Estadísticas!I:I,'centraldecomunicacion.es'!H1563)&gt;0</f>
        <v>1</v>
      </c>
    </row>
    <row r="1564" spans="1:9" hidden="1">
      <c r="A1564" s="1" t="s">
        <v>6598</v>
      </c>
      <c r="B1564" s="1" t="s">
        <v>10</v>
      </c>
      <c r="C1564" s="1" t="s">
        <v>6599</v>
      </c>
      <c r="D1564" s="1" t="s">
        <v>570</v>
      </c>
      <c r="E1564" s="1" t="s">
        <v>570</v>
      </c>
      <c r="F1564" s="1" t="s">
        <v>6600</v>
      </c>
      <c r="G1564" s="1" t="s">
        <v>6601</v>
      </c>
      <c r="H1564" s="1" t="s">
        <v>1762</v>
      </c>
      <c r="I1564" t="b">
        <f>COUNTIF(Estadísticas!I:I,'centraldecomunicacion.es'!H1564)&gt;0</f>
        <v>0</v>
      </c>
    </row>
    <row r="1565" spans="1:9" hidden="1">
      <c r="A1565" s="1" t="s">
        <v>6602</v>
      </c>
      <c r="B1565" s="1" t="s">
        <v>10</v>
      </c>
      <c r="C1565" s="1" t="s">
        <v>6603</v>
      </c>
      <c r="D1565" s="1" t="s">
        <v>570</v>
      </c>
      <c r="E1565" s="1" t="s">
        <v>570</v>
      </c>
      <c r="F1565" s="1" t="s">
        <v>6237</v>
      </c>
      <c r="G1565" s="1" t="s">
        <v>6604</v>
      </c>
      <c r="H1565" s="1" t="s">
        <v>1762</v>
      </c>
      <c r="I1565" t="b">
        <f>COUNTIF(Estadísticas!I:I,'centraldecomunicacion.es'!H1565)&gt;0</f>
        <v>0</v>
      </c>
    </row>
    <row r="1566" spans="1:9" hidden="1">
      <c r="A1566" s="1" t="s">
        <v>6605</v>
      </c>
      <c r="B1566" s="1" t="s">
        <v>18</v>
      </c>
      <c r="C1566" s="1" t="s">
        <v>6606</v>
      </c>
      <c r="D1566" s="1" t="s">
        <v>570</v>
      </c>
      <c r="E1566" s="1" t="s">
        <v>570</v>
      </c>
      <c r="F1566" s="1" t="s">
        <v>30</v>
      </c>
      <c r="G1566" s="1" t="s">
        <v>6607</v>
      </c>
      <c r="H1566" s="1" t="s">
        <v>1762</v>
      </c>
      <c r="I1566" t="b">
        <f>COUNTIF(Estadísticas!I:I,'centraldecomunicacion.es'!H1566)&gt;0</f>
        <v>0</v>
      </c>
    </row>
    <row r="1567" spans="1:9" hidden="1">
      <c r="A1567" s="1" t="s">
        <v>6608</v>
      </c>
      <c r="B1567" s="1" t="s">
        <v>10</v>
      </c>
      <c r="C1567" s="1" t="s">
        <v>30</v>
      </c>
      <c r="D1567" s="1" t="s">
        <v>586</v>
      </c>
      <c r="E1567" s="1" t="s">
        <v>30</v>
      </c>
      <c r="F1567" s="1" t="s">
        <v>30</v>
      </c>
      <c r="G1567" s="1" t="s">
        <v>6609</v>
      </c>
      <c r="H1567" s="1" t="s">
        <v>1762</v>
      </c>
      <c r="I1567" t="b">
        <f>COUNTIF(Estadísticas!I:I,'centraldecomunicacion.es'!H1567)&gt;0</f>
        <v>0</v>
      </c>
    </row>
    <row r="1568" spans="1:9" hidden="1">
      <c r="A1568" s="1" t="s">
        <v>6610</v>
      </c>
      <c r="B1568" s="1" t="s">
        <v>10</v>
      </c>
      <c r="C1568" s="1" t="s">
        <v>6611</v>
      </c>
      <c r="D1568" s="1" t="s">
        <v>576</v>
      </c>
      <c r="E1568" s="1" t="s">
        <v>570</v>
      </c>
      <c r="F1568" s="1" t="s">
        <v>30</v>
      </c>
      <c r="G1568" s="1" t="s">
        <v>6612</v>
      </c>
      <c r="H1568" s="1" t="s">
        <v>1762</v>
      </c>
      <c r="I1568" t="b">
        <f>COUNTIF(Estadísticas!I:I,'centraldecomunicacion.es'!H1568)&gt;0</f>
        <v>0</v>
      </c>
    </row>
    <row r="1569" spans="1:9" hidden="1">
      <c r="A1569" s="1" t="s">
        <v>6613</v>
      </c>
      <c r="B1569" s="1" t="s">
        <v>10</v>
      </c>
      <c r="C1569" s="1" t="s">
        <v>6614</v>
      </c>
      <c r="D1569" s="1" t="s">
        <v>576</v>
      </c>
      <c r="E1569" s="1" t="s">
        <v>570</v>
      </c>
      <c r="F1569" s="1" t="s">
        <v>1984</v>
      </c>
      <c r="G1569" s="1" t="s">
        <v>6615</v>
      </c>
      <c r="H1569" s="1" t="s">
        <v>1762</v>
      </c>
      <c r="I1569" t="b">
        <f>COUNTIF(Estadísticas!I:I,'centraldecomunicacion.es'!H1569)&gt;0</f>
        <v>0</v>
      </c>
    </row>
    <row r="1570" spans="1:9" hidden="1">
      <c r="A1570" s="1" t="s">
        <v>6616</v>
      </c>
      <c r="B1570" s="1" t="s">
        <v>10</v>
      </c>
      <c r="C1570" s="1" t="s">
        <v>6617</v>
      </c>
      <c r="D1570" s="1" t="s">
        <v>6618</v>
      </c>
      <c r="E1570" s="1" t="s">
        <v>570</v>
      </c>
      <c r="F1570" s="1" t="s">
        <v>30</v>
      </c>
      <c r="G1570" s="1" t="s">
        <v>30</v>
      </c>
      <c r="H1570" s="1" t="s">
        <v>1762</v>
      </c>
      <c r="I1570" t="b">
        <f>COUNTIF(Estadísticas!I:I,'centraldecomunicacion.es'!H1570)&gt;0</f>
        <v>0</v>
      </c>
    </row>
    <row r="1571" spans="1:9" hidden="1">
      <c r="A1571" s="1" t="s">
        <v>6619</v>
      </c>
      <c r="B1571" s="1" t="s">
        <v>10</v>
      </c>
      <c r="C1571" s="1" t="s">
        <v>6620</v>
      </c>
      <c r="D1571" s="1" t="s">
        <v>6621</v>
      </c>
      <c r="E1571" s="1" t="s">
        <v>570</v>
      </c>
      <c r="F1571" s="1" t="s">
        <v>6622</v>
      </c>
      <c r="G1571" s="1" t="s">
        <v>6623</v>
      </c>
      <c r="H1571" s="1" t="s">
        <v>1762</v>
      </c>
      <c r="I1571" t="b">
        <f>COUNTIF(Estadísticas!I:I,'centraldecomunicacion.es'!H1571)&gt;0</f>
        <v>0</v>
      </c>
    </row>
    <row r="1572" spans="1:9" hidden="1">
      <c r="A1572" s="1" t="s">
        <v>6624</v>
      </c>
      <c r="B1572" s="1" t="s">
        <v>10</v>
      </c>
      <c r="C1572" s="1" t="s">
        <v>6625</v>
      </c>
      <c r="D1572" s="1" t="s">
        <v>6626</v>
      </c>
      <c r="E1572" s="1" t="s">
        <v>570</v>
      </c>
      <c r="F1572" s="1" t="s">
        <v>30</v>
      </c>
      <c r="G1572" s="1" t="s">
        <v>6627</v>
      </c>
      <c r="H1572" s="1" t="s">
        <v>1762</v>
      </c>
      <c r="I1572" t="b">
        <f>COUNTIF(Estadísticas!I:I,'centraldecomunicacion.es'!H1572)&gt;0</f>
        <v>0</v>
      </c>
    </row>
    <row r="1573" spans="1:9" hidden="1">
      <c r="A1573" s="1" t="s">
        <v>6628</v>
      </c>
      <c r="B1573" s="1" t="s">
        <v>10</v>
      </c>
      <c r="C1573" s="1" t="s">
        <v>30</v>
      </c>
      <c r="D1573" s="1" t="s">
        <v>586</v>
      </c>
      <c r="E1573" s="1" t="s">
        <v>30</v>
      </c>
      <c r="F1573" s="1" t="s">
        <v>30</v>
      </c>
      <c r="G1573" s="1" t="s">
        <v>6629</v>
      </c>
      <c r="H1573" s="1" t="s">
        <v>1762</v>
      </c>
      <c r="I1573" t="b">
        <f>COUNTIF(Estadísticas!I:I,'centraldecomunicacion.es'!H1573)&gt;0</f>
        <v>0</v>
      </c>
    </row>
    <row r="1574" spans="1:9" hidden="1">
      <c r="A1574" s="1" t="s">
        <v>6630</v>
      </c>
      <c r="B1574" s="1" t="s">
        <v>18</v>
      </c>
      <c r="C1574" s="1" t="s">
        <v>6631</v>
      </c>
      <c r="D1574" s="1" t="s">
        <v>570</v>
      </c>
      <c r="E1574" s="1" t="s">
        <v>570</v>
      </c>
      <c r="F1574" s="1" t="s">
        <v>30</v>
      </c>
      <c r="G1574" s="1" t="s">
        <v>6632</v>
      </c>
      <c r="H1574" s="1" t="s">
        <v>1762</v>
      </c>
      <c r="I1574" t="b">
        <f>COUNTIF(Estadísticas!I:I,'centraldecomunicacion.es'!H1574)&gt;0</f>
        <v>0</v>
      </c>
    </row>
    <row r="1575" spans="1:9" hidden="1">
      <c r="A1575" s="1" t="s">
        <v>6633</v>
      </c>
      <c r="B1575" s="1" t="s">
        <v>10</v>
      </c>
      <c r="C1575" s="1" t="s">
        <v>6634</v>
      </c>
      <c r="D1575" s="1" t="s">
        <v>6635</v>
      </c>
      <c r="E1575" s="1" t="s">
        <v>570</v>
      </c>
      <c r="F1575" s="1" t="s">
        <v>30</v>
      </c>
      <c r="G1575" s="1" t="s">
        <v>6542</v>
      </c>
      <c r="H1575" s="1" t="s">
        <v>1762</v>
      </c>
      <c r="I1575" t="b">
        <f>COUNTIF(Estadísticas!I:I,'centraldecomunicacion.es'!H1575)&gt;0</f>
        <v>0</v>
      </c>
    </row>
    <row r="1576" spans="1:9" hidden="1">
      <c r="A1576" s="1" t="s">
        <v>6636</v>
      </c>
      <c r="B1576" s="1" t="s">
        <v>10</v>
      </c>
      <c r="C1576" s="1" t="s">
        <v>30</v>
      </c>
      <c r="D1576" s="1" t="s">
        <v>586</v>
      </c>
      <c r="E1576" s="1" t="s">
        <v>30</v>
      </c>
      <c r="F1576" s="1" t="s">
        <v>6637</v>
      </c>
      <c r="G1576" s="1" t="s">
        <v>6505</v>
      </c>
      <c r="H1576" s="1" t="s">
        <v>1762</v>
      </c>
      <c r="I1576" t="b">
        <f>COUNTIF(Estadísticas!I:I,'centraldecomunicacion.es'!H1576)&gt;0</f>
        <v>0</v>
      </c>
    </row>
    <row r="1577" spans="1:9" hidden="1">
      <c r="A1577" s="1" t="s">
        <v>6638</v>
      </c>
      <c r="B1577" s="1" t="s">
        <v>10</v>
      </c>
      <c r="C1577" s="1" t="s">
        <v>6639</v>
      </c>
      <c r="D1577" s="1" t="s">
        <v>6544</v>
      </c>
      <c r="E1577" s="1" t="s">
        <v>570</v>
      </c>
      <c r="F1577" s="1" t="s">
        <v>30</v>
      </c>
      <c r="G1577" s="1" t="s">
        <v>6640</v>
      </c>
      <c r="H1577" s="1" t="s">
        <v>1762</v>
      </c>
      <c r="I1577" t="b">
        <f>COUNTIF(Estadísticas!I:I,'centraldecomunicacion.es'!H1577)&gt;0</f>
        <v>0</v>
      </c>
    </row>
    <row r="1578" spans="1:9" hidden="1">
      <c r="A1578" s="1" t="s">
        <v>6641</v>
      </c>
      <c r="B1578" s="1" t="s">
        <v>10</v>
      </c>
      <c r="C1578" s="1" t="s">
        <v>6642</v>
      </c>
      <c r="D1578" s="1" t="s">
        <v>576</v>
      </c>
      <c r="E1578" s="1" t="s">
        <v>570</v>
      </c>
      <c r="F1578" s="1" t="s">
        <v>30</v>
      </c>
      <c r="G1578" s="1" t="s">
        <v>6643</v>
      </c>
      <c r="H1578" s="1" t="s">
        <v>1762</v>
      </c>
      <c r="I1578" t="b">
        <f>COUNTIF(Estadísticas!I:I,'centraldecomunicacion.es'!H1578)&gt;0</f>
        <v>0</v>
      </c>
    </row>
    <row r="1579" spans="1:9">
      <c r="A1579" s="1" t="s">
        <v>6644</v>
      </c>
      <c r="B1579" s="1" t="s">
        <v>10</v>
      </c>
      <c r="C1579" s="1" t="s">
        <v>6645</v>
      </c>
      <c r="D1579" s="1" t="s">
        <v>6646</v>
      </c>
      <c r="E1579" s="1" t="s">
        <v>570</v>
      </c>
      <c r="F1579" s="1" t="s">
        <v>6647</v>
      </c>
      <c r="G1579" s="1" t="s">
        <v>6542</v>
      </c>
      <c r="H1579" s="1" t="s">
        <v>584</v>
      </c>
      <c r="I1579" t="b">
        <f>COUNTIF(Estadísticas!I:I,'centraldecomunicacion.es'!H1579)&gt;0</f>
        <v>1</v>
      </c>
    </row>
    <row r="1580" spans="1:9" hidden="1">
      <c r="A1580" s="1" t="s">
        <v>6648</v>
      </c>
      <c r="B1580" s="1" t="s">
        <v>10</v>
      </c>
      <c r="C1580" s="1" t="s">
        <v>30</v>
      </c>
      <c r="D1580" s="1" t="s">
        <v>586</v>
      </c>
      <c r="E1580" s="1" t="s">
        <v>30</v>
      </c>
      <c r="F1580" s="1" t="s">
        <v>6649</v>
      </c>
      <c r="G1580" s="1" t="s">
        <v>6650</v>
      </c>
      <c r="H1580" s="1" t="s">
        <v>1762</v>
      </c>
      <c r="I1580" t="b">
        <f>COUNTIF(Estadísticas!I:I,'centraldecomunicacion.es'!H1580)&gt;0</f>
        <v>0</v>
      </c>
    </row>
    <row r="1581" spans="1:9" hidden="1">
      <c r="A1581" s="1" t="s">
        <v>6651</v>
      </c>
      <c r="B1581" s="1" t="s">
        <v>10</v>
      </c>
      <c r="C1581" s="1" t="s">
        <v>6652</v>
      </c>
      <c r="D1581" s="1" t="s">
        <v>6653</v>
      </c>
      <c r="E1581" s="1" t="s">
        <v>570</v>
      </c>
      <c r="F1581" s="1" t="s">
        <v>6654</v>
      </c>
      <c r="G1581" s="1" t="s">
        <v>6655</v>
      </c>
      <c r="H1581" s="1" t="s">
        <v>1762</v>
      </c>
      <c r="I1581" t="b">
        <f>COUNTIF(Estadísticas!I:I,'centraldecomunicacion.es'!H1581)&gt;0</f>
        <v>0</v>
      </c>
    </row>
    <row r="1582" spans="1:9" hidden="1">
      <c r="A1582" s="1" t="s">
        <v>6656</v>
      </c>
      <c r="B1582" s="1" t="s">
        <v>10</v>
      </c>
      <c r="C1582" s="1" t="s">
        <v>6657</v>
      </c>
      <c r="D1582" s="1" t="s">
        <v>6658</v>
      </c>
      <c r="E1582" s="1" t="s">
        <v>570</v>
      </c>
      <c r="F1582" s="1" t="s">
        <v>30</v>
      </c>
      <c r="G1582" s="1" t="s">
        <v>30</v>
      </c>
      <c r="H1582" s="1" t="s">
        <v>1762</v>
      </c>
      <c r="I1582" t="b">
        <f>COUNTIF(Estadísticas!I:I,'centraldecomunicacion.es'!H1582)&gt;0</f>
        <v>0</v>
      </c>
    </row>
    <row r="1583" spans="1:9" hidden="1">
      <c r="A1583" s="1" t="s">
        <v>6659</v>
      </c>
      <c r="B1583" s="1" t="s">
        <v>10</v>
      </c>
      <c r="C1583" s="1" t="s">
        <v>6660</v>
      </c>
      <c r="D1583" s="1" t="s">
        <v>6635</v>
      </c>
      <c r="E1583" s="1" t="s">
        <v>570</v>
      </c>
      <c r="F1583" s="1" t="s">
        <v>30</v>
      </c>
      <c r="G1583" s="1" t="s">
        <v>6542</v>
      </c>
      <c r="H1583" s="1" t="s">
        <v>1762</v>
      </c>
      <c r="I1583" t="b">
        <f>COUNTIF(Estadísticas!I:I,'centraldecomunicacion.es'!H1583)&gt;0</f>
        <v>0</v>
      </c>
    </row>
    <row r="1584" spans="1:9" hidden="1">
      <c r="A1584" s="1" t="s">
        <v>6661</v>
      </c>
      <c r="B1584" s="1" t="s">
        <v>10</v>
      </c>
      <c r="C1584" s="1" t="s">
        <v>6662</v>
      </c>
      <c r="D1584" s="1" t="s">
        <v>6663</v>
      </c>
      <c r="E1584" s="1" t="s">
        <v>570</v>
      </c>
      <c r="F1584" s="1" t="s">
        <v>30</v>
      </c>
      <c r="G1584" s="1" t="s">
        <v>6664</v>
      </c>
      <c r="H1584" s="1" t="s">
        <v>1762</v>
      </c>
      <c r="I1584" t="b">
        <f>COUNTIF(Estadísticas!I:I,'centraldecomunicacion.es'!H1584)&gt;0</f>
        <v>0</v>
      </c>
    </row>
    <row r="1585" spans="1:9" hidden="1">
      <c r="A1585" s="1" t="s">
        <v>6665</v>
      </c>
      <c r="B1585" s="1" t="s">
        <v>10</v>
      </c>
      <c r="C1585" s="1" t="s">
        <v>6666</v>
      </c>
      <c r="D1585" s="1" t="s">
        <v>6667</v>
      </c>
      <c r="E1585" s="1" t="s">
        <v>570</v>
      </c>
      <c r="F1585" s="1" t="s">
        <v>30</v>
      </c>
      <c r="G1585" s="1" t="s">
        <v>30</v>
      </c>
      <c r="H1585" s="1" t="s">
        <v>1762</v>
      </c>
      <c r="I1585" t="b">
        <f>COUNTIF(Estadísticas!I:I,'centraldecomunicacion.es'!H1585)&gt;0</f>
        <v>0</v>
      </c>
    </row>
    <row r="1586" spans="1:9" hidden="1">
      <c r="A1586" s="1" t="s">
        <v>6668</v>
      </c>
      <c r="B1586" s="1" t="s">
        <v>10</v>
      </c>
      <c r="C1586" s="1" t="s">
        <v>6669</v>
      </c>
      <c r="D1586" s="1" t="s">
        <v>6663</v>
      </c>
      <c r="E1586" s="1" t="s">
        <v>570</v>
      </c>
      <c r="F1586" s="1" t="s">
        <v>30</v>
      </c>
      <c r="G1586" s="1" t="s">
        <v>6670</v>
      </c>
      <c r="H1586" s="1" t="s">
        <v>1762</v>
      </c>
      <c r="I1586" t="b">
        <f>COUNTIF(Estadísticas!I:I,'centraldecomunicacion.es'!H1586)&gt;0</f>
        <v>0</v>
      </c>
    </row>
    <row r="1587" spans="1:9" hidden="1">
      <c r="A1587" s="1" t="s">
        <v>6671</v>
      </c>
      <c r="B1587" s="1" t="s">
        <v>18</v>
      </c>
      <c r="C1587" s="1" t="s">
        <v>6672</v>
      </c>
      <c r="D1587" s="1" t="s">
        <v>6663</v>
      </c>
      <c r="E1587" s="1" t="s">
        <v>570</v>
      </c>
      <c r="F1587" s="1" t="s">
        <v>6408</v>
      </c>
      <c r="G1587" s="1" t="s">
        <v>6673</v>
      </c>
      <c r="H1587" s="1" t="s">
        <v>6410</v>
      </c>
      <c r="I1587" t="b">
        <f>COUNTIF(Estadísticas!I:I,'centraldecomunicacion.es'!H1587)&gt;0</f>
        <v>0</v>
      </c>
    </row>
    <row r="1588" spans="1:9" hidden="1">
      <c r="A1588" s="1" t="s">
        <v>6674</v>
      </c>
      <c r="B1588" s="1" t="s">
        <v>10</v>
      </c>
      <c r="C1588" s="1" t="s">
        <v>6675</v>
      </c>
      <c r="D1588" s="1" t="s">
        <v>6635</v>
      </c>
      <c r="E1588" s="1" t="s">
        <v>570</v>
      </c>
      <c r="F1588" s="1" t="s">
        <v>30</v>
      </c>
      <c r="G1588" s="1" t="s">
        <v>6676</v>
      </c>
      <c r="H1588" s="1" t="s">
        <v>1762</v>
      </c>
      <c r="I1588" t="b">
        <f>COUNTIF(Estadísticas!I:I,'centraldecomunicacion.es'!H1588)&gt;0</f>
        <v>0</v>
      </c>
    </row>
    <row r="1589" spans="1:9" hidden="1">
      <c r="A1589" s="1" t="s">
        <v>6677</v>
      </c>
      <c r="B1589" s="1" t="s">
        <v>10</v>
      </c>
      <c r="C1589" s="1" t="s">
        <v>6678</v>
      </c>
      <c r="D1589" s="1" t="s">
        <v>6679</v>
      </c>
      <c r="E1589" s="1" t="s">
        <v>570</v>
      </c>
      <c r="F1589" s="1" t="s">
        <v>30</v>
      </c>
      <c r="G1589" s="1" t="s">
        <v>6680</v>
      </c>
      <c r="H1589" s="1" t="s">
        <v>1762</v>
      </c>
      <c r="I1589" t="b">
        <f>COUNTIF(Estadísticas!I:I,'centraldecomunicacion.es'!H1589)&gt;0</f>
        <v>0</v>
      </c>
    </row>
    <row r="1590" spans="1:9">
      <c r="A1590" s="1" t="s">
        <v>6681</v>
      </c>
      <c r="B1590" s="1" t="s">
        <v>10</v>
      </c>
      <c r="C1590" s="1" t="s">
        <v>30</v>
      </c>
      <c r="D1590" s="1" t="s">
        <v>586</v>
      </c>
      <c r="E1590" s="1" t="s">
        <v>30</v>
      </c>
      <c r="F1590" s="1" t="s">
        <v>6647</v>
      </c>
      <c r="G1590" s="1" t="s">
        <v>6542</v>
      </c>
      <c r="H1590" s="1" t="s">
        <v>584</v>
      </c>
      <c r="I1590" t="b">
        <f>COUNTIF(Estadísticas!I:I,'centraldecomunicacion.es'!H1590)&gt;0</f>
        <v>1</v>
      </c>
    </row>
    <row r="1591" spans="1:9">
      <c r="A1591" s="1" t="s">
        <v>599</v>
      </c>
      <c r="B1591" s="1" t="s">
        <v>10</v>
      </c>
      <c r="C1591" s="1" t="s">
        <v>600</v>
      </c>
      <c r="D1591" s="1" t="s">
        <v>601</v>
      </c>
      <c r="E1591" s="1" t="s">
        <v>570</v>
      </c>
      <c r="F1591" s="1" t="s">
        <v>602</v>
      </c>
      <c r="G1591" s="1" t="s">
        <v>603</v>
      </c>
      <c r="H1591" s="1" t="s">
        <v>604</v>
      </c>
      <c r="I1591" t="b">
        <f>COUNTIF(Estadísticas!I:I,'centraldecomunicacion.es'!H1591)&gt;0</f>
        <v>1</v>
      </c>
    </row>
    <row r="1592" spans="1:9" hidden="1">
      <c r="A1592" s="1" t="s">
        <v>6682</v>
      </c>
      <c r="B1592" s="1" t="s">
        <v>18</v>
      </c>
      <c r="C1592" s="1" t="s">
        <v>6683</v>
      </c>
      <c r="D1592" s="1" t="s">
        <v>6635</v>
      </c>
      <c r="E1592" s="1" t="s">
        <v>570</v>
      </c>
      <c r="F1592" s="1" t="s">
        <v>6622</v>
      </c>
      <c r="G1592" s="1" t="s">
        <v>6623</v>
      </c>
      <c r="H1592" s="1" t="s">
        <v>1762</v>
      </c>
      <c r="I1592" t="b">
        <f>COUNTIF(Estadísticas!I:I,'centraldecomunicacion.es'!H1592)&gt;0</f>
        <v>0</v>
      </c>
    </row>
    <row r="1593" spans="1:9" hidden="1">
      <c r="A1593" s="1" t="s">
        <v>6411</v>
      </c>
      <c r="B1593" s="1" t="s">
        <v>18</v>
      </c>
      <c r="C1593" s="1" t="s">
        <v>6684</v>
      </c>
      <c r="D1593" s="1" t="s">
        <v>6685</v>
      </c>
      <c r="E1593" s="1" t="s">
        <v>570</v>
      </c>
      <c r="F1593" s="1" t="s">
        <v>6408</v>
      </c>
      <c r="G1593" s="1" t="s">
        <v>6686</v>
      </c>
      <c r="H1593" s="1" t="s">
        <v>6410</v>
      </c>
      <c r="I1593" t="b">
        <f>COUNTIF(Estadísticas!I:I,'centraldecomunicacion.es'!H1593)&gt;0</f>
        <v>0</v>
      </c>
    </row>
    <row r="1594" spans="1:9" hidden="1">
      <c r="A1594" s="1" t="s">
        <v>6687</v>
      </c>
      <c r="B1594" s="1" t="s">
        <v>10</v>
      </c>
      <c r="C1594" s="1" t="s">
        <v>30</v>
      </c>
      <c r="D1594" s="1" t="s">
        <v>586</v>
      </c>
      <c r="E1594" s="1" t="s">
        <v>30</v>
      </c>
      <c r="F1594" s="1" t="s">
        <v>6688</v>
      </c>
      <c r="G1594" s="1" t="s">
        <v>6689</v>
      </c>
      <c r="H1594" s="1" t="s">
        <v>1762</v>
      </c>
      <c r="I1594" t="b">
        <f>COUNTIF(Estadísticas!I:I,'centraldecomunicacion.es'!H1594)&gt;0</f>
        <v>0</v>
      </c>
    </row>
    <row r="1595" spans="1:9" hidden="1">
      <c r="A1595" s="1" t="s">
        <v>6690</v>
      </c>
      <c r="B1595" s="1" t="s">
        <v>10</v>
      </c>
      <c r="C1595" s="1" t="s">
        <v>6691</v>
      </c>
      <c r="D1595" s="1" t="s">
        <v>6692</v>
      </c>
      <c r="E1595" s="1" t="s">
        <v>570</v>
      </c>
      <c r="F1595" s="1" t="s">
        <v>30</v>
      </c>
      <c r="G1595" s="1" t="s">
        <v>30</v>
      </c>
      <c r="H1595" s="1" t="s">
        <v>1762</v>
      </c>
      <c r="I1595" t="b">
        <f>COUNTIF(Estadísticas!I:I,'centraldecomunicacion.es'!H1595)&gt;0</f>
        <v>0</v>
      </c>
    </row>
    <row r="1596" spans="1:9" hidden="1">
      <c r="A1596" s="1" t="s">
        <v>6693</v>
      </c>
      <c r="B1596" s="1" t="s">
        <v>10</v>
      </c>
      <c r="C1596" s="1" t="s">
        <v>6694</v>
      </c>
      <c r="D1596" s="1" t="s">
        <v>6695</v>
      </c>
      <c r="E1596" s="1" t="s">
        <v>570</v>
      </c>
      <c r="F1596" s="1" t="s">
        <v>6696</v>
      </c>
      <c r="G1596" s="1" t="s">
        <v>6697</v>
      </c>
      <c r="H1596" s="1" t="s">
        <v>1783</v>
      </c>
      <c r="I1596" t="b">
        <f>COUNTIF(Estadísticas!I:I,'centraldecomunicacion.es'!H1596)&gt;0</f>
        <v>0</v>
      </c>
    </row>
    <row r="1597" spans="1:9" hidden="1">
      <c r="A1597" s="1" t="s">
        <v>6698</v>
      </c>
      <c r="B1597" s="1" t="s">
        <v>18</v>
      </c>
      <c r="C1597" s="1" t="s">
        <v>6699</v>
      </c>
      <c r="D1597" s="1" t="s">
        <v>6663</v>
      </c>
      <c r="E1597" s="1" t="s">
        <v>570</v>
      </c>
      <c r="F1597" s="1" t="s">
        <v>6700</v>
      </c>
      <c r="G1597" s="1" t="s">
        <v>6701</v>
      </c>
      <c r="H1597" s="1" t="s">
        <v>1783</v>
      </c>
      <c r="I1597" t="b">
        <f>COUNTIF(Estadísticas!I:I,'centraldecomunicacion.es'!H1597)&gt;0</f>
        <v>0</v>
      </c>
    </row>
    <row r="1598" spans="1:9">
      <c r="A1598" s="1" t="s">
        <v>6702</v>
      </c>
      <c r="B1598" s="1" t="s">
        <v>10</v>
      </c>
      <c r="C1598" s="1" t="s">
        <v>30</v>
      </c>
      <c r="D1598" s="1" t="s">
        <v>586</v>
      </c>
      <c r="E1598" s="1" t="s">
        <v>30</v>
      </c>
      <c r="F1598" s="1" t="s">
        <v>6647</v>
      </c>
      <c r="G1598" s="1" t="s">
        <v>6542</v>
      </c>
      <c r="H1598" s="1" t="s">
        <v>584</v>
      </c>
      <c r="I1598" t="b">
        <f>COUNTIF(Estadísticas!I:I,'centraldecomunicacion.es'!H1598)&gt;0</f>
        <v>1</v>
      </c>
    </row>
    <row r="1599" spans="1:9" hidden="1">
      <c r="A1599" s="1" t="s">
        <v>6703</v>
      </c>
      <c r="B1599" s="1" t="s">
        <v>10</v>
      </c>
      <c r="C1599" s="1" t="s">
        <v>30</v>
      </c>
      <c r="D1599" s="1" t="s">
        <v>586</v>
      </c>
      <c r="E1599" s="1" t="s">
        <v>30</v>
      </c>
      <c r="F1599" s="1" t="s">
        <v>6704</v>
      </c>
      <c r="G1599" s="1" t="s">
        <v>6705</v>
      </c>
      <c r="H1599" s="1" t="s">
        <v>1762</v>
      </c>
      <c r="I1599" t="b">
        <f>COUNTIF(Estadísticas!I:I,'centraldecomunicacion.es'!H1599)&gt;0</f>
        <v>0</v>
      </c>
    </row>
    <row r="1600" spans="1:9" hidden="1">
      <c r="A1600" s="1" t="s">
        <v>6706</v>
      </c>
      <c r="B1600" s="1" t="s">
        <v>10</v>
      </c>
      <c r="C1600" s="1" t="s">
        <v>6707</v>
      </c>
      <c r="D1600" s="1" t="s">
        <v>6708</v>
      </c>
      <c r="E1600" s="1" t="s">
        <v>570</v>
      </c>
      <c r="F1600" s="1" t="s">
        <v>30</v>
      </c>
      <c r="G1600" s="1" t="s">
        <v>6709</v>
      </c>
      <c r="H1600" s="1" t="s">
        <v>1762</v>
      </c>
      <c r="I1600" t="b">
        <f>COUNTIF(Estadísticas!I:I,'centraldecomunicacion.es'!H1600)&gt;0</f>
        <v>0</v>
      </c>
    </row>
    <row r="1601" spans="1:9" hidden="1">
      <c r="A1601" s="1" t="s">
        <v>6529</v>
      </c>
      <c r="B1601" s="1" t="s">
        <v>10</v>
      </c>
      <c r="C1601" s="1" t="s">
        <v>6710</v>
      </c>
      <c r="D1601" s="1" t="s">
        <v>6711</v>
      </c>
      <c r="E1601" s="1" t="s">
        <v>570</v>
      </c>
      <c r="F1601" s="1" t="s">
        <v>30</v>
      </c>
      <c r="G1601" s="1" t="s">
        <v>6303</v>
      </c>
      <c r="H1601" s="1" t="s">
        <v>1762</v>
      </c>
      <c r="I1601" t="b">
        <f>COUNTIF(Estadísticas!I:I,'centraldecomunicacion.es'!H1601)&gt;0</f>
        <v>0</v>
      </c>
    </row>
    <row r="1602" spans="1:9" hidden="1">
      <c r="A1602" s="1" t="s">
        <v>6712</v>
      </c>
      <c r="B1602" s="1" t="s">
        <v>10</v>
      </c>
      <c r="C1602" s="1" t="s">
        <v>6713</v>
      </c>
      <c r="D1602" s="1" t="s">
        <v>6685</v>
      </c>
      <c r="E1602" s="1" t="s">
        <v>570</v>
      </c>
      <c r="F1602" s="1" t="s">
        <v>6714</v>
      </c>
      <c r="G1602" s="1" t="s">
        <v>6715</v>
      </c>
      <c r="H1602" s="1" t="s">
        <v>6716</v>
      </c>
      <c r="I1602" t="b">
        <f>COUNTIF(Estadísticas!I:I,'centraldecomunicacion.es'!H1602)&gt;0</f>
        <v>0</v>
      </c>
    </row>
    <row r="1603" spans="1:9" hidden="1">
      <c r="A1603" s="1" t="s">
        <v>6717</v>
      </c>
      <c r="B1603" s="1" t="s">
        <v>10</v>
      </c>
      <c r="C1603" s="1" t="s">
        <v>6718</v>
      </c>
      <c r="D1603" s="1" t="s">
        <v>6692</v>
      </c>
      <c r="E1603" s="1" t="s">
        <v>570</v>
      </c>
      <c r="F1603" s="1" t="s">
        <v>30</v>
      </c>
      <c r="G1603" s="1" t="s">
        <v>6719</v>
      </c>
      <c r="H1603" s="1" t="s">
        <v>1762</v>
      </c>
      <c r="I1603" t="b">
        <f>COUNTIF(Estadísticas!I:I,'centraldecomunicacion.es'!H1603)&gt;0</f>
        <v>0</v>
      </c>
    </row>
    <row r="1604" spans="1:9" hidden="1">
      <c r="A1604" s="1" t="s">
        <v>6720</v>
      </c>
      <c r="B1604" s="1" t="s">
        <v>10</v>
      </c>
      <c r="C1604" s="1" t="s">
        <v>6721</v>
      </c>
      <c r="D1604" s="1" t="s">
        <v>586</v>
      </c>
      <c r="E1604" s="1" t="s">
        <v>570</v>
      </c>
      <c r="F1604" s="1" t="s">
        <v>30</v>
      </c>
      <c r="G1604" s="1" t="s">
        <v>6722</v>
      </c>
      <c r="H1604" s="1" t="s">
        <v>1762</v>
      </c>
      <c r="I1604" t="b">
        <f>COUNTIF(Estadísticas!I:I,'centraldecomunicacion.es'!H1604)&gt;0</f>
        <v>0</v>
      </c>
    </row>
    <row r="1605" spans="1:9" hidden="1">
      <c r="A1605" s="1" t="s">
        <v>6723</v>
      </c>
      <c r="B1605" s="1" t="s">
        <v>10</v>
      </c>
      <c r="C1605" s="1" t="s">
        <v>6724</v>
      </c>
      <c r="D1605" s="1" t="s">
        <v>6711</v>
      </c>
      <c r="E1605" s="1" t="s">
        <v>570</v>
      </c>
      <c r="F1605" s="1" t="s">
        <v>30</v>
      </c>
      <c r="G1605" s="1" t="s">
        <v>6725</v>
      </c>
      <c r="H1605" s="1" t="s">
        <v>1762</v>
      </c>
      <c r="I1605" t="b">
        <f>COUNTIF(Estadísticas!I:I,'centraldecomunicacion.es'!H1605)&gt;0</f>
        <v>0</v>
      </c>
    </row>
    <row r="1606" spans="1:9" hidden="1">
      <c r="A1606" s="1" t="s">
        <v>6726</v>
      </c>
      <c r="B1606" s="1" t="s">
        <v>18</v>
      </c>
      <c r="C1606" s="1" t="s">
        <v>6727</v>
      </c>
      <c r="D1606" s="1" t="s">
        <v>6692</v>
      </c>
      <c r="E1606" s="1" t="s">
        <v>570</v>
      </c>
      <c r="F1606" s="1" t="s">
        <v>30</v>
      </c>
      <c r="G1606" s="1" t="s">
        <v>6728</v>
      </c>
      <c r="H1606" s="1" t="s">
        <v>1762</v>
      </c>
      <c r="I1606" t="b">
        <f>COUNTIF(Estadísticas!I:I,'centraldecomunicacion.es'!H1606)&gt;0</f>
        <v>0</v>
      </c>
    </row>
    <row r="1607" spans="1:9" hidden="1">
      <c r="A1607" s="1" t="s">
        <v>6729</v>
      </c>
      <c r="B1607" s="1" t="s">
        <v>10</v>
      </c>
      <c r="C1607" s="1" t="s">
        <v>6730</v>
      </c>
      <c r="D1607" s="1" t="s">
        <v>6711</v>
      </c>
      <c r="E1607" s="1" t="s">
        <v>570</v>
      </c>
      <c r="F1607" s="1" t="s">
        <v>30</v>
      </c>
      <c r="G1607" s="1" t="s">
        <v>6731</v>
      </c>
      <c r="H1607" s="1" t="s">
        <v>1762</v>
      </c>
      <c r="I1607" t="b">
        <f>COUNTIF(Estadísticas!I:I,'centraldecomunicacion.es'!H1607)&gt;0</f>
        <v>0</v>
      </c>
    </row>
    <row r="1608" spans="1:9" hidden="1">
      <c r="A1608" s="1" t="s">
        <v>6732</v>
      </c>
      <c r="B1608" s="1" t="s">
        <v>10</v>
      </c>
      <c r="C1608" s="1" t="s">
        <v>30</v>
      </c>
      <c r="D1608" s="1" t="s">
        <v>586</v>
      </c>
      <c r="E1608" s="1" t="s">
        <v>30</v>
      </c>
      <c r="F1608" s="1" t="s">
        <v>1830</v>
      </c>
      <c r="G1608" s="1" t="s">
        <v>6733</v>
      </c>
      <c r="H1608" s="1" t="s">
        <v>1762</v>
      </c>
      <c r="I1608" t="b">
        <f>COUNTIF(Estadísticas!I:I,'centraldecomunicacion.es'!H1608)&gt;0</f>
        <v>0</v>
      </c>
    </row>
    <row r="1609" spans="1:9" hidden="1">
      <c r="A1609" s="1" t="s">
        <v>6734</v>
      </c>
      <c r="B1609" s="1" t="s">
        <v>10</v>
      </c>
      <c r="C1609" s="1" t="s">
        <v>6735</v>
      </c>
      <c r="D1609" s="1" t="s">
        <v>6736</v>
      </c>
      <c r="E1609" s="1" t="s">
        <v>570</v>
      </c>
      <c r="F1609" s="1" t="s">
        <v>6737</v>
      </c>
      <c r="G1609" s="1" t="s">
        <v>6738</v>
      </c>
      <c r="H1609" s="1" t="s">
        <v>6739</v>
      </c>
      <c r="I1609" t="b">
        <f>COUNTIF(Estadísticas!I:I,'centraldecomunicacion.es'!H1609)&gt;0</f>
        <v>0</v>
      </c>
    </row>
    <row r="1610" spans="1:9" hidden="1">
      <c r="A1610" s="1" t="s">
        <v>6740</v>
      </c>
      <c r="B1610" s="1" t="s">
        <v>10</v>
      </c>
      <c r="C1610" s="1" t="s">
        <v>6741</v>
      </c>
      <c r="D1610" s="1" t="s">
        <v>6742</v>
      </c>
      <c r="E1610" s="1" t="s">
        <v>570</v>
      </c>
      <c r="F1610" s="1" t="s">
        <v>30</v>
      </c>
      <c r="G1610" s="1" t="s">
        <v>6743</v>
      </c>
      <c r="H1610" s="1" t="s">
        <v>1762</v>
      </c>
      <c r="I1610" t="b">
        <f>COUNTIF(Estadísticas!I:I,'centraldecomunicacion.es'!H1610)&gt;0</f>
        <v>0</v>
      </c>
    </row>
    <row r="1611" spans="1:9">
      <c r="A1611" s="1" t="s">
        <v>605</v>
      </c>
      <c r="B1611" s="1" t="s">
        <v>10</v>
      </c>
      <c r="C1611" s="1" t="s">
        <v>606</v>
      </c>
      <c r="D1611" s="1" t="s">
        <v>607</v>
      </c>
      <c r="E1611" s="1" t="s">
        <v>570</v>
      </c>
      <c r="F1611" s="1" t="s">
        <v>608</v>
      </c>
      <c r="G1611" s="1" t="s">
        <v>609</v>
      </c>
      <c r="H1611" s="1" t="s">
        <v>610</v>
      </c>
      <c r="I1611" t="b">
        <f>COUNTIF(Estadísticas!I:I,'centraldecomunicacion.es'!H1611)&gt;0</f>
        <v>1</v>
      </c>
    </row>
    <row r="1612" spans="1:9" hidden="1">
      <c r="A1612" s="1" t="s">
        <v>6744</v>
      </c>
      <c r="B1612" s="1" t="s">
        <v>10</v>
      </c>
      <c r="C1612" s="1" t="s">
        <v>6745</v>
      </c>
      <c r="D1612" s="1" t="s">
        <v>6746</v>
      </c>
      <c r="E1612" s="1" t="s">
        <v>570</v>
      </c>
      <c r="F1612" s="1" t="s">
        <v>6747</v>
      </c>
      <c r="G1612" s="1" t="s">
        <v>6748</v>
      </c>
      <c r="H1612" s="1" t="s">
        <v>1762</v>
      </c>
      <c r="I1612" t="b">
        <f>COUNTIF(Estadísticas!I:I,'centraldecomunicacion.es'!H1612)&gt;0</f>
        <v>0</v>
      </c>
    </row>
    <row r="1613" spans="1:9" hidden="1">
      <c r="A1613" s="1" t="s">
        <v>6749</v>
      </c>
      <c r="B1613" s="1" t="s">
        <v>10</v>
      </c>
      <c r="C1613" s="1" t="s">
        <v>6750</v>
      </c>
      <c r="D1613" s="1" t="s">
        <v>6751</v>
      </c>
      <c r="E1613" s="1" t="s">
        <v>570</v>
      </c>
      <c r="F1613" s="1" t="s">
        <v>30</v>
      </c>
      <c r="G1613" s="1" t="s">
        <v>6752</v>
      </c>
      <c r="H1613" s="1" t="s">
        <v>1762</v>
      </c>
      <c r="I1613" t="b">
        <f>COUNTIF(Estadísticas!I:I,'centraldecomunicacion.es'!H1613)&gt;0</f>
        <v>0</v>
      </c>
    </row>
    <row r="1614" spans="1:9" hidden="1">
      <c r="A1614" s="1" t="s">
        <v>6753</v>
      </c>
      <c r="B1614" s="1" t="s">
        <v>10</v>
      </c>
      <c r="C1614" s="1" t="s">
        <v>6754</v>
      </c>
      <c r="D1614" s="1" t="s">
        <v>6755</v>
      </c>
      <c r="E1614" s="1" t="s">
        <v>614</v>
      </c>
      <c r="F1614" s="1" t="s">
        <v>6756</v>
      </c>
      <c r="G1614" s="1" t="s">
        <v>6757</v>
      </c>
      <c r="H1614" s="1" t="s">
        <v>1762</v>
      </c>
      <c r="I1614" t="b">
        <f>COUNTIF(Estadísticas!I:I,'centraldecomunicacion.es'!H1614)&gt;0</f>
        <v>0</v>
      </c>
    </row>
    <row r="1615" spans="1:9" hidden="1">
      <c r="A1615" s="1" t="s">
        <v>6758</v>
      </c>
      <c r="B1615" s="1" t="s">
        <v>10</v>
      </c>
      <c r="C1615" s="1" t="s">
        <v>30</v>
      </c>
      <c r="D1615" s="1" t="s">
        <v>648</v>
      </c>
      <c r="E1615" s="1" t="s">
        <v>30</v>
      </c>
      <c r="F1615" s="1" t="s">
        <v>30</v>
      </c>
      <c r="G1615" s="1" t="s">
        <v>6759</v>
      </c>
      <c r="H1615" s="1" t="s">
        <v>1762</v>
      </c>
      <c r="I1615" t="b">
        <f>COUNTIF(Estadísticas!I:I,'centraldecomunicacion.es'!H1615)&gt;0</f>
        <v>0</v>
      </c>
    </row>
    <row r="1616" spans="1:9" hidden="1">
      <c r="A1616" s="1" t="s">
        <v>6760</v>
      </c>
      <c r="B1616" s="1" t="s">
        <v>10</v>
      </c>
      <c r="C1616" s="1" t="s">
        <v>6761</v>
      </c>
      <c r="D1616" s="1" t="s">
        <v>620</v>
      </c>
      <c r="E1616" s="1" t="s">
        <v>614</v>
      </c>
      <c r="F1616" s="1" t="s">
        <v>6762</v>
      </c>
      <c r="G1616" s="1" t="s">
        <v>6763</v>
      </c>
      <c r="H1616" s="1" t="s">
        <v>6764</v>
      </c>
      <c r="I1616" t="b">
        <f>COUNTIF(Estadísticas!I:I,'centraldecomunicacion.es'!H1616)&gt;0</f>
        <v>0</v>
      </c>
    </row>
    <row r="1617" spans="1:9" hidden="1">
      <c r="A1617" s="1" t="s">
        <v>6765</v>
      </c>
      <c r="B1617" s="1" t="s">
        <v>10</v>
      </c>
      <c r="C1617" s="1" t="s">
        <v>6766</v>
      </c>
      <c r="D1617" s="1" t="s">
        <v>6767</v>
      </c>
      <c r="E1617" s="1" t="s">
        <v>614</v>
      </c>
      <c r="F1617" s="1" t="s">
        <v>6768</v>
      </c>
      <c r="G1617" s="1" t="s">
        <v>6769</v>
      </c>
      <c r="H1617" s="1" t="s">
        <v>6770</v>
      </c>
      <c r="I1617" t="b">
        <f>COUNTIF(Estadísticas!I:I,'centraldecomunicacion.es'!H1617)&gt;0</f>
        <v>0</v>
      </c>
    </row>
    <row r="1618" spans="1:9">
      <c r="A1618" s="1" t="s">
        <v>611</v>
      </c>
      <c r="B1618" s="1" t="s">
        <v>10</v>
      </c>
      <c r="C1618" s="1" t="s">
        <v>612</v>
      </c>
      <c r="D1618" s="1" t="s">
        <v>613</v>
      </c>
      <c r="E1618" s="1" t="s">
        <v>614</v>
      </c>
      <c r="F1618" s="1" t="s">
        <v>615</v>
      </c>
      <c r="G1618" s="1" t="s">
        <v>616</v>
      </c>
      <c r="H1618" s="1" t="s">
        <v>617</v>
      </c>
      <c r="I1618" t="b">
        <f>COUNTIF(Estadísticas!I:I,'centraldecomunicacion.es'!H1618)&gt;0</f>
        <v>1</v>
      </c>
    </row>
    <row r="1619" spans="1:9" hidden="1">
      <c r="A1619" s="1" t="s">
        <v>6771</v>
      </c>
      <c r="B1619" s="1" t="s">
        <v>10</v>
      </c>
      <c r="C1619" s="1" t="s">
        <v>6772</v>
      </c>
      <c r="D1619" s="1" t="s">
        <v>620</v>
      </c>
      <c r="E1619" s="1" t="s">
        <v>614</v>
      </c>
      <c r="F1619" s="1" t="s">
        <v>1984</v>
      </c>
      <c r="G1619" s="1" t="s">
        <v>6773</v>
      </c>
      <c r="H1619" s="1" t="s">
        <v>1762</v>
      </c>
      <c r="I1619" t="b">
        <f>COUNTIF(Estadísticas!I:I,'centraldecomunicacion.es'!H1619)&gt;0</f>
        <v>0</v>
      </c>
    </row>
    <row r="1620" spans="1:9" hidden="1">
      <c r="A1620" s="1" t="s">
        <v>6774</v>
      </c>
      <c r="B1620" s="1" t="s">
        <v>10</v>
      </c>
      <c r="C1620" s="1" t="s">
        <v>6775</v>
      </c>
      <c r="D1620" s="1" t="s">
        <v>620</v>
      </c>
      <c r="E1620" s="1" t="s">
        <v>614</v>
      </c>
      <c r="F1620" s="1" t="s">
        <v>6776</v>
      </c>
      <c r="G1620" s="1" t="s">
        <v>6777</v>
      </c>
      <c r="H1620" s="1" t="s">
        <v>6778</v>
      </c>
      <c r="I1620" t="b">
        <f>COUNTIF(Estadísticas!I:I,'centraldecomunicacion.es'!H1620)&gt;0</f>
        <v>0</v>
      </c>
    </row>
    <row r="1621" spans="1:9" hidden="1">
      <c r="A1621" s="1" t="s">
        <v>6779</v>
      </c>
      <c r="B1621" s="1" t="s">
        <v>10</v>
      </c>
      <c r="C1621" s="1" t="s">
        <v>6780</v>
      </c>
      <c r="D1621" s="1" t="s">
        <v>620</v>
      </c>
      <c r="E1621" s="1" t="s">
        <v>614</v>
      </c>
      <c r="F1621" s="1" t="s">
        <v>6781</v>
      </c>
      <c r="G1621" s="1" t="s">
        <v>6782</v>
      </c>
      <c r="H1621" s="1" t="s">
        <v>1762</v>
      </c>
      <c r="I1621" t="b">
        <f>COUNTIF(Estadísticas!I:I,'centraldecomunicacion.es'!H1621)&gt;0</f>
        <v>0</v>
      </c>
    </row>
    <row r="1622" spans="1:9" hidden="1">
      <c r="A1622" s="1" t="s">
        <v>6783</v>
      </c>
      <c r="B1622" s="1" t="s">
        <v>10</v>
      </c>
      <c r="C1622" s="1" t="s">
        <v>6784</v>
      </c>
      <c r="D1622" s="1" t="s">
        <v>6785</v>
      </c>
      <c r="E1622" s="1" t="s">
        <v>614</v>
      </c>
      <c r="F1622" s="1" t="s">
        <v>6786</v>
      </c>
      <c r="G1622" s="1" t="s">
        <v>6787</v>
      </c>
      <c r="H1622" s="1" t="s">
        <v>1762</v>
      </c>
      <c r="I1622" t="b">
        <f>COUNTIF(Estadísticas!I:I,'centraldecomunicacion.es'!H1622)&gt;0</f>
        <v>0</v>
      </c>
    </row>
    <row r="1623" spans="1:9" hidden="1">
      <c r="A1623" s="1" t="s">
        <v>6788</v>
      </c>
      <c r="B1623" s="1" t="s">
        <v>10</v>
      </c>
      <c r="C1623" s="1" t="s">
        <v>6789</v>
      </c>
      <c r="D1623" s="1" t="s">
        <v>620</v>
      </c>
      <c r="E1623" s="1" t="s">
        <v>614</v>
      </c>
      <c r="F1623" s="1" t="s">
        <v>30</v>
      </c>
      <c r="G1623" s="1" t="s">
        <v>6790</v>
      </c>
      <c r="H1623" s="1" t="s">
        <v>1762</v>
      </c>
      <c r="I1623" t="b">
        <f>COUNTIF(Estadísticas!I:I,'centraldecomunicacion.es'!H1623)&gt;0</f>
        <v>0</v>
      </c>
    </row>
    <row r="1624" spans="1:9" hidden="1">
      <c r="A1624" s="1" t="s">
        <v>6791</v>
      </c>
      <c r="B1624" s="1" t="s">
        <v>10</v>
      </c>
      <c r="C1624" s="1" t="s">
        <v>6792</v>
      </c>
      <c r="D1624" s="1" t="s">
        <v>6793</v>
      </c>
      <c r="E1624" s="1" t="s">
        <v>614</v>
      </c>
      <c r="F1624" s="1" t="s">
        <v>6794</v>
      </c>
      <c r="G1624" s="1" t="s">
        <v>6795</v>
      </c>
      <c r="H1624" s="1" t="s">
        <v>6796</v>
      </c>
      <c r="I1624" t="b">
        <f>COUNTIF(Estadísticas!I:I,'centraldecomunicacion.es'!H1624)&gt;0</f>
        <v>0</v>
      </c>
    </row>
    <row r="1625" spans="1:9" hidden="1">
      <c r="A1625" s="1" t="s">
        <v>6797</v>
      </c>
      <c r="B1625" s="1" t="s">
        <v>10</v>
      </c>
      <c r="C1625" s="1" t="s">
        <v>6798</v>
      </c>
      <c r="D1625" s="1" t="s">
        <v>620</v>
      </c>
      <c r="E1625" s="1" t="s">
        <v>614</v>
      </c>
      <c r="F1625" s="1" t="s">
        <v>30</v>
      </c>
      <c r="G1625" s="1" t="s">
        <v>6799</v>
      </c>
      <c r="H1625" s="1" t="s">
        <v>1762</v>
      </c>
      <c r="I1625" t="b">
        <f>COUNTIF(Estadísticas!I:I,'centraldecomunicacion.es'!H1625)&gt;0</f>
        <v>0</v>
      </c>
    </row>
    <row r="1626" spans="1:9" hidden="1">
      <c r="A1626" s="1" t="s">
        <v>6800</v>
      </c>
      <c r="B1626" s="1" t="s">
        <v>10</v>
      </c>
      <c r="C1626" s="1" t="s">
        <v>6801</v>
      </c>
      <c r="D1626" s="1" t="s">
        <v>6802</v>
      </c>
      <c r="E1626" s="1" t="s">
        <v>614</v>
      </c>
      <c r="F1626" s="1" t="s">
        <v>30</v>
      </c>
      <c r="G1626" s="1" t="s">
        <v>6803</v>
      </c>
      <c r="H1626" s="1" t="s">
        <v>1762</v>
      </c>
      <c r="I1626" t="b">
        <f>COUNTIF(Estadísticas!I:I,'centraldecomunicacion.es'!H1626)&gt;0</f>
        <v>0</v>
      </c>
    </row>
    <row r="1627" spans="1:9" hidden="1">
      <c r="A1627" s="1" t="s">
        <v>6804</v>
      </c>
      <c r="B1627" s="1" t="s">
        <v>10</v>
      </c>
      <c r="C1627" s="1" t="s">
        <v>6805</v>
      </c>
      <c r="D1627" s="1" t="s">
        <v>620</v>
      </c>
      <c r="E1627" s="1" t="s">
        <v>614</v>
      </c>
      <c r="F1627" s="1" t="s">
        <v>2692</v>
      </c>
      <c r="G1627" s="1" t="s">
        <v>6806</v>
      </c>
      <c r="H1627" s="1" t="s">
        <v>1762</v>
      </c>
      <c r="I1627" t="b">
        <f>COUNTIF(Estadísticas!I:I,'centraldecomunicacion.es'!H1627)&gt;0</f>
        <v>0</v>
      </c>
    </row>
    <row r="1628" spans="1:9" hidden="1">
      <c r="A1628" s="1" t="s">
        <v>6807</v>
      </c>
      <c r="B1628" s="1" t="s">
        <v>10</v>
      </c>
      <c r="C1628" s="1" t="s">
        <v>6808</v>
      </c>
      <c r="D1628" s="1" t="s">
        <v>6809</v>
      </c>
      <c r="E1628" s="1" t="s">
        <v>614</v>
      </c>
      <c r="F1628" s="1" t="s">
        <v>6810</v>
      </c>
      <c r="G1628" s="1" t="s">
        <v>6811</v>
      </c>
      <c r="H1628" s="1" t="s">
        <v>6812</v>
      </c>
      <c r="I1628" t="b">
        <f>COUNTIF(Estadísticas!I:I,'centraldecomunicacion.es'!H1628)&gt;0</f>
        <v>0</v>
      </c>
    </row>
    <row r="1629" spans="1:9" hidden="1">
      <c r="A1629" s="1" t="s">
        <v>6813</v>
      </c>
      <c r="B1629" s="1" t="s">
        <v>10</v>
      </c>
      <c r="C1629" s="1" t="s">
        <v>6814</v>
      </c>
      <c r="D1629" s="1" t="s">
        <v>6815</v>
      </c>
      <c r="E1629" s="1" t="s">
        <v>614</v>
      </c>
      <c r="F1629" s="1" t="s">
        <v>30</v>
      </c>
      <c r="G1629" s="1" t="s">
        <v>6816</v>
      </c>
      <c r="H1629" s="1" t="s">
        <v>1762</v>
      </c>
      <c r="I1629" t="b">
        <f>COUNTIF(Estadísticas!I:I,'centraldecomunicacion.es'!H1629)&gt;0</f>
        <v>0</v>
      </c>
    </row>
    <row r="1630" spans="1:9">
      <c r="A1630" s="1" t="s">
        <v>618</v>
      </c>
      <c r="B1630" s="1" t="s">
        <v>18</v>
      </c>
      <c r="C1630" s="1" t="s">
        <v>619</v>
      </c>
      <c r="D1630" s="1" t="s">
        <v>620</v>
      </c>
      <c r="E1630" s="1" t="s">
        <v>614</v>
      </c>
      <c r="F1630" s="1" t="s">
        <v>621</v>
      </c>
      <c r="G1630" s="1" t="s">
        <v>622</v>
      </c>
      <c r="H1630" s="1" t="s">
        <v>623</v>
      </c>
      <c r="I1630" t="b">
        <f>COUNTIF(Estadísticas!I:I,'centraldecomunicacion.es'!H1630)&gt;0</f>
        <v>1</v>
      </c>
    </row>
    <row r="1631" spans="1:9" hidden="1">
      <c r="A1631" s="1" t="s">
        <v>6817</v>
      </c>
      <c r="B1631" s="1" t="s">
        <v>10</v>
      </c>
      <c r="C1631" s="1" t="s">
        <v>30</v>
      </c>
      <c r="D1631" s="1" t="s">
        <v>648</v>
      </c>
      <c r="E1631" s="1" t="s">
        <v>30</v>
      </c>
      <c r="F1631" s="1" t="s">
        <v>30</v>
      </c>
      <c r="G1631" s="1" t="s">
        <v>6818</v>
      </c>
      <c r="H1631" s="1" t="s">
        <v>1762</v>
      </c>
      <c r="I1631" t="b">
        <f>COUNTIF(Estadísticas!I:I,'centraldecomunicacion.es'!H1631)&gt;0</f>
        <v>0</v>
      </c>
    </row>
    <row r="1632" spans="1:9" hidden="1">
      <c r="A1632" s="1" t="s">
        <v>6819</v>
      </c>
      <c r="B1632" s="1" t="s">
        <v>10</v>
      </c>
      <c r="C1632" s="1" t="s">
        <v>6820</v>
      </c>
      <c r="D1632" s="1" t="s">
        <v>6785</v>
      </c>
      <c r="E1632" s="1" t="s">
        <v>614</v>
      </c>
      <c r="F1632" s="1" t="s">
        <v>30</v>
      </c>
      <c r="G1632" s="1" t="s">
        <v>6821</v>
      </c>
      <c r="H1632" s="1" t="s">
        <v>1762</v>
      </c>
      <c r="I1632" t="b">
        <f>COUNTIF(Estadísticas!I:I,'centraldecomunicacion.es'!H1632)&gt;0</f>
        <v>0</v>
      </c>
    </row>
    <row r="1633" spans="1:9" hidden="1">
      <c r="A1633" s="1" t="s">
        <v>6822</v>
      </c>
      <c r="B1633" s="1" t="s">
        <v>10</v>
      </c>
      <c r="C1633" s="1" t="s">
        <v>6823</v>
      </c>
      <c r="D1633" s="1" t="s">
        <v>6785</v>
      </c>
      <c r="E1633" s="1" t="s">
        <v>614</v>
      </c>
      <c r="F1633" s="1" t="s">
        <v>30</v>
      </c>
      <c r="G1633" s="1" t="s">
        <v>6824</v>
      </c>
      <c r="H1633" s="1" t="s">
        <v>1762</v>
      </c>
      <c r="I1633" t="b">
        <f>COUNTIF(Estadísticas!I:I,'centraldecomunicacion.es'!H1633)&gt;0</f>
        <v>0</v>
      </c>
    </row>
    <row r="1634" spans="1:9" hidden="1">
      <c r="A1634" s="1" t="s">
        <v>6825</v>
      </c>
      <c r="B1634" s="1" t="s">
        <v>10</v>
      </c>
      <c r="C1634" s="1" t="s">
        <v>6826</v>
      </c>
      <c r="D1634" s="1" t="s">
        <v>6755</v>
      </c>
      <c r="E1634" s="1" t="s">
        <v>614</v>
      </c>
      <c r="F1634" s="1" t="s">
        <v>6827</v>
      </c>
      <c r="G1634" s="1" t="s">
        <v>6828</v>
      </c>
      <c r="H1634" s="1" t="s">
        <v>1762</v>
      </c>
      <c r="I1634" t="b">
        <f>COUNTIF(Estadísticas!I:I,'centraldecomunicacion.es'!H1634)&gt;0</f>
        <v>0</v>
      </c>
    </row>
    <row r="1635" spans="1:9" hidden="1">
      <c r="A1635" s="1" t="s">
        <v>6829</v>
      </c>
      <c r="B1635" s="1" t="s">
        <v>10</v>
      </c>
      <c r="C1635" s="1" t="s">
        <v>6830</v>
      </c>
      <c r="D1635" s="1" t="s">
        <v>6785</v>
      </c>
      <c r="E1635" s="1" t="s">
        <v>614</v>
      </c>
      <c r="F1635" s="1" t="s">
        <v>30</v>
      </c>
      <c r="G1635" s="1" t="s">
        <v>6831</v>
      </c>
      <c r="H1635" s="1" t="s">
        <v>1762</v>
      </c>
      <c r="I1635" t="b">
        <f>COUNTIF(Estadísticas!I:I,'centraldecomunicacion.es'!H1635)&gt;0</f>
        <v>0</v>
      </c>
    </row>
    <row r="1636" spans="1:9" hidden="1">
      <c r="A1636" s="1" t="s">
        <v>6832</v>
      </c>
      <c r="B1636" s="1" t="s">
        <v>18</v>
      </c>
      <c r="C1636" s="1" t="s">
        <v>6833</v>
      </c>
      <c r="D1636" s="1" t="s">
        <v>620</v>
      </c>
      <c r="E1636" s="1" t="s">
        <v>614</v>
      </c>
      <c r="F1636" s="1" t="s">
        <v>4288</v>
      </c>
      <c r="G1636" s="1" t="s">
        <v>6834</v>
      </c>
      <c r="H1636" s="1" t="s">
        <v>4290</v>
      </c>
      <c r="I1636" t="b">
        <f>COUNTIF(Estadísticas!I:I,'centraldecomunicacion.es'!H1636)&gt;0</f>
        <v>0</v>
      </c>
    </row>
    <row r="1637" spans="1:9" hidden="1">
      <c r="A1637" s="1" t="s">
        <v>6835</v>
      </c>
      <c r="B1637" s="1" t="s">
        <v>10</v>
      </c>
      <c r="C1637" s="1" t="s">
        <v>6836</v>
      </c>
      <c r="D1637" s="1" t="s">
        <v>6815</v>
      </c>
      <c r="E1637" s="1" t="s">
        <v>614</v>
      </c>
      <c r="F1637" s="1" t="s">
        <v>30</v>
      </c>
      <c r="G1637" s="1" t="s">
        <v>6837</v>
      </c>
      <c r="H1637" s="1" t="s">
        <v>1762</v>
      </c>
      <c r="I1637" t="b">
        <f>COUNTIF(Estadísticas!I:I,'centraldecomunicacion.es'!H1637)&gt;0</f>
        <v>0</v>
      </c>
    </row>
    <row r="1638" spans="1:9" hidden="1">
      <c r="A1638" s="1" t="s">
        <v>6838</v>
      </c>
      <c r="B1638" s="1" t="s">
        <v>10</v>
      </c>
      <c r="C1638" s="1" t="s">
        <v>6839</v>
      </c>
      <c r="D1638" s="1" t="s">
        <v>6785</v>
      </c>
      <c r="E1638" s="1" t="s">
        <v>614</v>
      </c>
      <c r="F1638" s="1" t="s">
        <v>30</v>
      </c>
      <c r="G1638" s="1" t="s">
        <v>6840</v>
      </c>
      <c r="H1638" s="1" t="s">
        <v>1762</v>
      </c>
      <c r="I1638" t="b">
        <f>COUNTIF(Estadísticas!I:I,'centraldecomunicacion.es'!H1638)&gt;0</f>
        <v>0</v>
      </c>
    </row>
    <row r="1639" spans="1:9" hidden="1">
      <c r="A1639" s="1" t="s">
        <v>6841</v>
      </c>
      <c r="B1639" s="1" t="s">
        <v>10</v>
      </c>
      <c r="C1639" s="1" t="s">
        <v>6842</v>
      </c>
      <c r="D1639" s="1" t="s">
        <v>6843</v>
      </c>
      <c r="E1639" s="1" t="s">
        <v>614</v>
      </c>
      <c r="F1639" s="1" t="s">
        <v>30</v>
      </c>
      <c r="G1639" s="1" t="s">
        <v>6844</v>
      </c>
      <c r="H1639" s="1" t="s">
        <v>1762</v>
      </c>
      <c r="I1639" t="b">
        <f>COUNTIF(Estadísticas!I:I,'centraldecomunicacion.es'!H1639)&gt;0</f>
        <v>0</v>
      </c>
    </row>
    <row r="1640" spans="1:9" hidden="1">
      <c r="A1640" s="1" t="s">
        <v>6845</v>
      </c>
      <c r="B1640" s="1" t="s">
        <v>10</v>
      </c>
      <c r="C1640" s="1" t="s">
        <v>6846</v>
      </c>
      <c r="D1640" s="1" t="s">
        <v>620</v>
      </c>
      <c r="E1640" s="1" t="s">
        <v>614</v>
      </c>
      <c r="F1640" s="1" t="s">
        <v>30</v>
      </c>
      <c r="G1640" s="1" t="s">
        <v>6847</v>
      </c>
      <c r="H1640" s="1" t="s">
        <v>1762</v>
      </c>
      <c r="I1640" t="b">
        <f>COUNTIF(Estadísticas!I:I,'centraldecomunicacion.es'!H1640)&gt;0</f>
        <v>0</v>
      </c>
    </row>
    <row r="1641" spans="1:9">
      <c r="A1641" s="1" t="s">
        <v>624</v>
      </c>
      <c r="B1641" s="1" t="s">
        <v>10</v>
      </c>
      <c r="C1641" s="1" t="s">
        <v>625</v>
      </c>
      <c r="D1641" s="1" t="s">
        <v>626</v>
      </c>
      <c r="E1641" s="1" t="s">
        <v>614</v>
      </c>
      <c r="F1641" s="1" t="s">
        <v>627</v>
      </c>
      <c r="G1641" s="1" t="s">
        <v>628</v>
      </c>
      <c r="H1641" s="1" t="s">
        <v>629</v>
      </c>
      <c r="I1641" t="b">
        <f>COUNTIF(Estadísticas!I:I,'centraldecomunicacion.es'!H1641)&gt;0</f>
        <v>1</v>
      </c>
    </row>
    <row r="1642" spans="1:9" hidden="1">
      <c r="A1642" s="1" t="s">
        <v>6848</v>
      </c>
      <c r="B1642" s="1" t="s">
        <v>10</v>
      </c>
      <c r="C1642" s="1" t="s">
        <v>6849</v>
      </c>
      <c r="D1642" s="1" t="s">
        <v>6793</v>
      </c>
      <c r="E1642" s="1" t="s">
        <v>614</v>
      </c>
      <c r="F1642" s="1" t="s">
        <v>30</v>
      </c>
      <c r="G1642" s="1" t="s">
        <v>6850</v>
      </c>
      <c r="H1642" s="1" t="s">
        <v>1762</v>
      </c>
      <c r="I1642" t="b">
        <f>COUNTIF(Estadísticas!I:I,'centraldecomunicacion.es'!H1642)&gt;0</f>
        <v>0</v>
      </c>
    </row>
    <row r="1643" spans="1:9" hidden="1">
      <c r="A1643" s="1" t="s">
        <v>6851</v>
      </c>
      <c r="B1643" s="1" t="s">
        <v>10</v>
      </c>
      <c r="C1643" s="1" t="s">
        <v>6852</v>
      </c>
      <c r="D1643" s="1" t="s">
        <v>620</v>
      </c>
      <c r="E1643" s="1" t="s">
        <v>614</v>
      </c>
      <c r="F1643" s="1" t="s">
        <v>30</v>
      </c>
      <c r="G1643" s="1" t="s">
        <v>6853</v>
      </c>
      <c r="H1643" s="1" t="s">
        <v>1762</v>
      </c>
      <c r="I1643" t="b">
        <f>COUNTIF(Estadísticas!I:I,'centraldecomunicacion.es'!H1643)&gt;0</f>
        <v>0</v>
      </c>
    </row>
    <row r="1644" spans="1:9" hidden="1">
      <c r="A1644" s="1" t="s">
        <v>6854</v>
      </c>
      <c r="B1644" s="1" t="s">
        <v>10</v>
      </c>
      <c r="C1644" s="1" t="s">
        <v>6855</v>
      </c>
      <c r="D1644" s="1" t="s">
        <v>6856</v>
      </c>
      <c r="E1644" s="1" t="s">
        <v>614</v>
      </c>
      <c r="F1644" s="1" t="s">
        <v>30</v>
      </c>
      <c r="G1644" s="1" t="s">
        <v>6857</v>
      </c>
      <c r="H1644" s="1" t="s">
        <v>1762</v>
      </c>
      <c r="I1644" t="b">
        <f>COUNTIF(Estadísticas!I:I,'centraldecomunicacion.es'!H1644)&gt;0</f>
        <v>0</v>
      </c>
    </row>
    <row r="1645" spans="1:9" hidden="1">
      <c r="A1645" s="1" t="s">
        <v>6858</v>
      </c>
      <c r="B1645" s="1" t="s">
        <v>10</v>
      </c>
      <c r="C1645" s="1" t="s">
        <v>6859</v>
      </c>
      <c r="D1645" s="1" t="s">
        <v>6802</v>
      </c>
      <c r="E1645" s="1" t="s">
        <v>614</v>
      </c>
      <c r="F1645" s="1" t="s">
        <v>30</v>
      </c>
      <c r="G1645" s="1" t="s">
        <v>6860</v>
      </c>
      <c r="H1645" s="1" t="s">
        <v>1762</v>
      </c>
      <c r="I1645" t="b">
        <f>COUNTIF(Estadísticas!I:I,'centraldecomunicacion.es'!H1645)&gt;0</f>
        <v>0</v>
      </c>
    </row>
    <row r="1646" spans="1:9">
      <c r="A1646" s="1" t="s">
        <v>630</v>
      </c>
      <c r="B1646" s="1" t="s">
        <v>10</v>
      </c>
      <c r="C1646" s="1" t="s">
        <v>631</v>
      </c>
      <c r="D1646" s="1" t="s">
        <v>632</v>
      </c>
      <c r="E1646" s="1" t="s">
        <v>614</v>
      </c>
      <c r="F1646" s="1" t="s">
        <v>633</v>
      </c>
      <c r="G1646" s="1" t="s">
        <v>634</v>
      </c>
      <c r="H1646" s="1" t="s">
        <v>635</v>
      </c>
      <c r="I1646" t="b">
        <f>COUNTIF(Estadísticas!I:I,'centraldecomunicacion.es'!H1646)&gt;0</f>
        <v>1</v>
      </c>
    </row>
    <row r="1647" spans="1:9" hidden="1">
      <c r="A1647" s="1" t="s">
        <v>6861</v>
      </c>
      <c r="B1647" s="1" t="s">
        <v>10</v>
      </c>
      <c r="C1647" s="1" t="s">
        <v>6862</v>
      </c>
      <c r="D1647" s="1" t="s">
        <v>620</v>
      </c>
      <c r="E1647" s="1" t="s">
        <v>614</v>
      </c>
      <c r="F1647" s="1" t="s">
        <v>30</v>
      </c>
      <c r="G1647" s="1" t="s">
        <v>6863</v>
      </c>
      <c r="H1647" s="1" t="s">
        <v>1762</v>
      </c>
      <c r="I1647" t="b">
        <f>COUNTIF(Estadísticas!I:I,'centraldecomunicacion.es'!H1647)&gt;0</f>
        <v>0</v>
      </c>
    </row>
    <row r="1648" spans="1:9" hidden="1">
      <c r="A1648" s="1" t="s">
        <v>6864</v>
      </c>
      <c r="B1648" s="1" t="s">
        <v>10</v>
      </c>
      <c r="C1648" s="1" t="s">
        <v>6865</v>
      </c>
      <c r="D1648" s="1" t="s">
        <v>6785</v>
      </c>
      <c r="E1648" s="1" t="s">
        <v>614</v>
      </c>
      <c r="F1648" s="1" t="s">
        <v>30</v>
      </c>
      <c r="G1648" s="1" t="s">
        <v>6866</v>
      </c>
      <c r="H1648" s="1" t="s">
        <v>1762</v>
      </c>
      <c r="I1648" t="b">
        <f>COUNTIF(Estadísticas!I:I,'centraldecomunicacion.es'!H1648)&gt;0</f>
        <v>0</v>
      </c>
    </row>
    <row r="1649" spans="1:9" hidden="1">
      <c r="A1649" s="1" t="s">
        <v>6867</v>
      </c>
      <c r="B1649" s="1" t="s">
        <v>18</v>
      </c>
      <c r="C1649" s="1" t="s">
        <v>6868</v>
      </c>
      <c r="D1649" s="1" t="s">
        <v>6869</v>
      </c>
      <c r="E1649" s="1" t="s">
        <v>614</v>
      </c>
      <c r="F1649" s="1" t="s">
        <v>6870</v>
      </c>
      <c r="G1649" s="1" t="s">
        <v>6871</v>
      </c>
      <c r="H1649" s="1" t="s">
        <v>6872</v>
      </c>
      <c r="I1649" t="b">
        <f>COUNTIF(Estadísticas!I:I,'centraldecomunicacion.es'!H1649)&gt;0</f>
        <v>0</v>
      </c>
    </row>
    <row r="1650" spans="1:9" hidden="1">
      <c r="A1650" s="1" t="s">
        <v>6873</v>
      </c>
      <c r="B1650" s="1" t="s">
        <v>10</v>
      </c>
      <c r="C1650" s="1" t="s">
        <v>6874</v>
      </c>
      <c r="D1650" s="1" t="s">
        <v>6875</v>
      </c>
      <c r="E1650" s="1" t="s">
        <v>614</v>
      </c>
      <c r="F1650" s="1" t="s">
        <v>1984</v>
      </c>
      <c r="G1650" s="1" t="s">
        <v>6876</v>
      </c>
      <c r="H1650" s="1" t="s">
        <v>1762</v>
      </c>
      <c r="I1650" t="b">
        <f>COUNTIF(Estadísticas!I:I,'centraldecomunicacion.es'!H1650)&gt;0</f>
        <v>0</v>
      </c>
    </row>
    <row r="1651" spans="1:9" hidden="1">
      <c r="A1651" s="1" t="s">
        <v>6877</v>
      </c>
      <c r="B1651" s="1" t="s">
        <v>10</v>
      </c>
      <c r="C1651" s="1" t="s">
        <v>6878</v>
      </c>
      <c r="D1651" s="1" t="s">
        <v>6802</v>
      </c>
      <c r="E1651" s="1" t="s">
        <v>614</v>
      </c>
      <c r="F1651" s="1" t="s">
        <v>30</v>
      </c>
      <c r="G1651" s="1" t="s">
        <v>6879</v>
      </c>
      <c r="H1651" s="1" t="s">
        <v>1762</v>
      </c>
      <c r="I1651" t="b">
        <f>COUNTIF(Estadísticas!I:I,'centraldecomunicacion.es'!H1651)&gt;0</f>
        <v>0</v>
      </c>
    </row>
    <row r="1652" spans="1:9">
      <c r="A1652" s="1" t="s">
        <v>618</v>
      </c>
      <c r="B1652" s="1" t="s">
        <v>18</v>
      </c>
      <c r="C1652" s="1" t="s">
        <v>6880</v>
      </c>
      <c r="D1652" s="1" t="s">
        <v>6881</v>
      </c>
      <c r="E1652" s="1" t="s">
        <v>6881</v>
      </c>
      <c r="F1652" s="1" t="s">
        <v>621</v>
      </c>
      <c r="G1652" s="1" t="s">
        <v>6882</v>
      </c>
      <c r="H1652" s="1" t="s">
        <v>623</v>
      </c>
      <c r="I1652" t="b">
        <f>COUNTIF(Estadísticas!I:I,'centraldecomunicacion.es'!H1652)&gt;0</f>
        <v>1</v>
      </c>
    </row>
    <row r="1653" spans="1:9" hidden="1">
      <c r="A1653" s="1" t="s">
        <v>6883</v>
      </c>
      <c r="B1653" s="1" t="s">
        <v>10</v>
      </c>
      <c r="C1653" s="1" t="s">
        <v>6884</v>
      </c>
      <c r="D1653" s="1" t="s">
        <v>6755</v>
      </c>
      <c r="E1653" s="1" t="s">
        <v>614</v>
      </c>
      <c r="F1653" s="1" t="s">
        <v>30</v>
      </c>
      <c r="G1653" s="1" t="s">
        <v>6885</v>
      </c>
      <c r="H1653" s="1" t="s">
        <v>1762</v>
      </c>
      <c r="I1653" t="b">
        <f>COUNTIF(Estadísticas!I:I,'centraldecomunicacion.es'!H1653)&gt;0</f>
        <v>0</v>
      </c>
    </row>
    <row r="1654" spans="1:9" hidden="1">
      <c r="A1654" s="1" t="s">
        <v>6886</v>
      </c>
      <c r="B1654" s="1" t="s">
        <v>10</v>
      </c>
      <c r="C1654" s="1" t="s">
        <v>6887</v>
      </c>
      <c r="D1654" s="1" t="s">
        <v>6888</v>
      </c>
      <c r="E1654" s="1" t="s">
        <v>614</v>
      </c>
      <c r="F1654" s="1" t="s">
        <v>30</v>
      </c>
      <c r="G1654" s="1" t="s">
        <v>6889</v>
      </c>
      <c r="H1654" s="1" t="s">
        <v>1762</v>
      </c>
      <c r="I1654" t="b">
        <f>COUNTIF(Estadísticas!I:I,'centraldecomunicacion.es'!H1654)&gt;0</f>
        <v>0</v>
      </c>
    </row>
    <row r="1655" spans="1:9" hidden="1">
      <c r="A1655" s="1" t="s">
        <v>6890</v>
      </c>
      <c r="B1655" s="1" t="s">
        <v>10</v>
      </c>
      <c r="C1655" s="1" t="s">
        <v>6891</v>
      </c>
      <c r="D1655" s="1" t="s">
        <v>6755</v>
      </c>
      <c r="E1655" s="1" t="s">
        <v>614</v>
      </c>
      <c r="F1655" s="1" t="s">
        <v>30</v>
      </c>
      <c r="G1655" s="1" t="s">
        <v>6892</v>
      </c>
      <c r="H1655" s="1" t="s">
        <v>1762</v>
      </c>
      <c r="I1655" t="b">
        <f>COUNTIF(Estadísticas!I:I,'centraldecomunicacion.es'!H1655)&gt;0</f>
        <v>0</v>
      </c>
    </row>
    <row r="1656" spans="1:9" hidden="1">
      <c r="A1656" s="1" t="s">
        <v>6893</v>
      </c>
      <c r="B1656" s="1" t="s">
        <v>10</v>
      </c>
      <c r="C1656" s="1" t="s">
        <v>6894</v>
      </c>
      <c r="D1656" s="1" t="s">
        <v>620</v>
      </c>
      <c r="E1656" s="1" t="s">
        <v>614</v>
      </c>
      <c r="F1656" s="1" t="s">
        <v>30</v>
      </c>
      <c r="G1656" s="1" t="s">
        <v>6895</v>
      </c>
      <c r="H1656" s="1" t="s">
        <v>1762</v>
      </c>
      <c r="I1656" t="b">
        <f>COUNTIF(Estadísticas!I:I,'centraldecomunicacion.es'!H1656)&gt;0</f>
        <v>0</v>
      </c>
    </row>
    <row r="1657" spans="1:9" hidden="1">
      <c r="A1657" s="1" t="s">
        <v>6896</v>
      </c>
      <c r="B1657" s="1" t="s">
        <v>10</v>
      </c>
      <c r="C1657" s="1" t="s">
        <v>6897</v>
      </c>
      <c r="D1657" s="1" t="s">
        <v>6898</v>
      </c>
      <c r="E1657" s="1" t="s">
        <v>614</v>
      </c>
      <c r="F1657" s="1" t="s">
        <v>6899</v>
      </c>
      <c r="G1657" s="1" t="s">
        <v>6900</v>
      </c>
      <c r="H1657" s="1" t="s">
        <v>6901</v>
      </c>
      <c r="I1657" t="b">
        <f>COUNTIF(Estadísticas!I:I,'centraldecomunicacion.es'!H1657)&gt;0</f>
        <v>0</v>
      </c>
    </row>
    <row r="1658" spans="1:9" hidden="1">
      <c r="A1658" s="1" t="s">
        <v>6902</v>
      </c>
      <c r="B1658" s="1" t="s">
        <v>10</v>
      </c>
      <c r="C1658" s="1" t="s">
        <v>6903</v>
      </c>
      <c r="D1658" s="1" t="s">
        <v>6815</v>
      </c>
      <c r="E1658" s="1" t="s">
        <v>614</v>
      </c>
      <c r="F1658" s="1" t="s">
        <v>30</v>
      </c>
      <c r="G1658" s="1" t="s">
        <v>6904</v>
      </c>
      <c r="H1658" s="1" t="s">
        <v>1762</v>
      </c>
      <c r="I1658" t="b">
        <f>COUNTIF(Estadísticas!I:I,'centraldecomunicacion.es'!H1658)&gt;0</f>
        <v>0</v>
      </c>
    </row>
    <row r="1659" spans="1:9" hidden="1">
      <c r="A1659" s="1" t="s">
        <v>6905</v>
      </c>
      <c r="B1659" s="1" t="s">
        <v>10</v>
      </c>
      <c r="C1659" s="1" t="s">
        <v>6906</v>
      </c>
      <c r="D1659" s="1" t="s">
        <v>6785</v>
      </c>
      <c r="E1659" s="1" t="s">
        <v>614</v>
      </c>
      <c r="F1659" s="1" t="s">
        <v>30</v>
      </c>
      <c r="G1659" s="1" t="s">
        <v>30</v>
      </c>
      <c r="H1659" s="1" t="s">
        <v>1762</v>
      </c>
      <c r="I1659" t="b">
        <f>COUNTIF(Estadísticas!I:I,'centraldecomunicacion.es'!H1659)&gt;0</f>
        <v>0</v>
      </c>
    </row>
    <row r="1660" spans="1:9" hidden="1">
      <c r="A1660" s="1" t="s">
        <v>6907</v>
      </c>
      <c r="B1660" s="1" t="s">
        <v>10</v>
      </c>
      <c r="C1660" s="1" t="s">
        <v>6908</v>
      </c>
      <c r="D1660" s="1" t="s">
        <v>6909</v>
      </c>
      <c r="E1660" s="1" t="s">
        <v>614</v>
      </c>
      <c r="F1660" s="1" t="s">
        <v>30</v>
      </c>
      <c r="G1660" s="1" t="s">
        <v>30</v>
      </c>
      <c r="H1660" s="1" t="s">
        <v>1762</v>
      </c>
      <c r="I1660" t="b">
        <f>COUNTIF(Estadísticas!I:I,'centraldecomunicacion.es'!H1660)&gt;0</f>
        <v>0</v>
      </c>
    </row>
    <row r="1661" spans="1:9" hidden="1">
      <c r="A1661" s="1" t="s">
        <v>6910</v>
      </c>
      <c r="B1661" s="1" t="s">
        <v>10</v>
      </c>
      <c r="C1661" s="1" t="s">
        <v>6911</v>
      </c>
      <c r="D1661" s="1" t="s">
        <v>6869</v>
      </c>
      <c r="E1661" s="1" t="s">
        <v>614</v>
      </c>
      <c r="F1661" s="1" t="s">
        <v>30</v>
      </c>
      <c r="G1661" s="1" t="s">
        <v>6912</v>
      </c>
      <c r="H1661" s="1" t="s">
        <v>1762</v>
      </c>
      <c r="I1661" t="b">
        <f>COUNTIF(Estadísticas!I:I,'centraldecomunicacion.es'!H1661)&gt;0</f>
        <v>0</v>
      </c>
    </row>
    <row r="1662" spans="1:9" hidden="1">
      <c r="A1662" s="1" t="s">
        <v>6913</v>
      </c>
      <c r="B1662" s="1" t="s">
        <v>10</v>
      </c>
      <c r="C1662" s="1" t="s">
        <v>6914</v>
      </c>
      <c r="D1662" s="1" t="s">
        <v>648</v>
      </c>
      <c r="E1662" s="1" t="s">
        <v>6915</v>
      </c>
      <c r="F1662" s="1" t="s">
        <v>30</v>
      </c>
      <c r="G1662" s="1" t="s">
        <v>6916</v>
      </c>
      <c r="H1662" s="1" t="s">
        <v>1762</v>
      </c>
      <c r="I1662" t="b">
        <f>COUNTIF(Estadísticas!I:I,'centraldecomunicacion.es'!H1662)&gt;0</f>
        <v>0</v>
      </c>
    </row>
    <row r="1663" spans="1:9" hidden="1">
      <c r="A1663" s="1" t="s">
        <v>6917</v>
      </c>
      <c r="B1663" s="1" t="s">
        <v>10</v>
      </c>
      <c r="C1663" s="1" t="s">
        <v>6918</v>
      </c>
      <c r="D1663" s="1" t="s">
        <v>6919</v>
      </c>
      <c r="E1663" s="1" t="s">
        <v>614</v>
      </c>
      <c r="F1663" s="1" t="s">
        <v>30</v>
      </c>
      <c r="G1663" s="1" t="s">
        <v>6920</v>
      </c>
      <c r="H1663" s="1" t="s">
        <v>1762</v>
      </c>
      <c r="I1663" t="b">
        <f>COUNTIF(Estadísticas!I:I,'centraldecomunicacion.es'!H1663)&gt;0</f>
        <v>0</v>
      </c>
    </row>
    <row r="1664" spans="1:9" hidden="1">
      <c r="A1664" s="1" t="s">
        <v>6921</v>
      </c>
      <c r="B1664" s="1" t="s">
        <v>10</v>
      </c>
      <c r="C1664" s="1" t="s">
        <v>30</v>
      </c>
      <c r="D1664" s="1" t="s">
        <v>648</v>
      </c>
      <c r="E1664" s="1" t="s">
        <v>30</v>
      </c>
      <c r="F1664" s="1" t="s">
        <v>30</v>
      </c>
      <c r="G1664" s="1" t="s">
        <v>6922</v>
      </c>
      <c r="H1664" s="1" t="s">
        <v>1762</v>
      </c>
      <c r="I1664" t="b">
        <f>COUNTIF(Estadísticas!I:I,'centraldecomunicacion.es'!H1664)&gt;0</f>
        <v>0</v>
      </c>
    </row>
    <row r="1665" spans="1:9" hidden="1">
      <c r="A1665" s="1" t="s">
        <v>6923</v>
      </c>
      <c r="B1665" s="1" t="s">
        <v>10</v>
      </c>
      <c r="C1665" s="1" t="s">
        <v>6924</v>
      </c>
      <c r="D1665" s="1" t="s">
        <v>6925</v>
      </c>
      <c r="E1665" s="1" t="s">
        <v>614</v>
      </c>
      <c r="F1665" s="1" t="s">
        <v>30</v>
      </c>
      <c r="G1665" s="1" t="s">
        <v>6926</v>
      </c>
      <c r="H1665" s="1" t="s">
        <v>1762</v>
      </c>
      <c r="I1665" t="b">
        <f>COUNTIF(Estadísticas!I:I,'centraldecomunicacion.es'!H1665)&gt;0</f>
        <v>0</v>
      </c>
    </row>
    <row r="1666" spans="1:9" hidden="1">
      <c r="A1666" s="1" t="s">
        <v>6927</v>
      </c>
      <c r="B1666" s="1" t="s">
        <v>10</v>
      </c>
      <c r="C1666" s="1" t="s">
        <v>6928</v>
      </c>
      <c r="D1666" s="1" t="s">
        <v>620</v>
      </c>
      <c r="E1666" s="1" t="s">
        <v>614</v>
      </c>
      <c r="F1666" s="1" t="s">
        <v>30</v>
      </c>
      <c r="G1666" s="1" t="s">
        <v>6929</v>
      </c>
      <c r="H1666" s="1" t="s">
        <v>1762</v>
      </c>
      <c r="I1666" t="b">
        <f>COUNTIF(Estadísticas!I:I,'centraldecomunicacion.es'!H1666)&gt;0</f>
        <v>0</v>
      </c>
    </row>
    <row r="1667" spans="1:9" hidden="1">
      <c r="A1667" s="1" t="s">
        <v>6930</v>
      </c>
      <c r="B1667" s="1" t="s">
        <v>10</v>
      </c>
      <c r="C1667" s="1" t="s">
        <v>6931</v>
      </c>
      <c r="D1667" s="1" t="s">
        <v>620</v>
      </c>
      <c r="E1667" s="1" t="s">
        <v>614</v>
      </c>
      <c r="F1667" s="1" t="s">
        <v>30</v>
      </c>
      <c r="G1667" s="1" t="s">
        <v>30</v>
      </c>
      <c r="H1667" s="1" t="s">
        <v>1762</v>
      </c>
      <c r="I1667" t="b">
        <f>COUNTIF(Estadísticas!I:I,'centraldecomunicacion.es'!H1667)&gt;0</f>
        <v>0</v>
      </c>
    </row>
    <row r="1668" spans="1:9" hidden="1">
      <c r="A1668" s="1" t="s">
        <v>6932</v>
      </c>
      <c r="B1668" s="1" t="s">
        <v>10</v>
      </c>
      <c r="C1668" s="1" t="s">
        <v>6933</v>
      </c>
      <c r="D1668" s="1" t="s">
        <v>6869</v>
      </c>
      <c r="E1668" s="1" t="s">
        <v>614</v>
      </c>
      <c r="F1668" s="1" t="s">
        <v>6934</v>
      </c>
      <c r="G1668" s="1" t="s">
        <v>6935</v>
      </c>
      <c r="H1668" s="1" t="s">
        <v>1783</v>
      </c>
      <c r="I1668" t="b">
        <f>COUNTIF(Estadísticas!I:I,'centraldecomunicacion.es'!H1668)&gt;0</f>
        <v>0</v>
      </c>
    </row>
    <row r="1669" spans="1:9" hidden="1">
      <c r="A1669" s="1" t="s">
        <v>6936</v>
      </c>
      <c r="B1669" s="1" t="s">
        <v>10</v>
      </c>
      <c r="C1669" s="1" t="s">
        <v>6937</v>
      </c>
      <c r="D1669" s="1" t="s">
        <v>6938</v>
      </c>
      <c r="E1669" s="1" t="s">
        <v>614</v>
      </c>
      <c r="F1669" s="1" t="s">
        <v>30</v>
      </c>
      <c r="G1669" s="1" t="s">
        <v>6939</v>
      </c>
      <c r="H1669" s="1" t="s">
        <v>1762</v>
      </c>
      <c r="I1669" t="b">
        <f>COUNTIF(Estadísticas!I:I,'centraldecomunicacion.es'!H1669)&gt;0</f>
        <v>0</v>
      </c>
    </row>
    <row r="1670" spans="1:9" hidden="1">
      <c r="A1670" s="1" t="s">
        <v>6940</v>
      </c>
      <c r="B1670" s="1" t="s">
        <v>10</v>
      </c>
      <c r="C1670" s="1" t="s">
        <v>6941</v>
      </c>
      <c r="D1670" s="1" t="s">
        <v>6793</v>
      </c>
      <c r="E1670" s="1" t="s">
        <v>614</v>
      </c>
      <c r="F1670" s="1" t="s">
        <v>30</v>
      </c>
      <c r="G1670" s="1" t="s">
        <v>30</v>
      </c>
      <c r="H1670" s="1" t="s">
        <v>1762</v>
      </c>
      <c r="I1670" t="b">
        <f>COUNTIF(Estadísticas!I:I,'centraldecomunicacion.es'!H1670)&gt;0</f>
        <v>0</v>
      </c>
    </row>
    <row r="1671" spans="1:9" hidden="1">
      <c r="A1671" s="1" t="s">
        <v>6942</v>
      </c>
      <c r="B1671" s="1" t="s">
        <v>10</v>
      </c>
      <c r="C1671" s="1" t="s">
        <v>6943</v>
      </c>
      <c r="D1671" s="1" t="s">
        <v>6944</v>
      </c>
      <c r="E1671" s="1" t="s">
        <v>614</v>
      </c>
      <c r="F1671" s="1" t="s">
        <v>30</v>
      </c>
      <c r="G1671" s="1" t="s">
        <v>30</v>
      </c>
      <c r="H1671" s="1" t="s">
        <v>1762</v>
      </c>
      <c r="I1671" t="b">
        <f>COUNTIF(Estadísticas!I:I,'centraldecomunicacion.es'!H1671)&gt;0</f>
        <v>0</v>
      </c>
    </row>
    <row r="1672" spans="1:9" hidden="1">
      <c r="A1672" s="1" t="s">
        <v>6945</v>
      </c>
      <c r="B1672" s="1" t="s">
        <v>10</v>
      </c>
      <c r="C1672" s="1" t="s">
        <v>6946</v>
      </c>
      <c r="D1672" s="1" t="s">
        <v>620</v>
      </c>
      <c r="E1672" s="1" t="s">
        <v>614</v>
      </c>
      <c r="F1672" s="1" t="s">
        <v>30</v>
      </c>
      <c r="G1672" s="1" t="s">
        <v>6947</v>
      </c>
      <c r="H1672" s="1" t="s">
        <v>1762</v>
      </c>
      <c r="I1672" t="b">
        <f>COUNTIF(Estadísticas!I:I,'centraldecomunicacion.es'!H1672)&gt;0</f>
        <v>0</v>
      </c>
    </row>
    <row r="1673" spans="1:9" hidden="1">
      <c r="A1673" s="1" t="s">
        <v>6948</v>
      </c>
      <c r="B1673" s="1" t="s">
        <v>10</v>
      </c>
      <c r="C1673" s="1" t="s">
        <v>6949</v>
      </c>
      <c r="D1673" s="1" t="s">
        <v>620</v>
      </c>
      <c r="E1673" s="1" t="s">
        <v>614</v>
      </c>
      <c r="F1673" s="1" t="s">
        <v>30</v>
      </c>
      <c r="G1673" s="1" t="s">
        <v>6950</v>
      </c>
      <c r="H1673" s="1" t="s">
        <v>1762</v>
      </c>
      <c r="I1673" t="b">
        <f>COUNTIF(Estadísticas!I:I,'centraldecomunicacion.es'!H1673)&gt;0</f>
        <v>0</v>
      </c>
    </row>
    <row r="1674" spans="1:9" hidden="1">
      <c r="A1674" s="1" t="s">
        <v>6951</v>
      </c>
      <c r="B1674" s="1" t="s">
        <v>10</v>
      </c>
      <c r="C1674" s="1" t="s">
        <v>6952</v>
      </c>
      <c r="D1674" s="1" t="s">
        <v>613</v>
      </c>
      <c r="E1674" s="1" t="s">
        <v>614</v>
      </c>
      <c r="F1674" s="1" t="s">
        <v>30</v>
      </c>
      <c r="G1674" s="1" t="s">
        <v>6953</v>
      </c>
      <c r="H1674" s="1" t="s">
        <v>1762</v>
      </c>
      <c r="I1674" t="b">
        <f>COUNTIF(Estadísticas!I:I,'centraldecomunicacion.es'!H1674)&gt;0</f>
        <v>0</v>
      </c>
    </row>
    <row r="1675" spans="1:9">
      <c r="A1675" s="1" t="s">
        <v>636</v>
      </c>
      <c r="B1675" s="1" t="s">
        <v>10</v>
      </c>
      <c r="C1675" s="1" t="s">
        <v>637</v>
      </c>
      <c r="D1675" s="1" t="s">
        <v>620</v>
      </c>
      <c r="E1675" s="1" t="s">
        <v>614</v>
      </c>
      <c r="F1675" s="1" t="s">
        <v>638</v>
      </c>
      <c r="G1675" s="1" t="s">
        <v>639</v>
      </c>
      <c r="H1675" s="1" t="s">
        <v>640</v>
      </c>
      <c r="I1675" t="b">
        <f>COUNTIF(Estadísticas!I:I,'centraldecomunicacion.es'!H1675)&gt;0</f>
        <v>1</v>
      </c>
    </row>
    <row r="1676" spans="1:9" hidden="1">
      <c r="A1676" s="1" t="s">
        <v>6954</v>
      </c>
      <c r="B1676" s="1" t="s">
        <v>10</v>
      </c>
      <c r="C1676" s="1" t="s">
        <v>6955</v>
      </c>
      <c r="D1676" s="1" t="s">
        <v>6956</v>
      </c>
      <c r="E1676" s="1" t="s">
        <v>614</v>
      </c>
      <c r="F1676" s="1" t="s">
        <v>30</v>
      </c>
      <c r="G1676" s="1" t="s">
        <v>6957</v>
      </c>
      <c r="H1676" s="1" t="s">
        <v>1762</v>
      </c>
      <c r="I1676" t="b">
        <f>COUNTIF(Estadísticas!I:I,'centraldecomunicacion.es'!H1676)&gt;0</f>
        <v>0</v>
      </c>
    </row>
    <row r="1677" spans="1:9" hidden="1">
      <c r="A1677" s="1" t="s">
        <v>6958</v>
      </c>
      <c r="B1677" s="1" t="s">
        <v>10</v>
      </c>
      <c r="C1677" s="1" t="s">
        <v>6959</v>
      </c>
      <c r="D1677" s="1" t="s">
        <v>6960</v>
      </c>
      <c r="E1677" s="1" t="s">
        <v>614</v>
      </c>
      <c r="F1677" s="1" t="s">
        <v>30</v>
      </c>
      <c r="G1677" s="1" t="s">
        <v>6961</v>
      </c>
      <c r="H1677" s="1" t="s">
        <v>1762</v>
      </c>
      <c r="I1677" t="b">
        <f>COUNTIF(Estadísticas!I:I,'centraldecomunicacion.es'!H1677)&gt;0</f>
        <v>0</v>
      </c>
    </row>
    <row r="1678" spans="1:9" hidden="1">
      <c r="A1678" s="1" t="s">
        <v>6962</v>
      </c>
      <c r="B1678" s="1" t="s">
        <v>10</v>
      </c>
      <c r="C1678" s="1" t="s">
        <v>6963</v>
      </c>
      <c r="D1678" s="1" t="s">
        <v>648</v>
      </c>
      <c r="E1678" s="1" t="s">
        <v>6964</v>
      </c>
      <c r="F1678" s="1" t="s">
        <v>30</v>
      </c>
      <c r="G1678" s="1" t="s">
        <v>6965</v>
      </c>
      <c r="H1678" s="1" t="s">
        <v>1762</v>
      </c>
      <c r="I1678" t="b">
        <f>COUNTIF(Estadísticas!I:I,'centraldecomunicacion.es'!H1678)&gt;0</f>
        <v>0</v>
      </c>
    </row>
    <row r="1679" spans="1:9" hidden="1">
      <c r="A1679" s="1" t="s">
        <v>6966</v>
      </c>
      <c r="B1679" s="1" t="s">
        <v>10</v>
      </c>
      <c r="C1679" s="1" t="s">
        <v>6967</v>
      </c>
      <c r="D1679" s="1" t="s">
        <v>6755</v>
      </c>
      <c r="E1679" s="1" t="s">
        <v>614</v>
      </c>
      <c r="F1679" s="1" t="s">
        <v>30</v>
      </c>
      <c r="G1679" s="1" t="s">
        <v>6968</v>
      </c>
      <c r="H1679" s="1" t="s">
        <v>1762</v>
      </c>
      <c r="I1679" t="b">
        <f>COUNTIF(Estadísticas!I:I,'centraldecomunicacion.es'!H1679)&gt;0</f>
        <v>0</v>
      </c>
    </row>
    <row r="1680" spans="1:9" hidden="1">
      <c r="A1680" s="1" t="s">
        <v>6969</v>
      </c>
      <c r="B1680" s="1" t="s">
        <v>10</v>
      </c>
      <c r="C1680" s="1" t="s">
        <v>6970</v>
      </c>
      <c r="D1680" s="1" t="s">
        <v>6802</v>
      </c>
      <c r="E1680" s="1" t="s">
        <v>614</v>
      </c>
      <c r="F1680" s="1" t="s">
        <v>30</v>
      </c>
      <c r="G1680" s="1" t="s">
        <v>6971</v>
      </c>
      <c r="H1680" s="1" t="s">
        <v>1762</v>
      </c>
      <c r="I1680" t="b">
        <f>COUNTIF(Estadísticas!I:I,'centraldecomunicacion.es'!H1680)&gt;0</f>
        <v>0</v>
      </c>
    </row>
    <row r="1681" spans="1:9" hidden="1">
      <c r="A1681" s="1" t="s">
        <v>6972</v>
      </c>
      <c r="B1681" s="1" t="s">
        <v>10</v>
      </c>
      <c r="C1681" s="1" t="s">
        <v>6973</v>
      </c>
      <c r="D1681" s="1" t="s">
        <v>6974</v>
      </c>
      <c r="E1681" s="1" t="s">
        <v>614</v>
      </c>
      <c r="F1681" s="1" t="s">
        <v>30</v>
      </c>
      <c r="G1681" s="1" t="s">
        <v>6975</v>
      </c>
      <c r="H1681" s="1" t="s">
        <v>1762</v>
      </c>
      <c r="I1681" t="b">
        <f>COUNTIF(Estadísticas!I:I,'centraldecomunicacion.es'!H1681)&gt;0</f>
        <v>0</v>
      </c>
    </row>
    <row r="1682" spans="1:9" hidden="1">
      <c r="A1682" s="1" t="s">
        <v>6976</v>
      </c>
      <c r="B1682" s="1" t="s">
        <v>10</v>
      </c>
      <c r="C1682" s="1" t="s">
        <v>6977</v>
      </c>
      <c r="D1682" s="1" t="s">
        <v>620</v>
      </c>
      <c r="E1682" s="1" t="s">
        <v>614</v>
      </c>
      <c r="F1682" s="1" t="s">
        <v>30</v>
      </c>
      <c r="G1682" s="1" t="s">
        <v>6978</v>
      </c>
      <c r="H1682" s="1" t="s">
        <v>1762</v>
      </c>
      <c r="I1682" t="b">
        <f>COUNTIF(Estadísticas!I:I,'centraldecomunicacion.es'!H1682)&gt;0</f>
        <v>0</v>
      </c>
    </row>
    <row r="1683" spans="1:9" hidden="1">
      <c r="A1683" s="1" t="s">
        <v>6979</v>
      </c>
      <c r="B1683" s="1" t="s">
        <v>10</v>
      </c>
      <c r="C1683" s="1" t="s">
        <v>6980</v>
      </c>
      <c r="D1683" s="1" t="s">
        <v>620</v>
      </c>
      <c r="E1683" s="1" t="s">
        <v>614</v>
      </c>
      <c r="F1683" s="1" t="s">
        <v>30</v>
      </c>
      <c r="G1683" s="1" t="s">
        <v>6981</v>
      </c>
      <c r="H1683" s="1" t="s">
        <v>1762</v>
      </c>
      <c r="I1683" t="b">
        <f>COUNTIF(Estadísticas!I:I,'centraldecomunicacion.es'!H1683)&gt;0</f>
        <v>0</v>
      </c>
    </row>
    <row r="1684" spans="1:9" hidden="1">
      <c r="A1684" s="1" t="s">
        <v>6982</v>
      </c>
      <c r="B1684" s="1" t="s">
        <v>10</v>
      </c>
      <c r="C1684" s="1" t="s">
        <v>6983</v>
      </c>
      <c r="D1684" s="1" t="s">
        <v>620</v>
      </c>
      <c r="E1684" s="1" t="s">
        <v>614</v>
      </c>
      <c r="F1684" s="1" t="s">
        <v>30</v>
      </c>
      <c r="G1684" s="1" t="s">
        <v>6984</v>
      </c>
      <c r="H1684" s="1" t="s">
        <v>1762</v>
      </c>
      <c r="I1684" t="b">
        <f>COUNTIF(Estadísticas!I:I,'centraldecomunicacion.es'!H1684)&gt;0</f>
        <v>0</v>
      </c>
    </row>
    <row r="1685" spans="1:9" hidden="1">
      <c r="A1685" s="1" t="s">
        <v>6985</v>
      </c>
      <c r="B1685" s="1" t="s">
        <v>10</v>
      </c>
      <c r="C1685" s="1" t="s">
        <v>6986</v>
      </c>
      <c r="D1685" s="1" t="s">
        <v>6987</v>
      </c>
      <c r="E1685" s="1" t="s">
        <v>614</v>
      </c>
      <c r="F1685" s="1" t="s">
        <v>30</v>
      </c>
      <c r="G1685" s="1" t="s">
        <v>30</v>
      </c>
      <c r="H1685" s="1" t="s">
        <v>1762</v>
      </c>
      <c r="I1685" t="b">
        <f>COUNTIF(Estadísticas!I:I,'centraldecomunicacion.es'!H1685)&gt;0</f>
        <v>0</v>
      </c>
    </row>
    <row r="1686" spans="1:9" hidden="1">
      <c r="A1686" s="1" t="s">
        <v>6988</v>
      </c>
      <c r="B1686" s="1" t="s">
        <v>10</v>
      </c>
      <c r="C1686" s="1" t="s">
        <v>6989</v>
      </c>
      <c r="D1686" s="1" t="s">
        <v>6869</v>
      </c>
      <c r="E1686" s="1" t="s">
        <v>614</v>
      </c>
      <c r="F1686" s="1" t="s">
        <v>30</v>
      </c>
      <c r="G1686" s="1" t="s">
        <v>6990</v>
      </c>
      <c r="H1686" s="1" t="s">
        <v>1762</v>
      </c>
      <c r="I1686" t="b">
        <f>COUNTIF(Estadísticas!I:I,'centraldecomunicacion.es'!H1686)&gt;0</f>
        <v>0</v>
      </c>
    </row>
    <row r="1687" spans="1:9" hidden="1">
      <c r="A1687" s="1" t="s">
        <v>6991</v>
      </c>
      <c r="B1687" s="1" t="s">
        <v>10</v>
      </c>
      <c r="C1687" s="1" t="s">
        <v>6992</v>
      </c>
      <c r="D1687" s="1" t="s">
        <v>620</v>
      </c>
      <c r="E1687" s="1" t="s">
        <v>614</v>
      </c>
      <c r="F1687" s="1" t="s">
        <v>30</v>
      </c>
      <c r="G1687" s="1" t="s">
        <v>6993</v>
      </c>
      <c r="H1687" s="1" t="s">
        <v>1762</v>
      </c>
      <c r="I1687" t="b">
        <f>COUNTIF(Estadísticas!I:I,'centraldecomunicacion.es'!H1687)&gt;0</f>
        <v>0</v>
      </c>
    </row>
    <row r="1688" spans="1:9" hidden="1">
      <c r="A1688" s="1" t="s">
        <v>6994</v>
      </c>
      <c r="B1688" s="1" t="s">
        <v>10</v>
      </c>
      <c r="C1688" s="1" t="s">
        <v>6995</v>
      </c>
      <c r="D1688" s="1" t="s">
        <v>6996</v>
      </c>
      <c r="E1688" s="1" t="s">
        <v>614</v>
      </c>
      <c r="F1688" s="1" t="s">
        <v>30</v>
      </c>
      <c r="G1688" s="1" t="s">
        <v>30</v>
      </c>
      <c r="H1688" s="1" t="s">
        <v>1762</v>
      </c>
      <c r="I1688" t="b">
        <f>COUNTIF(Estadísticas!I:I,'centraldecomunicacion.es'!H1688)&gt;0</f>
        <v>0</v>
      </c>
    </row>
    <row r="1689" spans="1:9" hidden="1">
      <c r="A1689" s="1" t="s">
        <v>6997</v>
      </c>
      <c r="B1689" s="1" t="s">
        <v>10</v>
      </c>
      <c r="C1689" s="1" t="s">
        <v>6998</v>
      </c>
      <c r="D1689" s="1" t="s">
        <v>6898</v>
      </c>
      <c r="E1689" s="1" t="s">
        <v>614</v>
      </c>
      <c r="F1689" s="1" t="s">
        <v>30</v>
      </c>
      <c r="G1689" s="1" t="s">
        <v>6999</v>
      </c>
      <c r="H1689" s="1" t="s">
        <v>1762</v>
      </c>
      <c r="I1689" t="b">
        <f>COUNTIF(Estadísticas!I:I,'centraldecomunicacion.es'!H1689)&gt;0</f>
        <v>0</v>
      </c>
    </row>
    <row r="1690" spans="1:9" hidden="1">
      <c r="A1690" s="1" t="s">
        <v>7000</v>
      </c>
      <c r="B1690" s="1" t="s">
        <v>10</v>
      </c>
      <c r="C1690" s="1" t="s">
        <v>7001</v>
      </c>
      <c r="D1690" s="1" t="s">
        <v>7002</v>
      </c>
      <c r="E1690" s="1" t="s">
        <v>614</v>
      </c>
      <c r="F1690" s="1" t="s">
        <v>30</v>
      </c>
      <c r="G1690" s="1" t="s">
        <v>7003</v>
      </c>
      <c r="H1690" s="1" t="s">
        <v>1762</v>
      </c>
      <c r="I1690" t="b">
        <f>COUNTIF(Estadísticas!I:I,'centraldecomunicacion.es'!H1690)&gt;0</f>
        <v>0</v>
      </c>
    </row>
    <row r="1691" spans="1:9">
      <c r="A1691" s="1" t="s">
        <v>641</v>
      </c>
      <c r="B1691" s="1" t="s">
        <v>18</v>
      </c>
      <c r="C1691" s="1" t="s">
        <v>642</v>
      </c>
      <c r="D1691" s="1" t="s">
        <v>643</v>
      </c>
      <c r="E1691" s="1" t="s">
        <v>643</v>
      </c>
      <c r="F1691" s="1" t="s">
        <v>644</v>
      </c>
      <c r="G1691" s="1" t="s">
        <v>645</v>
      </c>
      <c r="H1691" s="1" t="s">
        <v>646</v>
      </c>
      <c r="I1691" t="b">
        <f>COUNTIF(Estadísticas!I:I,'centraldecomunicacion.es'!H1691)&gt;0</f>
        <v>1</v>
      </c>
    </row>
    <row r="1692" spans="1:9" hidden="1">
      <c r="A1692" s="1" t="s">
        <v>7004</v>
      </c>
      <c r="B1692" s="1" t="s">
        <v>10</v>
      </c>
      <c r="C1692" s="1" t="s">
        <v>7005</v>
      </c>
      <c r="D1692" s="1" t="s">
        <v>7006</v>
      </c>
      <c r="E1692" s="1" t="s">
        <v>614</v>
      </c>
      <c r="F1692" s="1" t="s">
        <v>30</v>
      </c>
      <c r="G1692" s="1" t="s">
        <v>7007</v>
      </c>
      <c r="H1692" s="1" t="s">
        <v>1762</v>
      </c>
      <c r="I1692" t="b">
        <f>COUNTIF(Estadísticas!I:I,'centraldecomunicacion.es'!H1692)&gt;0</f>
        <v>0</v>
      </c>
    </row>
    <row r="1693" spans="1:9" hidden="1">
      <c r="A1693" s="1" t="s">
        <v>7008</v>
      </c>
      <c r="B1693" s="1" t="s">
        <v>10</v>
      </c>
      <c r="C1693" s="1" t="s">
        <v>7009</v>
      </c>
      <c r="D1693" s="1" t="s">
        <v>6898</v>
      </c>
      <c r="E1693" s="1" t="s">
        <v>614</v>
      </c>
      <c r="F1693" s="1" t="s">
        <v>30</v>
      </c>
      <c r="G1693" s="1" t="s">
        <v>6975</v>
      </c>
      <c r="H1693" s="1" t="s">
        <v>1762</v>
      </c>
      <c r="I1693" t="b">
        <f>COUNTIF(Estadísticas!I:I,'centraldecomunicacion.es'!H1693)&gt;0</f>
        <v>0</v>
      </c>
    </row>
    <row r="1694" spans="1:9" hidden="1">
      <c r="A1694" s="1" t="s">
        <v>7010</v>
      </c>
      <c r="B1694" s="1" t="s">
        <v>10</v>
      </c>
      <c r="C1694" s="1" t="s">
        <v>7011</v>
      </c>
      <c r="D1694" s="1" t="s">
        <v>7012</v>
      </c>
      <c r="E1694" s="1" t="s">
        <v>667</v>
      </c>
      <c r="F1694" s="1" t="s">
        <v>7013</v>
      </c>
      <c r="G1694" s="1" t="s">
        <v>7014</v>
      </c>
      <c r="H1694" s="1" t="s">
        <v>7015</v>
      </c>
      <c r="I1694" t="b">
        <f>COUNTIF(Estadísticas!I:I,'centraldecomunicacion.es'!H1694)&gt;0</f>
        <v>0</v>
      </c>
    </row>
    <row r="1695" spans="1:9" hidden="1">
      <c r="A1695" s="1" t="s">
        <v>7016</v>
      </c>
      <c r="B1695" s="1" t="s">
        <v>10</v>
      </c>
      <c r="C1695" s="1" t="s">
        <v>7017</v>
      </c>
      <c r="D1695" s="1" t="s">
        <v>7018</v>
      </c>
      <c r="E1695" s="1" t="s">
        <v>7018</v>
      </c>
      <c r="F1695" s="1" t="s">
        <v>30</v>
      </c>
      <c r="G1695" s="1" t="s">
        <v>7019</v>
      </c>
      <c r="H1695" s="1" t="s">
        <v>1762</v>
      </c>
      <c r="I1695" t="b">
        <f>COUNTIF(Estadísticas!I:I,'centraldecomunicacion.es'!H1695)&gt;0</f>
        <v>0</v>
      </c>
    </row>
    <row r="1696" spans="1:9" hidden="1">
      <c r="A1696" s="1" t="s">
        <v>7020</v>
      </c>
      <c r="B1696" s="1" t="s">
        <v>18</v>
      </c>
      <c r="C1696" s="1" t="s">
        <v>7021</v>
      </c>
      <c r="D1696" s="1" t="s">
        <v>7022</v>
      </c>
      <c r="E1696" s="1" t="s">
        <v>614</v>
      </c>
      <c r="F1696" s="1" t="s">
        <v>30</v>
      </c>
      <c r="G1696" s="1" t="s">
        <v>7023</v>
      </c>
      <c r="H1696" s="1" t="s">
        <v>1762</v>
      </c>
      <c r="I1696" t="b">
        <f>COUNTIF(Estadísticas!I:I,'centraldecomunicacion.es'!H1696)&gt;0</f>
        <v>0</v>
      </c>
    </row>
    <row r="1697" spans="1:9" hidden="1">
      <c r="A1697" s="1" t="s">
        <v>7024</v>
      </c>
      <c r="B1697" s="1" t="s">
        <v>10</v>
      </c>
      <c r="C1697" s="1" t="s">
        <v>7025</v>
      </c>
      <c r="D1697" s="1" t="s">
        <v>7026</v>
      </c>
      <c r="E1697" s="1" t="s">
        <v>614</v>
      </c>
      <c r="F1697" s="1" t="s">
        <v>30</v>
      </c>
      <c r="G1697" s="1" t="s">
        <v>7027</v>
      </c>
      <c r="H1697" s="1" t="s">
        <v>1762</v>
      </c>
      <c r="I1697" t="b">
        <f>COUNTIF(Estadísticas!I:I,'centraldecomunicacion.es'!H1697)&gt;0</f>
        <v>0</v>
      </c>
    </row>
    <row r="1698" spans="1:9">
      <c r="A1698" s="1" t="s">
        <v>647</v>
      </c>
      <c r="B1698" s="1" t="s">
        <v>10</v>
      </c>
      <c r="C1698" s="1" t="s">
        <v>30</v>
      </c>
      <c r="D1698" s="1" t="s">
        <v>648</v>
      </c>
      <c r="E1698" s="1" t="s">
        <v>30</v>
      </c>
      <c r="F1698" s="1" t="s">
        <v>649</v>
      </c>
      <c r="G1698" s="1" t="s">
        <v>650</v>
      </c>
      <c r="H1698" s="1" t="s">
        <v>651</v>
      </c>
      <c r="I1698" t="b">
        <f>COUNTIF(Estadísticas!I:I,'centraldecomunicacion.es'!H1698)&gt;0</f>
        <v>1</v>
      </c>
    </row>
    <row r="1699" spans="1:9" hidden="1">
      <c r="A1699" s="1" t="s">
        <v>7028</v>
      </c>
      <c r="B1699" s="1" t="s">
        <v>10</v>
      </c>
      <c r="C1699" s="1" t="s">
        <v>7029</v>
      </c>
      <c r="D1699" s="1" t="s">
        <v>620</v>
      </c>
      <c r="E1699" s="1" t="s">
        <v>614</v>
      </c>
      <c r="F1699" s="1" t="s">
        <v>30</v>
      </c>
      <c r="G1699" s="1" t="s">
        <v>30</v>
      </c>
      <c r="H1699" s="1" t="s">
        <v>1762</v>
      </c>
      <c r="I1699" t="b">
        <f>COUNTIF(Estadísticas!I:I,'centraldecomunicacion.es'!H1699)&gt;0</f>
        <v>0</v>
      </c>
    </row>
    <row r="1700" spans="1:9" hidden="1">
      <c r="A1700" s="1" t="s">
        <v>7030</v>
      </c>
      <c r="B1700" s="1" t="s">
        <v>10</v>
      </c>
      <c r="C1700" s="1" t="s">
        <v>7031</v>
      </c>
      <c r="D1700" s="1" t="s">
        <v>6938</v>
      </c>
      <c r="E1700" s="1" t="s">
        <v>614</v>
      </c>
      <c r="F1700" s="1" t="s">
        <v>30</v>
      </c>
      <c r="G1700" s="1" t="s">
        <v>30</v>
      </c>
      <c r="H1700" s="1" t="s">
        <v>1762</v>
      </c>
      <c r="I1700" t="b">
        <f>COUNTIF(Estadísticas!I:I,'centraldecomunicacion.es'!H1700)&gt;0</f>
        <v>0</v>
      </c>
    </row>
    <row r="1701" spans="1:9" hidden="1">
      <c r="A1701" s="1" t="s">
        <v>7032</v>
      </c>
      <c r="B1701" s="1" t="s">
        <v>10</v>
      </c>
      <c r="C1701" s="1" t="s">
        <v>7033</v>
      </c>
      <c r="D1701" s="1" t="s">
        <v>648</v>
      </c>
      <c r="E1701" s="1" t="s">
        <v>614</v>
      </c>
      <c r="F1701" s="1" t="s">
        <v>7034</v>
      </c>
      <c r="G1701" s="1" t="s">
        <v>7035</v>
      </c>
      <c r="H1701" s="1" t="s">
        <v>1762</v>
      </c>
      <c r="I1701" t="b">
        <f>COUNTIF(Estadísticas!I:I,'centraldecomunicacion.es'!H1701)&gt;0</f>
        <v>0</v>
      </c>
    </row>
    <row r="1702" spans="1:9" hidden="1">
      <c r="A1702" s="1" t="s">
        <v>7036</v>
      </c>
      <c r="B1702" s="1" t="s">
        <v>10</v>
      </c>
      <c r="C1702" s="1" t="s">
        <v>7037</v>
      </c>
      <c r="D1702" s="1" t="s">
        <v>6802</v>
      </c>
      <c r="E1702" s="1" t="s">
        <v>614</v>
      </c>
      <c r="F1702" s="1" t="s">
        <v>30</v>
      </c>
      <c r="G1702" s="1" t="s">
        <v>30</v>
      </c>
      <c r="H1702" s="1" t="s">
        <v>1762</v>
      </c>
      <c r="I1702" t="b">
        <f>COUNTIF(Estadísticas!I:I,'centraldecomunicacion.es'!H1702)&gt;0</f>
        <v>0</v>
      </c>
    </row>
    <row r="1703" spans="1:9" hidden="1">
      <c r="A1703" s="1" t="s">
        <v>7038</v>
      </c>
      <c r="B1703" s="1" t="s">
        <v>10</v>
      </c>
      <c r="C1703" s="1" t="s">
        <v>7039</v>
      </c>
      <c r="D1703" s="1" t="s">
        <v>7022</v>
      </c>
      <c r="E1703" s="1" t="s">
        <v>614</v>
      </c>
      <c r="F1703" s="1" t="s">
        <v>30</v>
      </c>
      <c r="G1703" s="1" t="s">
        <v>7040</v>
      </c>
      <c r="H1703" s="1" t="s">
        <v>1762</v>
      </c>
      <c r="I1703" t="b">
        <f>COUNTIF(Estadísticas!I:I,'centraldecomunicacion.es'!H1703)&gt;0</f>
        <v>0</v>
      </c>
    </row>
    <row r="1704" spans="1:9" hidden="1">
      <c r="A1704" s="1" t="s">
        <v>7041</v>
      </c>
      <c r="B1704" s="1" t="s">
        <v>10</v>
      </c>
      <c r="C1704" s="1" t="s">
        <v>7042</v>
      </c>
      <c r="D1704" s="1" t="s">
        <v>7043</v>
      </c>
      <c r="E1704" s="1" t="s">
        <v>7043</v>
      </c>
      <c r="F1704" s="1" t="s">
        <v>30</v>
      </c>
      <c r="G1704" s="1" t="s">
        <v>7044</v>
      </c>
      <c r="H1704" s="1" t="s">
        <v>1762</v>
      </c>
      <c r="I1704" t="b">
        <f>COUNTIF(Estadísticas!I:I,'centraldecomunicacion.es'!H1704)&gt;0</f>
        <v>0</v>
      </c>
    </row>
    <row r="1705" spans="1:9" hidden="1">
      <c r="A1705" s="1" t="s">
        <v>7045</v>
      </c>
      <c r="B1705" s="1" t="s">
        <v>10</v>
      </c>
      <c r="C1705" s="1" t="s">
        <v>7046</v>
      </c>
      <c r="D1705" s="1" t="s">
        <v>7047</v>
      </c>
      <c r="E1705" s="1" t="s">
        <v>7047</v>
      </c>
      <c r="F1705" s="1" t="s">
        <v>30</v>
      </c>
      <c r="G1705" s="1" t="s">
        <v>7048</v>
      </c>
      <c r="H1705" s="1" t="s">
        <v>1762</v>
      </c>
      <c r="I1705" t="b">
        <f>COUNTIF(Estadísticas!I:I,'centraldecomunicacion.es'!H1705)&gt;0</f>
        <v>0</v>
      </c>
    </row>
    <row r="1706" spans="1:9" hidden="1">
      <c r="A1706" s="1" t="s">
        <v>7049</v>
      </c>
      <c r="B1706" s="1" t="s">
        <v>10</v>
      </c>
      <c r="C1706" s="1" t="s">
        <v>7050</v>
      </c>
      <c r="D1706" s="1" t="s">
        <v>6767</v>
      </c>
      <c r="E1706" s="1" t="s">
        <v>614</v>
      </c>
      <c r="F1706" s="1" t="s">
        <v>30</v>
      </c>
      <c r="G1706" s="1" t="s">
        <v>7051</v>
      </c>
      <c r="H1706" s="1" t="s">
        <v>1762</v>
      </c>
      <c r="I1706" t="b">
        <f>COUNTIF(Estadísticas!I:I,'centraldecomunicacion.es'!H1706)&gt;0</f>
        <v>0</v>
      </c>
    </row>
    <row r="1707" spans="1:9">
      <c r="A1707" s="1" t="s">
        <v>652</v>
      </c>
      <c r="B1707" s="1" t="s">
        <v>10</v>
      </c>
      <c r="C1707" s="1" t="s">
        <v>653</v>
      </c>
      <c r="D1707" s="1" t="s">
        <v>626</v>
      </c>
      <c r="E1707" s="1" t="s">
        <v>614</v>
      </c>
      <c r="F1707" s="1" t="s">
        <v>654</v>
      </c>
      <c r="G1707" s="1" t="s">
        <v>655</v>
      </c>
      <c r="H1707" s="1" t="s">
        <v>656</v>
      </c>
      <c r="I1707" t="b">
        <f>COUNTIF(Estadísticas!I:I,'centraldecomunicacion.es'!H1707)&gt;0</f>
        <v>1</v>
      </c>
    </row>
    <row r="1708" spans="1:9" hidden="1">
      <c r="A1708" s="1" t="s">
        <v>7052</v>
      </c>
      <c r="B1708" s="1" t="s">
        <v>10</v>
      </c>
      <c r="C1708" s="1" t="s">
        <v>7053</v>
      </c>
      <c r="D1708" s="1" t="s">
        <v>6785</v>
      </c>
      <c r="E1708" s="1" t="s">
        <v>614</v>
      </c>
      <c r="F1708" s="1" t="s">
        <v>30</v>
      </c>
      <c r="G1708" s="1" t="s">
        <v>7054</v>
      </c>
      <c r="H1708" s="1" t="s">
        <v>1762</v>
      </c>
      <c r="I1708" t="b">
        <f>COUNTIF(Estadísticas!I:I,'centraldecomunicacion.es'!H1708)&gt;0</f>
        <v>0</v>
      </c>
    </row>
    <row r="1709" spans="1:9" hidden="1">
      <c r="A1709" s="1" t="s">
        <v>7055</v>
      </c>
      <c r="B1709" s="1" t="s">
        <v>10</v>
      </c>
      <c r="C1709" s="1" t="s">
        <v>7056</v>
      </c>
      <c r="D1709" s="1" t="s">
        <v>620</v>
      </c>
      <c r="E1709" s="1" t="s">
        <v>614</v>
      </c>
      <c r="F1709" s="1" t="s">
        <v>30</v>
      </c>
      <c r="G1709" s="1" t="s">
        <v>7057</v>
      </c>
      <c r="H1709" s="1" t="s">
        <v>1762</v>
      </c>
      <c r="I1709" t="b">
        <f>COUNTIF(Estadísticas!I:I,'centraldecomunicacion.es'!H1709)&gt;0</f>
        <v>0</v>
      </c>
    </row>
    <row r="1710" spans="1:9" hidden="1">
      <c r="A1710" s="1" t="s">
        <v>7058</v>
      </c>
      <c r="B1710" s="1" t="s">
        <v>10</v>
      </c>
      <c r="C1710" s="1" t="s">
        <v>7059</v>
      </c>
      <c r="D1710" s="1" t="s">
        <v>620</v>
      </c>
      <c r="E1710" s="1" t="s">
        <v>614</v>
      </c>
      <c r="F1710" s="1" t="s">
        <v>1984</v>
      </c>
      <c r="G1710" s="1" t="s">
        <v>7060</v>
      </c>
      <c r="H1710" s="1" t="s">
        <v>1762</v>
      </c>
      <c r="I1710" t="b">
        <f>COUNTIF(Estadísticas!I:I,'centraldecomunicacion.es'!H1710)&gt;0</f>
        <v>0</v>
      </c>
    </row>
    <row r="1711" spans="1:9" hidden="1">
      <c r="A1711" s="1" t="s">
        <v>7061</v>
      </c>
      <c r="B1711" s="1" t="s">
        <v>10</v>
      </c>
      <c r="C1711" s="1" t="s">
        <v>7062</v>
      </c>
      <c r="D1711" s="1" t="s">
        <v>7002</v>
      </c>
      <c r="E1711" s="1" t="s">
        <v>614</v>
      </c>
      <c r="F1711" s="1" t="s">
        <v>30</v>
      </c>
      <c r="G1711" s="1" t="s">
        <v>7063</v>
      </c>
      <c r="H1711" s="1" t="s">
        <v>1762</v>
      </c>
      <c r="I1711" t="b">
        <f>COUNTIF(Estadísticas!I:I,'centraldecomunicacion.es'!H1711)&gt;0</f>
        <v>0</v>
      </c>
    </row>
    <row r="1712" spans="1:9" hidden="1">
      <c r="A1712" s="1" t="s">
        <v>7064</v>
      </c>
      <c r="B1712" s="1" t="s">
        <v>10</v>
      </c>
      <c r="C1712" s="1" t="s">
        <v>7065</v>
      </c>
      <c r="D1712" s="1" t="s">
        <v>620</v>
      </c>
      <c r="E1712" s="1" t="s">
        <v>614</v>
      </c>
      <c r="F1712" s="1" t="s">
        <v>30</v>
      </c>
      <c r="G1712" s="1" t="s">
        <v>30</v>
      </c>
      <c r="H1712" s="1" t="s">
        <v>1762</v>
      </c>
      <c r="I1712" t="b">
        <f>COUNTIF(Estadísticas!I:I,'centraldecomunicacion.es'!H1712)&gt;0</f>
        <v>0</v>
      </c>
    </row>
    <row r="1713" spans="1:9" hidden="1">
      <c r="A1713" s="1" t="s">
        <v>7066</v>
      </c>
      <c r="B1713" s="1" t="s">
        <v>10</v>
      </c>
      <c r="C1713" s="1" t="s">
        <v>7067</v>
      </c>
      <c r="D1713" s="1" t="s">
        <v>7022</v>
      </c>
      <c r="E1713" s="1" t="s">
        <v>614</v>
      </c>
      <c r="F1713" s="1" t="s">
        <v>30</v>
      </c>
      <c r="G1713" s="1" t="s">
        <v>7068</v>
      </c>
      <c r="H1713" s="1" t="s">
        <v>1762</v>
      </c>
      <c r="I1713" t="b">
        <f>COUNTIF(Estadísticas!I:I,'centraldecomunicacion.es'!H1713)&gt;0</f>
        <v>0</v>
      </c>
    </row>
    <row r="1714" spans="1:9" hidden="1">
      <c r="A1714" s="1" t="s">
        <v>7069</v>
      </c>
      <c r="B1714" s="1" t="s">
        <v>10</v>
      </c>
      <c r="C1714" s="1" t="s">
        <v>7070</v>
      </c>
      <c r="D1714" s="1" t="s">
        <v>620</v>
      </c>
      <c r="E1714" s="1" t="s">
        <v>614</v>
      </c>
      <c r="F1714" s="1" t="s">
        <v>30</v>
      </c>
      <c r="G1714" s="1" t="s">
        <v>7071</v>
      </c>
      <c r="H1714" s="1" t="s">
        <v>1762</v>
      </c>
      <c r="I1714" t="b">
        <f>COUNTIF(Estadísticas!I:I,'centraldecomunicacion.es'!H1714)&gt;0</f>
        <v>0</v>
      </c>
    </row>
    <row r="1715" spans="1:9" hidden="1">
      <c r="A1715" s="1" t="s">
        <v>7072</v>
      </c>
      <c r="B1715" s="1" t="s">
        <v>10</v>
      </c>
      <c r="C1715" s="1" t="s">
        <v>7073</v>
      </c>
      <c r="D1715" s="1" t="s">
        <v>648</v>
      </c>
      <c r="E1715" s="1" t="s">
        <v>614</v>
      </c>
      <c r="F1715" s="1" t="s">
        <v>7074</v>
      </c>
      <c r="G1715" s="1" t="s">
        <v>7075</v>
      </c>
      <c r="H1715" s="1" t="s">
        <v>7076</v>
      </c>
      <c r="I1715" t="b">
        <f>COUNTIF(Estadísticas!I:I,'centraldecomunicacion.es'!H1715)&gt;0</f>
        <v>0</v>
      </c>
    </row>
    <row r="1716" spans="1:9">
      <c r="A1716" s="1" t="s">
        <v>7077</v>
      </c>
      <c r="B1716" s="1" t="s">
        <v>18</v>
      </c>
      <c r="C1716" s="1" t="s">
        <v>7078</v>
      </c>
      <c r="D1716" s="1" t="s">
        <v>7079</v>
      </c>
      <c r="E1716" s="1" t="s">
        <v>614</v>
      </c>
      <c r="F1716" s="1" t="s">
        <v>615</v>
      </c>
      <c r="G1716" s="1" t="s">
        <v>616</v>
      </c>
      <c r="H1716" s="1" t="s">
        <v>617</v>
      </c>
      <c r="I1716" t="b">
        <f>COUNTIF(Estadísticas!I:I,'centraldecomunicacion.es'!H1716)&gt;0</f>
        <v>1</v>
      </c>
    </row>
    <row r="1717" spans="1:9" hidden="1">
      <c r="A1717" s="1" t="s">
        <v>7080</v>
      </c>
      <c r="B1717" s="1" t="s">
        <v>10</v>
      </c>
      <c r="C1717" s="1" t="s">
        <v>7081</v>
      </c>
      <c r="D1717" s="1" t="s">
        <v>6802</v>
      </c>
      <c r="E1717" s="1" t="s">
        <v>614</v>
      </c>
      <c r="F1717" s="1" t="s">
        <v>30</v>
      </c>
      <c r="G1717" s="1" t="s">
        <v>30</v>
      </c>
      <c r="H1717" s="1" t="s">
        <v>1762</v>
      </c>
      <c r="I1717" t="b">
        <f>COUNTIF(Estadísticas!I:I,'centraldecomunicacion.es'!H1717)&gt;0</f>
        <v>0</v>
      </c>
    </row>
    <row r="1718" spans="1:9" hidden="1">
      <c r="A1718" s="1" t="s">
        <v>7082</v>
      </c>
      <c r="B1718" s="1" t="s">
        <v>10</v>
      </c>
      <c r="C1718" s="1" t="s">
        <v>7083</v>
      </c>
      <c r="D1718" s="1" t="s">
        <v>7022</v>
      </c>
      <c r="E1718" s="1" t="s">
        <v>614</v>
      </c>
      <c r="F1718" s="1" t="s">
        <v>30</v>
      </c>
      <c r="G1718" s="1" t="s">
        <v>30</v>
      </c>
      <c r="H1718" s="1" t="s">
        <v>1762</v>
      </c>
      <c r="I1718" t="b">
        <f>COUNTIF(Estadísticas!I:I,'centraldecomunicacion.es'!H1718)&gt;0</f>
        <v>0</v>
      </c>
    </row>
    <row r="1719" spans="1:9" hidden="1">
      <c r="A1719" s="1" t="s">
        <v>7084</v>
      </c>
      <c r="B1719" s="1" t="s">
        <v>10</v>
      </c>
      <c r="C1719" s="1" t="s">
        <v>7085</v>
      </c>
      <c r="D1719" s="1" t="s">
        <v>620</v>
      </c>
      <c r="E1719" s="1" t="s">
        <v>620</v>
      </c>
      <c r="F1719" s="1" t="s">
        <v>30</v>
      </c>
      <c r="G1719" s="1" t="s">
        <v>7086</v>
      </c>
      <c r="H1719" s="1" t="s">
        <v>1762</v>
      </c>
      <c r="I1719" t="b">
        <f>COUNTIF(Estadísticas!I:I,'centraldecomunicacion.es'!H1719)&gt;0</f>
        <v>0</v>
      </c>
    </row>
    <row r="1720" spans="1:9" hidden="1">
      <c r="A1720" s="1" t="s">
        <v>7087</v>
      </c>
      <c r="B1720" s="1" t="s">
        <v>10</v>
      </c>
      <c r="C1720" s="1" t="s">
        <v>7088</v>
      </c>
      <c r="D1720" s="1" t="s">
        <v>7089</v>
      </c>
      <c r="E1720" s="1" t="s">
        <v>7090</v>
      </c>
      <c r="F1720" s="1" t="s">
        <v>7091</v>
      </c>
      <c r="G1720" s="1" t="s">
        <v>7092</v>
      </c>
      <c r="H1720" s="1" t="s">
        <v>7093</v>
      </c>
      <c r="I1720" t="b">
        <f>COUNTIF(Estadísticas!I:I,'centraldecomunicacion.es'!H1720)&gt;0</f>
        <v>0</v>
      </c>
    </row>
    <row r="1721" spans="1:9">
      <c r="A1721" s="1" t="s">
        <v>657</v>
      </c>
      <c r="B1721" s="1" t="s">
        <v>10</v>
      </c>
      <c r="C1721" s="1" t="s">
        <v>658</v>
      </c>
      <c r="D1721" s="1" t="s">
        <v>659</v>
      </c>
      <c r="E1721" s="1" t="s">
        <v>660</v>
      </c>
      <c r="F1721" s="1" t="s">
        <v>661</v>
      </c>
      <c r="G1721" s="1" t="s">
        <v>662</v>
      </c>
      <c r="H1721" s="1" t="s">
        <v>663</v>
      </c>
      <c r="I1721" t="b">
        <f>COUNTIF(Estadísticas!I:I,'centraldecomunicacion.es'!H1721)&gt;0</f>
        <v>1</v>
      </c>
    </row>
    <row r="1722" spans="1:9">
      <c r="A1722" s="1" t="s">
        <v>7094</v>
      </c>
      <c r="B1722" s="1" t="s">
        <v>10</v>
      </c>
      <c r="C1722" s="1" t="s">
        <v>7095</v>
      </c>
      <c r="D1722" s="1" t="s">
        <v>620</v>
      </c>
      <c r="E1722" s="1" t="s">
        <v>614</v>
      </c>
      <c r="F1722" s="1" t="s">
        <v>615</v>
      </c>
      <c r="G1722" s="1" t="s">
        <v>616</v>
      </c>
      <c r="H1722" s="1" t="s">
        <v>617</v>
      </c>
      <c r="I1722" t="b">
        <f>COUNTIF(Estadísticas!I:I,'centraldecomunicacion.es'!H1722)&gt;0</f>
        <v>1</v>
      </c>
    </row>
    <row r="1723" spans="1:9" hidden="1">
      <c r="A1723" s="1" t="s">
        <v>7096</v>
      </c>
      <c r="B1723" s="1" t="s">
        <v>10</v>
      </c>
      <c r="C1723" s="1" t="s">
        <v>7097</v>
      </c>
      <c r="D1723" s="1" t="s">
        <v>7098</v>
      </c>
      <c r="E1723" s="1" t="s">
        <v>848</v>
      </c>
      <c r="F1723" s="1" t="s">
        <v>30</v>
      </c>
      <c r="G1723" s="1" t="s">
        <v>7099</v>
      </c>
      <c r="H1723" s="1" t="s">
        <v>1762</v>
      </c>
      <c r="I1723" t="b">
        <f>COUNTIF(Estadísticas!I:I,'centraldecomunicacion.es'!H1723)&gt;0</f>
        <v>0</v>
      </c>
    </row>
    <row r="1724" spans="1:9">
      <c r="A1724" s="1" t="s">
        <v>664</v>
      </c>
      <c r="B1724" s="1" t="s">
        <v>10</v>
      </c>
      <c r="C1724" s="1" t="s">
        <v>665</v>
      </c>
      <c r="D1724" s="1" t="s">
        <v>666</v>
      </c>
      <c r="E1724" s="1" t="s">
        <v>667</v>
      </c>
      <c r="F1724" s="1" t="s">
        <v>668</v>
      </c>
      <c r="G1724" s="1" t="s">
        <v>669</v>
      </c>
      <c r="H1724" s="1" t="s">
        <v>670</v>
      </c>
      <c r="I1724" t="b">
        <f>COUNTIF(Estadísticas!I:I,'centraldecomunicacion.es'!H1724)&gt;0</f>
        <v>1</v>
      </c>
    </row>
    <row r="1725" spans="1:9" hidden="1">
      <c r="A1725" s="1" t="s">
        <v>7100</v>
      </c>
      <c r="B1725" s="1" t="s">
        <v>10</v>
      </c>
      <c r="C1725" s="1" t="s">
        <v>7101</v>
      </c>
      <c r="D1725" s="1" t="s">
        <v>679</v>
      </c>
      <c r="E1725" s="1" t="s">
        <v>7090</v>
      </c>
      <c r="F1725" s="1" t="s">
        <v>7102</v>
      </c>
      <c r="G1725" s="1" t="s">
        <v>7103</v>
      </c>
      <c r="H1725" s="1" t="s">
        <v>1762</v>
      </c>
      <c r="I1725" t="b">
        <f>COUNTIF(Estadísticas!I:I,'centraldecomunicacion.es'!H1725)&gt;0</f>
        <v>0</v>
      </c>
    </row>
    <row r="1726" spans="1:9" hidden="1">
      <c r="A1726" s="1" t="s">
        <v>7104</v>
      </c>
      <c r="B1726" s="1" t="s">
        <v>10</v>
      </c>
      <c r="C1726" s="1" t="s">
        <v>7105</v>
      </c>
      <c r="D1726" s="1" t="s">
        <v>7022</v>
      </c>
      <c r="E1726" s="1" t="s">
        <v>614</v>
      </c>
      <c r="F1726" s="1" t="s">
        <v>30</v>
      </c>
      <c r="G1726" s="1" t="s">
        <v>7106</v>
      </c>
      <c r="H1726" s="1" t="s">
        <v>1762</v>
      </c>
      <c r="I1726" t="b">
        <f>COUNTIF(Estadísticas!I:I,'centraldecomunicacion.es'!H1726)&gt;0</f>
        <v>0</v>
      </c>
    </row>
    <row r="1727" spans="1:9" hidden="1">
      <c r="A1727" s="1" t="s">
        <v>7107</v>
      </c>
      <c r="B1727" s="1" t="s">
        <v>3050</v>
      </c>
      <c r="C1727" s="1" t="s">
        <v>7108</v>
      </c>
      <c r="D1727" s="1" t="s">
        <v>7002</v>
      </c>
      <c r="E1727" s="1" t="s">
        <v>614</v>
      </c>
      <c r="F1727" s="1" t="s">
        <v>30</v>
      </c>
      <c r="G1727" s="1" t="s">
        <v>7109</v>
      </c>
      <c r="H1727" s="1" t="s">
        <v>1762</v>
      </c>
      <c r="I1727" t="b">
        <f>COUNTIF(Estadísticas!I:I,'centraldecomunicacion.es'!H1727)&gt;0</f>
        <v>0</v>
      </c>
    </row>
    <row r="1728" spans="1:9" hidden="1">
      <c r="A1728" s="1" t="s">
        <v>7110</v>
      </c>
      <c r="B1728" s="1" t="s">
        <v>10</v>
      </c>
      <c r="C1728" s="1" t="s">
        <v>7111</v>
      </c>
      <c r="D1728" s="1" t="s">
        <v>7112</v>
      </c>
      <c r="E1728" s="1" t="s">
        <v>667</v>
      </c>
      <c r="F1728" s="1" t="s">
        <v>30</v>
      </c>
      <c r="G1728" s="1" t="s">
        <v>7113</v>
      </c>
      <c r="H1728" s="1" t="s">
        <v>1762</v>
      </c>
      <c r="I1728" t="b">
        <f>COUNTIF(Estadísticas!I:I,'centraldecomunicacion.es'!H1728)&gt;0</f>
        <v>0</v>
      </c>
    </row>
    <row r="1729" spans="1:9" hidden="1">
      <c r="A1729" s="1" t="s">
        <v>7114</v>
      </c>
      <c r="B1729" s="1" t="s">
        <v>10</v>
      </c>
      <c r="C1729" s="1" t="s">
        <v>7115</v>
      </c>
      <c r="D1729" s="1" t="s">
        <v>666</v>
      </c>
      <c r="E1729" s="1" t="s">
        <v>667</v>
      </c>
      <c r="F1729" s="1" t="s">
        <v>7116</v>
      </c>
      <c r="G1729" s="1" t="s">
        <v>7117</v>
      </c>
      <c r="H1729" s="1" t="s">
        <v>7118</v>
      </c>
      <c r="I1729" t="b">
        <f>COUNTIF(Estadísticas!I:I,'centraldecomunicacion.es'!H1729)&gt;0</f>
        <v>0</v>
      </c>
    </row>
    <row r="1730" spans="1:9" hidden="1">
      <c r="A1730" s="1" t="s">
        <v>7119</v>
      </c>
      <c r="B1730" s="1" t="s">
        <v>10</v>
      </c>
      <c r="C1730" s="1" t="s">
        <v>7120</v>
      </c>
      <c r="D1730" s="1" t="s">
        <v>7121</v>
      </c>
      <c r="E1730" s="1" t="s">
        <v>667</v>
      </c>
      <c r="F1730" s="1" t="s">
        <v>7122</v>
      </c>
      <c r="G1730" s="1" t="s">
        <v>7123</v>
      </c>
      <c r="H1730" s="1" t="s">
        <v>7124</v>
      </c>
      <c r="I1730" t="b">
        <f>COUNTIF(Estadísticas!I:I,'centraldecomunicacion.es'!H1730)&gt;0</f>
        <v>0</v>
      </c>
    </row>
    <row r="1731" spans="1:9" hidden="1">
      <c r="A1731" s="1" t="s">
        <v>7125</v>
      </c>
      <c r="B1731" s="1" t="s">
        <v>10</v>
      </c>
      <c r="C1731" s="1" t="s">
        <v>7126</v>
      </c>
      <c r="D1731" s="1" t="s">
        <v>7006</v>
      </c>
      <c r="E1731" s="1" t="s">
        <v>614</v>
      </c>
      <c r="F1731" s="1" t="s">
        <v>30</v>
      </c>
      <c r="G1731" s="1" t="s">
        <v>30</v>
      </c>
      <c r="H1731" s="1" t="s">
        <v>1762</v>
      </c>
      <c r="I1731" t="b">
        <f>COUNTIF(Estadísticas!I:I,'centraldecomunicacion.es'!H1731)&gt;0</f>
        <v>0</v>
      </c>
    </row>
    <row r="1732" spans="1:9" hidden="1">
      <c r="A1732" s="1" t="s">
        <v>7127</v>
      </c>
      <c r="B1732" s="1" t="s">
        <v>10</v>
      </c>
      <c r="C1732" s="1" t="s">
        <v>7128</v>
      </c>
      <c r="D1732" s="1" t="s">
        <v>7129</v>
      </c>
      <c r="E1732" s="1" t="s">
        <v>7090</v>
      </c>
      <c r="F1732" s="1" t="s">
        <v>7130</v>
      </c>
      <c r="G1732" s="1" t="s">
        <v>7131</v>
      </c>
      <c r="H1732" s="1" t="s">
        <v>1762</v>
      </c>
      <c r="I1732" t="b">
        <f>COUNTIF(Estadísticas!I:I,'centraldecomunicacion.es'!H1732)&gt;0</f>
        <v>0</v>
      </c>
    </row>
    <row r="1733" spans="1:9">
      <c r="A1733" s="1" t="s">
        <v>671</v>
      </c>
      <c r="B1733" s="1" t="s">
        <v>10</v>
      </c>
      <c r="C1733" s="1" t="s">
        <v>672</v>
      </c>
      <c r="D1733" s="1" t="s">
        <v>673</v>
      </c>
      <c r="E1733" s="1" t="s">
        <v>667</v>
      </c>
      <c r="F1733" s="1" t="s">
        <v>674</v>
      </c>
      <c r="G1733" s="1" t="s">
        <v>675</v>
      </c>
      <c r="H1733" s="1" t="s">
        <v>676</v>
      </c>
      <c r="I1733" t="b">
        <f>COUNTIF(Estadísticas!I:I,'centraldecomunicacion.es'!H1733)&gt;0</f>
        <v>1</v>
      </c>
    </row>
    <row r="1734" spans="1:9">
      <c r="A1734" s="1" t="s">
        <v>677</v>
      </c>
      <c r="B1734" s="1" t="s">
        <v>10</v>
      </c>
      <c r="C1734" s="1" t="s">
        <v>678</v>
      </c>
      <c r="D1734" s="1" t="s">
        <v>679</v>
      </c>
      <c r="E1734" s="1" t="s">
        <v>667</v>
      </c>
      <c r="F1734" s="1" t="s">
        <v>680</v>
      </c>
      <c r="G1734" s="1" t="s">
        <v>681</v>
      </c>
      <c r="H1734" s="1" t="s">
        <v>682</v>
      </c>
      <c r="I1734" t="b">
        <f>COUNTIF(Estadísticas!I:I,'centraldecomunicacion.es'!H1734)&gt;0</f>
        <v>1</v>
      </c>
    </row>
    <row r="1735" spans="1:9" hidden="1">
      <c r="A1735" s="1" t="s">
        <v>7132</v>
      </c>
      <c r="B1735" s="1" t="s">
        <v>10</v>
      </c>
      <c r="C1735" s="1" t="s">
        <v>7133</v>
      </c>
      <c r="D1735" s="1" t="s">
        <v>685</v>
      </c>
      <c r="E1735" s="1" t="s">
        <v>685</v>
      </c>
      <c r="F1735" s="1" t="s">
        <v>7134</v>
      </c>
      <c r="G1735" s="1" t="s">
        <v>7135</v>
      </c>
      <c r="H1735" s="1" t="s">
        <v>1783</v>
      </c>
      <c r="I1735" t="b">
        <f>COUNTIF(Estadísticas!I:I,'centraldecomunicacion.es'!H1735)&gt;0</f>
        <v>0</v>
      </c>
    </row>
    <row r="1736" spans="1:9">
      <c r="A1736" s="1" t="s">
        <v>683</v>
      </c>
      <c r="B1736" s="1" t="s">
        <v>10</v>
      </c>
      <c r="C1736" s="1" t="s">
        <v>684</v>
      </c>
      <c r="D1736" s="1" t="s">
        <v>685</v>
      </c>
      <c r="E1736" s="1" t="s">
        <v>685</v>
      </c>
      <c r="F1736" s="1" t="s">
        <v>686</v>
      </c>
      <c r="G1736" s="1" t="s">
        <v>687</v>
      </c>
      <c r="H1736" s="1" t="s">
        <v>688</v>
      </c>
      <c r="I1736" t="b">
        <f>COUNTIF(Estadísticas!I:I,'centraldecomunicacion.es'!H1736)&gt;0</f>
        <v>1</v>
      </c>
    </row>
    <row r="1737" spans="1:9" hidden="1">
      <c r="A1737" s="1" t="s">
        <v>7136</v>
      </c>
      <c r="B1737" s="1" t="s">
        <v>10</v>
      </c>
      <c r="C1737" s="1" t="s">
        <v>7137</v>
      </c>
      <c r="D1737" s="1" t="s">
        <v>685</v>
      </c>
      <c r="E1737" s="1" t="s">
        <v>685</v>
      </c>
      <c r="F1737" s="1" t="s">
        <v>7138</v>
      </c>
      <c r="G1737" s="1" t="s">
        <v>7139</v>
      </c>
      <c r="H1737" s="1" t="s">
        <v>1762</v>
      </c>
      <c r="I1737" t="b">
        <f>COUNTIF(Estadísticas!I:I,'centraldecomunicacion.es'!H1737)&gt;0</f>
        <v>0</v>
      </c>
    </row>
    <row r="1738" spans="1:9">
      <c r="A1738" s="1" t="s">
        <v>689</v>
      </c>
      <c r="B1738" s="1" t="s">
        <v>10</v>
      </c>
      <c r="C1738" s="1" t="s">
        <v>690</v>
      </c>
      <c r="D1738" s="1" t="s">
        <v>685</v>
      </c>
      <c r="E1738" s="1" t="s">
        <v>685</v>
      </c>
      <c r="F1738" s="1" t="s">
        <v>691</v>
      </c>
      <c r="G1738" s="1" t="s">
        <v>692</v>
      </c>
      <c r="H1738" s="1" t="s">
        <v>693</v>
      </c>
      <c r="I1738" t="b">
        <f>COUNTIF(Estadísticas!I:I,'centraldecomunicacion.es'!H1738)&gt;0</f>
        <v>1</v>
      </c>
    </row>
    <row r="1739" spans="1:9" hidden="1">
      <c r="A1739" s="1" t="s">
        <v>7140</v>
      </c>
      <c r="B1739" s="1" t="s">
        <v>10</v>
      </c>
      <c r="C1739" s="1" t="s">
        <v>7141</v>
      </c>
      <c r="D1739" s="1" t="s">
        <v>685</v>
      </c>
      <c r="E1739" s="1" t="s">
        <v>685</v>
      </c>
      <c r="F1739" s="1" t="s">
        <v>7142</v>
      </c>
      <c r="G1739" s="1" t="s">
        <v>7143</v>
      </c>
      <c r="H1739" s="1" t="s">
        <v>1762</v>
      </c>
      <c r="I1739" t="b">
        <f>COUNTIF(Estadísticas!I:I,'centraldecomunicacion.es'!H1739)&gt;0</f>
        <v>0</v>
      </c>
    </row>
    <row r="1740" spans="1:9">
      <c r="A1740" s="1" t="s">
        <v>694</v>
      </c>
      <c r="B1740" s="1" t="s">
        <v>10</v>
      </c>
      <c r="C1740" s="1" t="s">
        <v>695</v>
      </c>
      <c r="D1740" s="1" t="s">
        <v>685</v>
      </c>
      <c r="E1740" s="1" t="s">
        <v>685</v>
      </c>
      <c r="F1740" s="1" t="s">
        <v>696</v>
      </c>
      <c r="G1740" s="1" t="s">
        <v>697</v>
      </c>
      <c r="H1740" s="1" t="s">
        <v>698</v>
      </c>
      <c r="I1740" t="b">
        <f>COUNTIF(Estadísticas!I:I,'centraldecomunicacion.es'!H1740)&gt;0</f>
        <v>1</v>
      </c>
    </row>
    <row r="1741" spans="1:9" hidden="1">
      <c r="A1741" s="1" t="s">
        <v>7144</v>
      </c>
      <c r="B1741" s="1" t="s">
        <v>10</v>
      </c>
      <c r="C1741" s="1" t="s">
        <v>7145</v>
      </c>
      <c r="D1741" s="1" t="s">
        <v>685</v>
      </c>
      <c r="E1741" s="1" t="s">
        <v>685</v>
      </c>
      <c r="F1741" s="1" t="s">
        <v>30</v>
      </c>
      <c r="G1741" s="1" t="s">
        <v>7146</v>
      </c>
      <c r="H1741" s="1" t="s">
        <v>1762</v>
      </c>
      <c r="I1741" t="b">
        <f>COUNTIF(Estadísticas!I:I,'centraldecomunicacion.es'!H1741)&gt;0</f>
        <v>0</v>
      </c>
    </row>
    <row r="1742" spans="1:9" hidden="1">
      <c r="A1742" s="1" t="s">
        <v>7147</v>
      </c>
      <c r="B1742" s="1" t="s">
        <v>10</v>
      </c>
      <c r="C1742" s="1" t="s">
        <v>7148</v>
      </c>
      <c r="D1742" s="1" t="s">
        <v>685</v>
      </c>
      <c r="E1742" s="1" t="s">
        <v>685</v>
      </c>
      <c r="F1742" s="1" t="s">
        <v>30</v>
      </c>
      <c r="G1742" s="1" t="s">
        <v>7149</v>
      </c>
      <c r="H1742" s="1" t="s">
        <v>1762</v>
      </c>
      <c r="I1742" t="b">
        <f>COUNTIF(Estadísticas!I:I,'centraldecomunicacion.es'!H1742)&gt;0</f>
        <v>0</v>
      </c>
    </row>
    <row r="1743" spans="1:9" hidden="1">
      <c r="A1743" s="1" t="s">
        <v>7150</v>
      </c>
      <c r="B1743" s="1" t="s">
        <v>10</v>
      </c>
      <c r="C1743" s="1" t="s">
        <v>7151</v>
      </c>
      <c r="D1743" s="1" t="s">
        <v>685</v>
      </c>
      <c r="E1743" s="1" t="s">
        <v>685</v>
      </c>
      <c r="F1743" s="1" t="s">
        <v>7142</v>
      </c>
      <c r="G1743" s="1" t="s">
        <v>7143</v>
      </c>
      <c r="H1743" s="1" t="s">
        <v>1762</v>
      </c>
      <c r="I1743" t="b">
        <f>COUNTIF(Estadísticas!I:I,'centraldecomunicacion.es'!H1743)&gt;0</f>
        <v>0</v>
      </c>
    </row>
    <row r="1744" spans="1:9" hidden="1">
      <c r="A1744" s="1" t="s">
        <v>7152</v>
      </c>
      <c r="B1744" s="1" t="s">
        <v>10</v>
      </c>
      <c r="C1744" s="1" t="s">
        <v>7153</v>
      </c>
      <c r="D1744" s="1" t="s">
        <v>685</v>
      </c>
      <c r="E1744" s="1" t="s">
        <v>685</v>
      </c>
      <c r="F1744" s="1" t="s">
        <v>7154</v>
      </c>
      <c r="G1744" s="1" t="s">
        <v>7155</v>
      </c>
      <c r="H1744" s="1" t="s">
        <v>1762</v>
      </c>
      <c r="I1744" t="b">
        <f>COUNTIF(Estadísticas!I:I,'centraldecomunicacion.es'!H1744)&gt;0</f>
        <v>0</v>
      </c>
    </row>
    <row r="1745" spans="1:9" hidden="1">
      <c r="A1745" s="1" t="s">
        <v>7156</v>
      </c>
      <c r="B1745" s="1" t="s">
        <v>18</v>
      </c>
      <c r="C1745" s="1" t="s">
        <v>7157</v>
      </c>
      <c r="D1745" s="1" t="s">
        <v>685</v>
      </c>
      <c r="E1745" s="1" t="s">
        <v>685</v>
      </c>
      <c r="F1745" s="1" t="s">
        <v>7158</v>
      </c>
      <c r="G1745" s="1" t="s">
        <v>7159</v>
      </c>
      <c r="H1745" s="1" t="s">
        <v>7160</v>
      </c>
      <c r="I1745" t="b">
        <f>COUNTIF(Estadísticas!I:I,'centraldecomunicacion.es'!H1745)&gt;0</f>
        <v>0</v>
      </c>
    </row>
    <row r="1746" spans="1:9" hidden="1">
      <c r="A1746" s="1" t="s">
        <v>7161</v>
      </c>
      <c r="B1746" s="1" t="s">
        <v>10</v>
      </c>
      <c r="C1746" s="1" t="s">
        <v>7162</v>
      </c>
      <c r="D1746" s="1" t="s">
        <v>685</v>
      </c>
      <c r="E1746" s="1" t="s">
        <v>685</v>
      </c>
      <c r="F1746" s="1" t="s">
        <v>30</v>
      </c>
      <c r="G1746" s="1" t="s">
        <v>7163</v>
      </c>
      <c r="H1746" s="1" t="s">
        <v>1762</v>
      </c>
      <c r="I1746" t="b">
        <f>COUNTIF(Estadísticas!I:I,'centraldecomunicacion.es'!H1746)&gt;0</f>
        <v>0</v>
      </c>
    </row>
    <row r="1747" spans="1:9">
      <c r="A1747" s="1" t="s">
        <v>699</v>
      </c>
      <c r="B1747" s="1" t="s">
        <v>10</v>
      </c>
      <c r="C1747" s="1" t="s">
        <v>700</v>
      </c>
      <c r="D1747" s="1" t="s">
        <v>685</v>
      </c>
      <c r="E1747" s="1" t="s">
        <v>685</v>
      </c>
      <c r="F1747" s="1" t="s">
        <v>701</v>
      </c>
      <c r="G1747" s="1" t="s">
        <v>702</v>
      </c>
      <c r="H1747" s="1" t="s">
        <v>703</v>
      </c>
      <c r="I1747" t="b">
        <f>COUNTIF(Estadísticas!I:I,'centraldecomunicacion.es'!H1747)&gt;0</f>
        <v>1</v>
      </c>
    </row>
    <row r="1748" spans="1:9" hidden="1">
      <c r="A1748" s="1" t="s">
        <v>7164</v>
      </c>
      <c r="B1748" s="1" t="s">
        <v>10</v>
      </c>
      <c r="C1748" s="1" t="s">
        <v>7165</v>
      </c>
      <c r="D1748" s="1" t="s">
        <v>685</v>
      </c>
      <c r="E1748" s="1" t="s">
        <v>685</v>
      </c>
      <c r="F1748" s="1" t="s">
        <v>30</v>
      </c>
      <c r="G1748" s="1" t="s">
        <v>7166</v>
      </c>
      <c r="H1748" s="1" t="s">
        <v>1762</v>
      </c>
      <c r="I1748" t="b">
        <f>COUNTIF(Estadísticas!I:I,'centraldecomunicacion.es'!H1748)&gt;0</f>
        <v>0</v>
      </c>
    </row>
    <row r="1749" spans="1:9" hidden="1">
      <c r="A1749" s="1" t="s">
        <v>7167</v>
      </c>
      <c r="B1749" s="1" t="s">
        <v>10</v>
      </c>
      <c r="C1749" s="1" t="s">
        <v>7168</v>
      </c>
      <c r="D1749" s="1" t="s">
        <v>685</v>
      </c>
      <c r="E1749" s="1" t="s">
        <v>685</v>
      </c>
      <c r="F1749" s="1" t="s">
        <v>30</v>
      </c>
      <c r="G1749" s="1" t="s">
        <v>30</v>
      </c>
      <c r="H1749" s="1" t="s">
        <v>1762</v>
      </c>
      <c r="I1749" t="b">
        <f>COUNTIF(Estadísticas!I:I,'centraldecomunicacion.es'!H1749)&gt;0</f>
        <v>0</v>
      </c>
    </row>
    <row r="1750" spans="1:9" hidden="1">
      <c r="A1750" s="1" t="s">
        <v>7169</v>
      </c>
      <c r="B1750" s="1" t="s">
        <v>10</v>
      </c>
      <c r="C1750" s="1" t="s">
        <v>7170</v>
      </c>
      <c r="D1750" s="1" t="s">
        <v>685</v>
      </c>
      <c r="E1750" s="1" t="s">
        <v>685</v>
      </c>
      <c r="F1750" s="1" t="s">
        <v>30</v>
      </c>
      <c r="G1750" s="1" t="s">
        <v>30</v>
      </c>
      <c r="H1750" s="1" t="s">
        <v>1762</v>
      </c>
      <c r="I1750" t="b">
        <f>COUNTIF(Estadísticas!I:I,'centraldecomunicacion.es'!H1750)&gt;0</f>
        <v>0</v>
      </c>
    </row>
    <row r="1751" spans="1:9" hidden="1">
      <c r="A1751" s="1" t="s">
        <v>7171</v>
      </c>
      <c r="B1751" s="1" t="s">
        <v>10</v>
      </c>
      <c r="C1751" s="1" t="s">
        <v>7172</v>
      </c>
      <c r="D1751" s="1" t="s">
        <v>685</v>
      </c>
      <c r="E1751" s="1" t="s">
        <v>685</v>
      </c>
      <c r="F1751" s="1" t="s">
        <v>30</v>
      </c>
      <c r="G1751" s="1" t="s">
        <v>7173</v>
      </c>
      <c r="H1751" s="1" t="s">
        <v>1762</v>
      </c>
      <c r="I1751" t="b">
        <f>COUNTIF(Estadísticas!I:I,'centraldecomunicacion.es'!H1751)&gt;0</f>
        <v>0</v>
      </c>
    </row>
    <row r="1752" spans="1:9" hidden="1">
      <c r="A1752" s="1" t="s">
        <v>7174</v>
      </c>
      <c r="B1752" s="1" t="s">
        <v>10</v>
      </c>
      <c r="C1752" s="1" t="s">
        <v>7175</v>
      </c>
      <c r="D1752" s="1" t="s">
        <v>685</v>
      </c>
      <c r="E1752" s="1" t="s">
        <v>685</v>
      </c>
      <c r="F1752" s="1" t="s">
        <v>30</v>
      </c>
      <c r="G1752" s="1" t="s">
        <v>7176</v>
      </c>
      <c r="H1752" s="1" t="s">
        <v>1762</v>
      </c>
      <c r="I1752" t="b">
        <f>COUNTIF(Estadísticas!I:I,'centraldecomunicacion.es'!H1752)&gt;0</f>
        <v>0</v>
      </c>
    </row>
    <row r="1753" spans="1:9" hidden="1">
      <c r="A1753" s="1" t="s">
        <v>7177</v>
      </c>
      <c r="B1753" s="1" t="s">
        <v>10</v>
      </c>
      <c r="C1753" s="1" t="s">
        <v>7178</v>
      </c>
      <c r="D1753" s="1" t="s">
        <v>685</v>
      </c>
      <c r="E1753" s="1" t="s">
        <v>685</v>
      </c>
      <c r="F1753" s="1" t="s">
        <v>30</v>
      </c>
      <c r="G1753" s="1" t="s">
        <v>7179</v>
      </c>
      <c r="H1753" s="1" t="s">
        <v>1762</v>
      </c>
      <c r="I1753" t="b">
        <f>COUNTIF(Estadísticas!I:I,'centraldecomunicacion.es'!H1753)&gt;0</f>
        <v>0</v>
      </c>
    </row>
    <row r="1754" spans="1:9" hidden="1">
      <c r="A1754" s="1" t="s">
        <v>7180</v>
      </c>
      <c r="B1754" s="1" t="s">
        <v>10</v>
      </c>
      <c r="C1754" s="1" t="s">
        <v>30</v>
      </c>
      <c r="D1754" s="1" t="s">
        <v>716</v>
      </c>
      <c r="E1754" s="1" t="s">
        <v>30</v>
      </c>
      <c r="F1754" s="1" t="s">
        <v>30</v>
      </c>
      <c r="G1754" s="1" t="s">
        <v>7181</v>
      </c>
      <c r="H1754" s="1" t="s">
        <v>1762</v>
      </c>
      <c r="I1754" t="b">
        <f>COUNTIF(Estadísticas!I:I,'centraldecomunicacion.es'!H1754)&gt;0</f>
        <v>0</v>
      </c>
    </row>
    <row r="1755" spans="1:9" hidden="1">
      <c r="A1755" s="1" t="s">
        <v>7182</v>
      </c>
      <c r="B1755" s="1" t="s">
        <v>10</v>
      </c>
      <c r="C1755" s="1" t="s">
        <v>7183</v>
      </c>
      <c r="D1755" s="1" t="s">
        <v>685</v>
      </c>
      <c r="E1755" s="1" t="s">
        <v>685</v>
      </c>
      <c r="F1755" s="1" t="s">
        <v>30</v>
      </c>
      <c r="G1755" s="1" t="s">
        <v>30</v>
      </c>
      <c r="H1755" s="1" t="s">
        <v>1762</v>
      </c>
      <c r="I1755" t="b">
        <f>COUNTIF(Estadísticas!I:I,'centraldecomunicacion.es'!H1755)&gt;0</f>
        <v>0</v>
      </c>
    </row>
    <row r="1756" spans="1:9" hidden="1">
      <c r="A1756" s="1" t="s">
        <v>7184</v>
      </c>
      <c r="B1756" s="1" t="s">
        <v>10</v>
      </c>
      <c r="C1756" s="1" t="s">
        <v>7185</v>
      </c>
      <c r="D1756" s="1" t="s">
        <v>685</v>
      </c>
      <c r="E1756" s="1" t="s">
        <v>685</v>
      </c>
      <c r="F1756" s="1" t="s">
        <v>30</v>
      </c>
      <c r="G1756" s="1" t="s">
        <v>7186</v>
      </c>
      <c r="H1756" s="1" t="s">
        <v>1762</v>
      </c>
      <c r="I1756" t="b">
        <f>COUNTIF(Estadísticas!I:I,'centraldecomunicacion.es'!H1756)&gt;0</f>
        <v>0</v>
      </c>
    </row>
    <row r="1757" spans="1:9" hidden="1">
      <c r="A1757" s="1" t="s">
        <v>7187</v>
      </c>
      <c r="B1757" s="1" t="s">
        <v>10</v>
      </c>
      <c r="C1757" s="1" t="s">
        <v>7188</v>
      </c>
      <c r="D1757" s="1" t="s">
        <v>685</v>
      </c>
      <c r="E1757" s="1" t="s">
        <v>685</v>
      </c>
      <c r="F1757" s="1" t="s">
        <v>7142</v>
      </c>
      <c r="G1757" s="1" t="s">
        <v>7189</v>
      </c>
      <c r="H1757" s="1" t="s">
        <v>1762</v>
      </c>
      <c r="I1757" t="b">
        <f>COUNTIF(Estadísticas!I:I,'centraldecomunicacion.es'!H1757)&gt;0</f>
        <v>0</v>
      </c>
    </row>
    <row r="1758" spans="1:9" hidden="1">
      <c r="A1758" s="1" t="s">
        <v>7190</v>
      </c>
      <c r="B1758" s="1" t="s">
        <v>10</v>
      </c>
      <c r="C1758" s="1" t="s">
        <v>30</v>
      </c>
      <c r="D1758" s="1" t="s">
        <v>716</v>
      </c>
      <c r="E1758" s="1" t="s">
        <v>30</v>
      </c>
      <c r="F1758" s="1" t="s">
        <v>1830</v>
      </c>
      <c r="G1758" s="1" t="s">
        <v>7191</v>
      </c>
      <c r="H1758" s="1" t="s">
        <v>1762</v>
      </c>
      <c r="I1758" t="b">
        <f>COUNTIF(Estadísticas!I:I,'centraldecomunicacion.es'!H1758)&gt;0</f>
        <v>0</v>
      </c>
    </row>
    <row r="1759" spans="1:9" hidden="1">
      <c r="A1759" s="1" t="s">
        <v>7192</v>
      </c>
      <c r="B1759" s="1" t="s">
        <v>10</v>
      </c>
      <c r="C1759" s="1" t="s">
        <v>7193</v>
      </c>
      <c r="D1759" s="1" t="s">
        <v>685</v>
      </c>
      <c r="E1759" s="1" t="s">
        <v>685</v>
      </c>
      <c r="F1759" s="1" t="s">
        <v>30</v>
      </c>
      <c r="G1759" s="1" t="s">
        <v>7194</v>
      </c>
      <c r="H1759" s="1" t="s">
        <v>1762</v>
      </c>
      <c r="I1759" t="b">
        <f>COUNTIF(Estadísticas!I:I,'centraldecomunicacion.es'!H1759)&gt;0</f>
        <v>0</v>
      </c>
    </row>
    <row r="1760" spans="1:9" hidden="1">
      <c r="A1760" s="1" t="s">
        <v>7195</v>
      </c>
      <c r="B1760" s="1" t="s">
        <v>10</v>
      </c>
      <c r="C1760" s="1" t="s">
        <v>7196</v>
      </c>
      <c r="D1760" s="1" t="s">
        <v>685</v>
      </c>
      <c r="E1760" s="1" t="s">
        <v>685</v>
      </c>
      <c r="F1760" s="1" t="s">
        <v>30</v>
      </c>
      <c r="G1760" s="1" t="s">
        <v>7197</v>
      </c>
      <c r="H1760" s="1" t="s">
        <v>1762</v>
      </c>
      <c r="I1760" t="b">
        <f>COUNTIF(Estadísticas!I:I,'centraldecomunicacion.es'!H1760)&gt;0</f>
        <v>0</v>
      </c>
    </row>
    <row r="1761" spans="1:9" hidden="1">
      <c r="A1761" s="1" t="s">
        <v>7180</v>
      </c>
      <c r="B1761" s="1" t="s">
        <v>10</v>
      </c>
      <c r="C1761" s="1" t="s">
        <v>7198</v>
      </c>
      <c r="D1761" s="1" t="s">
        <v>685</v>
      </c>
      <c r="E1761" s="1" t="s">
        <v>685</v>
      </c>
      <c r="F1761" s="1" t="s">
        <v>6237</v>
      </c>
      <c r="G1761" s="1" t="s">
        <v>7181</v>
      </c>
      <c r="H1761" s="1" t="s">
        <v>1762</v>
      </c>
      <c r="I1761" t="b">
        <f>COUNTIF(Estadísticas!I:I,'centraldecomunicacion.es'!H1761)&gt;0</f>
        <v>0</v>
      </c>
    </row>
    <row r="1762" spans="1:9" hidden="1">
      <c r="A1762" s="1" t="s">
        <v>7199</v>
      </c>
      <c r="B1762" s="1" t="s">
        <v>10</v>
      </c>
      <c r="C1762" s="1" t="s">
        <v>7200</v>
      </c>
      <c r="D1762" s="1" t="s">
        <v>685</v>
      </c>
      <c r="E1762" s="1" t="s">
        <v>685</v>
      </c>
      <c r="F1762" s="1" t="s">
        <v>30</v>
      </c>
      <c r="G1762" s="1" t="s">
        <v>7201</v>
      </c>
      <c r="H1762" s="1" t="s">
        <v>1762</v>
      </c>
      <c r="I1762" t="b">
        <f>COUNTIF(Estadísticas!I:I,'centraldecomunicacion.es'!H1762)&gt;0</f>
        <v>0</v>
      </c>
    </row>
    <row r="1763" spans="1:9" hidden="1">
      <c r="A1763" s="1" t="s">
        <v>7202</v>
      </c>
      <c r="B1763" s="1" t="s">
        <v>18</v>
      </c>
      <c r="C1763" s="1" t="s">
        <v>7203</v>
      </c>
      <c r="D1763" s="1" t="s">
        <v>685</v>
      </c>
      <c r="E1763" s="1" t="s">
        <v>685</v>
      </c>
      <c r="F1763" s="1" t="s">
        <v>7204</v>
      </c>
      <c r="G1763" s="1" t="s">
        <v>7205</v>
      </c>
      <c r="H1763" s="1" t="s">
        <v>1762</v>
      </c>
      <c r="I1763" t="b">
        <f>COUNTIF(Estadísticas!I:I,'centraldecomunicacion.es'!H1763)&gt;0</f>
        <v>0</v>
      </c>
    </row>
    <row r="1764" spans="1:9" hidden="1">
      <c r="A1764" s="1" t="s">
        <v>7206</v>
      </c>
      <c r="B1764" s="1" t="s">
        <v>10</v>
      </c>
      <c r="C1764" s="1" t="s">
        <v>7207</v>
      </c>
      <c r="D1764" s="1" t="s">
        <v>685</v>
      </c>
      <c r="E1764" s="1" t="s">
        <v>685</v>
      </c>
      <c r="F1764" s="1" t="s">
        <v>30</v>
      </c>
      <c r="G1764" s="1" t="s">
        <v>30</v>
      </c>
      <c r="H1764" s="1" t="s">
        <v>1762</v>
      </c>
      <c r="I1764" t="b">
        <f>COUNTIF(Estadísticas!I:I,'centraldecomunicacion.es'!H1764)&gt;0</f>
        <v>0</v>
      </c>
    </row>
    <row r="1765" spans="1:9">
      <c r="A1765" s="1" t="s">
        <v>704</v>
      </c>
      <c r="B1765" s="1" t="s">
        <v>18</v>
      </c>
      <c r="C1765" s="1" t="s">
        <v>705</v>
      </c>
      <c r="D1765" s="1" t="s">
        <v>685</v>
      </c>
      <c r="E1765" s="1" t="s">
        <v>685</v>
      </c>
      <c r="F1765" s="1" t="s">
        <v>706</v>
      </c>
      <c r="G1765" s="1" t="s">
        <v>707</v>
      </c>
      <c r="H1765" s="1" t="s">
        <v>708</v>
      </c>
      <c r="I1765" t="b">
        <f>COUNTIF(Estadísticas!I:I,'centraldecomunicacion.es'!H1765)&gt;0</f>
        <v>1</v>
      </c>
    </row>
    <row r="1766" spans="1:9" hidden="1">
      <c r="A1766" s="1" t="s">
        <v>7208</v>
      </c>
      <c r="B1766" s="1" t="s">
        <v>18</v>
      </c>
      <c r="C1766" s="1" t="s">
        <v>7209</v>
      </c>
      <c r="D1766" s="1" t="s">
        <v>685</v>
      </c>
      <c r="E1766" s="1" t="s">
        <v>685</v>
      </c>
      <c r="F1766" s="1" t="s">
        <v>30</v>
      </c>
      <c r="G1766" s="1" t="s">
        <v>7210</v>
      </c>
      <c r="H1766" s="1" t="s">
        <v>1762</v>
      </c>
      <c r="I1766" t="b">
        <f>COUNTIF(Estadísticas!I:I,'centraldecomunicacion.es'!H1766)&gt;0</f>
        <v>0</v>
      </c>
    </row>
    <row r="1767" spans="1:9" hidden="1">
      <c r="A1767" s="1" t="s">
        <v>7211</v>
      </c>
      <c r="B1767" s="1" t="s">
        <v>10</v>
      </c>
      <c r="C1767" s="1" t="s">
        <v>7212</v>
      </c>
      <c r="D1767" s="1" t="s">
        <v>685</v>
      </c>
      <c r="E1767" s="1" t="s">
        <v>685</v>
      </c>
      <c r="F1767" s="1" t="s">
        <v>30</v>
      </c>
      <c r="G1767" s="1" t="s">
        <v>30</v>
      </c>
      <c r="H1767" s="1" t="s">
        <v>1762</v>
      </c>
      <c r="I1767" t="b">
        <f>COUNTIF(Estadísticas!I:I,'centraldecomunicacion.es'!H1767)&gt;0</f>
        <v>0</v>
      </c>
    </row>
    <row r="1768" spans="1:9" hidden="1">
      <c r="A1768" s="1" t="s">
        <v>7213</v>
      </c>
      <c r="B1768" s="1" t="s">
        <v>10</v>
      </c>
      <c r="C1768" s="1" t="s">
        <v>7214</v>
      </c>
      <c r="D1768" s="1" t="s">
        <v>685</v>
      </c>
      <c r="E1768" s="1" t="s">
        <v>685</v>
      </c>
      <c r="F1768" s="1" t="s">
        <v>30</v>
      </c>
      <c r="G1768" s="1" t="s">
        <v>7215</v>
      </c>
      <c r="H1768" s="1" t="s">
        <v>1762</v>
      </c>
      <c r="I1768" t="b">
        <f>COUNTIF(Estadísticas!I:I,'centraldecomunicacion.es'!H1768)&gt;0</f>
        <v>0</v>
      </c>
    </row>
    <row r="1769" spans="1:9" hidden="1">
      <c r="A1769" s="1" t="s">
        <v>7216</v>
      </c>
      <c r="B1769" s="1" t="s">
        <v>10</v>
      </c>
      <c r="C1769" s="1" t="s">
        <v>7217</v>
      </c>
      <c r="D1769" s="1" t="s">
        <v>685</v>
      </c>
      <c r="E1769" s="1" t="s">
        <v>685</v>
      </c>
      <c r="F1769" s="1" t="s">
        <v>7218</v>
      </c>
      <c r="G1769" s="1" t="s">
        <v>7219</v>
      </c>
      <c r="H1769" s="1" t="s">
        <v>7220</v>
      </c>
      <c r="I1769" t="b">
        <f>COUNTIF(Estadísticas!I:I,'centraldecomunicacion.es'!H1769)&gt;0</f>
        <v>0</v>
      </c>
    </row>
    <row r="1770" spans="1:9">
      <c r="A1770" s="1" t="s">
        <v>709</v>
      </c>
      <c r="B1770" s="1" t="s">
        <v>18</v>
      </c>
      <c r="C1770" s="1" t="s">
        <v>710</v>
      </c>
      <c r="D1770" s="1" t="s">
        <v>685</v>
      </c>
      <c r="E1770" s="1" t="s">
        <v>685</v>
      </c>
      <c r="F1770" s="1" t="s">
        <v>711</v>
      </c>
      <c r="G1770" s="1" t="s">
        <v>712</v>
      </c>
      <c r="H1770" s="1" t="s">
        <v>713</v>
      </c>
      <c r="I1770" t="b">
        <f>COUNTIF(Estadísticas!I:I,'centraldecomunicacion.es'!H1770)&gt;0</f>
        <v>1</v>
      </c>
    </row>
    <row r="1771" spans="1:9" hidden="1">
      <c r="A1771" s="1" t="s">
        <v>7221</v>
      </c>
      <c r="B1771" s="1" t="s">
        <v>10</v>
      </c>
      <c r="C1771" s="1" t="s">
        <v>7222</v>
      </c>
      <c r="D1771" s="1" t="s">
        <v>685</v>
      </c>
      <c r="E1771" s="1" t="s">
        <v>685</v>
      </c>
      <c r="F1771" s="1" t="s">
        <v>30</v>
      </c>
      <c r="G1771" s="1" t="s">
        <v>7223</v>
      </c>
      <c r="H1771" s="1" t="s">
        <v>1762</v>
      </c>
      <c r="I1771" t="b">
        <f>COUNTIF(Estadísticas!I:I,'centraldecomunicacion.es'!H1771)&gt;0</f>
        <v>0</v>
      </c>
    </row>
    <row r="1772" spans="1:9" hidden="1">
      <c r="A1772" s="1" t="s">
        <v>7224</v>
      </c>
      <c r="B1772" s="1" t="s">
        <v>18</v>
      </c>
      <c r="C1772" s="1" t="s">
        <v>7225</v>
      </c>
      <c r="D1772" s="1" t="s">
        <v>685</v>
      </c>
      <c r="E1772" s="1" t="s">
        <v>685</v>
      </c>
      <c r="F1772" s="1" t="s">
        <v>7142</v>
      </c>
      <c r="G1772" s="1" t="s">
        <v>7143</v>
      </c>
      <c r="H1772" s="1" t="s">
        <v>1762</v>
      </c>
      <c r="I1772" t="b">
        <f>COUNTIF(Estadísticas!I:I,'centraldecomunicacion.es'!H1772)&gt;0</f>
        <v>0</v>
      </c>
    </row>
    <row r="1773" spans="1:9" hidden="1">
      <c r="A1773" s="1" t="s">
        <v>7226</v>
      </c>
      <c r="B1773" s="1" t="s">
        <v>18</v>
      </c>
      <c r="C1773" s="1" t="s">
        <v>7227</v>
      </c>
      <c r="D1773" s="1" t="s">
        <v>685</v>
      </c>
      <c r="E1773" s="1" t="s">
        <v>685</v>
      </c>
      <c r="F1773" s="1" t="s">
        <v>30</v>
      </c>
      <c r="G1773" s="1" t="s">
        <v>30</v>
      </c>
      <c r="H1773" s="1" t="s">
        <v>1762</v>
      </c>
      <c r="I1773" t="b">
        <f>COUNTIF(Estadísticas!I:I,'centraldecomunicacion.es'!H1773)&gt;0</f>
        <v>0</v>
      </c>
    </row>
    <row r="1774" spans="1:9">
      <c r="A1774" s="1" t="s">
        <v>714</v>
      </c>
      <c r="B1774" s="1" t="s">
        <v>10</v>
      </c>
      <c r="C1774" s="1" t="s">
        <v>715</v>
      </c>
      <c r="D1774" s="1" t="s">
        <v>716</v>
      </c>
      <c r="E1774" s="1" t="s">
        <v>685</v>
      </c>
      <c r="F1774" s="1" t="s">
        <v>717</v>
      </c>
      <c r="G1774" s="1" t="s">
        <v>718</v>
      </c>
      <c r="H1774" s="1" t="s">
        <v>719</v>
      </c>
      <c r="I1774" t="b">
        <f>COUNTIF(Estadísticas!I:I,'centraldecomunicacion.es'!H1774)&gt;0</f>
        <v>1</v>
      </c>
    </row>
    <row r="1775" spans="1:9" hidden="1">
      <c r="A1775" s="1" t="s">
        <v>7228</v>
      </c>
      <c r="B1775" s="1" t="s">
        <v>18</v>
      </c>
      <c r="C1775" s="1" t="s">
        <v>7229</v>
      </c>
      <c r="D1775" s="1" t="s">
        <v>685</v>
      </c>
      <c r="E1775" s="1" t="s">
        <v>685</v>
      </c>
      <c r="F1775" s="1" t="s">
        <v>30</v>
      </c>
      <c r="G1775" s="1" t="s">
        <v>7230</v>
      </c>
      <c r="H1775" s="1" t="s">
        <v>1762</v>
      </c>
      <c r="I1775" t="b">
        <f>COUNTIF(Estadísticas!I:I,'centraldecomunicacion.es'!H1775)&gt;0</f>
        <v>0</v>
      </c>
    </row>
    <row r="1776" spans="1:9" hidden="1">
      <c r="A1776" s="1" t="s">
        <v>7231</v>
      </c>
      <c r="B1776" s="1" t="s">
        <v>18</v>
      </c>
      <c r="C1776" s="1" t="s">
        <v>7232</v>
      </c>
      <c r="D1776" s="1" t="s">
        <v>685</v>
      </c>
      <c r="E1776" s="1" t="s">
        <v>685</v>
      </c>
      <c r="F1776" s="1" t="s">
        <v>7233</v>
      </c>
      <c r="G1776" s="1" t="s">
        <v>7230</v>
      </c>
      <c r="H1776" s="1" t="s">
        <v>7234</v>
      </c>
      <c r="I1776" t="b">
        <f>COUNTIF(Estadísticas!I:I,'centraldecomunicacion.es'!H1776)&gt;0</f>
        <v>0</v>
      </c>
    </row>
    <row r="1777" spans="1:9" hidden="1">
      <c r="A1777" s="1" t="s">
        <v>7235</v>
      </c>
      <c r="B1777" s="1" t="s">
        <v>10</v>
      </c>
      <c r="C1777" s="1" t="s">
        <v>7236</v>
      </c>
      <c r="D1777" s="1" t="s">
        <v>7237</v>
      </c>
      <c r="E1777" s="1" t="s">
        <v>685</v>
      </c>
      <c r="F1777" s="1" t="s">
        <v>7238</v>
      </c>
      <c r="G1777" s="1" t="s">
        <v>7239</v>
      </c>
      <c r="H1777" s="1" t="s">
        <v>1762</v>
      </c>
      <c r="I1777" t="b">
        <f>COUNTIF(Estadísticas!I:I,'centraldecomunicacion.es'!H1777)&gt;0</f>
        <v>0</v>
      </c>
    </row>
    <row r="1778" spans="1:9" hidden="1">
      <c r="A1778" s="1" t="s">
        <v>7240</v>
      </c>
      <c r="B1778" s="1" t="s">
        <v>10</v>
      </c>
      <c r="C1778" s="1" t="s">
        <v>30</v>
      </c>
      <c r="D1778" s="1" t="s">
        <v>716</v>
      </c>
      <c r="E1778" s="1" t="s">
        <v>30</v>
      </c>
      <c r="F1778" s="1" t="s">
        <v>7241</v>
      </c>
      <c r="G1778" s="1" t="s">
        <v>7242</v>
      </c>
      <c r="H1778" s="1" t="s">
        <v>1762</v>
      </c>
      <c r="I1778" t="b">
        <f>COUNTIF(Estadísticas!I:I,'centraldecomunicacion.es'!H1778)&gt;0</f>
        <v>0</v>
      </c>
    </row>
    <row r="1779" spans="1:9" hidden="1">
      <c r="A1779" s="1" t="s">
        <v>7243</v>
      </c>
      <c r="B1779" s="1" t="s">
        <v>10</v>
      </c>
      <c r="C1779" s="1" t="s">
        <v>7244</v>
      </c>
      <c r="D1779" s="1" t="s">
        <v>7245</v>
      </c>
      <c r="E1779" s="1" t="s">
        <v>685</v>
      </c>
      <c r="F1779" s="1" t="s">
        <v>30</v>
      </c>
      <c r="G1779" s="1" t="s">
        <v>7246</v>
      </c>
      <c r="H1779" s="1" t="s">
        <v>1762</v>
      </c>
      <c r="I1779" t="b">
        <f>COUNTIF(Estadísticas!I:I,'centraldecomunicacion.es'!H1779)&gt;0</f>
        <v>0</v>
      </c>
    </row>
    <row r="1780" spans="1:9" hidden="1">
      <c r="A1780" s="1" t="s">
        <v>7247</v>
      </c>
      <c r="B1780" s="1" t="s">
        <v>10</v>
      </c>
      <c r="C1780" s="1" t="s">
        <v>7248</v>
      </c>
      <c r="D1780" s="1" t="s">
        <v>7245</v>
      </c>
      <c r="E1780" s="1" t="s">
        <v>685</v>
      </c>
      <c r="F1780" s="1" t="s">
        <v>30</v>
      </c>
      <c r="G1780" s="1" t="s">
        <v>7249</v>
      </c>
      <c r="H1780" s="1" t="s">
        <v>1762</v>
      </c>
      <c r="I1780" t="b">
        <f>COUNTIF(Estadísticas!I:I,'centraldecomunicacion.es'!H1780)&gt;0</f>
        <v>0</v>
      </c>
    </row>
    <row r="1781" spans="1:9" hidden="1">
      <c r="A1781" s="1" t="s">
        <v>4018</v>
      </c>
      <c r="B1781" s="1" t="s">
        <v>10</v>
      </c>
      <c r="C1781" s="1" t="s">
        <v>7250</v>
      </c>
      <c r="D1781" s="1" t="s">
        <v>7251</v>
      </c>
      <c r="E1781" s="1" t="s">
        <v>685</v>
      </c>
      <c r="F1781" s="1" t="s">
        <v>30</v>
      </c>
      <c r="G1781" s="1" t="s">
        <v>30</v>
      </c>
      <c r="H1781" s="1" t="s">
        <v>1762</v>
      </c>
      <c r="I1781" t="b">
        <f>COUNTIF(Estadísticas!I:I,'centraldecomunicacion.es'!H1781)&gt;0</f>
        <v>0</v>
      </c>
    </row>
    <row r="1782" spans="1:9" hidden="1">
      <c r="A1782" s="1" t="s">
        <v>7252</v>
      </c>
      <c r="B1782" s="1" t="s">
        <v>10</v>
      </c>
      <c r="C1782" s="1" t="s">
        <v>7253</v>
      </c>
      <c r="D1782" s="1" t="s">
        <v>7254</v>
      </c>
      <c r="E1782" s="1" t="s">
        <v>685</v>
      </c>
      <c r="F1782" s="1" t="s">
        <v>30</v>
      </c>
      <c r="G1782" s="1" t="s">
        <v>7255</v>
      </c>
      <c r="H1782" s="1" t="s">
        <v>1762</v>
      </c>
      <c r="I1782" t="b">
        <f>COUNTIF(Estadísticas!I:I,'centraldecomunicacion.es'!H1782)&gt;0</f>
        <v>0</v>
      </c>
    </row>
    <row r="1783" spans="1:9" hidden="1">
      <c r="A1783" s="1" t="s">
        <v>7256</v>
      </c>
      <c r="B1783" s="1" t="s">
        <v>10</v>
      </c>
      <c r="C1783" s="1" t="s">
        <v>7257</v>
      </c>
      <c r="D1783" s="1" t="s">
        <v>7258</v>
      </c>
      <c r="E1783" s="1" t="s">
        <v>685</v>
      </c>
      <c r="F1783" s="1" t="s">
        <v>30</v>
      </c>
      <c r="G1783" s="1" t="s">
        <v>7259</v>
      </c>
      <c r="H1783" s="1" t="s">
        <v>1762</v>
      </c>
      <c r="I1783" t="b">
        <f>COUNTIF(Estadísticas!I:I,'centraldecomunicacion.es'!H1783)&gt;0</f>
        <v>0</v>
      </c>
    </row>
    <row r="1784" spans="1:9" hidden="1">
      <c r="A1784" s="1" t="s">
        <v>7260</v>
      </c>
      <c r="B1784" s="1" t="s">
        <v>10</v>
      </c>
      <c r="C1784" s="1" t="s">
        <v>7261</v>
      </c>
      <c r="D1784" s="1" t="s">
        <v>7262</v>
      </c>
      <c r="E1784" s="1" t="s">
        <v>685</v>
      </c>
      <c r="F1784" s="1" t="s">
        <v>30</v>
      </c>
      <c r="G1784" s="1" t="s">
        <v>7263</v>
      </c>
      <c r="H1784" s="1" t="s">
        <v>1762</v>
      </c>
      <c r="I1784" t="b">
        <f>COUNTIF(Estadísticas!I:I,'centraldecomunicacion.es'!H1784)&gt;0</f>
        <v>0</v>
      </c>
    </row>
    <row r="1785" spans="1:9" hidden="1">
      <c r="A1785" s="1" t="s">
        <v>7264</v>
      </c>
      <c r="B1785" s="1" t="s">
        <v>10</v>
      </c>
      <c r="C1785" s="1" t="s">
        <v>7265</v>
      </c>
      <c r="D1785" s="1" t="s">
        <v>7266</v>
      </c>
      <c r="E1785" s="1" t="s">
        <v>685</v>
      </c>
      <c r="F1785" s="1" t="s">
        <v>30</v>
      </c>
      <c r="G1785" s="1" t="s">
        <v>30</v>
      </c>
      <c r="H1785" s="1" t="s">
        <v>1762</v>
      </c>
      <c r="I1785" t="b">
        <f>COUNTIF(Estadísticas!I:I,'centraldecomunicacion.es'!H1785)&gt;0</f>
        <v>0</v>
      </c>
    </row>
    <row r="1786" spans="1:9" hidden="1">
      <c r="A1786" s="1" t="s">
        <v>7267</v>
      </c>
      <c r="B1786" s="1" t="s">
        <v>18</v>
      </c>
      <c r="C1786" s="1" t="s">
        <v>7268</v>
      </c>
      <c r="D1786" s="1" t="s">
        <v>7262</v>
      </c>
      <c r="E1786" s="1" t="s">
        <v>685</v>
      </c>
      <c r="F1786" s="1" t="s">
        <v>7269</v>
      </c>
      <c r="G1786" s="1" t="s">
        <v>7270</v>
      </c>
      <c r="H1786" s="1" t="s">
        <v>1762</v>
      </c>
      <c r="I1786" t="b">
        <f>COUNTIF(Estadísticas!I:I,'centraldecomunicacion.es'!H1786)&gt;0</f>
        <v>0</v>
      </c>
    </row>
    <row r="1787" spans="1:9" hidden="1">
      <c r="A1787" s="1" t="s">
        <v>7271</v>
      </c>
      <c r="B1787" s="1" t="s">
        <v>10</v>
      </c>
      <c r="C1787" s="1" t="s">
        <v>7272</v>
      </c>
      <c r="D1787" s="1" t="s">
        <v>7273</v>
      </c>
      <c r="E1787" s="1" t="s">
        <v>685</v>
      </c>
      <c r="F1787" s="1" t="s">
        <v>30</v>
      </c>
      <c r="G1787" s="1" t="s">
        <v>30</v>
      </c>
      <c r="H1787" s="1" t="s">
        <v>1762</v>
      </c>
      <c r="I1787" t="b">
        <f>COUNTIF(Estadísticas!I:I,'centraldecomunicacion.es'!H1787)&gt;0</f>
        <v>0</v>
      </c>
    </row>
    <row r="1788" spans="1:9" hidden="1">
      <c r="A1788" s="1" t="s">
        <v>7274</v>
      </c>
      <c r="B1788" s="1" t="s">
        <v>18</v>
      </c>
      <c r="C1788" s="1" t="s">
        <v>7275</v>
      </c>
      <c r="D1788" s="1" t="s">
        <v>7276</v>
      </c>
      <c r="E1788" s="1" t="s">
        <v>685</v>
      </c>
      <c r="F1788" s="1" t="s">
        <v>7277</v>
      </c>
      <c r="G1788" s="1" t="s">
        <v>7278</v>
      </c>
      <c r="H1788" s="1" t="s">
        <v>7279</v>
      </c>
      <c r="I1788" t="b">
        <f>COUNTIF(Estadísticas!I:I,'centraldecomunicacion.es'!H1788)&gt;0</f>
        <v>0</v>
      </c>
    </row>
    <row r="1789" spans="1:9" hidden="1">
      <c r="A1789" s="1" t="s">
        <v>7280</v>
      </c>
      <c r="B1789" s="1" t="s">
        <v>10</v>
      </c>
      <c r="C1789" s="1" t="s">
        <v>7281</v>
      </c>
      <c r="D1789" s="1" t="s">
        <v>7245</v>
      </c>
      <c r="E1789" s="1" t="s">
        <v>685</v>
      </c>
      <c r="F1789" s="1" t="s">
        <v>7282</v>
      </c>
      <c r="G1789" s="1" t="s">
        <v>7283</v>
      </c>
      <c r="H1789" s="1" t="s">
        <v>1762</v>
      </c>
      <c r="I1789" t="b">
        <f>COUNTIF(Estadísticas!I:I,'centraldecomunicacion.es'!H1789)&gt;0</f>
        <v>0</v>
      </c>
    </row>
    <row r="1790" spans="1:9" hidden="1">
      <c r="A1790" s="1" t="s">
        <v>7284</v>
      </c>
      <c r="B1790" s="1" t="s">
        <v>10</v>
      </c>
      <c r="C1790" s="1" t="s">
        <v>7285</v>
      </c>
      <c r="D1790" s="1" t="s">
        <v>7254</v>
      </c>
      <c r="E1790" s="1" t="s">
        <v>685</v>
      </c>
      <c r="F1790" s="1" t="s">
        <v>1984</v>
      </c>
      <c r="G1790" s="1" t="s">
        <v>7286</v>
      </c>
      <c r="H1790" s="1" t="s">
        <v>1762</v>
      </c>
      <c r="I1790" t="b">
        <f>COUNTIF(Estadísticas!I:I,'centraldecomunicacion.es'!H1790)&gt;0</f>
        <v>0</v>
      </c>
    </row>
    <row r="1791" spans="1:9" hidden="1">
      <c r="A1791" s="1" t="s">
        <v>7287</v>
      </c>
      <c r="B1791" s="1" t="s">
        <v>10</v>
      </c>
      <c r="C1791" s="1" t="s">
        <v>7288</v>
      </c>
      <c r="D1791" s="1" t="s">
        <v>7276</v>
      </c>
      <c r="E1791" s="1" t="s">
        <v>685</v>
      </c>
      <c r="F1791" s="1" t="s">
        <v>7289</v>
      </c>
      <c r="G1791" s="1" t="s">
        <v>7290</v>
      </c>
      <c r="H1791" s="1" t="s">
        <v>7291</v>
      </c>
      <c r="I1791" t="b">
        <f>COUNTIF(Estadísticas!I:I,'centraldecomunicacion.es'!H1791)&gt;0</f>
        <v>0</v>
      </c>
    </row>
    <row r="1792" spans="1:9" hidden="1">
      <c r="A1792" s="1" t="s">
        <v>7292</v>
      </c>
      <c r="B1792" s="1" t="s">
        <v>10</v>
      </c>
      <c r="C1792" s="1" t="s">
        <v>7293</v>
      </c>
      <c r="D1792" s="1" t="s">
        <v>7294</v>
      </c>
      <c r="E1792" s="1" t="s">
        <v>685</v>
      </c>
      <c r="F1792" s="1" t="s">
        <v>30</v>
      </c>
      <c r="G1792" s="1" t="s">
        <v>7295</v>
      </c>
      <c r="H1792" s="1" t="s">
        <v>1762</v>
      </c>
      <c r="I1792" t="b">
        <f>COUNTIF(Estadísticas!I:I,'centraldecomunicacion.es'!H1792)&gt;0</f>
        <v>0</v>
      </c>
    </row>
    <row r="1793" spans="1:9" hidden="1">
      <c r="A1793" s="1" t="s">
        <v>7296</v>
      </c>
      <c r="B1793" s="1" t="s">
        <v>10</v>
      </c>
      <c r="C1793" s="1" t="s">
        <v>7297</v>
      </c>
      <c r="D1793" s="1" t="s">
        <v>7276</v>
      </c>
      <c r="E1793" s="1" t="s">
        <v>685</v>
      </c>
      <c r="F1793" s="1" t="s">
        <v>7298</v>
      </c>
      <c r="G1793" s="1" t="s">
        <v>7299</v>
      </c>
      <c r="H1793" s="1" t="s">
        <v>1762</v>
      </c>
      <c r="I1793" t="b">
        <f>COUNTIF(Estadísticas!I:I,'centraldecomunicacion.es'!H1793)&gt;0</f>
        <v>0</v>
      </c>
    </row>
    <row r="1794" spans="1:9" hidden="1">
      <c r="A1794" s="1" t="s">
        <v>7300</v>
      </c>
      <c r="B1794" s="1" t="s">
        <v>10</v>
      </c>
      <c r="C1794" s="1" t="s">
        <v>7301</v>
      </c>
      <c r="D1794" s="1" t="s">
        <v>7276</v>
      </c>
      <c r="E1794" s="1" t="s">
        <v>685</v>
      </c>
      <c r="F1794" s="1" t="s">
        <v>30</v>
      </c>
      <c r="G1794" s="1" t="s">
        <v>30</v>
      </c>
      <c r="H1794" s="1" t="s">
        <v>1762</v>
      </c>
      <c r="I1794" t="b">
        <f>COUNTIF(Estadísticas!I:I,'centraldecomunicacion.es'!H1794)&gt;0</f>
        <v>0</v>
      </c>
    </row>
    <row r="1795" spans="1:9" hidden="1">
      <c r="A1795" s="1" t="s">
        <v>7302</v>
      </c>
      <c r="B1795" s="1" t="s">
        <v>10</v>
      </c>
      <c r="C1795" s="1" t="s">
        <v>7303</v>
      </c>
      <c r="D1795" s="1" t="s">
        <v>7304</v>
      </c>
      <c r="E1795" s="1" t="s">
        <v>685</v>
      </c>
      <c r="F1795" s="1" t="s">
        <v>30</v>
      </c>
      <c r="G1795" s="1" t="s">
        <v>7305</v>
      </c>
      <c r="H1795" s="1" t="s">
        <v>1762</v>
      </c>
      <c r="I1795" t="b">
        <f>COUNTIF(Estadísticas!I:I,'centraldecomunicacion.es'!H1795)&gt;0</f>
        <v>0</v>
      </c>
    </row>
    <row r="1796" spans="1:9" hidden="1">
      <c r="A1796" s="1" t="s">
        <v>7306</v>
      </c>
      <c r="B1796" s="1" t="s">
        <v>10</v>
      </c>
      <c r="C1796" s="1" t="s">
        <v>7307</v>
      </c>
      <c r="D1796" s="1" t="s">
        <v>7245</v>
      </c>
      <c r="E1796" s="1" t="s">
        <v>685</v>
      </c>
      <c r="F1796" s="1" t="s">
        <v>30</v>
      </c>
      <c r="G1796" s="1" t="s">
        <v>7308</v>
      </c>
      <c r="H1796" s="1" t="s">
        <v>1762</v>
      </c>
      <c r="I1796" t="b">
        <f>COUNTIF(Estadísticas!I:I,'centraldecomunicacion.es'!H1796)&gt;0</f>
        <v>0</v>
      </c>
    </row>
    <row r="1797" spans="1:9" hidden="1">
      <c r="A1797" s="1" t="s">
        <v>7309</v>
      </c>
      <c r="B1797" s="1" t="s">
        <v>10</v>
      </c>
      <c r="C1797" s="1" t="s">
        <v>7310</v>
      </c>
      <c r="D1797" s="1" t="s">
        <v>7254</v>
      </c>
      <c r="E1797" s="1" t="s">
        <v>685</v>
      </c>
      <c r="F1797" s="1" t="s">
        <v>30</v>
      </c>
      <c r="G1797" s="1" t="s">
        <v>7311</v>
      </c>
      <c r="H1797" s="1" t="s">
        <v>1762</v>
      </c>
      <c r="I1797" t="b">
        <f>COUNTIF(Estadísticas!I:I,'centraldecomunicacion.es'!H1797)&gt;0</f>
        <v>0</v>
      </c>
    </row>
    <row r="1798" spans="1:9" hidden="1">
      <c r="A1798" s="1" t="s">
        <v>7312</v>
      </c>
      <c r="B1798" s="1" t="s">
        <v>10</v>
      </c>
      <c r="C1798" s="1" t="s">
        <v>7313</v>
      </c>
      <c r="D1798" s="1" t="s">
        <v>7254</v>
      </c>
      <c r="E1798" s="1" t="s">
        <v>685</v>
      </c>
      <c r="F1798" s="1" t="s">
        <v>30</v>
      </c>
      <c r="G1798" s="1" t="s">
        <v>30</v>
      </c>
      <c r="H1798" s="1" t="s">
        <v>1762</v>
      </c>
      <c r="I1798" t="b">
        <f>COUNTIF(Estadísticas!I:I,'centraldecomunicacion.es'!H1798)&gt;0</f>
        <v>0</v>
      </c>
    </row>
    <row r="1799" spans="1:9" hidden="1">
      <c r="A1799" s="1" t="s">
        <v>7314</v>
      </c>
      <c r="B1799" s="1" t="s">
        <v>10</v>
      </c>
      <c r="C1799" s="1" t="s">
        <v>7315</v>
      </c>
      <c r="D1799" s="1" t="s">
        <v>7316</v>
      </c>
      <c r="E1799" s="1" t="s">
        <v>685</v>
      </c>
      <c r="F1799" s="1" t="s">
        <v>30</v>
      </c>
      <c r="G1799" s="1" t="s">
        <v>30</v>
      </c>
      <c r="H1799" s="1" t="s">
        <v>1762</v>
      </c>
      <c r="I1799" t="b">
        <f>COUNTIF(Estadísticas!I:I,'centraldecomunicacion.es'!H1799)&gt;0</f>
        <v>0</v>
      </c>
    </row>
    <row r="1800" spans="1:9" hidden="1">
      <c r="A1800" s="1" t="s">
        <v>7317</v>
      </c>
      <c r="B1800" s="1" t="s">
        <v>10</v>
      </c>
      <c r="C1800" s="1" t="s">
        <v>7318</v>
      </c>
      <c r="D1800" s="1" t="s">
        <v>7316</v>
      </c>
      <c r="E1800" s="1" t="s">
        <v>685</v>
      </c>
      <c r="F1800" s="1" t="s">
        <v>30</v>
      </c>
      <c r="G1800" s="1" t="s">
        <v>7319</v>
      </c>
      <c r="H1800" s="1" t="s">
        <v>1762</v>
      </c>
      <c r="I1800" t="b">
        <f>COUNTIF(Estadísticas!I:I,'centraldecomunicacion.es'!H1800)&gt;0</f>
        <v>0</v>
      </c>
    </row>
    <row r="1801" spans="1:9" hidden="1">
      <c r="A1801" s="1" t="s">
        <v>7320</v>
      </c>
      <c r="B1801" s="1" t="s">
        <v>10</v>
      </c>
      <c r="C1801" s="1" t="s">
        <v>7321</v>
      </c>
      <c r="D1801" s="1" t="s">
        <v>7254</v>
      </c>
      <c r="E1801" s="1" t="s">
        <v>685</v>
      </c>
      <c r="F1801" s="1" t="s">
        <v>7322</v>
      </c>
      <c r="G1801" s="1" t="s">
        <v>7323</v>
      </c>
      <c r="H1801" s="1" t="s">
        <v>7324</v>
      </c>
      <c r="I1801" t="b">
        <f>COUNTIF(Estadísticas!I:I,'centraldecomunicacion.es'!H1801)&gt;0</f>
        <v>0</v>
      </c>
    </row>
    <row r="1802" spans="1:9" hidden="1">
      <c r="A1802" s="1" t="s">
        <v>7325</v>
      </c>
      <c r="B1802" s="1" t="s">
        <v>10</v>
      </c>
      <c r="C1802" s="1" t="s">
        <v>7326</v>
      </c>
      <c r="D1802" s="1" t="s">
        <v>7327</v>
      </c>
      <c r="E1802" s="1" t="s">
        <v>685</v>
      </c>
      <c r="F1802" s="1" t="s">
        <v>30</v>
      </c>
      <c r="G1802" s="1" t="s">
        <v>30</v>
      </c>
      <c r="H1802" s="1" t="s">
        <v>1762</v>
      </c>
      <c r="I1802" t="b">
        <f>COUNTIF(Estadísticas!I:I,'centraldecomunicacion.es'!H1802)&gt;0</f>
        <v>0</v>
      </c>
    </row>
    <row r="1803" spans="1:9" hidden="1">
      <c r="A1803" s="1" t="s">
        <v>7328</v>
      </c>
      <c r="B1803" s="1" t="s">
        <v>18</v>
      </c>
      <c r="C1803" s="1" t="s">
        <v>7329</v>
      </c>
      <c r="D1803" s="1" t="s">
        <v>7330</v>
      </c>
      <c r="E1803" s="1" t="s">
        <v>685</v>
      </c>
      <c r="F1803" s="1" t="s">
        <v>30</v>
      </c>
      <c r="G1803" s="1" t="s">
        <v>7331</v>
      </c>
      <c r="H1803" s="1" t="s">
        <v>1762</v>
      </c>
      <c r="I1803" t="b">
        <f>COUNTIF(Estadísticas!I:I,'centraldecomunicacion.es'!H1803)&gt;0</f>
        <v>0</v>
      </c>
    </row>
    <row r="1804" spans="1:9" hidden="1">
      <c r="A1804" s="1" t="s">
        <v>7332</v>
      </c>
      <c r="B1804" s="1" t="s">
        <v>10</v>
      </c>
      <c r="C1804" s="1" t="s">
        <v>7333</v>
      </c>
      <c r="D1804" s="1" t="s">
        <v>7276</v>
      </c>
      <c r="E1804" s="1" t="s">
        <v>685</v>
      </c>
      <c r="F1804" s="1" t="s">
        <v>1984</v>
      </c>
      <c r="G1804" s="1" t="s">
        <v>7334</v>
      </c>
      <c r="H1804" s="1" t="s">
        <v>1762</v>
      </c>
      <c r="I1804" t="b">
        <f>COUNTIF(Estadísticas!I:I,'centraldecomunicacion.es'!H1804)&gt;0</f>
        <v>0</v>
      </c>
    </row>
    <row r="1805" spans="1:9" hidden="1">
      <c r="A1805" s="1" t="s">
        <v>7335</v>
      </c>
      <c r="B1805" s="1" t="s">
        <v>10</v>
      </c>
      <c r="C1805" s="1" t="s">
        <v>7336</v>
      </c>
      <c r="D1805" s="1" t="s">
        <v>7337</v>
      </c>
      <c r="E1805" s="1" t="s">
        <v>758</v>
      </c>
      <c r="F1805" s="1" t="s">
        <v>30</v>
      </c>
      <c r="G1805" s="1" t="s">
        <v>7338</v>
      </c>
      <c r="H1805" s="1" t="s">
        <v>1762</v>
      </c>
      <c r="I1805" t="b">
        <f>COUNTIF(Estadísticas!I:I,'centraldecomunicacion.es'!H1805)&gt;0</f>
        <v>0</v>
      </c>
    </row>
    <row r="1806" spans="1:9" hidden="1">
      <c r="A1806" s="1" t="s">
        <v>7339</v>
      </c>
      <c r="B1806" s="1" t="s">
        <v>10</v>
      </c>
      <c r="C1806" s="1" t="s">
        <v>7340</v>
      </c>
      <c r="D1806" s="1" t="s">
        <v>7341</v>
      </c>
      <c r="E1806" s="1" t="s">
        <v>758</v>
      </c>
      <c r="F1806" s="1" t="s">
        <v>30</v>
      </c>
      <c r="G1806" s="1" t="s">
        <v>30</v>
      </c>
      <c r="H1806" s="1" t="s">
        <v>1762</v>
      </c>
      <c r="I1806" t="b">
        <f>COUNTIF(Estadísticas!I:I,'centraldecomunicacion.es'!H1806)&gt;0</f>
        <v>0</v>
      </c>
    </row>
    <row r="1807" spans="1:9" hidden="1">
      <c r="A1807" s="1" t="s">
        <v>7342</v>
      </c>
      <c r="B1807" s="1" t="s">
        <v>18</v>
      </c>
      <c r="C1807" s="1" t="s">
        <v>7343</v>
      </c>
      <c r="D1807" s="1" t="s">
        <v>7262</v>
      </c>
      <c r="E1807" s="1" t="s">
        <v>685</v>
      </c>
      <c r="F1807" s="1" t="s">
        <v>30</v>
      </c>
      <c r="G1807" s="1" t="s">
        <v>7344</v>
      </c>
      <c r="H1807" s="1" t="s">
        <v>1762</v>
      </c>
      <c r="I1807" t="b">
        <f>COUNTIF(Estadísticas!I:I,'centraldecomunicacion.es'!H1807)&gt;0</f>
        <v>0</v>
      </c>
    </row>
    <row r="1808" spans="1:9">
      <c r="A1808" s="1" t="s">
        <v>720</v>
      </c>
      <c r="B1808" s="1" t="s">
        <v>10</v>
      </c>
      <c r="C1808" s="1" t="s">
        <v>721</v>
      </c>
      <c r="D1808" s="1" t="s">
        <v>722</v>
      </c>
      <c r="E1808" s="1" t="s">
        <v>723</v>
      </c>
      <c r="F1808" s="1" t="s">
        <v>724</v>
      </c>
      <c r="G1808" s="1" t="s">
        <v>725</v>
      </c>
      <c r="H1808" s="1" t="s">
        <v>726</v>
      </c>
      <c r="I1808" t="b">
        <f>COUNTIF(Estadísticas!I:I,'centraldecomunicacion.es'!H1808)&gt;0</f>
        <v>1</v>
      </c>
    </row>
    <row r="1809" spans="1:9" hidden="1">
      <c r="A1809" s="1" t="s">
        <v>7345</v>
      </c>
      <c r="B1809" s="1" t="s">
        <v>10</v>
      </c>
      <c r="C1809" s="1" t="s">
        <v>7346</v>
      </c>
      <c r="D1809" s="1" t="s">
        <v>722</v>
      </c>
      <c r="E1809" s="1" t="s">
        <v>723</v>
      </c>
      <c r="F1809" s="1" t="s">
        <v>7347</v>
      </c>
      <c r="G1809" s="1" t="s">
        <v>7348</v>
      </c>
      <c r="H1809" s="1" t="s">
        <v>1762</v>
      </c>
      <c r="I1809" t="b">
        <f>COUNTIF(Estadísticas!I:I,'centraldecomunicacion.es'!H1809)&gt;0</f>
        <v>0</v>
      </c>
    </row>
    <row r="1810" spans="1:9" hidden="1">
      <c r="A1810" s="1" t="s">
        <v>7349</v>
      </c>
      <c r="B1810" s="1" t="s">
        <v>10</v>
      </c>
      <c r="C1810" s="1" t="s">
        <v>7350</v>
      </c>
      <c r="D1810" s="1" t="s">
        <v>722</v>
      </c>
      <c r="E1810" s="1" t="s">
        <v>723</v>
      </c>
      <c r="F1810" s="1" t="s">
        <v>30</v>
      </c>
      <c r="G1810" s="1" t="s">
        <v>7351</v>
      </c>
      <c r="H1810" s="1" t="s">
        <v>1762</v>
      </c>
      <c r="I1810" t="b">
        <f>COUNTIF(Estadísticas!I:I,'centraldecomunicacion.es'!H1810)&gt;0</f>
        <v>0</v>
      </c>
    </row>
    <row r="1811" spans="1:9" hidden="1">
      <c r="A1811" s="1" t="s">
        <v>7352</v>
      </c>
      <c r="B1811" s="1" t="s">
        <v>10</v>
      </c>
      <c r="C1811" s="1" t="s">
        <v>7353</v>
      </c>
      <c r="D1811" s="1" t="s">
        <v>722</v>
      </c>
      <c r="E1811" s="1" t="s">
        <v>723</v>
      </c>
      <c r="F1811" s="1" t="s">
        <v>7354</v>
      </c>
      <c r="G1811" s="1" t="s">
        <v>7355</v>
      </c>
      <c r="H1811" s="1" t="s">
        <v>5696</v>
      </c>
      <c r="I1811" t="b">
        <f>COUNTIF(Estadísticas!I:I,'centraldecomunicacion.es'!H1811)&gt;0</f>
        <v>0</v>
      </c>
    </row>
    <row r="1812" spans="1:9" hidden="1">
      <c r="A1812" s="1" t="s">
        <v>7356</v>
      </c>
      <c r="B1812" s="1" t="s">
        <v>18</v>
      </c>
      <c r="C1812" s="1" t="s">
        <v>7357</v>
      </c>
      <c r="D1812" s="1" t="s">
        <v>722</v>
      </c>
      <c r="E1812" s="1" t="s">
        <v>723</v>
      </c>
      <c r="F1812" s="1" t="s">
        <v>7358</v>
      </c>
      <c r="G1812" s="1" t="s">
        <v>7359</v>
      </c>
      <c r="H1812" s="1" t="s">
        <v>1762</v>
      </c>
      <c r="I1812" t="b">
        <f>COUNTIF(Estadísticas!I:I,'centraldecomunicacion.es'!H1812)&gt;0</f>
        <v>0</v>
      </c>
    </row>
    <row r="1813" spans="1:9" hidden="1">
      <c r="A1813" s="1" t="s">
        <v>7360</v>
      </c>
      <c r="B1813" s="1" t="s">
        <v>10</v>
      </c>
      <c r="C1813" s="1" t="s">
        <v>7361</v>
      </c>
      <c r="D1813" s="1" t="s">
        <v>722</v>
      </c>
      <c r="E1813" s="1" t="s">
        <v>723</v>
      </c>
      <c r="F1813" s="1" t="s">
        <v>30</v>
      </c>
      <c r="G1813" s="1" t="s">
        <v>7362</v>
      </c>
      <c r="H1813" s="1" t="s">
        <v>1762</v>
      </c>
      <c r="I1813" t="b">
        <f>COUNTIF(Estadísticas!I:I,'centraldecomunicacion.es'!H1813)&gt;0</f>
        <v>0</v>
      </c>
    </row>
    <row r="1814" spans="1:9" hidden="1">
      <c r="A1814" s="1" t="s">
        <v>7363</v>
      </c>
      <c r="B1814" s="1" t="s">
        <v>10</v>
      </c>
      <c r="C1814" s="1" t="s">
        <v>7364</v>
      </c>
      <c r="D1814" s="1" t="s">
        <v>722</v>
      </c>
      <c r="E1814" s="1" t="s">
        <v>723</v>
      </c>
      <c r="F1814" s="1" t="s">
        <v>30</v>
      </c>
      <c r="G1814" s="1" t="s">
        <v>7365</v>
      </c>
      <c r="H1814" s="1" t="s">
        <v>1762</v>
      </c>
      <c r="I1814" t="b">
        <f>COUNTIF(Estadísticas!I:I,'centraldecomunicacion.es'!H1814)&gt;0</f>
        <v>0</v>
      </c>
    </row>
    <row r="1815" spans="1:9" hidden="1">
      <c r="A1815" s="1" t="s">
        <v>7366</v>
      </c>
      <c r="B1815" s="1" t="s">
        <v>10</v>
      </c>
      <c r="C1815" s="1" t="s">
        <v>30</v>
      </c>
      <c r="D1815" s="1" t="s">
        <v>7367</v>
      </c>
      <c r="E1815" s="1" t="s">
        <v>30</v>
      </c>
      <c r="F1815" s="1" t="s">
        <v>7368</v>
      </c>
      <c r="G1815" s="1" t="s">
        <v>7369</v>
      </c>
      <c r="H1815" s="1" t="s">
        <v>7370</v>
      </c>
      <c r="I1815" t="b">
        <f>COUNTIF(Estadísticas!I:I,'centraldecomunicacion.es'!H1815)&gt;0</f>
        <v>0</v>
      </c>
    </row>
    <row r="1816" spans="1:9" hidden="1">
      <c r="A1816" s="1" t="s">
        <v>7371</v>
      </c>
      <c r="B1816" s="1" t="s">
        <v>10</v>
      </c>
      <c r="C1816" s="1" t="s">
        <v>7372</v>
      </c>
      <c r="D1816" s="1" t="s">
        <v>722</v>
      </c>
      <c r="E1816" s="1" t="s">
        <v>723</v>
      </c>
      <c r="F1816" s="1" t="s">
        <v>30</v>
      </c>
      <c r="G1816" s="1" t="s">
        <v>30</v>
      </c>
      <c r="H1816" s="1" t="s">
        <v>1762</v>
      </c>
      <c r="I1816" t="b">
        <f>COUNTIF(Estadísticas!I:I,'centraldecomunicacion.es'!H1816)&gt;0</f>
        <v>0</v>
      </c>
    </row>
    <row r="1817" spans="1:9" hidden="1">
      <c r="A1817" s="1" t="s">
        <v>7373</v>
      </c>
      <c r="B1817" s="1" t="s">
        <v>10</v>
      </c>
      <c r="C1817" s="1" t="s">
        <v>7374</v>
      </c>
      <c r="D1817" s="1" t="s">
        <v>722</v>
      </c>
      <c r="E1817" s="1" t="s">
        <v>723</v>
      </c>
      <c r="F1817" s="1" t="s">
        <v>30</v>
      </c>
      <c r="G1817" s="1" t="s">
        <v>30</v>
      </c>
      <c r="H1817" s="1" t="s">
        <v>1762</v>
      </c>
      <c r="I1817" t="b">
        <f>COUNTIF(Estadísticas!I:I,'centraldecomunicacion.es'!H1817)&gt;0</f>
        <v>0</v>
      </c>
    </row>
    <row r="1818" spans="1:9" hidden="1">
      <c r="A1818" s="1" t="s">
        <v>7375</v>
      </c>
      <c r="B1818" s="1" t="s">
        <v>10</v>
      </c>
      <c r="C1818" s="1" t="s">
        <v>7376</v>
      </c>
      <c r="D1818" s="1" t="s">
        <v>722</v>
      </c>
      <c r="E1818" s="1" t="s">
        <v>723</v>
      </c>
      <c r="F1818" s="1" t="s">
        <v>7377</v>
      </c>
      <c r="G1818" s="1" t="s">
        <v>7378</v>
      </c>
      <c r="H1818" s="1" t="s">
        <v>1762</v>
      </c>
      <c r="I1818" t="b">
        <f>COUNTIF(Estadísticas!I:I,'centraldecomunicacion.es'!H1818)&gt;0</f>
        <v>0</v>
      </c>
    </row>
    <row r="1819" spans="1:9" hidden="1">
      <c r="A1819" s="1" t="s">
        <v>7379</v>
      </c>
      <c r="B1819" s="1" t="s">
        <v>10</v>
      </c>
      <c r="C1819" s="1" t="s">
        <v>7380</v>
      </c>
      <c r="D1819" s="1" t="s">
        <v>722</v>
      </c>
      <c r="E1819" s="1" t="s">
        <v>723</v>
      </c>
      <c r="F1819" s="1" t="s">
        <v>30</v>
      </c>
      <c r="G1819" s="1" t="s">
        <v>7381</v>
      </c>
      <c r="H1819" s="1" t="s">
        <v>1762</v>
      </c>
      <c r="I1819" t="b">
        <f>COUNTIF(Estadísticas!I:I,'centraldecomunicacion.es'!H1819)&gt;0</f>
        <v>0</v>
      </c>
    </row>
    <row r="1820" spans="1:9" hidden="1">
      <c r="A1820" s="1" t="s">
        <v>7382</v>
      </c>
      <c r="B1820" s="1" t="s">
        <v>10</v>
      </c>
      <c r="C1820" s="1" t="s">
        <v>7383</v>
      </c>
      <c r="D1820" s="1" t="s">
        <v>722</v>
      </c>
      <c r="E1820" s="1" t="s">
        <v>723</v>
      </c>
      <c r="F1820" s="1" t="s">
        <v>30</v>
      </c>
      <c r="G1820" s="1" t="s">
        <v>7384</v>
      </c>
      <c r="H1820" s="1" t="s">
        <v>1762</v>
      </c>
      <c r="I1820" t="b">
        <f>COUNTIF(Estadísticas!I:I,'centraldecomunicacion.es'!H1820)&gt;0</f>
        <v>0</v>
      </c>
    </row>
    <row r="1821" spans="1:9" hidden="1">
      <c r="A1821" s="1" t="s">
        <v>7385</v>
      </c>
      <c r="B1821" s="1" t="s">
        <v>18</v>
      </c>
      <c r="C1821" s="1" t="s">
        <v>7386</v>
      </c>
      <c r="D1821" s="1" t="s">
        <v>722</v>
      </c>
      <c r="E1821" s="1" t="s">
        <v>723</v>
      </c>
      <c r="F1821" s="1" t="s">
        <v>7387</v>
      </c>
      <c r="G1821" s="1" t="s">
        <v>7388</v>
      </c>
      <c r="H1821" s="1" t="s">
        <v>7389</v>
      </c>
      <c r="I1821" t="b">
        <f>COUNTIF(Estadísticas!I:I,'centraldecomunicacion.es'!H1821)&gt;0</f>
        <v>0</v>
      </c>
    </row>
    <row r="1822" spans="1:9" hidden="1">
      <c r="A1822" s="1" t="s">
        <v>7390</v>
      </c>
      <c r="B1822" s="1" t="s">
        <v>10</v>
      </c>
      <c r="C1822" s="1" t="s">
        <v>30</v>
      </c>
      <c r="D1822" s="1" t="s">
        <v>7367</v>
      </c>
      <c r="E1822" s="1" t="s">
        <v>30</v>
      </c>
      <c r="F1822" s="1" t="s">
        <v>7391</v>
      </c>
      <c r="G1822" s="1" t="s">
        <v>7392</v>
      </c>
      <c r="H1822" s="1" t="s">
        <v>1762</v>
      </c>
      <c r="I1822" t="b">
        <f>COUNTIF(Estadísticas!I:I,'centraldecomunicacion.es'!H1822)&gt;0</f>
        <v>0</v>
      </c>
    </row>
    <row r="1823" spans="1:9" hidden="1">
      <c r="A1823" s="1" t="s">
        <v>7393</v>
      </c>
      <c r="B1823" s="1" t="s">
        <v>10</v>
      </c>
      <c r="C1823" s="1" t="s">
        <v>7394</v>
      </c>
      <c r="D1823" s="1" t="s">
        <v>7395</v>
      </c>
      <c r="E1823" s="1" t="s">
        <v>723</v>
      </c>
      <c r="F1823" s="1" t="s">
        <v>30</v>
      </c>
      <c r="G1823" s="1" t="s">
        <v>7396</v>
      </c>
      <c r="H1823" s="1" t="s">
        <v>1762</v>
      </c>
      <c r="I1823" t="b">
        <f>COUNTIF(Estadísticas!I:I,'centraldecomunicacion.es'!H1823)&gt;0</f>
        <v>0</v>
      </c>
    </row>
    <row r="1824" spans="1:9" hidden="1">
      <c r="A1824" s="1" t="s">
        <v>7397</v>
      </c>
      <c r="B1824" s="1" t="s">
        <v>10</v>
      </c>
      <c r="C1824" s="1" t="s">
        <v>7398</v>
      </c>
      <c r="D1824" s="1" t="s">
        <v>7395</v>
      </c>
      <c r="E1824" s="1" t="s">
        <v>723</v>
      </c>
      <c r="F1824" s="1" t="s">
        <v>30</v>
      </c>
      <c r="G1824" s="1" t="s">
        <v>7399</v>
      </c>
      <c r="H1824" s="1" t="s">
        <v>1762</v>
      </c>
      <c r="I1824" t="b">
        <f>COUNTIF(Estadísticas!I:I,'centraldecomunicacion.es'!H1824)&gt;0</f>
        <v>0</v>
      </c>
    </row>
    <row r="1825" spans="1:9" hidden="1">
      <c r="A1825" s="1" t="s">
        <v>7400</v>
      </c>
      <c r="B1825" s="1" t="s">
        <v>10</v>
      </c>
      <c r="C1825" s="1" t="s">
        <v>7401</v>
      </c>
      <c r="D1825" s="1" t="s">
        <v>7395</v>
      </c>
      <c r="E1825" s="1" t="s">
        <v>723</v>
      </c>
      <c r="F1825" s="1" t="s">
        <v>30</v>
      </c>
      <c r="G1825" s="1" t="s">
        <v>7402</v>
      </c>
      <c r="H1825" s="1" t="s">
        <v>1762</v>
      </c>
      <c r="I1825" t="b">
        <f>COUNTIF(Estadísticas!I:I,'centraldecomunicacion.es'!H1825)&gt;0</f>
        <v>0</v>
      </c>
    </row>
    <row r="1826" spans="1:9" hidden="1">
      <c r="A1826" s="1" t="s">
        <v>7403</v>
      </c>
      <c r="B1826" s="1" t="s">
        <v>10</v>
      </c>
      <c r="C1826" s="1" t="s">
        <v>7404</v>
      </c>
      <c r="D1826" s="1" t="s">
        <v>7395</v>
      </c>
      <c r="E1826" s="1" t="s">
        <v>723</v>
      </c>
      <c r="F1826" s="1" t="s">
        <v>30</v>
      </c>
      <c r="G1826" s="1" t="s">
        <v>7405</v>
      </c>
      <c r="H1826" s="1" t="s">
        <v>1762</v>
      </c>
      <c r="I1826" t="b">
        <f>COUNTIF(Estadísticas!I:I,'centraldecomunicacion.es'!H1826)&gt;0</f>
        <v>0</v>
      </c>
    </row>
    <row r="1827" spans="1:9" hidden="1">
      <c r="A1827" s="1" t="s">
        <v>7406</v>
      </c>
      <c r="B1827" s="1" t="s">
        <v>10</v>
      </c>
      <c r="C1827" s="1" t="s">
        <v>7407</v>
      </c>
      <c r="D1827" s="1" t="s">
        <v>7408</v>
      </c>
      <c r="E1827" s="1" t="s">
        <v>723</v>
      </c>
      <c r="F1827" s="1" t="s">
        <v>7409</v>
      </c>
      <c r="G1827" s="1" t="s">
        <v>7410</v>
      </c>
      <c r="H1827" s="1" t="s">
        <v>1762</v>
      </c>
      <c r="I1827" t="b">
        <f>COUNTIF(Estadísticas!I:I,'centraldecomunicacion.es'!H1827)&gt;0</f>
        <v>0</v>
      </c>
    </row>
    <row r="1828" spans="1:9" hidden="1">
      <c r="A1828" s="1" t="s">
        <v>7411</v>
      </c>
      <c r="B1828" s="1" t="s">
        <v>10</v>
      </c>
      <c r="C1828" s="1" t="s">
        <v>7412</v>
      </c>
      <c r="D1828" s="1" t="s">
        <v>7413</v>
      </c>
      <c r="E1828" s="1" t="s">
        <v>723</v>
      </c>
      <c r="F1828" s="1" t="s">
        <v>30</v>
      </c>
      <c r="G1828" s="1" t="s">
        <v>30</v>
      </c>
      <c r="H1828" s="1" t="s">
        <v>1762</v>
      </c>
      <c r="I1828" t="b">
        <f>COUNTIF(Estadísticas!I:I,'centraldecomunicacion.es'!H1828)&gt;0</f>
        <v>0</v>
      </c>
    </row>
    <row r="1829" spans="1:9" hidden="1">
      <c r="A1829" s="1" t="s">
        <v>7414</v>
      </c>
      <c r="B1829" s="1" t="s">
        <v>10</v>
      </c>
      <c r="C1829" s="1" t="s">
        <v>7415</v>
      </c>
      <c r="D1829" s="1" t="s">
        <v>747</v>
      </c>
      <c r="E1829" s="1" t="s">
        <v>723</v>
      </c>
      <c r="F1829" s="1" t="s">
        <v>1984</v>
      </c>
      <c r="G1829" s="1" t="s">
        <v>7416</v>
      </c>
      <c r="H1829" s="1" t="s">
        <v>1762</v>
      </c>
      <c r="I1829" t="b">
        <f>COUNTIF(Estadísticas!I:I,'centraldecomunicacion.es'!H1829)&gt;0</f>
        <v>0</v>
      </c>
    </row>
    <row r="1830" spans="1:9" hidden="1">
      <c r="A1830" s="1" t="s">
        <v>7417</v>
      </c>
      <c r="B1830" s="1" t="s">
        <v>10</v>
      </c>
      <c r="C1830" s="1" t="s">
        <v>7418</v>
      </c>
      <c r="D1830" s="1" t="s">
        <v>7419</v>
      </c>
      <c r="E1830" s="1" t="s">
        <v>723</v>
      </c>
      <c r="F1830" s="1" t="s">
        <v>30</v>
      </c>
      <c r="G1830" s="1" t="s">
        <v>7420</v>
      </c>
      <c r="H1830" s="1" t="s">
        <v>1762</v>
      </c>
      <c r="I1830" t="b">
        <f>COUNTIF(Estadísticas!I:I,'centraldecomunicacion.es'!H1830)&gt;0</f>
        <v>0</v>
      </c>
    </row>
    <row r="1831" spans="1:9" hidden="1">
      <c r="A1831" s="1" t="s">
        <v>7421</v>
      </c>
      <c r="B1831" s="1" t="s">
        <v>10</v>
      </c>
      <c r="C1831" s="1" t="s">
        <v>7422</v>
      </c>
      <c r="D1831" s="1" t="s">
        <v>741</v>
      </c>
      <c r="E1831" s="1" t="s">
        <v>723</v>
      </c>
      <c r="F1831" s="1" t="s">
        <v>7423</v>
      </c>
      <c r="G1831" s="1" t="s">
        <v>7424</v>
      </c>
      <c r="H1831" s="1" t="s">
        <v>7425</v>
      </c>
      <c r="I1831" t="b">
        <f>COUNTIF(Estadísticas!I:I,'centraldecomunicacion.es'!H1831)&gt;0</f>
        <v>0</v>
      </c>
    </row>
    <row r="1832" spans="1:9" hidden="1">
      <c r="A1832" s="1" t="s">
        <v>7426</v>
      </c>
      <c r="B1832" s="1" t="s">
        <v>18</v>
      </c>
      <c r="C1832" s="1" t="s">
        <v>7427</v>
      </c>
      <c r="D1832" s="1" t="s">
        <v>7395</v>
      </c>
      <c r="E1832" s="1" t="s">
        <v>723</v>
      </c>
      <c r="F1832" s="1" t="s">
        <v>30</v>
      </c>
      <c r="G1832" s="1" t="s">
        <v>30</v>
      </c>
      <c r="H1832" s="1" t="s">
        <v>1762</v>
      </c>
      <c r="I1832" t="b">
        <f>COUNTIF(Estadísticas!I:I,'centraldecomunicacion.es'!H1832)&gt;0</f>
        <v>0</v>
      </c>
    </row>
    <row r="1833" spans="1:9" hidden="1">
      <c r="A1833" s="1" t="s">
        <v>7428</v>
      </c>
      <c r="B1833" s="1" t="s">
        <v>10</v>
      </c>
      <c r="C1833" s="1" t="s">
        <v>7429</v>
      </c>
      <c r="D1833" s="1" t="s">
        <v>7430</v>
      </c>
      <c r="E1833" s="1" t="s">
        <v>723</v>
      </c>
      <c r="F1833" s="1" t="s">
        <v>7431</v>
      </c>
      <c r="G1833" s="1" t="s">
        <v>7432</v>
      </c>
      <c r="H1833" s="1" t="s">
        <v>7433</v>
      </c>
      <c r="I1833" t="b">
        <f>COUNTIF(Estadísticas!I:I,'centraldecomunicacion.es'!H1833)&gt;0</f>
        <v>0</v>
      </c>
    </row>
    <row r="1834" spans="1:9" hidden="1">
      <c r="A1834" s="1" t="s">
        <v>7434</v>
      </c>
      <c r="B1834" s="1" t="s">
        <v>10</v>
      </c>
      <c r="C1834" s="1" t="s">
        <v>7435</v>
      </c>
      <c r="D1834" s="1" t="s">
        <v>7436</v>
      </c>
      <c r="E1834" s="1" t="s">
        <v>723</v>
      </c>
      <c r="F1834" s="1" t="s">
        <v>30</v>
      </c>
      <c r="G1834" s="1" t="s">
        <v>7437</v>
      </c>
      <c r="H1834" s="1" t="s">
        <v>1762</v>
      </c>
      <c r="I1834" t="b">
        <f>COUNTIF(Estadísticas!I:I,'centraldecomunicacion.es'!H1834)&gt;0</f>
        <v>0</v>
      </c>
    </row>
    <row r="1835" spans="1:9" hidden="1">
      <c r="A1835" s="1" t="s">
        <v>7438</v>
      </c>
      <c r="B1835" s="1" t="s">
        <v>10</v>
      </c>
      <c r="C1835" s="1" t="s">
        <v>7439</v>
      </c>
      <c r="D1835" s="1" t="s">
        <v>7440</v>
      </c>
      <c r="E1835" s="1" t="s">
        <v>723</v>
      </c>
      <c r="F1835" s="1" t="s">
        <v>30</v>
      </c>
      <c r="G1835" s="1" t="s">
        <v>30</v>
      </c>
      <c r="H1835" s="1" t="s">
        <v>1762</v>
      </c>
      <c r="I1835" t="b">
        <f>COUNTIF(Estadísticas!I:I,'centraldecomunicacion.es'!H1835)&gt;0</f>
        <v>0</v>
      </c>
    </row>
    <row r="1836" spans="1:9" hidden="1">
      <c r="A1836" s="1" t="s">
        <v>7441</v>
      </c>
      <c r="B1836" s="1" t="s">
        <v>10</v>
      </c>
      <c r="C1836" s="1" t="s">
        <v>7442</v>
      </c>
      <c r="D1836" s="1" t="s">
        <v>7443</v>
      </c>
      <c r="E1836" s="1" t="s">
        <v>723</v>
      </c>
      <c r="F1836" s="1" t="s">
        <v>30</v>
      </c>
      <c r="G1836" s="1" t="s">
        <v>30</v>
      </c>
      <c r="H1836" s="1" t="s">
        <v>1762</v>
      </c>
      <c r="I1836" t="b">
        <f>COUNTIF(Estadísticas!I:I,'centraldecomunicacion.es'!H1836)&gt;0</f>
        <v>0</v>
      </c>
    </row>
    <row r="1837" spans="1:9" hidden="1">
      <c r="A1837" s="1" t="s">
        <v>7444</v>
      </c>
      <c r="B1837" s="1" t="s">
        <v>10</v>
      </c>
      <c r="C1837" s="1" t="s">
        <v>7445</v>
      </c>
      <c r="D1837" s="1" t="s">
        <v>7446</v>
      </c>
      <c r="E1837" s="1" t="s">
        <v>723</v>
      </c>
      <c r="F1837" s="1" t="s">
        <v>7447</v>
      </c>
      <c r="G1837" s="1" t="s">
        <v>7448</v>
      </c>
      <c r="H1837" s="1" t="s">
        <v>1762</v>
      </c>
      <c r="I1837" t="b">
        <f>COUNTIF(Estadísticas!I:I,'centraldecomunicacion.es'!H1837)&gt;0</f>
        <v>0</v>
      </c>
    </row>
    <row r="1838" spans="1:9" hidden="1">
      <c r="A1838" s="1" t="s">
        <v>7449</v>
      </c>
      <c r="B1838" s="1" t="s">
        <v>10</v>
      </c>
      <c r="C1838" s="1" t="s">
        <v>7450</v>
      </c>
      <c r="D1838" s="1" t="s">
        <v>747</v>
      </c>
      <c r="E1838" s="1" t="s">
        <v>723</v>
      </c>
      <c r="F1838" s="1" t="s">
        <v>30</v>
      </c>
      <c r="G1838" s="1" t="s">
        <v>7451</v>
      </c>
      <c r="H1838" s="1" t="s">
        <v>1762</v>
      </c>
      <c r="I1838" t="b">
        <f>COUNTIF(Estadísticas!I:I,'centraldecomunicacion.es'!H1838)&gt;0</f>
        <v>0</v>
      </c>
    </row>
    <row r="1839" spans="1:9" hidden="1">
      <c r="A1839" s="1" t="s">
        <v>7452</v>
      </c>
      <c r="B1839" s="1" t="s">
        <v>10</v>
      </c>
      <c r="C1839" s="1" t="s">
        <v>7453</v>
      </c>
      <c r="D1839" s="1" t="s">
        <v>741</v>
      </c>
      <c r="E1839" s="1" t="s">
        <v>723</v>
      </c>
      <c r="F1839" s="1" t="s">
        <v>7454</v>
      </c>
      <c r="G1839" s="1" t="s">
        <v>7455</v>
      </c>
      <c r="H1839" s="1" t="s">
        <v>7456</v>
      </c>
      <c r="I1839" t="b">
        <f>COUNTIF(Estadísticas!I:I,'centraldecomunicacion.es'!H1839)&gt;0</f>
        <v>0</v>
      </c>
    </row>
    <row r="1840" spans="1:9">
      <c r="A1840" s="1" t="s">
        <v>727</v>
      </c>
      <c r="B1840" s="1" t="s">
        <v>18</v>
      </c>
      <c r="C1840" s="1" t="s">
        <v>728</v>
      </c>
      <c r="D1840" s="1" t="s">
        <v>729</v>
      </c>
      <c r="E1840" s="1" t="s">
        <v>723</v>
      </c>
      <c r="F1840" s="1" t="s">
        <v>730</v>
      </c>
      <c r="G1840" s="1" t="s">
        <v>731</v>
      </c>
      <c r="H1840" s="1" t="s">
        <v>732</v>
      </c>
      <c r="I1840" t="b">
        <f>COUNTIF(Estadísticas!I:I,'centraldecomunicacion.es'!H1840)&gt;0</f>
        <v>1</v>
      </c>
    </row>
    <row r="1841" spans="1:9" hidden="1">
      <c r="A1841" s="1" t="s">
        <v>7457</v>
      </c>
      <c r="B1841" s="1" t="s">
        <v>10</v>
      </c>
      <c r="C1841" s="1" t="s">
        <v>7458</v>
      </c>
      <c r="D1841" s="1" t="s">
        <v>735</v>
      </c>
      <c r="E1841" s="1" t="s">
        <v>723</v>
      </c>
      <c r="F1841" s="1" t="s">
        <v>30</v>
      </c>
      <c r="G1841" s="1" t="s">
        <v>7459</v>
      </c>
      <c r="H1841" s="1" t="s">
        <v>1762</v>
      </c>
      <c r="I1841" t="b">
        <f>COUNTIF(Estadísticas!I:I,'centraldecomunicacion.es'!H1841)&gt;0</f>
        <v>0</v>
      </c>
    </row>
    <row r="1842" spans="1:9" hidden="1">
      <c r="A1842" s="1" t="s">
        <v>7460</v>
      </c>
      <c r="B1842" s="1" t="s">
        <v>18</v>
      </c>
      <c r="C1842" s="1" t="s">
        <v>7461</v>
      </c>
      <c r="D1842" s="1" t="s">
        <v>747</v>
      </c>
      <c r="E1842" s="1" t="s">
        <v>723</v>
      </c>
      <c r="F1842" s="1" t="s">
        <v>30</v>
      </c>
      <c r="G1842" s="1" t="s">
        <v>7462</v>
      </c>
      <c r="H1842" s="1" t="s">
        <v>1762</v>
      </c>
      <c r="I1842" t="b">
        <f>COUNTIF(Estadísticas!I:I,'centraldecomunicacion.es'!H1842)&gt;0</f>
        <v>0</v>
      </c>
    </row>
    <row r="1843" spans="1:9" hidden="1">
      <c r="A1843" s="1" t="s">
        <v>7463</v>
      </c>
      <c r="B1843" s="1" t="s">
        <v>10</v>
      </c>
      <c r="C1843" s="1" t="s">
        <v>7464</v>
      </c>
      <c r="D1843" s="1" t="s">
        <v>7446</v>
      </c>
      <c r="E1843" s="1" t="s">
        <v>723</v>
      </c>
      <c r="F1843" s="1" t="s">
        <v>30</v>
      </c>
      <c r="G1843" s="1" t="s">
        <v>7465</v>
      </c>
      <c r="H1843" s="1" t="s">
        <v>1762</v>
      </c>
      <c r="I1843" t="b">
        <f>COUNTIF(Estadísticas!I:I,'centraldecomunicacion.es'!H1843)&gt;0</f>
        <v>0</v>
      </c>
    </row>
    <row r="1844" spans="1:9" hidden="1">
      <c r="A1844" s="1" t="s">
        <v>7466</v>
      </c>
      <c r="B1844" s="1" t="s">
        <v>10</v>
      </c>
      <c r="C1844" s="1" t="s">
        <v>7467</v>
      </c>
      <c r="D1844" s="1" t="s">
        <v>735</v>
      </c>
      <c r="E1844" s="1" t="s">
        <v>723</v>
      </c>
      <c r="F1844" s="1" t="s">
        <v>30</v>
      </c>
      <c r="G1844" s="1" t="s">
        <v>7468</v>
      </c>
      <c r="H1844" s="1" t="s">
        <v>1762</v>
      </c>
      <c r="I1844" t="b">
        <f>COUNTIF(Estadísticas!I:I,'centraldecomunicacion.es'!H1844)&gt;0</f>
        <v>0</v>
      </c>
    </row>
    <row r="1845" spans="1:9" hidden="1">
      <c r="A1845" s="1" t="s">
        <v>7469</v>
      </c>
      <c r="B1845" s="1" t="s">
        <v>18</v>
      </c>
      <c r="C1845" s="1" t="s">
        <v>7470</v>
      </c>
      <c r="D1845" s="1" t="s">
        <v>747</v>
      </c>
      <c r="E1845" s="1" t="s">
        <v>723</v>
      </c>
      <c r="F1845" s="1" t="s">
        <v>30</v>
      </c>
      <c r="G1845" s="1" t="s">
        <v>7471</v>
      </c>
      <c r="H1845" s="1" t="s">
        <v>1762</v>
      </c>
      <c r="I1845" t="b">
        <f>COUNTIF(Estadísticas!I:I,'centraldecomunicacion.es'!H1845)&gt;0</f>
        <v>0</v>
      </c>
    </row>
    <row r="1846" spans="1:9" hidden="1">
      <c r="A1846" s="1" t="s">
        <v>7472</v>
      </c>
      <c r="B1846" s="1" t="s">
        <v>10</v>
      </c>
      <c r="C1846" s="1" t="s">
        <v>7473</v>
      </c>
      <c r="D1846" s="1" t="s">
        <v>747</v>
      </c>
      <c r="E1846" s="1" t="s">
        <v>723</v>
      </c>
      <c r="F1846" s="1" t="s">
        <v>30</v>
      </c>
      <c r="G1846" s="1" t="s">
        <v>7474</v>
      </c>
      <c r="H1846" s="1" t="s">
        <v>1762</v>
      </c>
      <c r="I1846" t="b">
        <f>COUNTIF(Estadísticas!I:I,'centraldecomunicacion.es'!H1846)&gt;0</f>
        <v>0</v>
      </c>
    </row>
    <row r="1847" spans="1:9" hidden="1">
      <c r="A1847" s="1" t="s">
        <v>7475</v>
      </c>
      <c r="B1847" s="1" t="s">
        <v>18</v>
      </c>
      <c r="C1847" s="1" t="s">
        <v>7476</v>
      </c>
      <c r="D1847" s="1" t="s">
        <v>7443</v>
      </c>
      <c r="E1847" s="1" t="s">
        <v>723</v>
      </c>
      <c r="F1847" s="1" t="s">
        <v>7477</v>
      </c>
      <c r="G1847" s="1" t="s">
        <v>7478</v>
      </c>
      <c r="H1847" s="1" t="s">
        <v>1762</v>
      </c>
      <c r="I1847" t="b">
        <f>COUNTIF(Estadísticas!I:I,'centraldecomunicacion.es'!H1847)&gt;0</f>
        <v>0</v>
      </c>
    </row>
    <row r="1848" spans="1:9" hidden="1">
      <c r="A1848" s="1" t="s">
        <v>7479</v>
      </c>
      <c r="B1848" s="1" t="s">
        <v>10</v>
      </c>
      <c r="C1848" s="1" t="s">
        <v>30</v>
      </c>
      <c r="D1848" s="1" t="s">
        <v>7367</v>
      </c>
      <c r="E1848" s="1" t="s">
        <v>30</v>
      </c>
      <c r="F1848" s="1" t="s">
        <v>1984</v>
      </c>
      <c r="G1848" s="1" t="s">
        <v>7465</v>
      </c>
      <c r="H1848" s="1" t="s">
        <v>1762</v>
      </c>
      <c r="I1848" t="b">
        <f>COUNTIF(Estadísticas!I:I,'centraldecomunicacion.es'!H1848)&gt;0</f>
        <v>0</v>
      </c>
    </row>
    <row r="1849" spans="1:9" hidden="1">
      <c r="A1849" s="1" t="s">
        <v>7480</v>
      </c>
      <c r="B1849" s="1" t="s">
        <v>10</v>
      </c>
      <c r="C1849" s="1" t="s">
        <v>7481</v>
      </c>
      <c r="D1849" s="1" t="s">
        <v>7446</v>
      </c>
      <c r="E1849" s="1" t="s">
        <v>723</v>
      </c>
      <c r="F1849" s="1" t="s">
        <v>30</v>
      </c>
      <c r="G1849" s="1" t="s">
        <v>7482</v>
      </c>
      <c r="H1849" s="1" t="s">
        <v>1762</v>
      </c>
      <c r="I1849" t="b">
        <f>COUNTIF(Estadísticas!I:I,'centraldecomunicacion.es'!H1849)&gt;0</f>
        <v>0</v>
      </c>
    </row>
    <row r="1850" spans="1:9" hidden="1">
      <c r="A1850" s="1" t="s">
        <v>7483</v>
      </c>
      <c r="B1850" s="1" t="s">
        <v>18</v>
      </c>
      <c r="C1850" s="1" t="s">
        <v>7484</v>
      </c>
      <c r="D1850" s="1" t="s">
        <v>729</v>
      </c>
      <c r="E1850" s="1" t="s">
        <v>723</v>
      </c>
      <c r="F1850" s="1" t="s">
        <v>30</v>
      </c>
      <c r="G1850" s="1" t="s">
        <v>7485</v>
      </c>
      <c r="H1850" s="1" t="s">
        <v>1762</v>
      </c>
      <c r="I1850" t="b">
        <f>COUNTIF(Estadísticas!I:I,'centraldecomunicacion.es'!H1850)&gt;0</f>
        <v>0</v>
      </c>
    </row>
    <row r="1851" spans="1:9" hidden="1">
      <c r="A1851" s="1" t="s">
        <v>7486</v>
      </c>
      <c r="B1851" s="1" t="s">
        <v>10</v>
      </c>
      <c r="C1851" s="1" t="s">
        <v>7487</v>
      </c>
      <c r="D1851" s="1" t="s">
        <v>735</v>
      </c>
      <c r="E1851" s="1" t="s">
        <v>723</v>
      </c>
      <c r="F1851" s="1" t="s">
        <v>30</v>
      </c>
      <c r="G1851" s="1" t="s">
        <v>7488</v>
      </c>
      <c r="H1851" s="1" t="s">
        <v>1762</v>
      </c>
      <c r="I1851" t="b">
        <f>COUNTIF(Estadísticas!I:I,'centraldecomunicacion.es'!H1851)&gt;0</f>
        <v>0</v>
      </c>
    </row>
    <row r="1852" spans="1:9">
      <c r="A1852" s="1" t="s">
        <v>733</v>
      </c>
      <c r="B1852" s="1" t="s">
        <v>10</v>
      </c>
      <c r="C1852" s="1" t="s">
        <v>734</v>
      </c>
      <c r="D1852" s="1" t="s">
        <v>735</v>
      </c>
      <c r="E1852" s="1" t="s">
        <v>723</v>
      </c>
      <c r="F1852" s="1" t="s">
        <v>736</v>
      </c>
      <c r="G1852" s="1" t="s">
        <v>737</v>
      </c>
      <c r="H1852" s="1" t="s">
        <v>738</v>
      </c>
      <c r="I1852" t="b">
        <f>COUNTIF(Estadísticas!I:I,'centraldecomunicacion.es'!H1852)&gt;0</f>
        <v>1</v>
      </c>
    </row>
    <row r="1853" spans="1:9" hidden="1">
      <c r="A1853" s="1" t="s">
        <v>7489</v>
      </c>
      <c r="B1853" s="1" t="s">
        <v>10</v>
      </c>
      <c r="C1853" s="1" t="s">
        <v>7490</v>
      </c>
      <c r="D1853" s="1" t="s">
        <v>747</v>
      </c>
      <c r="E1853" s="1" t="s">
        <v>723</v>
      </c>
      <c r="F1853" s="1" t="s">
        <v>30</v>
      </c>
      <c r="G1853" s="1" t="s">
        <v>7491</v>
      </c>
      <c r="H1853" s="1" t="s">
        <v>1762</v>
      </c>
      <c r="I1853" t="b">
        <f>COUNTIF(Estadísticas!I:I,'centraldecomunicacion.es'!H1853)&gt;0</f>
        <v>0</v>
      </c>
    </row>
    <row r="1854" spans="1:9" hidden="1">
      <c r="A1854" s="1" t="s">
        <v>7492</v>
      </c>
      <c r="B1854" s="1" t="s">
        <v>18</v>
      </c>
      <c r="C1854" s="1" t="s">
        <v>7493</v>
      </c>
      <c r="D1854" s="1" t="s">
        <v>7446</v>
      </c>
      <c r="E1854" s="1" t="s">
        <v>723</v>
      </c>
      <c r="F1854" s="1" t="s">
        <v>7494</v>
      </c>
      <c r="G1854" s="1" t="s">
        <v>7495</v>
      </c>
      <c r="H1854" s="1" t="s">
        <v>7496</v>
      </c>
      <c r="I1854" t="b">
        <f>COUNTIF(Estadísticas!I:I,'centraldecomunicacion.es'!H1854)&gt;0</f>
        <v>0</v>
      </c>
    </row>
    <row r="1855" spans="1:9" hidden="1">
      <c r="A1855" s="1" t="s">
        <v>7497</v>
      </c>
      <c r="B1855" s="1" t="s">
        <v>10</v>
      </c>
      <c r="C1855" s="1" t="s">
        <v>7498</v>
      </c>
      <c r="D1855" s="1" t="s">
        <v>7499</v>
      </c>
      <c r="E1855" s="1" t="s">
        <v>723</v>
      </c>
      <c r="F1855" s="1" t="s">
        <v>30</v>
      </c>
      <c r="G1855" s="1" t="s">
        <v>7500</v>
      </c>
      <c r="H1855" s="1" t="s">
        <v>1762</v>
      </c>
      <c r="I1855" t="b">
        <f>COUNTIF(Estadísticas!I:I,'centraldecomunicacion.es'!H1855)&gt;0</f>
        <v>0</v>
      </c>
    </row>
    <row r="1856" spans="1:9" hidden="1">
      <c r="A1856" s="1" t="s">
        <v>7501</v>
      </c>
      <c r="B1856" s="1" t="s">
        <v>10</v>
      </c>
      <c r="C1856" s="1" t="s">
        <v>7502</v>
      </c>
      <c r="D1856" s="1" t="s">
        <v>741</v>
      </c>
      <c r="E1856" s="1" t="s">
        <v>723</v>
      </c>
      <c r="F1856" s="1" t="s">
        <v>30</v>
      </c>
      <c r="G1856" s="1" t="s">
        <v>7503</v>
      </c>
      <c r="H1856" s="1" t="s">
        <v>1762</v>
      </c>
      <c r="I1856" t="b">
        <f>COUNTIF(Estadísticas!I:I,'centraldecomunicacion.es'!H1856)&gt;0</f>
        <v>0</v>
      </c>
    </row>
    <row r="1857" spans="1:9" hidden="1">
      <c r="A1857" s="1" t="s">
        <v>7504</v>
      </c>
      <c r="B1857" s="1" t="s">
        <v>10</v>
      </c>
      <c r="C1857" s="1" t="s">
        <v>7505</v>
      </c>
      <c r="D1857" s="1" t="s">
        <v>741</v>
      </c>
      <c r="E1857" s="1" t="s">
        <v>723</v>
      </c>
      <c r="F1857" s="1" t="s">
        <v>30</v>
      </c>
      <c r="G1857" s="1" t="s">
        <v>7506</v>
      </c>
      <c r="H1857" s="1" t="s">
        <v>1762</v>
      </c>
      <c r="I1857" t="b">
        <f>COUNTIF(Estadísticas!I:I,'centraldecomunicacion.es'!H1857)&gt;0</f>
        <v>0</v>
      </c>
    </row>
    <row r="1858" spans="1:9" hidden="1">
      <c r="A1858" s="1" t="s">
        <v>7507</v>
      </c>
      <c r="B1858" s="1" t="s">
        <v>10</v>
      </c>
      <c r="C1858" s="1" t="s">
        <v>7508</v>
      </c>
      <c r="D1858" s="1" t="s">
        <v>7499</v>
      </c>
      <c r="E1858" s="1" t="s">
        <v>723</v>
      </c>
      <c r="F1858" s="1" t="s">
        <v>7509</v>
      </c>
      <c r="G1858" s="1" t="s">
        <v>7510</v>
      </c>
      <c r="H1858" s="1" t="s">
        <v>7511</v>
      </c>
      <c r="I1858" t="b">
        <f>COUNTIF(Estadísticas!I:I,'centraldecomunicacion.es'!H1858)&gt;0</f>
        <v>0</v>
      </c>
    </row>
    <row r="1859" spans="1:9" hidden="1">
      <c r="A1859" s="1" t="s">
        <v>7512</v>
      </c>
      <c r="B1859" s="1" t="s">
        <v>10</v>
      </c>
      <c r="C1859" s="1" t="s">
        <v>7513</v>
      </c>
      <c r="D1859" s="1" t="s">
        <v>7430</v>
      </c>
      <c r="E1859" s="1" t="s">
        <v>723</v>
      </c>
      <c r="F1859" s="1" t="s">
        <v>30</v>
      </c>
      <c r="G1859" s="1" t="s">
        <v>30</v>
      </c>
      <c r="H1859" s="1" t="s">
        <v>1762</v>
      </c>
      <c r="I1859" t="b">
        <f>COUNTIF(Estadísticas!I:I,'centraldecomunicacion.es'!H1859)&gt;0</f>
        <v>0</v>
      </c>
    </row>
    <row r="1860" spans="1:9" hidden="1">
      <c r="A1860" s="1" t="s">
        <v>7514</v>
      </c>
      <c r="B1860" s="1" t="s">
        <v>10</v>
      </c>
      <c r="C1860" s="1" t="s">
        <v>7515</v>
      </c>
      <c r="D1860" s="1" t="s">
        <v>729</v>
      </c>
      <c r="E1860" s="1" t="s">
        <v>723</v>
      </c>
      <c r="F1860" s="1" t="s">
        <v>30</v>
      </c>
      <c r="G1860" s="1" t="s">
        <v>7516</v>
      </c>
      <c r="H1860" s="1" t="s">
        <v>1762</v>
      </c>
      <c r="I1860" t="b">
        <f>COUNTIF(Estadísticas!I:I,'centraldecomunicacion.es'!H1860)&gt;0</f>
        <v>0</v>
      </c>
    </row>
    <row r="1861" spans="1:9" hidden="1">
      <c r="A1861" s="1" t="s">
        <v>7517</v>
      </c>
      <c r="B1861" s="1" t="s">
        <v>18</v>
      </c>
      <c r="C1861" s="1" t="s">
        <v>7518</v>
      </c>
      <c r="D1861" s="1" t="s">
        <v>7519</v>
      </c>
      <c r="E1861" s="1" t="s">
        <v>723</v>
      </c>
      <c r="F1861" s="1" t="s">
        <v>30</v>
      </c>
      <c r="G1861" s="1" t="s">
        <v>30</v>
      </c>
      <c r="H1861" s="1" t="s">
        <v>1762</v>
      </c>
      <c r="I1861" t="b">
        <f>COUNTIF(Estadísticas!I:I,'centraldecomunicacion.es'!H1861)&gt;0</f>
        <v>0</v>
      </c>
    </row>
    <row r="1862" spans="1:9" hidden="1">
      <c r="A1862" s="1" t="s">
        <v>7520</v>
      </c>
      <c r="B1862" s="1" t="s">
        <v>10</v>
      </c>
      <c r="C1862" s="1" t="s">
        <v>7521</v>
      </c>
      <c r="D1862" s="1" t="s">
        <v>7499</v>
      </c>
      <c r="E1862" s="1" t="s">
        <v>723</v>
      </c>
      <c r="F1862" s="1" t="s">
        <v>7522</v>
      </c>
      <c r="G1862" s="1" t="s">
        <v>7523</v>
      </c>
      <c r="H1862" s="1" t="s">
        <v>1762</v>
      </c>
      <c r="I1862" t="b">
        <f>COUNTIF(Estadísticas!I:I,'centraldecomunicacion.es'!H1862)&gt;0</f>
        <v>0</v>
      </c>
    </row>
    <row r="1863" spans="1:9" hidden="1">
      <c r="A1863" s="1" t="s">
        <v>7524</v>
      </c>
      <c r="B1863" s="1" t="s">
        <v>18</v>
      </c>
      <c r="C1863" s="1" t="s">
        <v>7525</v>
      </c>
      <c r="D1863" s="1" t="s">
        <v>7367</v>
      </c>
      <c r="E1863" s="1" t="s">
        <v>723</v>
      </c>
      <c r="F1863" s="1" t="s">
        <v>30</v>
      </c>
      <c r="G1863" s="1" t="s">
        <v>7526</v>
      </c>
      <c r="H1863" s="1" t="s">
        <v>1762</v>
      </c>
      <c r="I1863" t="b">
        <f>COUNTIF(Estadísticas!I:I,'centraldecomunicacion.es'!H1863)&gt;0</f>
        <v>0</v>
      </c>
    </row>
    <row r="1864" spans="1:9" hidden="1">
      <c r="A1864" s="1" t="s">
        <v>7527</v>
      </c>
      <c r="B1864" s="1" t="s">
        <v>18</v>
      </c>
      <c r="C1864" s="1" t="s">
        <v>7528</v>
      </c>
      <c r="D1864" s="1" t="s">
        <v>7499</v>
      </c>
      <c r="E1864" s="1" t="s">
        <v>723</v>
      </c>
      <c r="F1864" s="1" t="s">
        <v>7529</v>
      </c>
      <c r="G1864" s="1" t="s">
        <v>7530</v>
      </c>
      <c r="H1864" s="1" t="s">
        <v>1762</v>
      </c>
      <c r="I1864" t="b">
        <f>COUNTIF(Estadísticas!I:I,'centraldecomunicacion.es'!H1864)&gt;0</f>
        <v>0</v>
      </c>
    </row>
    <row r="1865" spans="1:9">
      <c r="A1865" s="1" t="s">
        <v>739</v>
      </c>
      <c r="B1865" s="1" t="s">
        <v>18</v>
      </c>
      <c r="C1865" s="1" t="s">
        <v>740</v>
      </c>
      <c r="D1865" s="1" t="s">
        <v>741</v>
      </c>
      <c r="E1865" s="1" t="s">
        <v>723</v>
      </c>
      <c r="F1865" s="1" t="s">
        <v>742</v>
      </c>
      <c r="G1865" s="1" t="s">
        <v>743</v>
      </c>
      <c r="H1865" s="1" t="s">
        <v>744</v>
      </c>
      <c r="I1865" t="b">
        <f>COUNTIF(Estadísticas!I:I,'centraldecomunicacion.es'!H1865)&gt;0</f>
        <v>1</v>
      </c>
    </row>
    <row r="1866" spans="1:9" hidden="1">
      <c r="A1866" s="1" t="s">
        <v>7531</v>
      </c>
      <c r="B1866" s="1" t="s">
        <v>10</v>
      </c>
      <c r="C1866" s="1" t="s">
        <v>7532</v>
      </c>
      <c r="D1866" s="1" t="s">
        <v>7533</v>
      </c>
      <c r="E1866" s="1" t="s">
        <v>723</v>
      </c>
      <c r="F1866" s="1" t="s">
        <v>30</v>
      </c>
      <c r="G1866" s="1" t="s">
        <v>7534</v>
      </c>
      <c r="H1866" s="1" t="s">
        <v>1762</v>
      </c>
      <c r="I1866" t="b">
        <f>COUNTIF(Estadísticas!I:I,'centraldecomunicacion.es'!H1866)&gt;0</f>
        <v>0</v>
      </c>
    </row>
    <row r="1867" spans="1:9" hidden="1">
      <c r="A1867" s="1" t="s">
        <v>7535</v>
      </c>
      <c r="B1867" s="1" t="s">
        <v>10</v>
      </c>
      <c r="C1867" s="1" t="s">
        <v>7536</v>
      </c>
      <c r="D1867" s="1" t="s">
        <v>7537</v>
      </c>
      <c r="E1867" s="1" t="s">
        <v>723</v>
      </c>
      <c r="F1867" s="1" t="s">
        <v>30</v>
      </c>
      <c r="G1867" s="1" t="s">
        <v>7538</v>
      </c>
      <c r="H1867" s="1" t="s">
        <v>1762</v>
      </c>
      <c r="I1867" t="b">
        <f>COUNTIF(Estadísticas!I:I,'centraldecomunicacion.es'!H1867)&gt;0</f>
        <v>0</v>
      </c>
    </row>
    <row r="1868" spans="1:9" hidden="1">
      <c r="A1868" s="1" t="s">
        <v>7539</v>
      </c>
      <c r="B1868" s="1" t="s">
        <v>10</v>
      </c>
      <c r="C1868" s="1" t="s">
        <v>7540</v>
      </c>
      <c r="D1868" s="1" t="s">
        <v>741</v>
      </c>
      <c r="E1868" s="1" t="s">
        <v>723</v>
      </c>
      <c r="F1868" s="1" t="s">
        <v>30</v>
      </c>
      <c r="G1868" s="1" t="s">
        <v>7541</v>
      </c>
      <c r="H1868" s="1" t="s">
        <v>1762</v>
      </c>
      <c r="I1868" t="b">
        <f>COUNTIF(Estadísticas!I:I,'centraldecomunicacion.es'!H1868)&gt;0</f>
        <v>0</v>
      </c>
    </row>
    <row r="1869" spans="1:9" hidden="1">
      <c r="A1869" s="1" t="s">
        <v>7542</v>
      </c>
      <c r="B1869" s="1" t="s">
        <v>10</v>
      </c>
      <c r="C1869" s="1" t="s">
        <v>7543</v>
      </c>
      <c r="D1869" s="1" t="s">
        <v>7544</v>
      </c>
      <c r="E1869" s="1" t="s">
        <v>723</v>
      </c>
      <c r="F1869" s="1" t="s">
        <v>30</v>
      </c>
      <c r="G1869" s="1" t="s">
        <v>7545</v>
      </c>
      <c r="H1869" s="1" t="s">
        <v>1762</v>
      </c>
      <c r="I1869" t="b">
        <f>COUNTIF(Estadísticas!I:I,'centraldecomunicacion.es'!H1869)&gt;0</f>
        <v>0</v>
      </c>
    </row>
    <row r="1870" spans="1:9" hidden="1">
      <c r="A1870" s="1" t="s">
        <v>7546</v>
      </c>
      <c r="B1870" s="1" t="s">
        <v>10</v>
      </c>
      <c r="C1870" s="1" t="s">
        <v>7547</v>
      </c>
      <c r="D1870" s="1" t="s">
        <v>7499</v>
      </c>
      <c r="E1870" s="1" t="s">
        <v>723</v>
      </c>
      <c r="F1870" s="1" t="s">
        <v>30</v>
      </c>
      <c r="G1870" s="1" t="s">
        <v>7548</v>
      </c>
      <c r="H1870" s="1" t="s">
        <v>1762</v>
      </c>
      <c r="I1870" t="b">
        <f>COUNTIF(Estadísticas!I:I,'centraldecomunicacion.es'!H1870)&gt;0</f>
        <v>0</v>
      </c>
    </row>
    <row r="1871" spans="1:9">
      <c r="A1871" s="1" t="s">
        <v>745</v>
      </c>
      <c r="B1871" s="1" t="s">
        <v>18</v>
      </c>
      <c r="C1871" s="1" t="s">
        <v>746</v>
      </c>
      <c r="D1871" s="1" t="s">
        <v>747</v>
      </c>
      <c r="E1871" s="1" t="s">
        <v>723</v>
      </c>
      <c r="F1871" s="1" t="s">
        <v>748</v>
      </c>
      <c r="G1871" s="1" t="s">
        <v>749</v>
      </c>
      <c r="H1871" s="1" t="s">
        <v>750</v>
      </c>
      <c r="I1871" t="b">
        <f>COUNTIF(Estadísticas!I:I,'centraldecomunicacion.es'!H1871)&gt;0</f>
        <v>1</v>
      </c>
    </row>
    <row r="1872" spans="1:9" hidden="1">
      <c r="A1872" s="1" t="s">
        <v>7549</v>
      </c>
      <c r="B1872" s="1" t="s">
        <v>10</v>
      </c>
      <c r="C1872" s="1" t="s">
        <v>7550</v>
      </c>
      <c r="D1872" s="1" t="s">
        <v>7537</v>
      </c>
      <c r="E1872" s="1" t="s">
        <v>723</v>
      </c>
      <c r="F1872" s="1" t="s">
        <v>30</v>
      </c>
      <c r="G1872" s="1" t="s">
        <v>7551</v>
      </c>
      <c r="H1872" s="1" t="s">
        <v>1762</v>
      </c>
      <c r="I1872" t="b">
        <f>COUNTIF(Estadísticas!I:I,'centraldecomunicacion.es'!H1872)&gt;0</f>
        <v>0</v>
      </c>
    </row>
    <row r="1873" spans="1:9" hidden="1">
      <c r="A1873" s="1" t="s">
        <v>7552</v>
      </c>
      <c r="B1873" s="1" t="s">
        <v>10</v>
      </c>
      <c r="C1873" s="1" t="s">
        <v>7553</v>
      </c>
      <c r="D1873" s="1" t="s">
        <v>741</v>
      </c>
      <c r="E1873" s="1" t="s">
        <v>723</v>
      </c>
      <c r="F1873" s="1" t="s">
        <v>30</v>
      </c>
      <c r="G1873" s="1" t="s">
        <v>7554</v>
      </c>
      <c r="H1873" s="1" t="s">
        <v>1762</v>
      </c>
      <c r="I1873" t="b">
        <f>COUNTIF(Estadísticas!I:I,'centraldecomunicacion.es'!H1873)&gt;0</f>
        <v>0</v>
      </c>
    </row>
    <row r="1874" spans="1:9" hidden="1">
      <c r="A1874" s="1" t="s">
        <v>7555</v>
      </c>
      <c r="B1874" s="1" t="s">
        <v>18</v>
      </c>
      <c r="C1874" s="1" t="s">
        <v>7556</v>
      </c>
      <c r="D1874" s="1" t="s">
        <v>747</v>
      </c>
      <c r="E1874" s="1" t="s">
        <v>723</v>
      </c>
      <c r="F1874" s="1" t="s">
        <v>30</v>
      </c>
      <c r="G1874" s="1" t="s">
        <v>7557</v>
      </c>
      <c r="H1874" s="1" t="s">
        <v>1762</v>
      </c>
      <c r="I1874" t="b">
        <f>COUNTIF(Estadísticas!I:I,'centraldecomunicacion.es'!H1874)&gt;0</f>
        <v>0</v>
      </c>
    </row>
    <row r="1875" spans="1:9" hidden="1">
      <c r="A1875" s="1" t="s">
        <v>7558</v>
      </c>
      <c r="B1875" s="1" t="s">
        <v>18</v>
      </c>
      <c r="C1875" s="1" t="s">
        <v>7559</v>
      </c>
      <c r="D1875" s="1" t="s">
        <v>729</v>
      </c>
      <c r="E1875" s="1" t="s">
        <v>723</v>
      </c>
      <c r="F1875" s="1" t="s">
        <v>7560</v>
      </c>
      <c r="G1875" s="1" t="s">
        <v>7561</v>
      </c>
      <c r="H1875" s="1" t="s">
        <v>7562</v>
      </c>
      <c r="I1875" t="b">
        <f>COUNTIF(Estadísticas!I:I,'centraldecomunicacion.es'!H1875)&gt;0</f>
        <v>0</v>
      </c>
    </row>
    <row r="1876" spans="1:9" hidden="1">
      <c r="A1876" s="1" t="s">
        <v>7563</v>
      </c>
      <c r="B1876" s="1" t="s">
        <v>10</v>
      </c>
      <c r="C1876" s="1" t="s">
        <v>7564</v>
      </c>
      <c r="D1876" s="1" t="s">
        <v>7446</v>
      </c>
      <c r="E1876" s="1" t="s">
        <v>723</v>
      </c>
      <c r="F1876" s="1" t="s">
        <v>30</v>
      </c>
      <c r="G1876" s="1" t="s">
        <v>7565</v>
      </c>
      <c r="H1876" s="1" t="s">
        <v>1762</v>
      </c>
      <c r="I1876" t="b">
        <f>COUNTIF(Estadísticas!I:I,'centraldecomunicacion.es'!H1876)&gt;0</f>
        <v>0</v>
      </c>
    </row>
    <row r="1877" spans="1:9">
      <c r="A1877" s="1" t="s">
        <v>751</v>
      </c>
      <c r="B1877" s="1" t="s">
        <v>10</v>
      </c>
      <c r="C1877" s="1" t="s">
        <v>752</v>
      </c>
      <c r="D1877" s="1" t="s">
        <v>741</v>
      </c>
      <c r="E1877" s="1" t="s">
        <v>723</v>
      </c>
      <c r="F1877" s="1" t="s">
        <v>753</v>
      </c>
      <c r="G1877" s="1" t="s">
        <v>754</v>
      </c>
      <c r="H1877" s="1" t="s">
        <v>755</v>
      </c>
      <c r="I1877" t="b">
        <f>COUNTIF(Estadísticas!I:I,'centraldecomunicacion.es'!H1877)&gt;0</f>
        <v>1</v>
      </c>
    </row>
    <row r="1878" spans="1:9" hidden="1">
      <c r="A1878" s="1" t="s">
        <v>7566</v>
      </c>
      <c r="B1878" s="1" t="s">
        <v>10</v>
      </c>
      <c r="C1878" s="1" t="s">
        <v>7567</v>
      </c>
      <c r="D1878" s="1" t="s">
        <v>7568</v>
      </c>
      <c r="E1878" s="1" t="s">
        <v>723</v>
      </c>
      <c r="F1878" s="1" t="s">
        <v>30</v>
      </c>
      <c r="G1878" s="1" t="s">
        <v>7569</v>
      </c>
      <c r="H1878" s="1" t="s">
        <v>1762</v>
      </c>
      <c r="I1878" t="b">
        <f>COUNTIF(Estadísticas!I:I,'centraldecomunicacion.es'!H1878)&gt;0</f>
        <v>0</v>
      </c>
    </row>
    <row r="1879" spans="1:9" hidden="1">
      <c r="A1879" s="1" t="s">
        <v>7570</v>
      </c>
      <c r="B1879" s="1" t="s">
        <v>18</v>
      </c>
      <c r="C1879" s="1" t="s">
        <v>7571</v>
      </c>
      <c r="D1879" s="1" t="s">
        <v>7446</v>
      </c>
      <c r="E1879" s="1" t="s">
        <v>723</v>
      </c>
      <c r="F1879" s="1" t="s">
        <v>30</v>
      </c>
      <c r="G1879" s="1" t="s">
        <v>7572</v>
      </c>
      <c r="H1879" s="1" t="s">
        <v>1762</v>
      </c>
      <c r="I1879" t="b">
        <f>COUNTIF(Estadísticas!I:I,'centraldecomunicacion.es'!H1879)&gt;0</f>
        <v>0</v>
      </c>
    </row>
    <row r="1880" spans="1:9" hidden="1">
      <c r="A1880" s="1" t="s">
        <v>7573</v>
      </c>
      <c r="B1880" s="1" t="s">
        <v>18</v>
      </c>
      <c r="C1880" s="1" t="s">
        <v>7574</v>
      </c>
      <c r="D1880" s="1" t="s">
        <v>7443</v>
      </c>
      <c r="E1880" s="1" t="s">
        <v>723</v>
      </c>
      <c r="F1880" s="1" t="s">
        <v>30</v>
      </c>
      <c r="G1880" s="1" t="s">
        <v>7575</v>
      </c>
      <c r="H1880" s="1" t="s">
        <v>1762</v>
      </c>
      <c r="I1880" t="b">
        <f>COUNTIF(Estadísticas!I:I,'centraldecomunicacion.es'!H1880)&gt;0</f>
        <v>0</v>
      </c>
    </row>
    <row r="1881" spans="1:9" hidden="1">
      <c r="A1881" s="1" t="s">
        <v>7576</v>
      </c>
      <c r="B1881" s="1" t="s">
        <v>10</v>
      </c>
      <c r="C1881" s="1" t="s">
        <v>7577</v>
      </c>
      <c r="D1881" s="1" t="s">
        <v>7330</v>
      </c>
      <c r="E1881" s="1" t="s">
        <v>723</v>
      </c>
      <c r="F1881" s="1" t="s">
        <v>30</v>
      </c>
      <c r="G1881" s="1" t="s">
        <v>30</v>
      </c>
      <c r="H1881" s="1" t="s">
        <v>1762</v>
      </c>
      <c r="I1881" t="b">
        <f>COUNTIF(Estadísticas!I:I,'centraldecomunicacion.es'!H1881)&gt;0</f>
        <v>0</v>
      </c>
    </row>
    <row r="1882" spans="1:9" hidden="1">
      <c r="A1882" s="1" t="s">
        <v>7578</v>
      </c>
      <c r="B1882" s="1" t="s">
        <v>18</v>
      </c>
      <c r="C1882" s="1" t="s">
        <v>7579</v>
      </c>
      <c r="D1882" s="1" t="s">
        <v>7330</v>
      </c>
      <c r="E1882" s="1" t="s">
        <v>723</v>
      </c>
      <c r="F1882" s="1" t="s">
        <v>30</v>
      </c>
      <c r="G1882" s="1" t="s">
        <v>7580</v>
      </c>
      <c r="H1882" s="1" t="s">
        <v>1762</v>
      </c>
      <c r="I1882" t="b">
        <f>COUNTIF(Estadísticas!I:I,'centraldecomunicacion.es'!H1882)&gt;0</f>
        <v>0</v>
      </c>
    </row>
    <row r="1883" spans="1:9" hidden="1">
      <c r="A1883" s="1" t="s">
        <v>7581</v>
      </c>
      <c r="B1883" s="1" t="s">
        <v>10</v>
      </c>
      <c r="C1883" s="1" t="s">
        <v>7582</v>
      </c>
      <c r="D1883" s="1" t="s">
        <v>926</v>
      </c>
      <c r="E1883" s="1" t="s">
        <v>926</v>
      </c>
      <c r="F1883" s="1" t="s">
        <v>7583</v>
      </c>
      <c r="G1883" s="1" t="s">
        <v>7584</v>
      </c>
      <c r="H1883" s="1" t="s">
        <v>1762</v>
      </c>
      <c r="I1883" t="b">
        <f>COUNTIF(Estadísticas!I:I,'centraldecomunicacion.es'!H1883)&gt;0</f>
        <v>0</v>
      </c>
    </row>
    <row r="1884" spans="1:9" hidden="1">
      <c r="A1884" s="1" t="s">
        <v>7585</v>
      </c>
      <c r="B1884" s="1" t="s">
        <v>10</v>
      </c>
      <c r="C1884" s="1" t="s">
        <v>7586</v>
      </c>
      <c r="D1884" s="1" t="s">
        <v>7587</v>
      </c>
      <c r="E1884" s="1" t="s">
        <v>723</v>
      </c>
      <c r="F1884" s="1" t="s">
        <v>7588</v>
      </c>
      <c r="G1884" s="1" t="s">
        <v>7589</v>
      </c>
      <c r="H1884" s="1" t="s">
        <v>1762</v>
      </c>
      <c r="I1884" t="b">
        <f>COUNTIF(Estadísticas!I:I,'centraldecomunicacion.es'!H1884)&gt;0</f>
        <v>0</v>
      </c>
    </row>
    <row r="1885" spans="1:9" hidden="1">
      <c r="A1885" s="1" t="s">
        <v>7590</v>
      </c>
      <c r="B1885" s="1" t="s">
        <v>10</v>
      </c>
      <c r="C1885" s="1" t="s">
        <v>7591</v>
      </c>
      <c r="D1885" s="1" t="s">
        <v>758</v>
      </c>
      <c r="E1885" s="1" t="s">
        <v>758</v>
      </c>
      <c r="F1885" s="1" t="s">
        <v>30</v>
      </c>
      <c r="G1885" s="1" t="s">
        <v>7592</v>
      </c>
      <c r="H1885" s="1" t="s">
        <v>1762</v>
      </c>
      <c r="I1885" t="b">
        <f>COUNTIF(Estadísticas!I:I,'centraldecomunicacion.es'!H1885)&gt;0</f>
        <v>0</v>
      </c>
    </row>
    <row r="1886" spans="1:9" hidden="1">
      <c r="A1886" s="1" t="s">
        <v>7593</v>
      </c>
      <c r="B1886" s="1" t="s">
        <v>18</v>
      </c>
      <c r="C1886" s="1" t="s">
        <v>7594</v>
      </c>
      <c r="D1886" s="1" t="s">
        <v>758</v>
      </c>
      <c r="E1886" s="1" t="s">
        <v>758</v>
      </c>
      <c r="F1886" s="1" t="s">
        <v>30</v>
      </c>
      <c r="G1886" s="1" t="s">
        <v>7595</v>
      </c>
      <c r="H1886" s="1" t="s">
        <v>1762</v>
      </c>
      <c r="I1886" t="b">
        <f>COUNTIF(Estadísticas!I:I,'centraldecomunicacion.es'!H1886)&gt;0</f>
        <v>0</v>
      </c>
    </row>
    <row r="1887" spans="1:9" hidden="1">
      <c r="A1887" s="1" t="s">
        <v>7596</v>
      </c>
      <c r="B1887" s="1" t="s">
        <v>10</v>
      </c>
      <c r="C1887" s="1" t="s">
        <v>7597</v>
      </c>
      <c r="D1887" s="1" t="s">
        <v>758</v>
      </c>
      <c r="E1887" s="1" t="s">
        <v>758</v>
      </c>
      <c r="F1887" s="1" t="s">
        <v>7598</v>
      </c>
      <c r="G1887" s="1" t="s">
        <v>7599</v>
      </c>
      <c r="H1887" s="1" t="s">
        <v>7600</v>
      </c>
      <c r="I1887" t="b">
        <f>COUNTIF(Estadísticas!I:I,'centraldecomunicacion.es'!H1887)&gt;0</f>
        <v>0</v>
      </c>
    </row>
    <row r="1888" spans="1:9">
      <c r="A1888" s="1" t="s">
        <v>756</v>
      </c>
      <c r="B1888" s="1" t="s">
        <v>10</v>
      </c>
      <c r="C1888" s="1" t="s">
        <v>757</v>
      </c>
      <c r="D1888" s="1" t="s">
        <v>758</v>
      </c>
      <c r="E1888" s="1" t="s">
        <v>758</v>
      </c>
      <c r="F1888" s="1" t="s">
        <v>759</v>
      </c>
      <c r="G1888" s="1" t="s">
        <v>760</v>
      </c>
      <c r="H1888" s="1" t="s">
        <v>761</v>
      </c>
      <c r="I1888" t="b">
        <f>COUNTIF(Estadísticas!I:I,'centraldecomunicacion.es'!H1888)&gt;0</f>
        <v>1</v>
      </c>
    </row>
    <row r="1889" spans="1:9" hidden="1">
      <c r="A1889" s="1" t="s">
        <v>7601</v>
      </c>
      <c r="B1889" s="1" t="s">
        <v>10</v>
      </c>
      <c r="C1889" s="1" t="s">
        <v>7602</v>
      </c>
      <c r="D1889" s="1" t="s">
        <v>758</v>
      </c>
      <c r="E1889" s="1" t="s">
        <v>758</v>
      </c>
      <c r="F1889" s="1" t="s">
        <v>30</v>
      </c>
      <c r="G1889" s="1" t="s">
        <v>7603</v>
      </c>
      <c r="H1889" s="1" t="s">
        <v>1762</v>
      </c>
      <c r="I1889" t="b">
        <f>COUNTIF(Estadísticas!I:I,'centraldecomunicacion.es'!H1889)&gt;0</f>
        <v>0</v>
      </c>
    </row>
    <row r="1890" spans="1:9" hidden="1">
      <c r="A1890" s="1" t="s">
        <v>7604</v>
      </c>
      <c r="B1890" s="1" t="s">
        <v>10</v>
      </c>
      <c r="C1890" s="1" t="s">
        <v>7605</v>
      </c>
      <c r="D1890" s="1" t="s">
        <v>758</v>
      </c>
      <c r="E1890" s="1" t="s">
        <v>758</v>
      </c>
      <c r="F1890" s="1" t="s">
        <v>30</v>
      </c>
      <c r="G1890" s="1" t="s">
        <v>7606</v>
      </c>
      <c r="H1890" s="1" t="s">
        <v>1762</v>
      </c>
      <c r="I1890" t="b">
        <f>COUNTIF(Estadísticas!I:I,'centraldecomunicacion.es'!H1890)&gt;0</f>
        <v>0</v>
      </c>
    </row>
    <row r="1891" spans="1:9" hidden="1">
      <c r="A1891" s="1" t="s">
        <v>7607</v>
      </c>
      <c r="B1891" s="1" t="s">
        <v>10</v>
      </c>
      <c r="C1891" s="1" t="s">
        <v>7608</v>
      </c>
      <c r="D1891" s="1" t="s">
        <v>758</v>
      </c>
      <c r="E1891" s="1" t="s">
        <v>758</v>
      </c>
      <c r="F1891" s="1" t="s">
        <v>30</v>
      </c>
      <c r="G1891" s="1" t="s">
        <v>7609</v>
      </c>
      <c r="H1891" s="1" t="s">
        <v>1762</v>
      </c>
      <c r="I1891" t="b">
        <f>COUNTIF(Estadísticas!I:I,'centraldecomunicacion.es'!H1891)&gt;0</f>
        <v>0</v>
      </c>
    </row>
    <row r="1892" spans="1:9" hidden="1">
      <c r="A1892" s="1" t="s">
        <v>7610</v>
      </c>
      <c r="B1892" s="1" t="s">
        <v>10</v>
      </c>
      <c r="C1892" s="1" t="s">
        <v>7611</v>
      </c>
      <c r="D1892" s="1" t="s">
        <v>758</v>
      </c>
      <c r="E1892" s="1" t="s">
        <v>758</v>
      </c>
      <c r="F1892" s="1" t="s">
        <v>30</v>
      </c>
      <c r="G1892" s="1" t="s">
        <v>7612</v>
      </c>
      <c r="H1892" s="1" t="s">
        <v>1762</v>
      </c>
      <c r="I1892" t="b">
        <f>COUNTIF(Estadísticas!I:I,'centraldecomunicacion.es'!H1892)&gt;0</f>
        <v>0</v>
      </c>
    </row>
    <row r="1893" spans="1:9" hidden="1">
      <c r="A1893" s="1" t="s">
        <v>7613</v>
      </c>
      <c r="B1893" s="1" t="s">
        <v>10</v>
      </c>
      <c r="C1893" s="1" t="s">
        <v>7614</v>
      </c>
      <c r="D1893" s="1" t="s">
        <v>758</v>
      </c>
      <c r="E1893" s="1" t="s">
        <v>758</v>
      </c>
      <c r="F1893" s="1" t="s">
        <v>1984</v>
      </c>
      <c r="G1893" s="1" t="s">
        <v>7615</v>
      </c>
      <c r="H1893" s="1" t="s">
        <v>1762</v>
      </c>
      <c r="I1893" t="b">
        <f>COUNTIF(Estadísticas!I:I,'centraldecomunicacion.es'!H1893)&gt;0</f>
        <v>0</v>
      </c>
    </row>
    <row r="1894" spans="1:9" hidden="1">
      <c r="A1894" s="1" t="s">
        <v>7616</v>
      </c>
      <c r="B1894" s="1" t="s">
        <v>10</v>
      </c>
      <c r="C1894" s="1" t="s">
        <v>7617</v>
      </c>
      <c r="D1894" s="1" t="s">
        <v>758</v>
      </c>
      <c r="E1894" s="1" t="s">
        <v>758</v>
      </c>
      <c r="F1894" s="1" t="s">
        <v>30</v>
      </c>
      <c r="G1894" s="1" t="s">
        <v>30</v>
      </c>
      <c r="H1894" s="1" t="s">
        <v>1762</v>
      </c>
      <c r="I1894" t="b">
        <f>COUNTIF(Estadísticas!I:I,'centraldecomunicacion.es'!H1894)&gt;0</f>
        <v>0</v>
      </c>
    </row>
    <row r="1895" spans="1:9" hidden="1">
      <c r="A1895" s="1" t="s">
        <v>7618</v>
      </c>
      <c r="B1895" s="1" t="s">
        <v>10</v>
      </c>
      <c r="C1895" s="1" t="s">
        <v>7619</v>
      </c>
      <c r="D1895" s="1" t="s">
        <v>758</v>
      </c>
      <c r="E1895" s="1" t="s">
        <v>758</v>
      </c>
      <c r="F1895" s="1" t="s">
        <v>30</v>
      </c>
      <c r="G1895" s="1" t="s">
        <v>7620</v>
      </c>
      <c r="H1895" s="1" t="s">
        <v>1762</v>
      </c>
      <c r="I1895" t="b">
        <f>COUNTIF(Estadísticas!I:I,'centraldecomunicacion.es'!H1895)&gt;0</f>
        <v>0</v>
      </c>
    </row>
    <row r="1896" spans="1:9" hidden="1">
      <c r="A1896" s="1" t="s">
        <v>7621</v>
      </c>
      <c r="B1896" s="1" t="s">
        <v>10</v>
      </c>
      <c r="C1896" s="1" t="s">
        <v>7622</v>
      </c>
      <c r="D1896" s="1" t="s">
        <v>758</v>
      </c>
      <c r="E1896" s="1" t="s">
        <v>758</v>
      </c>
      <c r="F1896" s="1" t="s">
        <v>30</v>
      </c>
      <c r="G1896" s="1" t="s">
        <v>7612</v>
      </c>
      <c r="H1896" s="1" t="s">
        <v>1762</v>
      </c>
      <c r="I1896" t="b">
        <f>COUNTIF(Estadísticas!I:I,'centraldecomunicacion.es'!H1896)&gt;0</f>
        <v>0</v>
      </c>
    </row>
    <row r="1897" spans="1:9" hidden="1">
      <c r="A1897" s="1" t="s">
        <v>7623</v>
      </c>
      <c r="B1897" s="1" t="s">
        <v>10</v>
      </c>
      <c r="C1897" s="1" t="s">
        <v>7622</v>
      </c>
      <c r="D1897" s="1" t="s">
        <v>758</v>
      </c>
      <c r="E1897" s="1" t="s">
        <v>758</v>
      </c>
      <c r="F1897" s="1" t="s">
        <v>30</v>
      </c>
      <c r="G1897" s="1" t="s">
        <v>30</v>
      </c>
      <c r="H1897" s="1" t="s">
        <v>1762</v>
      </c>
      <c r="I1897" t="b">
        <f>COUNTIF(Estadísticas!I:I,'centraldecomunicacion.es'!H1897)&gt;0</f>
        <v>0</v>
      </c>
    </row>
    <row r="1898" spans="1:9" hidden="1">
      <c r="A1898" s="1" t="s">
        <v>7624</v>
      </c>
      <c r="B1898" s="1" t="s">
        <v>18</v>
      </c>
      <c r="C1898" s="1" t="s">
        <v>7625</v>
      </c>
      <c r="D1898" s="1" t="s">
        <v>758</v>
      </c>
      <c r="E1898" s="1" t="s">
        <v>758</v>
      </c>
      <c r="F1898" s="1" t="s">
        <v>30</v>
      </c>
      <c r="G1898" s="1" t="s">
        <v>7626</v>
      </c>
      <c r="H1898" s="1" t="s">
        <v>1762</v>
      </c>
      <c r="I1898" t="b">
        <f>COUNTIF(Estadísticas!I:I,'centraldecomunicacion.es'!H1898)&gt;0</f>
        <v>0</v>
      </c>
    </row>
    <row r="1899" spans="1:9" hidden="1">
      <c r="A1899" s="1" t="s">
        <v>7627</v>
      </c>
      <c r="B1899" s="1" t="s">
        <v>10</v>
      </c>
      <c r="C1899" s="1" t="s">
        <v>7628</v>
      </c>
      <c r="D1899" s="1" t="s">
        <v>7629</v>
      </c>
      <c r="E1899" s="1" t="s">
        <v>758</v>
      </c>
      <c r="F1899" s="1" t="s">
        <v>30</v>
      </c>
      <c r="G1899" s="1" t="s">
        <v>7630</v>
      </c>
      <c r="H1899" s="1" t="s">
        <v>1762</v>
      </c>
      <c r="I1899" t="b">
        <f>COUNTIF(Estadísticas!I:I,'centraldecomunicacion.es'!H1899)&gt;0</f>
        <v>0</v>
      </c>
    </row>
    <row r="1900" spans="1:9" hidden="1">
      <c r="A1900" s="1" t="s">
        <v>7631</v>
      </c>
      <c r="B1900" s="1" t="s">
        <v>18</v>
      </c>
      <c r="C1900" s="1" t="s">
        <v>7632</v>
      </c>
      <c r="D1900" s="1" t="s">
        <v>758</v>
      </c>
      <c r="E1900" s="1" t="s">
        <v>758</v>
      </c>
      <c r="F1900" s="1" t="s">
        <v>7633</v>
      </c>
      <c r="G1900" s="1" t="s">
        <v>7634</v>
      </c>
      <c r="H1900" s="1" t="s">
        <v>7635</v>
      </c>
      <c r="I1900" t="b">
        <f>COUNTIF(Estadísticas!I:I,'centraldecomunicacion.es'!H1900)&gt;0</f>
        <v>0</v>
      </c>
    </row>
    <row r="1901" spans="1:9" hidden="1">
      <c r="A1901" s="1" t="s">
        <v>7636</v>
      </c>
      <c r="B1901" s="1" t="s">
        <v>18</v>
      </c>
      <c r="C1901" s="1" t="s">
        <v>7637</v>
      </c>
      <c r="D1901" s="1" t="s">
        <v>7638</v>
      </c>
      <c r="E1901" s="1" t="s">
        <v>758</v>
      </c>
      <c r="F1901" s="1" t="s">
        <v>7639</v>
      </c>
      <c r="G1901" s="1" t="s">
        <v>7640</v>
      </c>
      <c r="H1901" s="1" t="s">
        <v>7641</v>
      </c>
      <c r="I1901" t="b">
        <f>COUNTIF(Estadísticas!I:I,'centraldecomunicacion.es'!H1901)&gt;0</f>
        <v>0</v>
      </c>
    </row>
    <row r="1902" spans="1:9" hidden="1">
      <c r="A1902" s="1" t="s">
        <v>7642</v>
      </c>
      <c r="B1902" s="1" t="s">
        <v>10</v>
      </c>
      <c r="C1902" s="1" t="s">
        <v>7643</v>
      </c>
      <c r="D1902" s="1" t="s">
        <v>7644</v>
      </c>
      <c r="E1902" s="1" t="s">
        <v>758</v>
      </c>
      <c r="F1902" s="1" t="s">
        <v>30</v>
      </c>
      <c r="G1902" s="1" t="s">
        <v>30</v>
      </c>
      <c r="H1902" s="1" t="s">
        <v>1762</v>
      </c>
      <c r="I1902" t="b">
        <f>COUNTIF(Estadísticas!I:I,'centraldecomunicacion.es'!H1902)&gt;0</f>
        <v>0</v>
      </c>
    </row>
    <row r="1903" spans="1:9" hidden="1">
      <c r="A1903" s="1" t="s">
        <v>7645</v>
      </c>
      <c r="B1903" s="1" t="s">
        <v>10</v>
      </c>
      <c r="C1903" s="1" t="s">
        <v>7646</v>
      </c>
      <c r="D1903" s="1" t="s">
        <v>7647</v>
      </c>
      <c r="E1903" s="1" t="s">
        <v>758</v>
      </c>
      <c r="F1903" s="1" t="s">
        <v>30</v>
      </c>
      <c r="G1903" s="1" t="s">
        <v>7648</v>
      </c>
      <c r="H1903" s="1" t="s">
        <v>1762</v>
      </c>
      <c r="I1903" t="b">
        <f>COUNTIF(Estadísticas!I:I,'centraldecomunicacion.es'!H1903)&gt;0</f>
        <v>0</v>
      </c>
    </row>
    <row r="1904" spans="1:9" hidden="1">
      <c r="A1904" s="1" t="s">
        <v>7649</v>
      </c>
      <c r="B1904" s="1" t="s">
        <v>10</v>
      </c>
      <c r="C1904" s="1" t="s">
        <v>7650</v>
      </c>
      <c r="D1904" s="1" t="s">
        <v>7647</v>
      </c>
      <c r="E1904" s="1" t="s">
        <v>758</v>
      </c>
      <c r="F1904" s="1" t="s">
        <v>2692</v>
      </c>
      <c r="G1904" s="1" t="s">
        <v>7651</v>
      </c>
      <c r="H1904" s="1" t="s">
        <v>1762</v>
      </c>
      <c r="I1904" t="b">
        <f>COUNTIF(Estadísticas!I:I,'centraldecomunicacion.es'!H1904)&gt;0</f>
        <v>0</v>
      </c>
    </row>
    <row r="1905" spans="1:9" hidden="1">
      <c r="A1905" s="1" t="s">
        <v>7652</v>
      </c>
      <c r="B1905" s="1" t="s">
        <v>10</v>
      </c>
      <c r="C1905" s="1" t="s">
        <v>30</v>
      </c>
      <c r="D1905" s="1" t="s">
        <v>763</v>
      </c>
      <c r="E1905" s="1" t="s">
        <v>30</v>
      </c>
      <c r="F1905" s="1" t="s">
        <v>1984</v>
      </c>
      <c r="G1905" s="1" t="s">
        <v>7653</v>
      </c>
      <c r="H1905" s="1" t="s">
        <v>1762</v>
      </c>
      <c r="I1905" t="b">
        <f>COUNTIF(Estadísticas!I:I,'centraldecomunicacion.es'!H1905)&gt;0</f>
        <v>0</v>
      </c>
    </row>
    <row r="1906" spans="1:9">
      <c r="A1906" s="1" t="s">
        <v>762</v>
      </c>
      <c r="B1906" s="1" t="s">
        <v>10</v>
      </c>
      <c r="C1906" s="1" t="s">
        <v>30</v>
      </c>
      <c r="D1906" s="1" t="s">
        <v>763</v>
      </c>
      <c r="E1906" s="1" t="s">
        <v>30</v>
      </c>
      <c r="F1906" s="1" t="s">
        <v>764</v>
      </c>
      <c r="G1906" s="1" t="s">
        <v>765</v>
      </c>
      <c r="H1906" s="1" t="s">
        <v>766</v>
      </c>
      <c r="I1906" t="b">
        <f>COUNTIF(Estadísticas!I:I,'centraldecomunicacion.es'!H1906)&gt;0</f>
        <v>1</v>
      </c>
    </row>
    <row r="1907" spans="1:9" hidden="1">
      <c r="A1907" s="1" t="s">
        <v>7654</v>
      </c>
      <c r="B1907" s="1" t="s">
        <v>18</v>
      </c>
      <c r="C1907" s="1" t="s">
        <v>7655</v>
      </c>
      <c r="D1907" s="1" t="s">
        <v>7638</v>
      </c>
      <c r="E1907" s="1" t="s">
        <v>758</v>
      </c>
      <c r="F1907" s="1" t="s">
        <v>7656</v>
      </c>
      <c r="G1907" s="1" t="s">
        <v>7657</v>
      </c>
      <c r="H1907" s="1" t="s">
        <v>7658</v>
      </c>
      <c r="I1907" t="b">
        <f>COUNTIF(Estadísticas!I:I,'centraldecomunicacion.es'!H1907)&gt;0</f>
        <v>0</v>
      </c>
    </row>
    <row r="1908" spans="1:9" hidden="1">
      <c r="A1908" s="1" t="s">
        <v>7659</v>
      </c>
      <c r="B1908" s="1" t="s">
        <v>10</v>
      </c>
      <c r="C1908" s="1" t="s">
        <v>7660</v>
      </c>
      <c r="D1908" s="1" t="s">
        <v>7661</v>
      </c>
      <c r="E1908" s="1" t="s">
        <v>758</v>
      </c>
      <c r="F1908" s="1" t="s">
        <v>30</v>
      </c>
      <c r="G1908" s="1" t="s">
        <v>7662</v>
      </c>
      <c r="H1908" s="1" t="s">
        <v>1762</v>
      </c>
      <c r="I1908" t="b">
        <f>COUNTIF(Estadísticas!I:I,'centraldecomunicacion.es'!H1908)&gt;0</f>
        <v>0</v>
      </c>
    </row>
    <row r="1909" spans="1:9" hidden="1">
      <c r="A1909" s="1" t="s">
        <v>7663</v>
      </c>
      <c r="B1909" s="1" t="s">
        <v>10</v>
      </c>
      <c r="C1909" s="1" t="s">
        <v>7664</v>
      </c>
      <c r="D1909" s="1" t="s">
        <v>7665</v>
      </c>
      <c r="E1909" s="1" t="s">
        <v>758</v>
      </c>
      <c r="F1909" s="1" t="s">
        <v>30</v>
      </c>
      <c r="G1909" s="1" t="s">
        <v>30</v>
      </c>
      <c r="H1909" s="1" t="s">
        <v>1762</v>
      </c>
      <c r="I1909" t="b">
        <f>COUNTIF(Estadísticas!I:I,'centraldecomunicacion.es'!H1909)&gt;0</f>
        <v>0</v>
      </c>
    </row>
    <row r="1910" spans="1:9" hidden="1">
      <c r="A1910" s="1" t="s">
        <v>7666</v>
      </c>
      <c r="B1910" s="1" t="s">
        <v>10</v>
      </c>
      <c r="C1910" s="1" t="s">
        <v>30</v>
      </c>
      <c r="D1910" s="1" t="s">
        <v>763</v>
      </c>
      <c r="E1910" s="1" t="s">
        <v>30</v>
      </c>
      <c r="F1910" s="1" t="s">
        <v>7667</v>
      </c>
      <c r="G1910" s="1" t="s">
        <v>7668</v>
      </c>
      <c r="H1910" s="1" t="s">
        <v>1762</v>
      </c>
      <c r="I1910" t="b">
        <f>COUNTIF(Estadísticas!I:I,'centraldecomunicacion.es'!H1910)&gt;0</f>
        <v>0</v>
      </c>
    </row>
    <row r="1911" spans="1:9" hidden="1">
      <c r="A1911" s="1" t="s">
        <v>7669</v>
      </c>
      <c r="B1911" s="1" t="s">
        <v>10</v>
      </c>
      <c r="C1911" s="1" t="s">
        <v>7650</v>
      </c>
      <c r="D1911" s="1" t="s">
        <v>7647</v>
      </c>
      <c r="E1911" s="1" t="s">
        <v>758</v>
      </c>
      <c r="F1911" s="1" t="s">
        <v>30</v>
      </c>
      <c r="G1911" s="1" t="s">
        <v>7651</v>
      </c>
      <c r="H1911" s="1" t="s">
        <v>1762</v>
      </c>
      <c r="I1911" t="b">
        <f>COUNTIF(Estadísticas!I:I,'centraldecomunicacion.es'!H1911)&gt;0</f>
        <v>0</v>
      </c>
    </row>
    <row r="1912" spans="1:9" hidden="1">
      <c r="A1912" s="1" t="s">
        <v>7670</v>
      </c>
      <c r="B1912" s="1" t="s">
        <v>10</v>
      </c>
      <c r="C1912" s="1" t="s">
        <v>7671</v>
      </c>
      <c r="D1912" s="1" t="s">
        <v>7672</v>
      </c>
      <c r="E1912" s="1" t="s">
        <v>758</v>
      </c>
      <c r="F1912" s="1" t="s">
        <v>30</v>
      </c>
      <c r="G1912" s="1" t="s">
        <v>7673</v>
      </c>
      <c r="H1912" s="1" t="s">
        <v>1762</v>
      </c>
      <c r="I1912" t="b">
        <f>COUNTIF(Estadísticas!I:I,'centraldecomunicacion.es'!H1912)&gt;0</f>
        <v>0</v>
      </c>
    </row>
    <row r="1913" spans="1:9" hidden="1">
      <c r="A1913" s="1" t="s">
        <v>7674</v>
      </c>
      <c r="B1913" s="1" t="s">
        <v>10</v>
      </c>
      <c r="C1913" s="1" t="s">
        <v>7675</v>
      </c>
      <c r="D1913" s="1" t="s">
        <v>7676</v>
      </c>
      <c r="E1913" s="1" t="s">
        <v>758</v>
      </c>
      <c r="F1913" s="1" t="s">
        <v>30</v>
      </c>
      <c r="G1913" s="1" t="s">
        <v>30</v>
      </c>
      <c r="H1913" s="1" t="s">
        <v>1762</v>
      </c>
      <c r="I1913" t="b">
        <f>COUNTIF(Estadísticas!I:I,'centraldecomunicacion.es'!H1913)&gt;0</f>
        <v>0</v>
      </c>
    </row>
    <row r="1914" spans="1:9" hidden="1">
      <c r="A1914" s="1" t="s">
        <v>7677</v>
      </c>
      <c r="B1914" s="1" t="s">
        <v>10</v>
      </c>
      <c r="C1914" s="1" t="s">
        <v>7678</v>
      </c>
      <c r="D1914" s="1" t="s">
        <v>7679</v>
      </c>
      <c r="E1914" s="1" t="s">
        <v>758</v>
      </c>
      <c r="F1914" s="1" t="s">
        <v>30</v>
      </c>
      <c r="G1914" s="1" t="s">
        <v>7680</v>
      </c>
      <c r="H1914" s="1" t="s">
        <v>1762</v>
      </c>
      <c r="I1914" t="b">
        <f>COUNTIF(Estadísticas!I:I,'centraldecomunicacion.es'!H1914)&gt;0</f>
        <v>0</v>
      </c>
    </row>
    <row r="1915" spans="1:9" hidden="1">
      <c r="A1915" s="1" t="s">
        <v>7681</v>
      </c>
      <c r="B1915" s="1" t="s">
        <v>10</v>
      </c>
      <c r="C1915" s="1" t="s">
        <v>7682</v>
      </c>
      <c r="D1915" s="1" t="s">
        <v>7672</v>
      </c>
      <c r="E1915" s="1" t="s">
        <v>758</v>
      </c>
      <c r="F1915" s="1" t="s">
        <v>30</v>
      </c>
      <c r="G1915" s="1" t="s">
        <v>30</v>
      </c>
      <c r="H1915" s="1" t="s">
        <v>1762</v>
      </c>
      <c r="I1915" t="b">
        <f>COUNTIF(Estadísticas!I:I,'centraldecomunicacion.es'!H1915)&gt;0</f>
        <v>0</v>
      </c>
    </row>
    <row r="1916" spans="1:9" hidden="1">
      <c r="A1916" s="1" t="s">
        <v>7683</v>
      </c>
      <c r="B1916" s="1" t="s">
        <v>10</v>
      </c>
      <c r="C1916" s="1" t="s">
        <v>7684</v>
      </c>
      <c r="D1916" s="1" t="s">
        <v>7685</v>
      </c>
      <c r="E1916" s="1" t="s">
        <v>758</v>
      </c>
      <c r="F1916" s="1" t="s">
        <v>30</v>
      </c>
      <c r="G1916" s="1" t="s">
        <v>30</v>
      </c>
      <c r="H1916" s="1" t="s">
        <v>1762</v>
      </c>
      <c r="I1916" t="b">
        <f>COUNTIF(Estadísticas!I:I,'centraldecomunicacion.es'!H1916)&gt;0</f>
        <v>0</v>
      </c>
    </row>
    <row r="1917" spans="1:9" hidden="1">
      <c r="A1917" s="1" t="s">
        <v>7686</v>
      </c>
      <c r="B1917" s="1" t="s">
        <v>10</v>
      </c>
      <c r="C1917" s="1" t="s">
        <v>7687</v>
      </c>
      <c r="D1917" s="1" t="s">
        <v>7688</v>
      </c>
      <c r="E1917" s="1" t="s">
        <v>758</v>
      </c>
      <c r="F1917" s="1" t="s">
        <v>30</v>
      </c>
      <c r="G1917" s="1" t="s">
        <v>30</v>
      </c>
      <c r="H1917" s="1" t="s">
        <v>1762</v>
      </c>
      <c r="I1917" t="b">
        <f>COUNTIF(Estadísticas!I:I,'centraldecomunicacion.es'!H1917)&gt;0</f>
        <v>0</v>
      </c>
    </row>
    <row r="1918" spans="1:9" hidden="1">
      <c r="A1918" s="1" t="s">
        <v>7689</v>
      </c>
      <c r="B1918" s="1" t="s">
        <v>10</v>
      </c>
      <c r="C1918" s="1" t="s">
        <v>30</v>
      </c>
      <c r="D1918" s="1" t="s">
        <v>763</v>
      </c>
      <c r="E1918" s="1" t="s">
        <v>30</v>
      </c>
      <c r="F1918" s="1" t="s">
        <v>7690</v>
      </c>
      <c r="G1918" s="1" t="s">
        <v>7691</v>
      </c>
      <c r="H1918" s="1" t="s">
        <v>1762</v>
      </c>
      <c r="I1918" t="b">
        <f>COUNTIF(Estadísticas!I:I,'centraldecomunicacion.es'!H1918)&gt;0</f>
        <v>0</v>
      </c>
    </row>
    <row r="1919" spans="1:9" hidden="1">
      <c r="A1919" s="1" t="s">
        <v>7692</v>
      </c>
      <c r="B1919" s="1" t="s">
        <v>10</v>
      </c>
      <c r="C1919" s="1" t="s">
        <v>7693</v>
      </c>
      <c r="D1919" s="1" t="s">
        <v>7665</v>
      </c>
      <c r="E1919" s="1" t="s">
        <v>758</v>
      </c>
      <c r="F1919" s="1" t="s">
        <v>30</v>
      </c>
      <c r="G1919" s="1" t="s">
        <v>7694</v>
      </c>
      <c r="H1919" s="1" t="s">
        <v>1762</v>
      </c>
      <c r="I1919" t="b">
        <f>COUNTIF(Estadísticas!I:I,'centraldecomunicacion.es'!H1919)&gt;0</f>
        <v>0</v>
      </c>
    </row>
    <row r="1920" spans="1:9" hidden="1">
      <c r="A1920" s="1" t="s">
        <v>7695</v>
      </c>
      <c r="B1920" s="1" t="s">
        <v>10</v>
      </c>
      <c r="C1920" s="1" t="s">
        <v>7696</v>
      </c>
      <c r="D1920" s="1" t="s">
        <v>7697</v>
      </c>
      <c r="E1920" s="1" t="s">
        <v>758</v>
      </c>
      <c r="F1920" s="1" t="s">
        <v>30</v>
      </c>
      <c r="G1920" s="1" t="s">
        <v>7698</v>
      </c>
      <c r="H1920" s="1" t="s">
        <v>1762</v>
      </c>
      <c r="I1920" t="b">
        <f>COUNTIF(Estadísticas!I:I,'centraldecomunicacion.es'!H1920)&gt;0</f>
        <v>0</v>
      </c>
    </row>
    <row r="1921" spans="1:9" hidden="1">
      <c r="A1921" s="1" t="s">
        <v>7699</v>
      </c>
      <c r="B1921" s="1" t="s">
        <v>10</v>
      </c>
      <c r="C1921" s="1" t="s">
        <v>30</v>
      </c>
      <c r="D1921" s="1" t="s">
        <v>763</v>
      </c>
      <c r="E1921" s="1" t="s">
        <v>30</v>
      </c>
      <c r="F1921" s="1" t="s">
        <v>1984</v>
      </c>
      <c r="G1921" s="1" t="s">
        <v>7700</v>
      </c>
      <c r="H1921" s="1" t="s">
        <v>1762</v>
      </c>
      <c r="I1921" t="b">
        <f>COUNTIF(Estadísticas!I:I,'centraldecomunicacion.es'!H1921)&gt;0</f>
        <v>0</v>
      </c>
    </row>
    <row r="1922" spans="1:9" hidden="1">
      <c r="A1922" s="1" t="s">
        <v>7701</v>
      </c>
      <c r="B1922" s="1" t="s">
        <v>10</v>
      </c>
      <c r="C1922" s="1" t="s">
        <v>7702</v>
      </c>
      <c r="D1922" s="1" t="s">
        <v>7703</v>
      </c>
      <c r="E1922" s="1" t="s">
        <v>758</v>
      </c>
      <c r="F1922" s="1" t="s">
        <v>30</v>
      </c>
      <c r="G1922" s="1" t="s">
        <v>30</v>
      </c>
      <c r="H1922" s="1" t="s">
        <v>1762</v>
      </c>
      <c r="I1922" t="b">
        <f>COUNTIF(Estadísticas!I:I,'centraldecomunicacion.es'!H1922)&gt;0</f>
        <v>0</v>
      </c>
    </row>
    <row r="1923" spans="1:9" hidden="1">
      <c r="A1923" s="1" t="s">
        <v>7704</v>
      </c>
      <c r="B1923" s="1" t="s">
        <v>10</v>
      </c>
      <c r="C1923" s="1" t="s">
        <v>7705</v>
      </c>
      <c r="D1923" s="1" t="s">
        <v>769</v>
      </c>
      <c r="E1923" s="1" t="s">
        <v>758</v>
      </c>
      <c r="F1923" s="1" t="s">
        <v>30</v>
      </c>
      <c r="G1923" s="1" t="s">
        <v>7706</v>
      </c>
      <c r="H1923" s="1" t="s">
        <v>1762</v>
      </c>
      <c r="I1923" t="b">
        <f>COUNTIF(Estadísticas!I:I,'centraldecomunicacion.es'!H1923)&gt;0</f>
        <v>0</v>
      </c>
    </row>
    <row r="1924" spans="1:9" hidden="1">
      <c r="A1924" s="1" t="s">
        <v>7707</v>
      </c>
      <c r="B1924" s="1" t="s">
        <v>10</v>
      </c>
      <c r="C1924" s="1" t="s">
        <v>7708</v>
      </c>
      <c r="D1924" s="1" t="s">
        <v>7709</v>
      </c>
      <c r="E1924" s="1" t="s">
        <v>758</v>
      </c>
      <c r="F1924" s="1" t="s">
        <v>30</v>
      </c>
      <c r="G1924" s="1" t="s">
        <v>7710</v>
      </c>
      <c r="H1924" s="1" t="s">
        <v>1762</v>
      </c>
      <c r="I1924" t="b">
        <f>COUNTIF(Estadísticas!I:I,'centraldecomunicacion.es'!H1924)&gt;0</f>
        <v>0</v>
      </c>
    </row>
    <row r="1925" spans="1:9" hidden="1">
      <c r="A1925" s="1" t="s">
        <v>7711</v>
      </c>
      <c r="B1925" s="1" t="s">
        <v>10</v>
      </c>
      <c r="C1925" s="1" t="s">
        <v>7712</v>
      </c>
      <c r="D1925" s="1" t="s">
        <v>7713</v>
      </c>
      <c r="E1925" s="1" t="s">
        <v>1237</v>
      </c>
      <c r="F1925" s="1" t="s">
        <v>30</v>
      </c>
      <c r="G1925" s="1" t="s">
        <v>7714</v>
      </c>
      <c r="H1925" s="1" t="s">
        <v>1762</v>
      </c>
      <c r="I1925" t="b">
        <f>COUNTIF(Estadísticas!I:I,'centraldecomunicacion.es'!H1925)&gt;0</f>
        <v>0</v>
      </c>
    </row>
    <row r="1926" spans="1:9" hidden="1">
      <c r="A1926" s="1" t="s">
        <v>7715</v>
      </c>
      <c r="B1926" s="1" t="s">
        <v>10</v>
      </c>
      <c r="C1926" s="1" t="s">
        <v>7716</v>
      </c>
      <c r="D1926" s="1" t="s">
        <v>7717</v>
      </c>
      <c r="E1926" s="1" t="s">
        <v>758</v>
      </c>
      <c r="F1926" s="1" t="s">
        <v>30</v>
      </c>
      <c r="G1926" s="1" t="s">
        <v>7718</v>
      </c>
      <c r="H1926" s="1" t="s">
        <v>1762</v>
      </c>
      <c r="I1926" t="b">
        <f>COUNTIF(Estadísticas!I:I,'centraldecomunicacion.es'!H1926)&gt;0</f>
        <v>0</v>
      </c>
    </row>
    <row r="1927" spans="1:9" hidden="1">
      <c r="A1927" s="1" t="s">
        <v>7719</v>
      </c>
      <c r="B1927" s="1" t="s">
        <v>10</v>
      </c>
      <c r="C1927" s="1" t="s">
        <v>7720</v>
      </c>
      <c r="D1927" s="1" t="s">
        <v>7721</v>
      </c>
      <c r="E1927" s="1" t="s">
        <v>758</v>
      </c>
      <c r="F1927" s="1" t="s">
        <v>30</v>
      </c>
      <c r="G1927" s="1" t="s">
        <v>7722</v>
      </c>
      <c r="H1927" s="1" t="s">
        <v>1762</v>
      </c>
      <c r="I1927" t="b">
        <f>COUNTIF(Estadísticas!I:I,'centraldecomunicacion.es'!H1927)&gt;0</f>
        <v>0</v>
      </c>
    </row>
    <row r="1928" spans="1:9" hidden="1">
      <c r="A1928" s="1" t="s">
        <v>7723</v>
      </c>
      <c r="B1928" s="1" t="s">
        <v>10</v>
      </c>
      <c r="C1928" s="1" t="s">
        <v>7724</v>
      </c>
      <c r="D1928" s="1" t="s">
        <v>7725</v>
      </c>
      <c r="E1928" s="1" t="s">
        <v>758</v>
      </c>
      <c r="F1928" s="1" t="s">
        <v>30</v>
      </c>
      <c r="G1928" s="1" t="s">
        <v>7726</v>
      </c>
      <c r="H1928" s="1" t="s">
        <v>1762</v>
      </c>
      <c r="I1928" t="b">
        <f>COUNTIF(Estadísticas!I:I,'centraldecomunicacion.es'!H1928)&gt;0</f>
        <v>0</v>
      </c>
    </row>
    <row r="1929" spans="1:9" hidden="1">
      <c r="A1929" s="1" t="s">
        <v>7727</v>
      </c>
      <c r="B1929" s="1" t="s">
        <v>10</v>
      </c>
      <c r="C1929" s="1" t="s">
        <v>7728</v>
      </c>
      <c r="D1929" s="1" t="s">
        <v>7729</v>
      </c>
      <c r="E1929" s="1" t="s">
        <v>758</v>
      </c>
      <c r="F1929" s="1" t="s">
        <v>30</v>
      </c>
      <c r="G1929" s="1" t="s">
        <v>30</v>
      </c>
      <c r="H1929" s="1" t="s">
        <v>1762</v>
      </c>
      <c r="I1929" t="b">
        <f>COUNTIF(Estadísticas!I:I,'centraldecomunicacion.es'!H1929)&gt;0</f>
        <v>0</v>
      </c>
    </row>
    <row r="1930" spans="1:9" hidden="1">
      <c r="A1930" s="1" t="s">
        <v>7730</v>
      </c>
      <c r="B1930" s="1" t="s">
        <v>10</v>
      </c>
      <c r="C1930" s="1" t="s">
        <v>7731</v>
      </c>
      <c r="D1930" s="1" t="s">
        <v>763</v>
      </c>
      <c r="E1930" s="1" t="s">
        <v>758</v>
      </c>
      <c r="F1930" s="1" t="s">
        <v>30</v>
      </c>
      <c r="G1930" s="1" t="s">
        <v>30</v>
      </c>
      <c r="H1930" s="1" t="s">
        <v>1762</v>
      </c>
      <c r="I1930" t="b">
        <f>COUNTIF(Estadísticas!I:I,'centraldecomunicacion.es'!H1930)&gt;0</f>
        <v>0</v>
      </c>
    </row>
    <row r="1931" spans="1:9" hidden="1">
      <c r="A1931" s="1" t="s">
        <v>7732</v>
      </c>
      <c r="B1931" s="1" t="s">
        <v>10</v>
      </c>
      <c r="C1931" s="1" t="s">
        <v>7733</v>
      </c>
      <c r="D1931" s="1" t="s">
        <v>7734</v>
      </c>
      <c r="E1931" s="1" t="s">
        <v>758</v>
      </c>
      <c r="F1931" s="1" t="s">
        <v>30</v>
      </c>
      <c r="G1931" s="1" t="s">
        <v>30</v>
      </c>
      <c r="H1931" s="1" t="s">
        <v>1762</v>
      </c>
      <c r="I1931" t="b">
        <f>COUNTIF(Estadísticas!I:I,'centraldecomunicacion.es'!H1931)&gt;0</f>
        <v>0</v>
      </c>
    </row>
    <row r="1932" spans="1:9">
      <c r="A1932" s="1" t="s">
        <v>767</v>
      </c>
      <c r="B1932" s="1" t="s">
        <v>18</v>
      </c>
      <c r="C1932" s="1" t="s">
        <v>768</v>
      </c>
      <c r="D1932" s="1" t="s">
        <v>769</v>
      </c>
      <c r="E1932" s="1" t="s">
        <v>758</v>
      </c>
      <c r="F1932" s="1" t="s">
        <v>770</v>
      </c>
      <c r="G1932" s="1" t="s">
        <v>771</v>
      </c>
      <c r="H1932" s="1" t="s">
        <v>772</v>
      </c>
      <c r="I1932" t="b">
        <f>COUNTIF(Estadísticas!I:I,'centraldecomunicacion.es'!H1932)&gt;0</f>
        <v>1</v>
      </c>
    </row>
    <row r="1933" spans="1:9" hidden="1">
      <c r="A1933" s="1" t="s">
        <v>7735</v>
      </c>
      <c r="B1933" s="1" t="s">
        <v>10</v>
      </c>
      <c r="C1933" s="1" t="s">
        <v>7736</v>
      </c>
      <c r="D1933" s="1" t="s">
        <v>7737</v>
      </c>
      <c r="E1933" s="1" t="s">
        <v>758</v>
      </c>
      <c r="F1933" s="1" t="s">
        <v>30</v>
      </c>
      <c r="G1933" s="1" t="s">
        <v>7738</v>
      </c>
      <c r="H1933" s="1" t="s">
        <v>1762</v>
      </c>
      <c r="I1933" t="b">
        <f>COUNTIF(Estadísticas!I:I,'centraldecomunicacion.es'!H1933)&gt;0</f>
        <v>0</v>
      </c>
    </row>
    <row r="1934" spans="1:9" hidden="1">
      <c r="A1934" s="1" t="s">
        <v>7739</v>
      </c>
      <c r="B1934" s="1" t="s">
        <v>10</v>
      </c>
      <c r="C1934" s="1" t="s">
        <v>30</v>
      </c>
      <c r="D1934" s="1" t="s">
        <v>763</v>
      </c>
      <c r="E1934" s="1" t="s">
        <v>30</v>
      </c>
      <c r="F1934" s="1" t="s">
        <v>30</v>
      </c>
      <c r="G1934" s="1" t="s">
        <v>7740</v>
      </c>
      <c r="H1934" s="1" t="s">
        <v>1762</v>
      </c>
      <c r="I1934" t="b">
        <f>COUNTIF(Estadísticas!I:I,'centraldecomunicacion.es'!H1934)&gt;0</f>
        <v>0</v>
      </c>
    </row>
    <row r="1935" spans="1:9" hidden="1">
      <c r="A1935" s="1" t="s">
        <v>7741</v>
      </c>
      <c r="B1935" s="1" t="s">
        <v>10</v>
      </c>
      <c r="C1935" s="1" t="s">
        <v>30</v>
      </c>
      <c r="D1935" s="1" t="s">
        <v>763</v>
      </c>
      <c r="E1935" s="1" t="s">
        <v>30</v>
      </c>
      <c r="F1935" s="1" t="s">
        <v>7742</v>
      </c>
      <c r="G1935" s="1" t="s">
        <v>7743</v>
      </c>
      <c r="H1935" s="1" t="s">
        <v>7744</v>
      </c>
      <c r="I1935" t="b">
        <f>COUNTIF(Estadísticas!I:I,'centraldecomunicacion.es'!H1935)&gt;0</f>
        <v>0</v>
      </c>
    </row>
    <row r="1936" spans="1:9" hidden="1">
      <c r="A1936" s="1" t="s">
        <v>7745</v>
      </c>
      <c r="B1936" s="1" t="s">
        <v>10</v>
      </c>
      <c r="C1936" s="1" t="s">
        <v>7746</v>
      </c>
      <c r="D1936" s="1" t="s">
        <v>7747</v>
      </c>
      <c r="E1936" s="1" t="s">
        <v>1237</v>
      </c>
      <c r="F1936" s="1" t="s">
        <v>30</v>
      </c>
      <c r="G1936" s="1" t="s">
        <v>7748</v>
      </c>
      <c r="H1936" s="1" t="s">
        <v>1762</v>
      </c>
      <c r="I1936" t="b">
        <f>COUNTIF(Estadísticas!I:I,'centraldecomunicacion.es'!H1936)&gt;0</f>
        <v>0</v>
      </c>
    </row>
    <row r="1937" spans="1:9" hidden="1">
      <c r="A1937" s="1" t="s">
        <v>7749</v>
      </c>
      <c r="B1937" s="1" t="s">
        <v>10</v>
      </c>
      <c r="C1937" s="1" t="s">
        <v>7750</v>
      </c>
      <c r="D1937" s="1" t="s">
        <v>7665</v>
      </c>
      <c r="E1937" s="1" t="s">
        <v>758</v>
      </c>
      <c r="F1937" s="1" t="s">
        <v>30</v>
      </c>
      <c r="G1937" s="1" t="s">
        <v>7751</v>
      </c>
      <c r="H1937" s="1" t="s">
        <v>1762</v>
      </c>
      <c r="I1937" t="b">
        <f>COUNTIF(Estadísticas!I:I,'centraldecomunicacion.es'!H1937)&gt;0</f>
        <v>0</v>
      </c>
    </row>
    <row r="1938" spans="1:9" hidden="1">
      <c r="A1938" s="1" t="s">
        <v>7752</v>
      </c>
      <c r="B1938" s="1" t="s">
        <v>18</v>
      </c>
      <c r="C1938" s="1" t="s">
        <v>7753</v>
      </c>
      <c r="D1938" s="1" t="s">
        <v>7341</v>
      </c>
      <c r="E1938" s="1" t="s">
        <v>758</v>
      </c>
      <c r="F1938" s="1" t="s">
        <v>30</v>
      </c>
      <c r="G1938" s="1" t="s">
        <v>7754</v>
      </c>
      <c r="H1938" s="1" t="s">
        <v>1762</v>
      </c>
      <c r="I1938" t="b">
        <f>COUNTIF(Estadísticas!I:I,'centraldecomunicacion.es'!H1938)&gt;0</f>
        <v>0</v>
      </c>
    </row>
    <row r="1939" spans="1:9" hidden="1">
      <c r="A1939" s="1" t="s">
        <v>7755</v>
      </c>
      <c r="B1939" s="1" t="s">
        <v>10</v>
      </c>
      <c r="C1939" s="1" t="s">
        <v>7756</v>
      </c>
      <c r="D1939" s="1" t="s">
        <v>7327</v>
      </c>
      <c r="E1939" s="1" t="s">
        <v>685</v>
      </c>
      <c r="F1939" s="1" t="s">
        <v>7757</v>
      </c>
      <c r="G1939" s="1" t="s">
        <v>7758</v>
      </c>
      <c r="H1939" s="1" t="s">
        <v>7759</v>
      </c>
      <c r="I1939" t="b">
        <f>COUNTIF(Estadísticas!I:I,'centraldecomunicacion.es'!H1939)&gt;0</f>
        <v>0</v>
      </c>
    </row>
    <row r="1940" spans="1:9" hidden="1">
      <c r="A1940" s="1" t="s">
        <v>7760</v>
      </c>
      <c r="B1940" s="1" t="s">
        <v>10</v>
      </c>
      <c r="C1940" s="1" t="s">
        <v>30</v>
      </c>
      <c r="D1940" s="1" t="s">
        <v>763</v>
      </c>
      <c r="E1940" s="1" t="s">
        <v>30</v>
      </c>
      <c r="F1940" s="1" t="s">
        <v>1984</v>
      </c>
      <c r="G1940" s="1" t="s">
        <v>7761</v>
      </c>
      <c r="H1940" s="1" t="s">
        <v>1762</v>
      </c>
      <c r="I1940" t="b">
        <f>COUNTIF(Estadísticas!I:I,'centraldecomunicacion.es'!H1940)&gt;0</f>
        <v>0</v>
      </c>
    </row>
    <row r="1941" spans="1:9" hidden="1">
      <c r="A1941" s="1" t="s">
        <v>7762</v>
      </c>
      <c r="B1941" s="1" t="s">
        <v>10</v>
      </c>
      <c r="C1941" s="1" t="s">
        <v>30</v>
      </c>
      <c r="D1941" s="1" t="s">
        <v>763</v>
      </c>
      <c r="E1941" s="1" t="s">
        <v>30</v>
      </c>
      <c r="F1941" s="1" t="s">
        <v>7763</v>
      </c>
      <c r="G1941" s="1" t="s">
        <v>7764</v>
      </c>
      <c r="H1941" s="1" t="s">
        <v>1762</v>
      </c>
      <c r="I1941" t="b">
        <f>COUNTIF(Estadísticas!I:I,'centraldecomunicacion.es'!H1941)&gt;0</f>
        <v>0</v>
      </c>
    </row>
    <row r="1942" spans="1:9" hidden="1">
      <c r="A1942" s="1" t="s">
        <v>7765</v>
      </c>
      <c r="B1942" s="1" t="s">
        <v>18</v>
      </c>
      <c r="C1942" s="1" t="s">
        <v>7766</v>
      </c>
      <c r="D1942" s="1" t="s">
        <v>7767</v>
      </c>
      <c r="E1942" s="1" t="s">
        <v>926</v>
      </c>
      <c r="F1942" s="1" t="s">
        <v>30</v>
      </c>
      <c r="G1942" s="1" t="s">
        <v>7768</v>
      </c>
      <c r="H1942" s="1" t="s">
        <v>1762</v>
      </c>
      <c r="I1942" t="b">
        <f>COUNTIF(Estadísticas!I:I,'centraldecomunicacion.es'!H1942)&gt;0</f>
        <v>0</v>
      </c>
    </row>
    <row r="1943" spans="1:9" hidden="1">
      <c r="A1943" s="1" t="s">
        <v>7769</v>
      </c>
      <c r="B1943" s="1" t="s">
        <v>10</v>
      </c>
      <c r="C1943" s="1" t="s">
        <v>7770</v>
      </c>
      <c r="D1943" s="1" t="s">
        <v>1237</v>
      </c>
      <c r="E1943" s="1" t="s">
        <v>1237</v>
      </c>
      <c r="F1943" s="1" t="s">
        <v>7771</v>
      </c>
      <c r="G1943" s="1" t="s">
        <v>7772</v>
      </c>
      <c r="H1943" s="1" t="s">
        <v>7773</v>
      </c>
      <c r="I1943" t="b">
        <f>COUNTIF(Estadísticas!I:I,'centraldecomunicacion.es'!H1943)&gt;0</f>
        <v>0</v>
      </c>
    </row>
    <row r="1944" spans="1:9">
      <c r="A1944" s="1" t="s">
        <v>773</v>
      </c>
      <c r="B1944" s="1" t="s">
        <v>10</v>
      </c>
      <c r="C1944" s="1" t="s">
        <v>30</v>
      </c>
      <c r="D1944" s="1" t="s">
        <v>763</v>
      </c>
      <c r="E1944" s="1" t="s">
        <v>30</v>
      </c>
      <c r="F1944" s="1" t="s">
        <v>774</v>
      </c>
      <c r="G1944" s="1" t="s">
        <v>775</v>
      </c>
      <c r="H1944" s="1" t="s">
        <v>776</v>
      </c>
      <c r="I1944" t="b">
        <f>COUNTIF(Estadísticas!I:I,'centraldecomunicacion.es'!H1944)&gt;0</f>
        <v>1</v>
      </c>
    </row>
    <row r="1945" spans="1:9" hidden="1">
      <c r="A1945" s="1" t="s">
        <v>7774</v>
      </c>
      <c r="B1945" s="1" t="s">
        <v>10</v>
      </c>
      <c r="C1945" s="1" t="s">
        <v>30</v>
      </c>
      <c r="D1945" s="1" t="s">
        <v>763</v>
      </c>
      <c r="E1945" s="1" t="s">
        <v>30</v>
      </c>
      <c r="F1945" s="1" t="s">
        <v>7775</v>
      </c>
      <c r="G1945" s="1" t="s">
        <v>7776</v>
      </c>
      <c r="H1945" s="1" t="s">
        <v>1762</v>
      </c>
      <c r="I1945" t="b">
        <f>COUNTIF(Estadísticas!I:I,'centraldecomunicacion.es'!H1945)&gt;0</f>
        <v>0</v>
      </c>
    </row>
    <row r="1946" spans="1:9">
      <c r="A1946" s="1" t="s">
        <v>777</v>
      </c>
      <c r="B1946" s="1" t="s">
        <v>10</v>
      </c>
      <c r="C1946" s="1" t="s">
        <v>30</v>
      </c>
      <c r="D1946" s="1" t="s">
        <v>763</v>
      </c>
      <c r="E1946" s="1" t="s">
        <v>30</v>
      </c>
      <c r="F1946" s="1" t="s">
        <v>778</v>
      </c>
      <c r="G1946" s="1" t="s">
        <v>779</v>
      </c>
      <c r="H1946" s="1" t="s">
        <v>780</v>
      </c>
      <c r="I1946" t="b">
        <f>COUNTIF(Estadísticas!I:I,'centraldecomunicacion.es'!H1946)&gt;0</f>
        <v>1</v>
      </c>
    </row>
    <row r="1947" spans="1:9" hidden="1">
      <c r="A1947" s="1" t="s">
        <v>7777</v>
      </c>
      <c r="B1947" s="1" t="s">
        <v>10</v>
      </c>
      <c r="C1947" s="1" t="s">
        <v>7778</v>
      </c>
      <c r="D1947" s="1" t="s">
        <v>7697</v>
      </c>
      <c r="E1947" s="1" t="s">
        <v>758</v>
      </c>
      <c r="F1947" s="1" t="s">
        <v>30</v>
      </c>
      <c r="G1947" s="1" t="s">
        <v>30</v>
      </c>
      <c r="H1947" s="1" t="s">
        <v>1762</v>
      </c>
      <c r="I1947" t="b">
        <f>COUNTIF(Estadísticas!I:I,'centraldecomunicacion.es'!H1947)&gt;0</f>
        <v>0</v>
      </c>
    </row>
    <row r="1948" spans="1:9" hidden="1">
      <c r="A1948" s="1" t="s">
        <v>7779</v>
      </c>
      <c r="B1948" s="1" t="s">
        <v>10</v>
      </c>
      <c r="C1948" s="1" t="s">
        <v>7780</v>
      </c>
      <c r="D1948" s="1" t="s">
        <v>7327</v>
      </c>
      <c r="E1948" s="1" t="s">
        <v>685</v>
      </c>
      <c r="F1948" s="1" t="s">
        <v>30</v>
      </c>
      <c r="G1948" s="1" t="s">
        <v>7781</v>
      </c>
      <c r="H1948" s="1" t="s">
        <v>1762</v>
      </c>
      <c r="I1948" t="b">
        <f>COUNTIF(Estadísticas!I:I,'centraldecomunicacion.es'!H1948)&gt;0</f>
        <v>0</v>
      </c>
    </row>
    <row r="1949" spans="1:9" hidden="1">
      <c r="A1949" s="1" t="s">
        <v>7782</v>
      </c>
      <c r="B1949" s="1" t="s">
        <v>10</v>
      </c>
      <c r="C1949" s="1" t="s">
        <v>30</v>
      </c>
      <c r="D1949" s="1" t="s">
        <v>763</v>
      </c>
      <c r="E1949" s="1" t="s">
        <v>30</v>
      </c>
      <c r="F1949" s="1" t="s">
        <v>7783</v>
      </c>
      <c r="G1949" s="1" t="s">
        <v>7784</v>
      </c>
      <c r="H1949" s="1" t="s">
        <v>7785</v>
      </c>
      <c r="I1949" t="b">
        <f>COUNTIF(Estadísticas!I:I,'centraldecomunicacion.es'!H1949)&gt;0</f>
        <v>0</v>
      </c>
    </row>
    <row r="1950" spans="1:9" hidden="1">
      <c r="A1950" s="1" t="s">
        <v>7786</v>
      </c>
      <c r="B1950" s="1" t="s">
        <v>10</v>
      </c>
      <c r="C1950" s="1" t="s">
        <v>30</v>
      </c>
      <c r="D1950" s="1" t="s">
        <v>763</v>
      </c>
      <c r="E1950" s="1" t="s">
        <v>30</v>
      </c>
      <c r="F1950" s="1" t="s">
        <v>7787</v>
      </c>
      <c r="G1950" s="1" t="s">
        <v>7788</v>
      </c>
      <c r="H1950" s="1" t="s">
        <v>7789</v>
      </c>
      <c r="I1950" t="b">
        <f>COUNTIF(Estadísticas!I:I,'centraldecomunicacion.es'!H1950)&gt;0</f>
        <v>0</v>
      </c>
    </row>
    <row r="1951" spans="1:9" hidden="1">
      <c r="A1951" s="1" t="s">
        <v>7790</v>
      </c>
      <c r="B1951" s="1" t="s">
        <v>10</v>
      </c>
      <c r="C1951" s="1" t="s">
        <v>30</v>
      </c>
      <c r="D1951" s="1" t="s">
        <v>763</v>
      </c>
      <c r="E1951" s="1" t="s">
        <v>30</v>
      </c>
      <c r="F1951" s="1" t="s">
        <v>1984</v>
      </c>
      <c r="G1951" s="1" t="s">
        <v>7791</v>
      </c>
      <c r="H1951" s="1" t="s">
        <v>1762</v>
      </c>
      <c r="I1951" t="b">
        <f>COUNTIF(Estadísticas!I:I,'centraldecomunicacion.es'!H1951)&gt;0</f>
        <v>0</v>
      </c>
    </row>
    <row r="1952" spans="1:9" hidden="1">
      <c r="A1952" s="1" t="s">
        <v>7792</v>
      </c>
      <c r="B1952" s="1" t="s">
        <v>10</v>
      </c>
      <c r="C1952" s="1" t="s">
        <v>7793</v>
      </c>
      <c r="D1952" s="1" t="s">
        <v>7794</v>
      </c>
      <c r="E1952" s="1" t="s">
        <v>789</v>
      </c>
      <c r="F1952" s="1" t="s">
        <v>30</v>
      </c>
      <c r="G1952" s="1" t="s">
        <v>7795</v>
      </c>
      <c r="H1952" s="1" t="s">
        <v>1762</v>
      </c>
      <c r="I1952" t="b">
        <f>COUNTIF(Estadísticas!I:I,'centraldecomunicacion.es'!H1952)&gt;0</f>
        <v>0</v>
      </c>
    </row>
    <row r="1953" spans="1:9" hidden="1">
      <c r="A1953" s="1" t="s">
        <v>7796</v>
      </c>
      <c r="B1953" s="1" t="s">
        <v>10</v>
      </c>
      <c r="C1953" s="1" t="s">
        <v>30</v>
      </c>
      <c r="D1953" s="1" t="s">
        <v>763</v>
      </c>
      <c r="E1953" s="1" t="s">
        <v>30</v>
      </c>
      <c r="F1953" s="1" t="s">
        <v>7797</v>
      </c>
      <c r="G1953" s="1" t="s">
        <v>30</v>
      </c>
      <c r="H1953" s="1" t="s">
        <v>7798</v>
      </c>
      <c r="I1953" t="b">
        <f>COUNTIF(Estadísticas!I:I,'centraldecomunicacion.es'!H1953)&gt;0</f>
        <v>0</v>
      </c>
    </row>
    <row r="1954" spans="1:9" hidden="1">
      <c r="A1954" s="1" t="s">
        <v>7799</v>
      </c>
      <c r="B1954" s="1" t="s">
        <v>10</v>
      </c>
      <c r="C1954" s="1" t="s">
        <v>7800</v>
      </c>
      <c r="D1954" s="1" t="s">
        <v>7276</v>
      </c>
      <c r="E1954" s="1" t="s">
        <v>685</v>
      </c>
      <c r="F1954" s="1" t="s">
        <v>30</v>
      </c>
      <c r="G1954" s="1" t="s">
        <v>7801</v>
      </c>
      <c r="H1954" s="1" t="s">
        <v>1762</v>
      </c>
      <c r="I1954" t="b">
        <f>COUNTIF(Estadísticas!I:I,'centraldecomunicacion.es'!H1954)&gt;0</f>
        <v>0</v>
      </c>
    </row>
    <row r="1955" spans="1:9" hidden="1">
      <c r="A1955" s="1" t="s">
        <v>7802</v>
      </c>
      <c r="B1955" s="1" t="s">
        <v>10</v>
      </c>
      <c r="C1955" s="1" t="s">
        <v>7803</v>
      </c>
      <c r="D1955" s="1" t="s">
        <v>789</v>
      </c>
      <c r="E1955" s="1" t="s">
        <v>789</v>
      </c>
      <c r="F1955" s="1" t="s">
        <v>30</v>
      </c>
      <c r="G1955" s="1" t="s">
        <v>7804</v>
      </c>
      <c r="H1955" s="1" t="s">
        <v>1762</v>
      </c>
      <c r="I1955" t="b">
        <f>COUNTIF(Estadísticas!I:I,'centraldecomunicacion.es'!H1955)&gt;0</f>
        <v>0</v>
      </c>
    </row>
    <row r="1956" spans="1:9" hidden="1">
      <c r="A1956" s="1" t="s">
        <v>7805</v>
      </c>
      <c r="B1956" s="1" t="s">
        <v>10</v>
      </c>
      <c r="C1956" s="1" t="s">
        <v>7806</v>
      </c>
      <c r="D1956" s="1" t="s">
        <v>789</v>
      </c>
      <c r="E1956" s="1" t="s">
        <v>789</v>
      </c>
      <c r="F1956" s="1" t="s">
        <v>30</v>
      </c>
      <c r="G1956" s="1" t="s">
        <v>7807</v>
      </c>
      <c r="H1956" s="1" t="s">
        <v>1762</v>
      </c>
      <c r="I1956" t="b">
        <f>COUNTIF(Estadísticas!I:I,'centraldecomunicacion.es'!H1956)&gt;0</f>
        <v>0</v>
      </c>
    </row>
    <row r="1957" spans="1:9" hidden="1">
      <c r="A1957" s="1" t="s">
        <v>7808</v>
      </c>
      <c r="B1957" s="1" t="s">
        <v>18</v>
      </c>
      <c r="C1957" s="1" t="s">
        <v>7809</v>
      </c>
      <c r="D1957" s="1" t="s">
        <v>789</v>
      </c>
      <c r="E1957" s="1" t="s">
        <v>789</v>
      </c>
      <c r="F1957" s="1" t="s">
        <v>7810</v>
      </c>
      <c r="G1957" s="1" t="s">
        <v>7811</v>
      </c>
      <c r="H1957" s="1" t="s">
        <v>7812</v>
      </c>
      <c r="I1957" t="b">
        <f>COUNTIF(Estadísticas!I:I,'centraldecomunicacion.es'!H1957)&gt;0</f>
        <v>0</v>
      </c>
    </row>
    <row r="1958" spans="1:9" hidden="1">
      <c r="A1958" s="1" t="s">
        <v>7813</v>
      </c>
      <c r="B1958" s="1" t="s">
        <v>10</v>
      </c>
      <c r="C1958" s="1" t="s">
        <v>7814</v>
      </c>
      <c r="D1958" s="1" t="s">
        <v>789</v>
      </c>
      <c r="E1958" s="1" t="s">
        <v>789</v>
      </c>
      <c r="F1958" s="1" t="s">
        <v>7815</v>
      </c>
      <c r="G1958" s="1" t="s">
        <v>7816</v>
      </c>
      <c r="H1958" s="1" t="s">
        <v>1762</v>
      </c>
      <c r="I1958" t="b">
        <f>COUNTIF(Estadísticas!I:I,'centraldecomunicacion.es'!H1958)&gt;0</f>
        <v>0</v>
      </c>
    </row>
    <row r="1959" spans="1:9" hidden="1">
      <c r="A1959" s="1" t="s">
        <v>7817</v>
      </c>
      <c r="B1959" s="1" t="s">
        <v>10</v>
      </c>
      <c r="C1959" s="1" t="s">
        <v>7818</v>
      </c>
      <c r="D1959" s="1" t="s">
        <v>789</v>
      </c>
      <c r="E1959" s="1" t="s">
        <v>789</v>
      </c>
      <c r="F1959" s="1" t="s">
        <v>30</v>
      </c>
      <c r="G1959" s="1" t="s">
        <v>7804</v>
      </c>
      <c r="H1959" s="1" t="s">
        <v>1762</v>
      </c>
      <c r="I1959" t="b">
        <f>COUNTIF(Estadísticas!I:I,'centraldecomunicacion.es'!H1959)&gt;0</f>
        <v>0</v>
      </c>
    </row>
    <row r="1960" spans="1:9" hidden="1">
      <c r="A1960" s="1" t="s">
        <v>7819</v>
      </c>
      <c r="B1960" s="1" t="s">
        <v>10</v>
      </c>
      <c r="C1960" s="1" t="s">
        <v>7820</v>
      </c>
      <c r="D1960" s="1" t="s">
        <v>789</v>
      </c>
      <c r="E1960" s="1" t="s">
        <v>789</v>
      </c>
      <c r="F1960" s="1" t="s">
        <v>30</v>
      </c>
      <c r="G1960" s="1" t="s">
        <v>7821</v>
      </c>
      <c r="H1960" s="1" t="s">
        <v>1762</v>
      </c>
      <c r="I1960" t="b">
        <f>COUNTIF(Estadísticas!I:I,'centraldecomunicacion.es'!H1960)&gt;0</f>
        <v>0</v>
      </c>
    </row>
    <row r="1961" spans="1:9" hidden="1">
      <c r="A1961" s="1" t="s">
        <v>7822</v>
      </c>
      <c r="B1961" s="1" t="s">
        <v>10</v>
      </c>
      <c r="C1961" s="1" t="s">
        <v>7823</v>
      </c>
      <c r="D1961" s="1" t="s">
        <v>789</v>
      </c>
      <c r="E1961" s="1" t="s">
        <v>789</v>
      </c>
      <c r="F1961" s="1" t="s">
        <v>7824</v>
      </c>
      <c r="G1961" s="1" t="s">
        <v>7825</v>
      </c>
      <c r="H1961" s="1" t="s">
        <v>1762</v>
      </c>
      <c r="I1961" t="b">
        <f>COUNTIF(Estadísticas!I:I,'centraldecomunicacion.es'!H1961)&gt;0</f>
        <v>0</v>
      </c>
    </row>
    <row r="1962" spans="1:9" hidden="1">
      <c r="A1962" s="1" t="s">
        <v>7826</v>
      </c>
      <c r="B1962" s="1" t="s">
        <v>10</v>
      </c>
      <c r="C1962" s="1" t="s">
        <v>7827</v>
      </c>
      <c r="D1962" s="1" t="s">
        <v>789</v>
      </c>
      <c r="E1962" s="1" t="s">
        <v>789</v>
      </c>
      <c r="F1962" s="1" t="s">
        <v>2692</v>
      </c>
      <c r="G1962" s="1" t="s">
        <v>7828</v>
      </c>
      <c r="H1962" s="1" t="s">
        <v>1762</v>
      </c>
      <c r="I1962" t="b">
        <f>COUNTIF(Estadísticas!I:I,'centraldecomunicacion.es'!H1962)&gt;0</f>
        <v>0</v>
      </c>
    </row>
    <row r="1963" spans="1:9" hidden="1">
      <c r="A1963" s="1" t="s">
        <v>7829</v>
      </c>
      <c r="B1963" s="1" t="s">
        <v>10</v>
      </c>
      <c r="C1963" s="1" t="s">
        <v>7830</v>
      </c>
      <c r="D1963" s="1" t="s">
        <v>789</v>
      </c>
      <c r="E1963" s="1" t="s">
        <v>789</v>
      </c>
      <c r="F1963" s="1" t="s">
        <v>7831</v>
      </c>
      <c r="G1963" s="1" t="s">
        <v>7832</v>
      </c>
      <c r="H1963" s="1" t="s">
        <v>7833</v>
      </c>
      <c r="I1963" t="b">
        <f>COUNTIF(Estadísticas!I:I,'centraldecomunicacion.es'!H1963)&gt;0</f>
        <v>0</v>
      </c>
    </row>
    <row r="1964" spans="1:9" hidden="1">
      <c r="A1964" s="1" t="s">
        <v>7834</v>
      </c>
      <c r="B1964" s="1" t="s">
        <v>18</v>
      </c>
      <c r="C1964" s="1" t="s">
        <v>7835</v>
      </c>
      <c r="D1964" s="1" t="s">
        <v>7836</v>
      </c>
      <c r="E1964" s="1" t="s">
        <v>789</v>
      </c>
      <c r="F1964" s="1" t="s">
        <v>30</v>
      </c>
      <c r="G1964" s="1" t="s">
        <v>30</v>
      </c>
      <c r="H1964" s="1" t="s">
        <v>1762</v>
      </c>
      <c r="I1964" t="b">
        <f>COUNTIF(Estadísticas!I:I,'centraldecomunicacion.es'!H1964)&gt;0</f>
        <v>0</v>
      </c>
    </row>
    <row r="1965" spans="1:9" hidden="1">
      <c r="A1965" s="1" t="s">
        <v>7837</v>
      </c>
      <c r="B1965" s="1" t="s">
        <v>18</v>
      </c>
      <c r="C1965" s="1" t="s">
        <v>7838</v>
      </c>
      <c r="D1965" s="1" t="s">
        <v>789</v>
      </c>
      <c r="E1965" s="1" t="s">
        <v>789</v>
      </c>
      <c r="F1965" s="1" t="s">
        <v>7839</v>
      </c>
      <c r="G1965" s="1" t="s">
        <v>7840</v>
      </c>
      <c r="H1965" s="1" t="s">
        <v>5696</v>
      </c>
      <c r="I1965" t="b">
        <f>COUNTIF(Estadísticas!I:I,'centraldecomunicacion.es'!H1965)&gt;0</f>
        <v>0</v>
      </c>
    </row>
    <row r="1966" spans="1:9" hidden="1">
      <c r="A1966" s="1" t="s">
        <v>7841</v>
      </c>
      <c r="B1966" s="1" t="s">
        <v>18</v>
      </c>
      <c r="C1966" s="1" t="s">
        <v>7842</v>
      </c>
      <c r="D1966" s="1" t="s">
        <v>789</v>
      </c>
      <c r="E1966" s="1" t="s">
        <v>789</v>
      </c>
      <c r="F1966" s="1" t="s">
        <v>30</v>
      </c>
      <c r="G1966" s="1" t="s">
        <v>7843</v>
      </c>
      <c r="H1966" s="1" t="s">
        <v>1762</v>
      </c>
      <c r="I1966" t="b">
        <f>COUNTIF(Estadísticas!I:I,'centraldecomunicacion.es'!H1966)&gt;0</f>
        <v>0</v>
      </c>
    </row>
    <row r="1967" spans="1:9" hidden="1">
      <c r="A1967" s="1" t="s">
        <v>7844</v>
      </c>
      <c r="B1967" s="1" t="s">
        <v>18</v>
      </c>
      <c r="C1967" s="1" t="s">
        <v>7845</v>
      </c>
      <c r="D1967" s="1" t="s">
        <v>789</v>
      </c>
      <c r="E1967" s="1" t="s">
        <v>789</v>
      </c>
      <c r="F1967" s="1" t="s">
        <v>7846</v>
      </c>
      <c r="G1967" s="1" t="s">
        <v>7847</v>
      </c>
      <c r="H1967" s="1" t="s">
        <v>7848</v>
      </c>
      <c r="I1967" t="b">
        <f>COUNTIF(Estadísticas!I:I,'centraldecomunicacion.es'!H1967)&gt;0</f>
        <v>0</v>
      </c>
    </row>
    <row r="1968" spans="1:9" hidden="1">
      <c r="A1968" s="1" t="s">
        <v>7849</v>
      </c>
      <c r="B1968" s="1" t="s">
        <v>10</v>
      </c>
      <c r="C1968" s="1" t="s">
        <v>30</v>
      </c>
      <c r="D1968" s="1" t="s">
        <v>782</v>
      </c>
      <c r="E1968" s="1" t="s">
        <v>30</v>
      </c>
      <c r="F1968" s="1" t="s">
        <v>7850</v>
      </c>
      <c r="G1968" s="1" t="s">
        <v>7832</v>
      </c>
      <c r="H1968" s="1" t="s">
        <v>1762</v>
      </c>
      <c r="I1968" t="b">
        <f>COUNTIF(Estadísticas!I:I,'centraldecomunicacion.es'!H1968)&gt;0</f>
        <v>0</v>
      </c>
    </row>
    <row r="1969" spans="1:9">
      <c r="A1969" s="1" t="s">
        <v>781</v>
      </c>
      <c r="B1969" s="1" t="s">
        <v>10</v>
      </c>
      <c r="C1969" s="1" t="s">
        <v>30</v>
      </c>
      <c r="D1969" s="1" t="s">
        <v>782</v>
      </c>
      <c r="E1969" s="1" t="s">
        <v>30</v>
      </c>
      <c r="F1969" s="1" t="s">
        <v>783</v>
      </c>
      <c r="G1969" s="1" t="s">
        <v>784</v>
      </c>
      <c r="H1969" s="1" t="s">
        <v>785</v>
      </c>
      <c r="I1969" t="b">
        <f>COUNTIF(Estadísticas!I:I,'centraldecomunicacion.es'!H1969)&gt;0</f>
        <v>1</v>
      </c>
    </row>
    <row r="1970" spans="1:9" hidden="1">
      <c r="A1970" s="1" t="s">
        <v>7851</v>
      </c>
      <c r="B1970" s="1" t="s">
        <v>10</v>
      </c>
      <c r="C1970" s="1" t="s">
        <v>7852</v>
      </c>
      <c r="D1970" s="1" t="s">
        <v>789</v>
      </c>
      <c r="E1970" s="1" t="s">
        <v>789</v>
      </c>
      <c r="F1970" s="1" t="s">
        <v>7853</v>
      </c>
      <c r="G1970" s="1" t="s">
        <v>7854</v>
      </c>
      <c r="H1970" s="1" t="s">
        <v>1762</v>
      </c>
      <c r="I1970" t="b">
        <f>COUNTIF(Estadísticas!I:I,'centraldecomunicacion.es'!H1970)&gt;0</f>
        <v>0</v>
      </c>
    </row>
    <row r="1971" spans="1:9" hidden="1">
      <c r="A1971" s="1" t="s">
        <v>7855</v>
      </c>
      <c r="B1971" s="1" t="s">
        <v>10</v>
      </c>
      <c r="C1971" s="1" t="s">
        <v>7856</v>
      </c>
      <c r="D1971" s="1" t="s">
        <v>7857</v>
      </c>
      <c r="E1971" s="1" t="s">
        <v>789</v>
      </c>
      <c r="F1971" s="1" t="s">
        <v>30</v>
      </c>
      <c r="G1971" s="1" t="s">
        <v>7858</v>
      </c>
      <c r="H1971" s="1" t="s">
        <v>1762</v>
      </c>
      <c r="I1971" t="b">
        <f>COUNTIF(Estadísticas!I:I,'centraldecomunicacion.es'!H1971)&gt;0</f>
        <v>0</v>
      </c>
    </row>
    <row r="1972" spans="1:9">
      <c r="A1972" s="1" t="s">
        <v>786</v>
      </c>
      <c r="B1972" s="1" t="s">
        <v>10</v>
      </c>
      <c r="C1972" s="1" t="s">
        <v>787</v>
      </c>
      <c r="D1972" s="1" t="s">
        <v>788</v>
      </c>
      <c r="E1972" s="1" t="s">
        <v>789</v>
      </c>
      <c r="F1972" s="1" t="s">
        <v>790</v>
      </c>
      <c r="G1972" s="1" t="s">
        <v>791</v>
      </c>
      <c r="H1972" s="1" t="s">
        <v>792</v>
      </c>
      <c r="I1972" t="b">
        <f>COUNTIF(Estadísticas!I:I,'centraldecomunicacion.es'!H1972)&gt;0</f>
        <v>1</v>
      </c>
    </row>
    <row r="1973" spans="1:9" hidden="1">
      <c r="A1973" s="1" t="s">
        <v>7859</v>
      </c>
      <c r="B1973" s="1" t="s">
        <v>10</v>
      </c>
      <c r="C1973" s="1" t="s">
        <v>7860</v>
      </c>
      <c r="D1973" s="1" t="s">
        <v>7857</v>
      </c>
      <c r="E1973" s="1" t="s">
        <v>789</v>
      </c>
      <c r="F1973" s="1" t="s">
        <v>30</v>
      </c>
      <c r="G1973" s="1" t="s">
        <v>7861</v>
      </c>
      <c r="H1973" s="1" t="s">
        <v>1762</v>
      </c>
      <c r="I1973" t="b">
        <f>COUNTIF(Estadísticas!I:I,'centraldecomunicacion.es'!H1973)&gt;0</f>
        <v>0</v>
      </c>
    </row>
    <row r="1974" spans="1:9" hidden="1">
      <c r="A1974" s="1" t="s">
        <v>7862</v>
      </c>
      <c r="B1974" s="1" t="s">
        <v>10</v>
      </c>
      <c r="C1974" s="1" t="s">
        <v>7863</v>
      </c>
      <c r="D1974" s="1" t="s">
        <v>7836</v>
      </c>
      <c r="E1974" s="1" t="s">
        <v>789</v>
      </c>
      <c r="F1974" s="1" t="s">
        <v>30</v>
      </c>
      <c r="G1974" s="1" t="s">
        <v>7864</v>
      </c>
      <c r="H1974" s="1" t="s">
        <v>1762</v>
      </c>
      <c r="I1974" t="b">
        <f>COUNTIF(Estadísticas!I:I,'centraldecomunicacion.es'!H1974)&gt;0</f>
        <v>0</v>
      </c>
    </row>
    <row r="1975" spans="1:9" hidden="1">
      <c r="A1975" s="1" t="s">
        <v>7865</v>
      </c>
      <c r="B1975" s="1" t="s">
        <v>10</v>
      </c>
      <c r="C1975" s="1" t="s">
        <v>7866</v>
      </c>
      <c r="D1975" s="1" t="s">
        <v>7867</v>
      </c>
      <c r="E1975" s="1" t="s">
        <v>789</v>
      </c>
      <c r="F1975" s="1" t="s">
        <v>30</v>
      </c>
      <c r="G1975" s="1" t="s">
        <v>7868</v>
      </c>
      <c r="H1975" s="1" t="s">
        <v>1762</v>
      </c>
      <c r="I1975" t="b">
        <f>COUNTIF(Estadísticas!I:I,'centraldecomunicacion.es'!H1975)&gt;0</f>
        <v>0</v>
      </c>
    </row>
    <row r="1976" spans="1:9" hidden="1">
      <c r="A1976" s="1" t="s">
        <v>7869</v>
      </c>
      <c r="B1976" s="1" t="s">
        <v>18</v>
      </c>
      <c r="C1976" s="1" t="s">
        <v>7870</v>
      </c>
      <c r="D1976" s="1" t="s">
        <v>789</v>
      </c>
      <c r="E1976" s="1" t="s">
        <v>789</v>
      </c>
      <c r="F1976" s="1" t="s">
        <v>30</v>
      </c>
      <c r="G1976" s="1" t="s">
        <v>7871</v>
      </c>
      <c r="H1976" s="1" t="s">
        <v>1762</v>
      </c>
      <c r="I1976" t="b">
        <f>COUNTIF(Estadísticas!I:I,'centraldecomunicacion.es'!H1976)&gt;0</f>
        <v>0</v>
      </c>
    </row>
    <row r="1977" spans="1:9" hidden="1">
      <c r="A1977" s="1" t="s">
        <v>7872</v>
      </c>
      <c r="B1977" s="1" t="s">
        <v>10</v>
      </c>
      <c r="C1977" s="1" t="s">
        <v>7873</v>
      </c>
      <c r="D1977" s="1" t="s">
        <v>7857</v>
      </c>
      <c r="E1977" s="1" t="s">
        <v>789</v>
      </c>
      <c r="F1977" s="1" t="s">
        <v>30</v>
      </c>
      <c r="G1977" s="1" t="s">
        <v>7874</v>
      </c>
      <c r="H1977" s="1" t="s">
        <v>1762</v>
      </c>
      <c r="I1977" t="b">
        <f>COUNTIF(Estadísticas!I:I,'centraldecomunicacion.es'!H1977)&gt;0</f>
        <v>0</v>
      </c>
    </row>
    <row r="1978" spans="1:9" hidden="1">
      <c r="A1978" s="1" t="s">
        <v>7875</v>
      </c>
      <c r="B1978" s="1" t="s">
        <v>18</v>
      </c>
      <c r="C1978" s="1" t="s">
        <v>7876</v>
      </c>
      <c r="D1978" s="1" t="s">
        <v>7794</v>
      </c>
      <c r="E1978" s="1" t="s">
        <v>789</v>
      </c>
      <c r="F1978" s="1" t="s">
        <v>7877</v>
      </c>
      <c r="G1978" s="1" t="s">
        <v>7878</v>
      </c>
      <c r="H1978" s="1" t="s">
        <v>7879</v>
      </c>
      <c r="I1978" t="b">
        <f>COUNTIF(Estadísticas!I:I,'centraldecomunicacion.es'!H1978)&gt;0</f>
        <v>0</v>
      </c>
    </row>
    <row r="1979" spans="1:9" hidden="1">
      <c r="A1979" s="1" t="s">
        <v>7880</v>
      </c>
      <c r="B1979" s="1" t="s">
        <v>10</v>
      </c>
      <c r="C1979" s="1" t="s">
        <v>30</v>
      </c>
      <c r="D1979" s="1" t="s">
        <v>782</v>
      </c>
      <c r="E1979" s="1" t="s">
        <v>30</v>
      </c>
      <c r="F1979" s="1" t="s">
        <v>7881</v>
      </c>
      <c r="G1979" s="1" t="s">
        <v>7882</v>
      </c>
      <c r="H1979" s="1" t="s">
        <v>7883</v>
      </c>
      <c r="I1979" t="b">
        <f>COUNTIF(Estadísticas!I:I,'centraldecomunicacion.es'!H1979)&gt;0</f>
        <v>0</v>
      </c>
    </row>
    <row r="1980" spans="1:9" hidden="1">
      <c r="A1980" s="1" t="s">
        <v>3055</v>
      </c>
      <c r="B1980" s="1" t="s">
        <v>10</v>
      </c>
      <c r="C1980" s="1" t="s">
        <v>7884</v>
      </c>
      <c r="D1980" s="1" t="s">
        <v>7794</v>
      </c>
      <c r="E1980" s="1" t="s">
        <v>789</v>
      </c>
      <c r="F1980" s="1" t="s">
        <v>30</v>
      </c>
      <c r="G1980" s="1" t="s">
        <v>30</v>
      </c>
      <c r="H1980" s="1" t="s">
        <v>1762</v>
      </c>
      <c r="I1980" t="b">
        <f>COUNTIF(Estadísticas!I:I,'centraldecomunicacion.es'!H1980)&gt;0</f>
        <v>0</v>
      </c>
    </row>
    <row r="1981" spans="1:9" hidden="1">
      <c r="A1981" s="1" t="s">
        <v>7885</v>
      </c>
      <c r="B1981" s="1" t="s">
        <v>10</v>
      </c>
      <c r="C1981" s="1" t="s">
        <v>7886</v>
      </c>
      <c r="D1981" s="1" t="s">
        <v>7887</v>
      </c>
      <c r="E1981" s="1" t="s">
        <v>789</v>
      </c>
      <c r="F1981" s="1" t="s">
        <v>7888</v>
      </c>
      <c r="G1981" s="1" t="s">
        <v>7889</v>
      </c>
      <c r="H1981" s="1" t="s">
        <v>1762</v>
      </c>
      <c r="I1981" t="b">
        <f>COUNTIF(Estadísticas!I:I,'centraldecomunicacion.es'!H1981)&gt;0</f>
        <v>0</v>
      </c>
    </row>
    <row r="1982" spans="1:9" hidden="1">
      <c r="A1982" s="1" t="s">
        <v>7890</v>
      </c>
      <c r="B1982" s="1" t="s">
        <v>10</v>
      </c>
      <c r="C1982" s="1" t="s">
        <v>7891</v>
      </c>
      <c r="D1982" s="1" t="s">
        <v>7892</v>
      </c>
      <c r="E1982" s="1" t="s">
        <v>789</v>
      </c>
      <c r="F1982" s="1" t="s">
        <v>30</v>
      </c>
      <c r="G1982" s="1" t="s">
        <v>30</v>
      </c>
      <c r="H1982" s="1" t="s">
        <v>1762</v>
      </c>
      <c r="I1982" t="b">
        <f>COUNTIF(Estadísticas!I:I,'centraldecomunicacion.es'!H1982)&gt;0</f>
        <v>0</v>
      </c>
    </row>
    <row r="1983" spans="1:9" hidden="1">
      <c r="A1983" s="1" t="s">
        <v>7893</v>
      </c>
      <c r="B1983" s="1" t="s">
        <v>10</v>
      </c>
      <c r="C1983" s="1" t="s">
        <v>7894</v>
      </c>
      <c r="D1983" s="1" t="s">
        <v>7895</v>
      </c>
      <c r="E1983" s="1" t="s">
        <v>789</v>
      </c>
      <c r="F1983" s="1" t="s">
        <v>30</v>
      </c>
      <c r="G1983" s="1" t="s">
        <v>7896</v>
      </c>
      <c r="H1983" s="1" t="s">
        <v>1762</v>
      </c>
      <c r="I1983" t="b">
        <f>COUNTIF(Estadísticas!I:I,'centraldecomunicacion.es'!H1983)&gt;0</f>
        <v>0</v>
      </c>
    </row>
    <row r="1984" spans="1:9" hidden="1">
      <c r="A1984" s="1" t="s">
        <v>7897</v>
      </c>
      <c r="B1984" s="1" t="s">
        <v>10</v>
      </c>
      <c r="C1984" s="1" t="s">
        <v>7898</v>
      </c>
      <c r="D1984" s="1" t="s">
        <v>7794</v>
      </c>
      <c r="E1984" s="1" t="s">
        <v>789</v>
      </c>
      <c r="F1984" s="1" t="s">
        <v>30</v>
      </c>
      <c r="G1984" s="1" t="s">
        <v>7899</v>
      </c>
      <c r="H1984" s="1" t="s">
        <v>1762</v>
      </c>
      <c r="I1984" t="b">
        <f>COUNTIF(Estadísticas!I:I,'centraldecomunicacion.es'!H1984)&gt;0</f>
        <v>0</v>
      </c>
    </row>
    <row r="1985" spans="1:9" hidden="1">
      <c r="A1985" s="1" t="s">
        <v>7900</v>
      </c>
      <c r="B1985" s="1" t="s">
        <v>10</v>
      </c>
      <c r="C1985" s="1" t="s">
        <v>7901</v>
      </c>
      <c r="D1985" s="1" t="s">
        <v>7895</v>
      </c>
      <c r="E1985" s="1" t="s">
        <v>789</v>
      </c>
      <c r="F1985" s="1" t="s">
        <v>30</v>
      </c>
      <c r="G1985" s="1" t="s">
        <v>7902</v>
      </c>
      <c r="H1985" s="1" t="s">
        <v>1762</v>
      </c>
      <c r="I1985" t="b">
        <f>COUNTIF(Estadísticas!I:I,'centraldecomunicacion.es'!H1985)&gt;0</f>
        <v>0</v>
      </c>
    </row>
    <row r="1986" spans="1:9" hidden="1">
      <c r="A1986" s="1" t="s">
        <v>7903</v>
      </c>
      <c r="B1986" s="1" t="s">
        <v>10</v>
      </c>
      <c r="C1986" s="1" t="s">
        <v>7904</v>
      </c>
      <c r="D1986" s="1" t="s">
        <v>7905</v>
      </c>
      <c r="E1986" s="1" t="s">
        <v>789</v>
      </c>
      <c r="F1986" s="1" t="s">
        <v>30</v>
      </c>
      <c r="G1986" s="1" t="s">
        <v>7906</v>
      </c>
      <c r="H1986" s="1" t="s">
        <v>1762</v>
      </c>
      <c r="I1986" t="b">
        <f>COUNTIF(Estadísticas!I:I,'centraldecomunicacion.es'!H1986)&gt;0</f>
        <v>0</v>
      </c>
    </row>
    <row r="1987" spans="1:9" hidden="1">
      <c r="A1987" s="1" t="s">
        <v>7907</v>
      </c>
      <c r="B1987" s="1" t="s">
        <v>10</v>
      </c>
      <c r="C1987" s="1" t="s">
        <v>7908</v>
      </c>
      <c r="D1987" s="1" t="s">
        <v>7794</v>
      </c>
      <c r="E1987" s="1" t="s">
        <v>789</v>
      </c>
      <c r="F1987" s="1" t="s">
        <v>6237</v>
      </c>
      <c r="G1987" s="1" t="s">
        <v>7909</v>
      </c>
      <c r="H1987" s="1" t="s">
        <v>1762</v>
      </c>
      <c r="I1987" t="b">
        <f>COUNTIF(Estadísticas!I:I,'centraldecomunicacion.es'!H1987)&gt;0</f>
        <v>0</v>
      </c>
    </row>
    <row r="1988" spans="1:9" hidden="1">
      <c r="A1988" s="1" t="s">
        <v>7910</v>
      </c>
      <c r="B1988" s="1" t="s">
        <v>10</v>
      </c>
      <c r="C1988" s="1" t="s">
        <v>7911</v>
      </c>
      <c r="D1988" s="1" t="s">
        <v>7912</v>
      </c>
      <c r="E1988" s="1" t="s">
        <v>789</v>
      </c>
      <c r="F1988" s="1" t="s">
        <v>7913</v>
      </c>
      <c r="G1988" s="1" t="s">
        <v>7914</v>
      </c>
      <c r="H1988" s="1" t="s">
        <v>7915</v>
      </c>
      <c r="I1988" t="b">
        <f>COUNTIF(Estadísticas!I:I,'centraldecomunicacion.es'!H1988)&gt;0</f>
        <v>0</v>
      </c>
    </row>
    <row r="1989" spans="1:9" hidden="1">
      <c r="A1989" s="1" t="s">
        <v>7916</v>
      </c>
      <c r="B1989" s="1" t="s">
        <v>10</v>
      </c>
      <c r="C1989" s="1" t="s">
        <v>7917</v>
      </c>
      <c r="D1989" s="1" t="s">
        <v>7794</v>
      </c>
      <c r="E1989" s="1" t="s">
        <v>789</v>
      </c>
      <c r="F1989" s="1" t="s">
        <v>30</v>
      </c>
      <c r="G1989" s="1" t="s">
        <v>7918</v>
      </c>
      <c r="H1989" s="1" t="s">
        <v>1762</v>
      </c>
      <c r="I1989" t="b">
        <f>COUNTIF(Estadísticas!I:I,'centraldecomunicacion.es'!H1989)&gt;0</f>
        <v>0</v>
      </c>
    </row>
    <row r="1990" spans="1:9" hidden="1">
      <c r="A1990" s="1" t="s">
        <v>7919</v>
      </c>
      <c r="B1990" s="1" t="s">
        <v>18</v>
      </c>
      <c r="C1990" s="1" t="s">
        <v>7920</v>
      </c>
      <c r="D1990" s="1" t="s">
        <v>789</v>
      </c>
      <c r="E1990" s="1" t="s">
        <v>789</v>
      </c>
      <c r="F1990" s="1" t="s">
        <v>30</v>
      </c>
      <c r="G1990" s="1" t="s">
        <v>7921</v>
      </c>
      <c r="H1990" s="1" t="s">
        <v>1762</v>
      </c>
      <c r="I1990" t="b">
        <f>COUNTIF(Estadísticas!I:I,'centraldecomunicacion.es'!H1990)&gt;0</f>
        <v>0</v>
      </c>
    </row>
    <row r="1991" spans="1:9" hidden="1">
      <c r="A1991" s="1" t="s">
        <v>7922</v>
      </c>
      <c r="B1991" s="1" t="s">
        <v>10</v>
      </c>
      <c r="C1991" s="1" t="s">
        <v>30</v>
      </c>
      <c r="D1991" s="1" t="s">
        <v>782</v>
      </c>
      <c r="E1991" s="1" t="s">
        <v>30</v>
      </c>
      <c r="F1991" s="1" t="s">
        <v>7923</v>
      </c>
      <c r="G1991" s="1" t="s">
        <v>7924</v>
      </c>
      <c r="H1991" s="1" t="s">
        <v>1762</v>
      </c>
      <c r="I1991" t="b">
        <f>COUNTIF(Estadísticas!I:I,'centraldecomunicacion.es'!H1991)&gt;0</f>
        <v>0</v>
      </c>
    </row>
    <row r="1992" spans="1:9">
      <c r="A1992" s="1" t="s">
        <v>7925</v>
      </c>
      <c r="B1992" s="1" t="s">
        <v>10</v>
      </c>
      <c r="C1992" s="1" t="s">
        <v>7926</v>
      </c>
      <c r="D1992" s="1" t="s">
        <v>788</v>
      </c>
      <c r="E1992" s="1" t="s">
        <v>789</v>
      </c>
      <c r="F1992" s="1" t="s">
        <v>790</v>
      </c>
      <c r="G1992" s="1" t="s">
        <v>791</v>
      </c>
      <c r="H1992" s="1" t="s">
        <v>792</v>
      </c>
      <c r="I1992" t="b">
        <f>COUNTIF(Estadísticas!I:I,'centraldecomunicacion.es'!H1992)&gt;0</f>
        <v>1</v>
      </c>
    </row>
    <row r="1993" spans="1:9" hidden="1">
      <c r="A1993" s="1" t="s">
        <v>7927</v>
      </c>
      <c r="B1993" s="1" t="s">
        <v>10</v>
      </c>
      <c r="C1993" s="1" t="s">
        <v>7928</v>
      </c>
      <c r="D1993" s="1" t="s">
        <v>7794</v>
      </c>
      <c r="E1993" s="1" t="s">
        <v>789</v>
      </c>
      <c r="F1993" s="1" t="s">
        <v>30</v>
      </c>
      <c r="G1993" s="1" t="s">
        <v>7929</v>
      </c>
      <c r="H1993" s="1" t="s">
        <v>1762</v>
      </c>
      <c r="I1993" t="b">
        <f>COUNTIF(Estadísticas!I:I,'centraldecomunicacion.es'!H1993)&gt;0</f>
        <v>0</v>
      </c>
    </row>
    <row r="1994" spans="1:9" hidden="1">
      <c r="A1994" s="1" t="s">
        <v>7930</v>
      </c>
      <c r="B1994" s="1" t="s">
        <v>10</v>
      </c>
      <c r="C1994" s="1" t="s">
        <v>7931</v>
      </c>
      <c r="D1994" s="1" t="s">
        <v>7932</v>
      </c>
      <c r="E1994" s="1" t="s">
        <v>789</v>
      </c>
      <c r="F1994" s="1" t="s">
        <v>30</v>
      </c>
      <c r="G1994" s="1" t="s">
        <v>30</v>
      </c>
      <c r="H1994" s="1" t="s">
        <v>1762</v>
      </c>
      <c r="I1994" t="b">
        <f>COUNTIF(Estadísticas!I:I,'centraldecomunicacion.es'!H1994)&gt;0</f>
        <v>0</v>
      </c>
    </row>
    <row r="1995" spans="1:9" hidden="1">
      <c r="A1995" s="1" t="s">
        <v>7933</v>
      </c>
      <c r="B1995" s="1" t="s">
        <v>10</v>
      </c>
      <c r="C1995" s="1" t="s">
        <v>7934</v>
      </c>
      <c r="D1995" s="1" t="s">
        <v>782</v>
      </c>
      <c r="E1995" s="1" t="s">
        <v>789</v>
      </c>
      <c r="F1995" s="1" t="s">
        <v>30</v>
      </c>
      <c r="G1995" s="1" t="s">
        <v>7935</v>
      </c>
      <c r="H1995" s="1" t="s">
        <v>1762</v>
      </c>
      <c r="I1995" t="b">
        <f>COUNTIF(Estadísticas!I:I,'centraldecomunicacion.es'!H1995)&gt;0</f>
        <v>0</v>
      </c>
    </row>
    <row r="1996" spans="1:9" hidden="1">
      <c r="A1996" s="1" t="s">
        <v>7936</v>
      </c>
      <c r="B1996" s="1" t="s">
        <v>10</v>
      </c>
      <c r="C1996" s="1" t="s">
        <v>7937</v>
      </c>
      <c r="D1996" s="1" t="s">
        <v>7794</v>
      </c>
      <c r="E1996" s="1" t="s">
        <v>789</v>
      </c>
      <c r="F1996" s="1" t="s">
        <v>30</v>
      </c>
      <c r="G1996" s="1" t="s">
        <v>7938</v>
      </c>
      <c r="H1996" s="1" t="s">
        <v>1762</v>
      </c>
      <c r="I1996" t="b">
        <f>COUNTIF(Estadísticas!I:I,'centraldecomunicacion.es'!H1996)&gt;0</f>
        <v>0</v>
      </c>
    </row>
    <row r="1997" spans="1:9" hidden="1">
      <c r="A1997" s="1" t="s">
        <v>7939</v>
      </c>
      <c r="B1997" s="1" t="s">
        <v>18</v>
      </c>
      <c r="C1997" s="1" t="s">
        <v>7940</v>
      </c>
      <c r="D1997" s="1" t="s">
        <v>7941</v>
      </c>
      <c r="E1997" s="1" t="s">
        <v>789</v>
      </c>
      <c r="F1997" s="1" t="s">
        <v>7942</v>
      </c>
      <c r="G1997" s="1" t="s">
        <v>7943</v>
      </c>
      <c r="H1997" s="1" t="s">
        <v>7944</v>
      </c>
      <c r="I1997" t="b">
        <f>COUNTIF(Estadísticas!I:I,'centraldecomunicacion.es'!H1997)&gt;0</f>
        <v>0</v>
      </c>
    </row>
    <row r="1998" spans="1:9" hidden="1">
      <c r="A1998" s="1" t="s">
        <v>7945</v>
      </c>
      <c r="B1998" s="1" t="s">
        <v>10</v>
      </c>
      <c r="C1998" s="1" t="s">
        <v>7946</v>
      </c>
      <c r="D1998" s="1" t="s">
        <v>7947</v>
      </c>
      <c r="E1998" s="1" t="s">
        <v>789</v>
      </c>
      <c r="F1998" s="1" t="s">
        <v>30</v>
      </c>
      <c r="G1998" s="1" t="s">
        <v>30</v>
      </c>
      <c r="H1998" s="1" t="s">
        <v>1762</v>
      </c>
      <c r="I1998" t="b">
        <f>COUNTIF(Estadísticas!I:I,'centraldecomunicacion.es'!H1998)&gt;0</f>
        <v>0</v>
      </c>
    </row>
    <row r="1999" spans="1:9" hidden="1">
      <c r="A1999" s="1" t="s">
        <v>7948</v>
      </c>
      <c r="B1999" s="1" t="s">
        <v>10</v>
      </c>
      <c r="C1999" s="1" t="s">
        <v>7949</v>
      </c>
      <c r="D1999" s="1" t="s">
        <v>7867</v>
      </c>
      <c r="E1999" s="1" t="s">
        <v>789</v>
      </c>
      <c r="F1999" s="1" t="s">
        <v>30</v>
      </c>
      <c r="G1999" s="1" t="s">
        <v>7950</v>
      </c>
      <c r="H1999" s="1" t="s">
        <v>1762</v>
      </c>
      <c r="I1999" t="b">
        <f>COUNTIF(Estadísticas!I:I,'centraldecomunicacion.es'!H1999)&gt;0</f>
        <v>0</v>
      </c>
    </row>
    <row r="2000" spans="1:9" hidden="1">
      <c r="A2000" s="1" t="s">
        <v>7951</v>
      </c>
      <c r="B2000" s="1" t="s">
        <v>10</v>
      </c>
      <c r="C2000" s="1" t="s">
        <v>7952</v>
      </c>
      <c r="D2000" s="1" t="s">
        <v>7953</v>
      </c>
      <c r="E2000" s="1" t="s">
        <v>789</v>
      </c>
      <c r="F2000" s="1" t="s">
        <v>30</v>
      </c>
      <c r="G2000" s="1" t="s">
        <v>30</v>
      </c>
      <c r="H2000" s="1" t="s">
        <v>1762</v>
      </c>
      <c r="I2000" t="b">
        <f>COUNTIF(Estadísticas!I:I,'centraldecomunicacion.es'!H2000)&gt;0</f>
        <v>0</v>
      </c>
    </row>
    <row r="2001" spans="1:9" hidden="1">
      <c r="A2001" s="1" t="s">
        <v>7954</v>
      </c>
      <c r="B2001" s="1" t="s">
        <v>10</v>
      </c>
      <c r="C2001" s="1" t="s">
        <v>30</v>
      </c>
      <c r="D2001" s="1" t="s">
        <v>782</v>
      </c>
      <c r="E2001" s="1" t="s">
        <v>30</v>
      </c>
      <c r="F2001" s="1" t="s">
        <v>30</v>
      </c>
      <c r="G2001" s="1" t="s">
        <v>7955</v>
      </c>
      <c r="H2001" s="1" t="s">
        <v>1762</v>
      </c>
      <c r="I2001" t="b">
        <f>COUNTIF(Estadísticas!I:I,'centraldecomunicacion.es'!H2001)&gt;0</f>
        <v>0</v>
      </c>
    </row>
    <row r="2002" spans="1:9" hidden="1">
      <c r="A2002" s="1" t="s">
        <v>7956</v>
      </c>
      <c r="B2002" s="1" t="s">
        <v>10</v>
      </c>
      <c r="C2002" s="1" t="s">
        <v>30</v>
      </c>
      <c r="D2002" s="1" t="s">
        <v>782</v>
      </c>
      <c r="E2002" s="1" t="s">
        <v>30</v>
      </c>
      <c r="F2002" s="1" t="s">
        <v>7957</v>
      </c>
      <c r="G2002" s="1" t="s">
        <v>7958</v>
      </c>
      <c r="H2002" s="1" t="s">
        <v>1762</v>
      </c>
      <c r="I2002" t="b">
        <f>COUNTIF(Estadísticas!I:I,'centraldecomunicacion.es'!H2002)&gt;0</f>
        <v>0</v>
      </c>
    </row>
    <row r="2003" spans="1:9" hidden="1">
      <c r="A2003" s="1" t="s">
        <v>7959</v>
      </c>
      <c r="B2003" s="1" t="s">
        <v>10</v>
      </c>
      <c r="C2003" s="1" t="s">
        <v>7960</v>
      </c>
      <c r="D2003" s="1" t="s">
        <v>7953</v>
      </c>
      <c r="E2003" s="1" t="s">
        <v>789</v>
      </c>
      <c r="F2003" s="1" t="s">
        <v>7961</v>
      </c>
      <c r="G2003" s="1" t="s">
        <v>7962</v>
      </c>
      <c r="H2003" s="1" t="s">
        <v>7963</v>
      </c>
      <c r="I2003" t="b">
        <f>COUNTIF(Estadísticas!I:I,'centraldecomunicacion.es'!H2003)&gt;0</f>
        <v>0</v>
      </c>
    </row>
    <row r="2004" spans="1:9" hidden="1">
      <c r="A2004" s="1" t="s">
        <v>7964</v>
      </c>
      <c r="B2004" s="1" t="s">
        <v>18</v>
      </c>
      <c r="C2004" s="1" t="s">
        <v>7965</v>
      </c>
      <c r="D2004" s="1" t="s">
        <v>7966</v>
      </c>
      <c r="E2004" s="1" t="s">
        <v>926</v>
      </c>
      <c r="F2004" s="1" t="s">
        <v>4288</v>
      </c>
      <c r="G2004" s="1" t="s">
        <v>7967</v>
      </c>
      <c r="H2004" s="1" t="s">
        <v>4290</v>
      </c>
      <c r="I2004" t="b">
        <f>COUNTIF(Estadísticas!I:I,'centraldecomunicacion.es'!H2004)&gt;0</f>
        <v>0</v>
      </c>
    </row>
    <row r="2005" spans="1:9" hidden="1">
      <c r="A2005" s="1" t="s">
        <v>7968</v>
      </c>
      <c r="B2005" s="1" t="s">
        <v>10</v>
      </c>
      <c r="C2005" s="1" t="s">
        <v>7969</v>
      </c>
      <c r="D2005" s="1" t="s">
        <v>7941</v>
      </c>
      <c r="E2005" s="1" t="s">
        <v>789</v>
      </c>
      <c r="F2005" s="1" t="s">
        <v>30</v>
      </c>
      <c r="G2005" s="1" t="s">
        <v>7970</v>
      </c>
      <c r="H2005" s="1" t="s">
        <v>1762</v>
      </c>
      <c r="I2005" t="b">
        <f>COUNTIF(Estadísticas!I:I,'centraldecomunicacion.es'!H2005)&gt;0</f>
        <v>0</v>
      </c>
    </row>
    <row r="2006" spans="1:9" hidden="1">
      <c r="A2006" s="1" t="s">
        <v>7971</v>
      </c>
      <c r="B2006" s="1" t="s">
        <v>10</v>
      </c>
      <c r="C2006" s="1" t="s">
        <v>30</v>
      </c>
      <c r="D2006" s="1" t="s">
        <v>782</v>
      </c>
      <c r="E2006" s="1" t="s">
        <v>30</v>
      </c>
      <c r="F2006" s="1" t="s">
        <v>7972</v>
      </c>
      <c r="G2006" s="1" t="s">
        <v>7973</v>
      </c>
      <c r="H2006" s="1" t="s">
        <v>1762</v>
      </c>
      <c r="I2006" t="b">
        <f>COUNTIF(Estadísticas!I:I,'centraldecomunicacion.es'!H2006)&gt;0</f>
        <v>0</v>
      </c>
    </row>
    <row r="2007" spans="1:9" hidden="1">
      <c r="A2007" s="1" t="s">
        <v>7974</v>
      </c>
      <c r="B2007" s="1" t="s">
        <v>10</v>
      </c>
      <c r="C2007" s="1" t="s">
        <v>7975</v>
      </c>
      <c r="D2007" s="1" t="s">
        <v>7953</v>
      </c>
      <c r="E2007" s="1" t="s">
        <v>789</v>
      </c>
      <c r="F2007" s="1" t="s">
        <v>30</v>
      </c>
      <c r="G2007" s="1" t="s">
        <v>30</v>
      </c>
      <c r="H2007" s="1" t="s">
        <v>1762</v>
      </c>
      <c r="I2007" t="b">
        <f>COUNTIF(Estadísticas!I:I,'centraldecomunicacion.es'!H2007)&gt;0</f>
        <v>0</v>
      </c>
    </row>
    <row r="2008" spans="1:9" hidden="1">
      <c r="A2008" s="1" t="s">
        <v>7976</v>
      </c>
      <c r="B2008" s="1" t="s">
        <v>10</v>
      </c>
      <c r="C2008" s="1" t="s">
        <v>7977</v>
      </c>
      <c r="D2008" s="1" t="s">
        <v>7978</v>
      </c>
      <c r="E2008" s="1" t="s">
        <v>789</v>
      </c>
      <c r="F2008" s="1" t="s">
        <v>30</v>
      </c>
      <c r="G2008" s="1" t="s">
        <v>7979</v>
      </c>
      <c r="H2008" s="1" t="s">
        <v>1762</v>
      </c>
      <c r="I2008" t="b">
        <f>COUNTIF(Estadísticas!I:I,'centraldecomunicacion.es'!H2008)&gt;0</f>
        <v>0</v>
      </c>
    </row>
    <row r="2009" spans="1:9" hidden="1">
      <c r="A2009" s="1" t="s">
        <v>7980</v>
      </c>
      <c r="B2009" s="1" t="s">
        <v>10</v>
      </c>
      <c r="C2009" s="1" t="s">
        <v>7981</v>
      </c>
      <c r="D2009" s="1" t="s">
        <v>7982</v>
      </c>
      <c r="E2009" s="1" t="s">
        <v>789</v>
      </c>
      <c r="F2009" s="1" t="s">
        <v>30</v>
      </c>
      <c r="G2009" s="1" t="s">
        <v>7983</v>
      </c>
      <c r="H2009" s="1" t="s">
        <v>1762</v>
      </c>
      <c r="I2009" t="b">
        <f>COUNTIF(Estadísticas!I:I,'centraldecomunicacion.es'!H2009)&gt;0</f>
        <v>0</v>
      </c>
    </row>
    <row r="2010" spans="1:9" hidden="1">
      <c r="A2010" s="1" t="s">
        <v>7984</v>
      </c>
      <c r="B2010" s="1" t="s">
        <v>18</v>
      </c>
      <c r="C2010" s="1" t="s">
        <v>7985</v>
      </c>
      <c r="D2010" s="1" t="s">
        <v>7857</v>
      </c>
      <c r="E2010" s="1" t="s">
        <v>789</v>
      </c>
      <c r="F2010" s="1" t="s">
        <v>30</v>
      </c>
      <c r="G2010" s="1" t="s">
        <v>30</v>
      </c>
      <c r="H2010" s="1" t="s">
        <v>1762</v>
      </c>
      <c r="I2010" t="b">
        <f>COUNTIF(Estadísticas!I:I,'centraldecomunicacion.es'!H2010)&gt;0</f>
        <v>0</v>
      </c>
    </row>
    <row r="2011" spans="1:9" hidden="1">
      <c r="A2011" s="1" t="s">
        <v>7986</v>
      </c>
      <c r="B2011" s="1" t="s">
        <v>10</v>
      </c>
      <c r="C2011" s="1" t="s">
        <v>7987</v>
      </c>
      <c r="D2011" s="1" t="s">
        <v>7988</v>
      </c>
      <c r="E2011" s="1" t="s">
        <v>926</v>
      </c>
      <c r="F2011" s="1" t="s">
        <v>30</v>
      </c>
      <c r="G2011" s="1" t="s">
        <v>7989</v>
      </c>
      <c r="H2011" s="1" t="s">
        <v>1762</v>
      </c>
      <c r="I2011" t="b">
        <f>COUNTIF(Estadísticas!I:I,'centraldecomunicacion.es'!H2011)&gt;0</f>
        <v>0</v>
      </c>
    </row>
    <row r="2012" spans="1:9" hidden="1">
      <c r="A2012" s="1" t="s">
        <v>7990</v>
      </c>
      <c r="B2012" s="1" t="s">
        <v>10</v>
      </c>
      <c r="C2012" s="1" t="s">
        <v>7991</v>
      </c>
      <c r="D2012" s="1" t="s">
        <v>7966</v>
      </c>
      <c r="E2012" s="1" t="s">
        <v>926</v>
      </c>
      <c r="F2012" s="1" t="s">
        <v>7824</v>
      </c>
      <c r="G2012" s="1" t="s">
        <v>7992</v>
      </c>
      <c r="H2012" s="1" t="s">
        <v>1762</v>
      </c>
      <c r="I2012" t="b">
        <f>COUNTIF(Estadísticas!I:I,'centraldecomunicacion.es'!H2012)&gt;0</f>
        <v>0</v>
      </c>
    </row>
    <row r="2013" spans="1:9" hidden="1">
      <c r="A2013" s="1" t="s">
        <v>7993</v>
      </c>
      <c r="B2013" s="1" t="s">
        <v>10</v>
      </c>
      <c r="C2013" s="1" t="s">
        <v>7994</v>
      </c>
      <c r="D2013" s="1" t="s">
        <v>7912</v>
      </c>
      <c r="E2013" s="1" t="s">
        <v>789</v>
      </c>
      <c r="F2013" s="1" t="s">
        <v>30</v>
      </c>
      <c r="G2013" s="1" t="s">
        <v>30</v>
      </c>
      <c r="H2013" s="1" t="s">
        <v>1762</v>
      </c>
      <c r="I2013" t="b">
        <f>COUNTIF(Estadísticas!I:I,'centraldecomunicacion.es'!H2013)&gt;0</f>
        <v>0</v>
      </c>
    </row>
    <row r="2014" spans="1:9" hidden="1">
      <c r="A2014" s="1" t="s">
        <v>7995</v>
      </c>
      <c r="B2014" s="1" t="s">
        <v>10</v>
      </c>
      <c r="C2014" s="1" t="s">
        <v>30</v>
      </c>
      <c r="D2014" s="1" t="s">
        <v>782</v>
      </c>
      <c r="E2014" s="1" t="s">
        <v>30</v>
      </c>
      <c r="F2014" s="1" t="s">
        <v>1984</v>
      </c>
      <c r="G2014" s="1" t="s">
        <v>7996</v>
      </c>
      <c r="H2014" s="1" t="s">
        <v>1762</v>
      </c>
      <c r="I2014" t="b">
        <f>COUNTIF(Estadísticas!I:I,'centraldecomunicacion.es'!H2014)&gt;0</f>
        <v>0</v>
      </c>
    </row>
    <row r="2015" spans="1:9" hidden="1">
      <c r="A2015" s="1" t="s">
        <v>7997</v>
      </c>
      <c r="B2015" s="1" t="s">
        <v>18</v>
      </c>
      <c r="C2015" s="1" t="s">
        <v>7998</v>
      </c>
      <c r="D2015" s="1" t="s">
        <v>1589</v>
      </c>
      <c r="E2015" s="1" t="s">
        <v>926</v>
      </c>
      <c r="F2015" s="1" t="s">
        <v>4288</v>
      </c>
      <c r="G2015" s="1" t="s">
        <v>7999</v>
      </c>
      <c r="H2015" s="1" t="s">
        <v>4290</v>
      </c>
      <c r="I2015" t="b">
        <f>COUNTIF(Estadísticas!I:I,'centraldecomunicacion.es'!H2015)&gt;0</f>
        <v>0</v>
      </c>
    </row>
    <row r="2016" spans="1:9" hidden="1">
      <c r="A2016" s="1" t="s">
        <v>8000</v>
      </c>
      <c r="B2016" s="1" t="s">
        <v>10</v>
      </c>
      <c r="C2016" s="1" t="s">
        <v>30</v>
      </c>
      <c r="D2016" s="1" t="s">
        <v>782</v>
      </c>
      <c r="E2016" s="1" t="s">
        <v>30</v>
      </c>
      <c r="F2016" s="1" t="s">
        <v>30</v>
      </c>
      <c r="G2016" s="1" t="s">
        <v>8001</v>
      </c>
      <c r="H2016" s="1" t="s">
        <v>1762</v>
      </c>
      <c r="I2016" t="b">
        <f>COUNTIF(Estadísticas!I:I,'centraldecomunicacion.es'!H2016)&gt;0</f>
        <v>0</v>
      </c>
    </row>
    <row r="2017" spans="1:9" hidden="1">
      <c r="A2017" s="1" t="s">
        <v>8002</v>
      </c>
      <c r="B2017" s="1" t="s">
        <v>18</v>
      </c>
      <c r="C2017" s="1" t="s">
        <v>8003</v>
      </c>
      <c r="D2017" s="1" t="s">
        <v>8004</v>
      </c>
      <c r="E2017" s="1" t="s">
        <v>926</v>
      </c>
      <c r="F2017" s="1" t="s">
        <v>4288</v>
      </c>
      <c r="G2017" s="1" t="s">
        <v>8005</v>
      </c>
      <c r="H2017" s="1" t="s">
        <v>4290</v>
      </c>
      <c r="I2017" t="b">
        <f>COUNTIF(Estadísticas!I:I,'centraldecomunicacion.es'!H2017)&gt;0</f>
        <v>0</v>
      </c>
    </row>
    <row r="2018" spans="1:9" hidden="1">
      <c r="A2018" s="1" t="s">
        <v>8006</v>
      </c>
      <c r="B2018" s="1" t="s">
        <v>10</v>
      </c>
      <c r="C2018" s="1" t="s">
        <v>30</v>
      </c>
      <c r="D2018" s="1" t="s">
        <v>782</v>
      </c>
      <c r="E2018" s="1" t="s">
        <v>30</v>
      </c>
      <c r="F2018" s="1" t="s">
        <v>1984</v>
      </c>
      <c r="G2018" s="1" t="s">
        <v>7996</v>
      </c>
      <c r="H2018" s="1" t="s">
        <v>1762</v>
      </c>
      <c r="I2018" t="b">
        <f>COUNTIF(Estadísticas!I:I,'centraldecomunicacion.es'!H2018)&gt;0</f>
        <v>0</v>
      </c>
    </row>
    <row r="2019" spans="1:9" hidden="1">
      <c r="A2019" s="1" t="s">
        <v>8007</v>
      </c>
      <c r="B2019" s="1" t="s">
        <v>18</v>
      </c>
      <c r="C2019" s="1" t="s">
        <v>8008</v>
      </c>
      <c r="D2019" s="1" t="s">
        <v>8009</v>
      </c>
      <c r="E2019" s="1" t="s">
        <v>789</v>
      </c>
      <c r="F2019" s="1" t="s">
        <v>30</v>
      </c>
      <c r="G2019" s="1" t="s">
        <v>8010</v>
      </c>
      <c r="H2019" s="1" t="s">
        <v>1762</v>
      </c>
      <c r="I2019" t="b">
        <f>COUNTIF(Estadísticas!I:I,'centraldecomunicacion.es'!H2019)&gt;0</f>
        <v>0</v>
      </c>
    </row>
    <row r="2020" spans="1:9" hidden="1">
      <c r="A2020" s="1" t="s">
        <v>8011</v>
      </c>
      <c r="B2020" s="1" t="s">
        <v>18</v>
      </c>
      <c r="C2020" s="1" t="s">
        <v>8012</v>
      </c>
      <c r="D2020" s="1" t="s">
        <v>8009</v>
      </c>
      <c r="E2020" s="1" t="s">
        <v>789</v>
      </c>
      <c r="F2020" s="1" t="s">
        <v>30</v>
      </c>
      <c r="G2020" s="1" t="s">
        <v>30</v>
      </c>
      <c r="H2020" s="1" t="s">
        <v>1762</v>
      </c>
      <c r="I2020" t="b">
        <f>COUNTIF(Estadísticas!I:I,'centraldecomunicacion.es'!H2020)&gt;0</f>
        <v>0</v>
      </c>
    </row>
    <row r="2021" spans="1:9" hidden="1">
      <c r="A2021" s="1" t="s">
        <v>8013</v>
      </c>
      <c r="B2021" s="1" t="s">
        <v>10</v>
      </c>
      <c r="C2021" s="1" t="s">
        <v>8014</v>
      </c>
      <c r="D2021" s="1" t="s">
        <v>926</v>
      </c>
      <c r="E2021" s="1" t="s">
        <v>926</v>
      </c>
      <c r="F2021" s="1" t="s">
        <v>8015</v>
      </c>
      <c r="G2021" s="1" t="s">
        <v>8016</v>
      </c>
      <c r="H2021" s="1" t="s">
        <v>1762</v>
      </c>
      <c r="I2021" t="b">
        <f>COUNTIF(Estadísticas!I:I,'centraldecomunicacion.es'!H2021)&gt;0</f>
        <v>0</v>
      </c>
    </row>
    <row r="2022" spans="1:9" hidden="1">
      <c r="A2022" s="1" t="s">
        <v>8017</v>
      </c>
      <c r="B2022" s="1" t="s">
        <v>18</v>
      </c>
      <c r="C2022" s="1" t="s">
        <v>8018</v>
      </c>
      <c r="D2022" s="1" t="s">
        <v>795</v>
      </c>
      <c r="E2022" s="1" t="s">
        <v>795</v>
      </c>
      <c r="F2022" s="1" t="s">
        <v>8019</v>
      </c>
      <c r="G2022" s="1" t="s">
        <v>8020</v>
      </c>
      <c r="H2022" s="1" t="s">
        <v>1762</v>
      </c>
      <c r="I2022" t="b">
        <f>COUNTIF(Estadísticas!I:I,'centraldecomunicacion.es'!H2022)&gt;0</f>
        <v>0</v>
      </c>
    </row>
    <row r="2023" spans="1:9">
      <c r="A2023" s="1" t="s">
        <v>793</v>
      </c>
      <c r="B2023" s="1" t="s">
        <v>10</v>
      </c>
      <c r="C2023" s="1" t="s">
        <v>794</v>
      </c>
      <c r="D2023" s="1" t="s">
        <v>795</v>
      </c>
      <c r="E2023" s="1" t="s">
        <v>795</v>
      </c>
      <c r="F2023" s="1" t="s">
        <v>796</v>
      </c>
      <c r="G2023" s="1" t="s">
        <v>797</v>
      </c>
      <c r="H2023" s="1" t="s">
        <v>798</v>
      </c>
      <c r="I2023" t="b">
        <f>COUNTIF(Estadísticas!I:I,'centraldecomunicacion.es'!H2023)&gt;0</f>
        <v>1</v>
      </c>
    </row>
    <row r="2024" spans="1:9" hidden="1">
      <c r="A2024" s="1" t="s">
        <v>8021</v>
      </c>
      <c r="B2024" s="1" t="s">
        <v>10</v>
      </c>
      <c r="C2024" s="1" t="s">
        <v>8022</v>
      </c>
      <c r="D2024" s="1" t="s">
        <v>795</v>
      </c>
      <c r="E2024" s="1" t="s">
        <v>795</v>
      </c>
      <c r="F2024" s="1" t="s">
        <v>30</v>
      </c>
      <c r="G2024" s="1" t="s">
        <v>8023</v>
      </c>
      <c r="H2024" s="1" t="s">
        <v>1762</v>
      </c>
      <c r="I2024" t="b">
        <f>COUNTIF(Estadísticas!I:I,'centraldecomunicacion.es'!H2024)&gt;0</f>
        <v>0</v>
      </c>
    </row>
    <row r="2025" spans="1:9">
      <c r="A2025" s="1" t="s">
        <v>799</v>
      </c>
      <c r="B2025" s="1" t="s">
        <v>10</v>
      </c>
      <c r="C2025" s="1" t="s">
        <v>800</v>
      </c>
      <c r="D2025" s="1" t="s">
        <v>795</v>
      </c>
      <c r="E2025" s="1" t="s">
        <v>795</v>
      </c>
      <c r="F2025" s="1" t="s">
        <v>801</v>
      </c>
      <c r="G2025" s="1" t="s">
        <v>802</v>
      </c>
      <c r="H2025" s="1" t="s">
        <v>803</v>
      </c>
      <c r="I2025" t="b">
        <f>COUNTIF(Estadísticas!I:I,'centraldecomunicacion.es'!H2025)&gt;0</f>
        <v>1</v>
      </c>
    </row>
    <row r="2026" spans="1:9" hidden="1">
      <c r="A2026" s="1" t="s">
        <v>8024</v>
      </c>
      <c r="B2026" s="1" t="s">
        <v>10</v>
      </c>
      <c r="C2026" s="1" t="s">
        <v>8025</v>
      </c>
      <c r="D2026" s="1" t="s">
        <v>795</v>
      </c>
      <c r="E2026" s="1" t="s">
        <v>795</v>
      </c>
      <c r="F2026" s="1" t="s">
        <v>8026</v>
      </c>
      <c r="G2026" s="1" t="s">
        <v>8027</v>
      </c>
      <c r="H2026" s="1" t="s">
        <v>1762</v>
      </c>
      <c r="I2026" t="b">
        <f>COUNTIF(Estadísticas!I:I,'centraldecomunicacion.es'!H2026)&gt;0</f>
        <v>0</v>
      </c>
    </row>
    <row r="2027" spans="1:9" hidden="1">
      <c r="A2027" s="1" t="s">
        <v>8028</v>
      </c>
      <c r="B2027" s="1" t="s">
        <v>18</v>
      </c>
      <c r="C2027" s="1" t="s">
        <v>8029</v>
      </c>
      <c r="D2027" s="1" t="s">
        <v>795</v>
      </c>
      <c r="E2027" s="1" t="s">
        <v>795</v>
      </c>
      <c r="F2027" s="1" t="s">
        <v>30</v>
      </c>
      <c r="G2027" s="1" t="s">
        <v>8030</v>
      </c>
      <c r="H2027" s="1" t="s">
        <v>1762</v>
      </c>
      <c r="I2027" t="b">
        <f>COUNTIF(Estadísticas!I:I,'centraldecomunicacion.es'!H2027)&gt;0</f>
        <v>0</v>
      </c>
    </row>
    <row r="2028" spans="1:9" hidden="1">
      <c r="A2028" s="1" t="s">
        <v>8031</v>
      </c>
      <c r="B2028" s="1" t="s">
        <v>10</v>
      </c>
      <c r="C2028" s="1" t="s">
        <v>8032</v>
      </c>
      <c r="D2028" s="1" t="s">
        <v>795</v>
      </c>
      <c r="E2028" s="1" t="s">
        <v>795</v>
      </c>
      <c r="F2028" s="1" t="s">
        <v>8033</v>
      </c>
      <c r="G2028" s="1" t="s">
        <v>8034</v>
      </c>
      <c r="H2028" s="1" t="s">
        <v>8035</v>
      </c>
      <c r="I2028" t="b">
        <f>COUNTIF(Estadísticas!I:I,'centraldecomunicacion.es'!H2028)&gt;0</f>
        <v>0</v>
      </c>
    </row>
    <row r="2029" spans="1:9" hidden="1">
      <c r="A2029" s="1" t="s">
        <v>8036</v>
      </c>
      <c r="B2029" s="1" t="s">
        <v>10</v>
      </c>
      <c r="C2029" s="1" t="s">
        <v>8037</v>
      </c>
      <c r="D2029" s="1" t="s">
        <v>795</v>
      </c>
      <c r="E2029" s="1" t="s">
        <v>795</v>
      </c>
      <c r="F2029" s="1" t="s">
        <v>30</v>
      </c>
      <c r="G2029" s="1" t="s">
        <v>30</v>
      </c>
      <c r="H2029" s="1" t="s">
        <v>1762</v>
      </c>
      <c r="I2029" t="b">
        <f>COUNTIF(Estadísticas!I:I,'centraldecomunicacion.es'!H2029)&gt;0</f>
        <v>0</v>
      </c>
    </row>
    <row r="2030" spans="1:9" hidden="1">
      <c r="A2030" s="1" t="s">
        <v>8038</v>
      </c>
      <c r="B2030" s="1" t="s">
        <v>10</v>
      </c>
      <c r="C2030" s="1" t="s">
        <v>8039</v>
      </c>
      <c r="D2030" s="1" t="s">
        <v>795</v>
      </c>
      <c r="E2030" s="1" t="s">
        <v>795</v>
      </c>
      <c r="F2030" s="1" t="s">
        <v>30</v>
      </c>
      <c r="G2030" s="1" t="s">
        <v>8040</v>
      </c>
      <c r="H2030" s="1" t="s">
        <v>1762</v>
      </c>
      <c r="I2030" t="b">
        <f>COUNTIF(Estadísticas!I:I,'centraldecomunicacion.es'!H2030)&gt;0</f>
        <v>0</v>
      </c>
    </row>
    <row r="2031" spans="1:9" hidden="1">
      <c r="A2031" s="1" t="s">
        <v>8041</v>
      </c>
      <c r="B2031" s="1" t="s">
        <v>10</v>
      </c>
      <c r="C2031" s="1" t="s">
        <v>8042</v>
      </c>
      <c r="D2031" s="1" t="s">
        <v>795</v>
      </c>
      <c r="E2031" s="1" t="s">
        <v>795</v>
      </c>
      <c r="F2031" s="1" t="s">
        <v>30</v>
      </c>
      <c r="G2031" s="1" t="s">
        <v>8043</v>
      </c>
      <c r="H2031" s="1" t="s">
        <v>1762</v>
      </c>
      <c r="I2031" t="b">
        <f>COUNTIF(Estadísticas!I:I,'centraldecomunicacion.es'!H2031)&gt;0</f>
        <v>0</v>
      </c>
    </row>
    <row r="2032" spans="1:9" hidden="1">
      <c r="A2032" s="1" t="s">
        <v>8044</v>
      </c>
      <c r="B2032" s="1" t="s">
        <v>10</v>
      </c>
      <c r="C2032" s="1" t="s">
        <v>8045</v>
      </c>
      <c r="D2032" s="1" t="s">
        <v>8046</v>
      </c>
      <c r="E2032" s="1" t="s">
        <v>795</v>
      </c>
      <c r="F2032" s="1" t="s">
        <v>30</v>
      </c>
      <c r="G2032" s="1" t="s">
        <v>30</v>
      </c>
      <c r="H2032" s="1" t="s">
        <v>1762</v>
      </c>
      <c r="I2032" t="b">
        <f>COUNTIF(Estadísticas!I:I,'centraldecomunicacion.es'!H2032)&gt;0</f>
        <v>0</v>
      </c>
    </row>
    <row r="2033" spans="1:9" hidden="1">
      <c r="A2033" s="1" t="s">
        <v>8047</v>
      </c>
      <c r="B2033" s="1" t="s">
        <v>10</v>
      </c>
      <c r="C2033" s="1" t="s">
        <v>8048</v>
      </c>
      <c r="D2033" s="1" t="s">
        <v>8049</v>
      </c>
      <c r="E2033" s="1" t="s">
        <v>795</v>
      </c>
      <c r="F2033" s="1" t="s">
        <v>30</v>
      </c>
      <c r="G2033" s="1" t="s">
        <v>8050</v>
      </c>
      <c r="H2033" s="1" t="s">
        <v>1762</v>
      </c>
      <c r="I2033" t="b">
        <f>COUNTIF(Estadísticas!I:I,'centraldecomunicacion.es'!H2033)&gt;0</f>
        <v>0</v>
      </c>
    </row>
    <row r="2034" spans="1:9" hidden="1">
      <c r="A2034" s="1" t="s">
        <v>8051</v>
      </c>
      <c r="B2034" s="1" t="s">
        <v>10</v>
      </c>
      <c r="C2034" s="1" t="s">
        <v>8052</v>
      </c>
      <c r="D2034" s="1" t="s">
        <v>795</v>
      </c>
      <c r="E2034" s="1" t="s">
        <v>795</v>
      </c>
      <c r="F2034" s="1" t="s">
        <v>30</v>
      </c>
      <c r="G2034" s="1" t="s">
        <v>8053</v>
      </c>
      <c r="H2034" s="1" t="s">
        <v>1762</v>
      </c>
      <c r="I2034" t="b">
        <f>COUNTIF(Estadísticas!I:I,'centraldecomunicacion.es'!H2034)&gt;0</f>
        <v>0</v>
      </c>
    </row>
    <row r="2035" spans="1:9" hidden="1">
      <c r="A2035" s="1" t="s">
        <v>8054</v>
      </c>
      <c r="B2035" s="1" t="s">
        <v>10</v>
      </c>
      <c r="C2035" s="1" t="s">
        <v>8055</v>
      </c>
      <c r="D2035" s="1" t="s">
        <v>795</v>
      </c>
      <c r="E2035" s="1" t="s">
        <v>795</v>
      </c>
      <c r="F2035" s="1" t="s">
        <v>30</v>
      </c>
      <c r="G2035" s="1" t="s">
        <v>30</v>
      </c>
      <c r="H2035" s="1" t="s">
        <v>1762</v>
      </c>
      <c r="I2035" t="b">
        <f>COUNTIF(Estadísticas!I:I,'centraldecomunicacion.es'!H2035)&gt;0</f>
        <v>0</v>
      </c>
    </row>
    <row r="2036" spans="1:9" hidden="1">
      <c r="A2036" s="1" t="s">
        <v>8056</v>
      </c>
      <c r="B2036" s="1" t="s">
        <v>10</v>
      </c>
      <c r="C2036" s="1" t="s">
        <v>8057</v>
      </c>
      <c r="D2036" s="1" t="s">
        <v>795</v>
      </c>
      <c r="E2036" s="1" t="s">
        <v>795</v>
      </c>
      <c r="F2036" s="1" t="s">
        <v>8058</v>
      </c>
      <c r="G2036" s="1" t="s">
        <v>8059</v>
      </c>
      <c r="H2036" s="1" t="s">
        <v>1762</v>
      </c>
      <c r="I2036" t="b">
        <f>COUNTIF(Estadísticas!I:I,'centraldecomunicacion.es'!H2036)&gt;0</f>
        <v>0</v>
      </c>
    </row>
    <row r="2037" spans="1:9" hidden="1">
      <c r="A2037" s="1" t="s">
        <v>8060</v>
      </c>
      <c r="B2037" s="1" t="s">
        <v>10</v>
      </c>
      <c r="C2037" s="1" t="s">
        <v>8061</v>
      </c>
      <c r="D2037" s="1" t="s">
        <v>795</v>
      </c>
      <c r="E2037" s="1" t="s">
        <v>795</v>
      </c>
      <c r="F2037" s="1" t="s">
        <v>30</v>
      </c>
      <c r="G2037" s="1" t="s">
        <v>8062</v>
      </c>
      <c r="H2037" s="1" t="s">
        <v>1762</v>
      </c>
      <c r="I2037" t="b">
        <f>COUNTIF(Estadísticas!I:I,'centraldecomunicacion.es'!H2037)&gt;0</f>
        <v>0</v>
      </c>
    </row>
    <row r="2038" spans="1:9" hidden="1">
      <c r="A2038" s="1" t="s">
        <v>8063</v>
      </c>
      <c r="B2038" s="1" t="s">
        <v>18</v>
      </c>
      <c r="C2038" s="1" t="s">
        <v>8064</v>
      </c>
      <c r="D2038" s="1" t="s">
        <v>795</v>
      </c>
      <c r="E2038" s="1" t="s">
        <v>795</v>
      </c>
      <c r="F2038" s="1" t="s">
        <v>7494</v>
      </c>
      <c r="G2038" s="1" t="s">
        <v>8065</v>
      </c>
      <c r="H2038" s="1" t="s">
        <v>7496</v>
      </c>
      <c r="I2038" t="b">
        <f>COUNTIF(Estadísticas!I:I,'centraldecomunicacion.es'!H2038)&gt;0</f>
        <v>0</v>
      </c>
    </row>
    <row r="2039" spans="1:9" hidden="1">
      <c r="A2039" s="1" t="s">
        <v>8066</v>
      </c>
      <c r="B2039" s="1" t="s">
        <v>18</v>
      </c>
      <c r="C2039" s="1" t="s">
        <v>8067</v>
      </c>
      <c r="D2039" s="1" t="s">
        <v>795</v>
      </c>
      <c r="E2039" s="1" t="s">
        <v>795</v>
      </c>
      <c r="F2039" s="1" t="s">
        <v>30</v>
      </c>
      <c r="G2039" s="1" t="s">
        <v>8068</v>
      </c>
      <c r="H2039" s="1" t="s">
        <v>1762</v>
      </c>
      <c r="I2039" t="b">
        <f>COUNTIF(Estadísticas!I:I,'centraldecomunicacion.es'!H2039)&gt;0</f>
        <v>0</v>
      </c>
    </row>
    <row r="2040" spans="1:9" hidden="1">
      <c r="A2040" s="1" t="s">
        <v>8069</v>
      </c>
      <c r="B2040" s="1" t="s">
        <v>10</v>
      </c>
      <c r="C2040" s="1" t="s">
        <v>8070</v>
      </c>
      <c r="D2040" s="1" t="s">
        <v>795</v>
      </c>
      <c r="E2040" s="1" t="s">
        <v>795</v>
      </c>
      <c r="F2040" s="1" t="s">
        <v>30</v>
      </c>
      <c r="G2040" s="1" t="s">
        <v>30</v>
      </c>
      <c r="H2040" s="1" t="s">
        <v>1762</v>
      </c>
      <c r="I2040" t="b">
        <f>COUNTIF(Estadísticas!I:I,'centraldecomunicacion.es'!H2040)&gt;0</f>
        <v>0</v>
      </c>
    </row>
    <row r="2041" spans="1:9" hidden="1">
      <c r="A2041" s="1" t="s">
        <v>8071</v>
      </c>
      <c r="B2041" s="1" t="s">
        <v>10</v>
      </c>
      <c r="C2041" s="1" t="s">
        <v>8072</v>
      </c>
      <c r="D2041" s="1" t="s">
        <v>8073</v>
      </c>
      <c r="E2041" s="1" t="s">
        <v>795</v>
      </c>
      <c r="F2041" s="1" t="s">
        <v>30</v>
      </c>
      <c r="G2041" s="1" t="s">
        <v>8074</v>
      </c>
      <c r="H2041" s="1" t="s">
        <v>1762</v>
      </c>
      <c r="I2041" t="b">
        <f>COUNTIF(Estadísticas!I:I,'centraldecomunicacion.es'!H2041)&gt;0</f>
        <v>0</v>
      </c>
    </row>
    <row r="2042" spans="1:9" hidden="1">
      <c r="A2042" s="1" t="s">
        <v>8075</v>
      </c>
      <c r="B2042" s="1" t="s">
        <v>10</v>
      </c>
      <c r="C2042" s="1" t="s">
        <v>8076</v>
      </c>
      <c r="D2042" s="1" t="s">
        <v>8077</v>
      </c>
      <c r="E2042" s="1" t="s">
        <v>795</v>
      </c>
      <c r="F2042" s="1" t="s">
        <v>8078</v>
      </c>
      <c r="G2042" s="1" t="s">
        <v>8079</v>
      </c>
      <c r="H2042" s="1" t="s">
        <v>1762</v>
      </c>
      <c r="I2042" t="b">
        <f>COUNTIF(Estadísticas!I:I,'centraldecomunicacion.es'!H2042)&gt;0</f>
        <v>0</v>
      </c>
    </row>
    <row r="2043" spans="1:9" hidden="1">
      <c r="A2043" s="1" t="s">
        <v>8080</v>
      </c>
      <c r="B2043" s="1" t="s">
        <v>10</v>
      </c>
      <c r="C2043" s="1" t="s">
        <v>8081</v>
      </c>
      <c r="D2043" s="1" t="s">
        <v>8073</v>
      </c>
      <c r="E2043" s="1" t="s">
        <v>795</v>
      </c>
      <c r="F2043" s="1" t="s">
        <v>8082</v>
      </c>
      <c r="G2043" s="1" t="s">
        <v>8083</v>
      </c>
      <c r="H2043" s="1" t="s">
        <v>8084</v>
      </c>
      <c r="I2043" t="b">
        <f>COUNTIF(Estadísticas!I:I,'centraldecomunicacion.es'!H2043)&gt;0</f>
        <v>0</v>
      </c>
    </row>
    <row r="2044" spans="1:9" hidden="1">
      <c r="A2044" s="1" t="s">
        <v>8085</v>
      </c>
      <c r="B2044" s="1" t="s">
        <v>10</v>
      </c>
      <c r="C2044" s="1" t="s">
        <v>8086</v>
      </c>
      <c r="D2044" s="1" t="s">
        <v>8087</v>
      </c>
      <c r="E2044" s="1" t="s">
        <v>795</v>
      </c>
      <c r="F2044" s="1" t="s">
        <v>30</v>
      </c>
      <c r="G2044" s="1" t="s">
        <v>8088</v>
      </c>
      <c r="H2044" s="1" t="s">
        <v>1762</v>
      </c>
      <c r="I2044" t="b">
        <f>COUNTIF(Estadísticas!I:I,'centraldecomunicacion.es'!H2044)&gt;0</f>
        <v>0</v>
      </c>
    </row>
    <row r="2045" spans="1:9" hidden="1">
      <c r="A2045" s="1" t="s">
        <v>8089</v>
      </c>
      <c r="B2045" s="1" t="s">
        <v>10</v>
      </c>
      <c r="C2045" s="1" t="s">
        <v>8090</v>
      </c>
      <c r="D2045" s="1" t="s">
        <v>8073</v>
      </c>
      <c r="E2045" s="1" t="s">
        <v>795</v>
      </c>
      <c r="F2045" s="1" t="s">
        <v>30</v>
      </c>
      <c r="G2045" s="1" t="s">
        <v>8091</v>
      </c>
      <c r="H2045" s="1" t="s">
        <v>1762</v>
      </c>
      <c r="I2045" t="b">
        <f>COUNTIF(Estadísticas!I:I,'centraldecomunicacion.es'!H2045)&gt;0</f>
        <v>0</v>
      </c>
    </row>
    <row r="2046" spans="1:9" hidden="1">
      <c r="A2046" s="1" t="s">
        <v>8092</v>
      </c>
      <c r="B2046" s="1" t="s">
        <v>10</v>
      </c>
      <c r="C2046" s="1" t="s">
        <v>30</v>
      </c>
      <c r="D2046" s="1" t="s">
        <v>8046</v>
      </c>
      <c r="E2046" s="1" t="s">
        <v>30</v>
      </c>
      <c r="F2046" s="1" t="s">
        <v>30</v>
      </c>
      <c r="G2046" s="1" t="s">
        <v>8093</v>
      </c>
      <c r="H2046" s="1" t="s">
        <v>1762</v>
      </c>
      <c r="I2046" t="b">
        <f>COUNTIF(Estadísticas!I:I,'centraldecomunicacion.es'!H2046)&gt;0</f>
        <v>0</v>
      </c>
    </row>
    <row r="2047" spans="1:9">
      <c r="A2047" s="1" t="s">
        <v>804</v>
      </c>
      <c r="B2047" s="1" t="s">
        <v>10</v>
      </c>
      <c r="C2047" s="1" t="s">
        <v>805</v>
      </c>
      <c r="D2047" s="1" t="s">
        <v>806</v>
      </c>
      <c r="E2047" s="1" t="s">
        <v>795</v>
      </c>
      <c r="F2047" s="1" t="s">
        <v>807</v>
      </c>
      <c r="G2047" s="1" t="s">
        <v>808</v>
      </c>
      <c r="H2047" s="1" t="s">
        <v>809</v>
      </c>
      <c r="I2047" t="b">
        <f>COUNTIF(Estadísticas!I:I,'centraldecomunicacion.es'!H2047)&gt;0</f>
        <v>1</v>
      </c>
    </row>
    <row r="2048" spans="1:9" hidden="1">
      <c r="A2048" s="1" t="s">
        <v>8094</v>
      </c>
      <c r="B2048" s="1" t="s">
        <v>10</v>
      </c>
      <c r="C2048" s="1" t="s">
        <v>8095</v>
      </c>
      <c r="D2048" s="1" t="s">
        <v>8096</v>
      </c>
      <c r="E2048" s="1" t="s">
        <v>795</v>
      </c>
      <c r="F2048" s="1" t="s">
        <v>30</v>
      </c>
      <c r="G2048" s="1" t="s">
        <v>8097</v>
      </c>
      <c r="H2048" s="1" t="s">
        <v>1762</v>
      </c>
      <c r="I2048" t="b">
        <f>COUNTIF(Estadísticas!I:I,'centraldecomunicacion.es'!H2048)&gt;0</f>
        <v>0</v>
      </c>
    </row>
    <row r="2049" spans="1:9" hidden="1">
      <c r="A2049" s="1" t="s">
        <v>8098</v>
      </c>
      <c r="B2049" s="1" t="s">
        <v>10</v>
      </c>
      <c r="C2049" s="1" t="s">
        <v>30</v>
      </c>
      <c r="D2049" s="1" t="s">
        <v>8046</v>
      </c>
      <c r="E2049" s="1" t="s">
        <v>30</v>
      </c>
      <c r="F2049" s="1" t="s">
        <v>30</v>
      </c>
      <c r="G2049" s="1" t="s">
        <v>8099</v>
      </c>
      <c r="H2049" s="1" t="s">
        <v>1762</v>
      </c>
      <c r="I2049" t="b">
        <f>COUNTIF(Estadísticas!I:I,'centraldecomunicacion.es'!H2049)&gt;0</f>
        <v>0</v>
      </c>
    </row>
    <row r="2050" spans="1:9" hidden="1">
      <c r="A2050" s="1" t="s">
        <v>8100</v>
      </c>
      <c r="B2050" s="1" t="s">
        <v>10</v>
      </c>
      <c r="C2050" s="1" t="s">
        <v>8101</v>
      </c>
      <c r="D2050" s="1" t="s">
        <v>8073</v>
      </c>
      <c r="E2050" s="1" t="s">
        <v>795</v>
      </c>
      <c r="F2050" s="1" t="s">
        <v>30</v>
      </c>
      <c r="G2050" s="1" t="s">
        <v>8102</v>
      </c>
      <c r="H2050" s="1" t="s">
        <v>1762</v>
      </c>
      <c r="I2050" t="b">
        <f>COUNTIF(Estadísticas!I:I,'centraldecomunicacion.es'!H2050)&gt;0</f>
        <v>0</v>
      </c>
    </row>
    <row r="2051" spans="1:9" hidden="1">
      <c r="A2051" s="1" t="s">
        <v>8103</v>
      </c>
      <c r="B2051" s="1" t="s">
        <v>10</v>
      </c>
      <c r="C2051" s="1" t="s">
        <v>8104</v>
      </c>
      <c r="D2051" s="1" t="s">
        <v>8105</v>
      </c>
      <c r="E2051" s="1" t="s">
        <v>795</v>
      </c>
      <c r="F2051" s="1" t="s">
        <v>30</v>
      </c>
      <c r="G2051" s="1" t="s">
        <v>8106</v>
      </c>
      <c r="H2051" s="1" t="s">
        <v>1762</v>
      </c>
      <c r="I2051" t="b">
        <f>COUNTIF(Estadísticas!I:I,'centraldecomunicacion.es'!H2051)&gt;0</f>
        <v>0</v>
      </c>
    </row>
    <row r="2052" spans="1:9" hidden="1">
      <c r="A2052" s="1" t="s">
        <v>8107</v>
      </c>
      <c r="B2052" s="1" t="s">
        <v>10</v>
      </c>
      <c r="C2052" s="1" t="s">
        <v>8108</v>
      </c>
      <c r="D2052" s="1" t="s">
        <v>8073</v>
      </c>
      <c r="E2052" s="1" t="s">
        <v>795</v>
      </c>
      <c r="F2052" s="1" t="s">
        <v>30</v>
      </c>
      <c r="G2052" s="1" t="s">
        <v>8109</v>
      </c>
      <c r="H2052" s="1" t="s">
        <v>1762</v>
      </c>
      <c r="I2052" t="b">
        <f>COUNTIF(Estadísticas!I:I,'centraldecomunicacion.es'!H2052)&gt;0</f>
        <v>0</v>
      </c>
    </row>
    <row r="2053" spans="1:9" hidden="1">
      <c r="A2053" s="1" t="s">
        <v>8110</v>
      </c>
      <c r="B2053" s="1" t="s">
        <v>10</v>
      </c>
      <c r="C2053" s="1" t="s">
        <v>8111</v>
      </c>
      <c r="D2053" s="1" t="s">
        <v>8096</v>
      </c>
      <c r="E2053" s="1" t="s">
        <v>795</v>
      </c>
      <c r="F2053" s="1" t="s">
        <v>30</v>
      </c>
      <c r="G2053" s="1" t="s">
        <v>8112</v>
      </c>
      <c r="H2053" s="1" t="s">
        <v>1762</v>
      </c>
      <c r="I2053" t="b">
        <f>COUNTIF(Estadísticas!I:I,'centraldecomunicacion.es'!H2053)&gt;0</f>
        <v>0</v>
      </c>
    </row>
    <row r="2054" spans="1:9">
      <c r="A2054" s="1" t="s">
        <v>810</v>
      </c>
      <c r="B2054" s="1" t="s">
        <v>10</v>
      </c>
      <c r="C2054" s="1" t="s">
        <v>811</v>
      </c>
      <c r="D2054" s="1" t="s">
        <v>812</v>
      </c>
      <c r="E2054" s="1" t="s">
        <v>795</v>
      </c>
      <c r="F2054" s="1" t="s">
        <v>813</v>
      </c>
      <c r="G2054" s="1" t="s">
        <v>814</v>
      </c>
      <c r="H2054" s="1" t="s">
        <v>815</v>
      </c>
      <c r="I2054" t="b">
        <f>COUNTIF(Estadísticas!I:I,'centraldecomunicacion.es'!H2054)&gt;0</f>
        <v>1</v>
      </c>
    </row>
    <row r="2055" spans="1:9" hidden="1">
      <c r="A2055" s="1" t="s">
        <v>8113</v>
      </c>
      <c r="B2055" s="1" t="s">
        <v>10</v>
      </c>
      <c r="C2055" s="1" t="s">
        <v>8114</v>
      </c>
      <c r="D2055" s="1" t="s">
        <v>812</v>
      </c>
      <c r="E2055" s="1" t="s">
        <v>795</v>
      </c>
      <c r="F2055" s="1" t="s">
        <v>8115</v>
      </c>
      <c r="G2055" s="1" t="s">
        <v>8116</v>
      </c>
      <c r="H2055" s="1" t="s">
        <v>1762</v>
      </c>
      <c r="I2055" t="b">
        <f>COUNTIF(Estadísticas!I:I,'centraldecomunicacion.es'!H2055)&gt;0</f>
        <v>0</v>
      </c>
    </row>
    <row r="2056" spans="1:9" hidden="1">
      <c r="A2056" s="1" t="s">
        <v>8117</v>
      </c>
      <c r="B2056" s="1" t="s">
        <v>10</v>
      </c>
      <c r="C2056" s="1" t="s">
        <v>8118</v>
      </c>
      <c r="D2056" s="1" t="s">
        <v>8119</v>
      </c>
      <c r="E2056" s="1" t="s">
        <v>795</v>
      </c>
      <c r="F2056" s="1" t="s">
        <v>8120</v>
      </c>
      <c r="G2056" s="1" t="s">
        <v>8121</v>
      </c>
      <c r="H2056" s="1" t="s">
        <v>1762</v>
      </c>
      <c r="I2056" t="b">
        <f>COUNTIF(Estadísticas!I:I,'centraldecomunicacion.es'!H2056)&gt;0</f>
        <v>0</v>
      </c>
    </row>
    <row r="2057" spans="1:9" hidden="1">
      <c r="A2057" s="1" t="s">
        <v>8122</v>
      </c>
      <c r="B2057" s="1" t="s">
        <v>10</v>
      </c>
      <c r="C2057" s="1" t="s">
        <v>8123</v>
      </c>
      <c r="D2057" s="1" t="s">
        <v>8124</v>
      </c>
      <c r="E2057" s="1" t="s">
        <v>795</v>
      </c>
      <c r="F2057" s="1" t="s">
        <v>8125</v>
      </c>
      <c r="G2057" s="1" t="s">
        <v>8126</v>
      </c>
      <c r="H2057" s="1" t="s">
        <v>8127</v>
      </c>
      <c r="I2057" t="b">
        <f>COUNTIF(Estadísticas!I:I,'centraldecomunicacion.es'!H2057)&gt;0</f>
        <v>0</v>
      </c>
    </row>
    <row r="2058" spans="1:9" hidden="1">
      <c r="A2058" s="1" t="s">
        <v>8128</v>
      </c>
      <c r="B2058" s="1" t="s">
        <v>10</v>
      </c>
      <c r="C2058" s="1" t="s">
        <v>8129</v>
      </c>
      <c r="D2058" s="1" t="s">
        <v>8073</v>
      </c>
      <c r="E2058" s="1" t="s">
        <v>795</v>
      </c>
      <c r="F2058" s="1" t="s">
        <v>30</v>
      </c>
      <c r="G2058" s="1" t="s">
        <v>8130</v>
      </c>
      <c r="H2058" s="1" t="s">
        <v>1762</v>
      </c>
      <c r="I2058" t="b">
        <f>COUNTIF(Estadísticas!I:I,'centraldecomunicacion.es'!H2058)&gt;0</f>
        <v>0</v>
      </c>
    </row>
    <row r="2059" spans="1:9" hidden="1">
      <c r="A2059" s="1" t="s">
        <v>8131</v>
      </c>
      <c r="B2059" s="1" t="s">
        <v>10</v>
      </c>
      <c r="C2059" s="1" t="s">
        <v>8132</v>
      </c>
      <c r="D2059" s="1" t="s">
        <v>8133</v>
      </c>
      <c r="E2059" s="1" t="s">
        <v>795</v>
      </c>
      <c r="F2059" s="1" t="s">
        <v>30</v>
      </c>
      <c r="G2059" s="1" t="s">
        <v>8134</v>
      </c>
      <c r="H2059" s="1" t="s">
        <v>1762</v>
      </c>
      <c r="I2059" t="b">
        <f>COUNTIF(Estadísticas!I:I,'centraldecomunicacion.es'!H2059)&gt;0</f>
        <v>0</v>
      </c>
    </row>
    <row r="2060" spans="1:9" hidden="1">
      <c r="A2060" s="1" t="s">
        <v>8135</v>
      </c>
      <c r="B2060" s="1" t="s">
        <v>18</v>
      </c>
      <c r="C2060" s="1" t="s">
        <v>8136</v>
      </c>
      <c r="D2060" s="1" t="s">
        <v>926</v>
      </c>
      <c r="E2060" s="1" t="s">
        <v>926</v>
      </c>
      <c r="F2060" s="1" t="s">
        <v>8137</v>
      </c>
      <c r="G2060" s="1" t="s">
        <v>8138</v>
      </c>
      <c r="H2060" s="1" t="s">
        <v>1762</v>
      </c>
      <c r="I2060" t="b">
        <f>COUNTIF(Estadísticas!I:I,'centraldecomunicacion.es'!H2060)&gt;0</f>
        <v>0</v>
      </c>
    </row>
    <row r="2061" spans="1:9" hidden="1">
      <c r="A2061" s="1" t="s">
        <v>8139</v>
      </c>
      <c r="B2061" s="1" t="s">
        <v>10</v>
      </c>
      <c r="C2061" s="1" t="s">
        <v>8140</v>
      </c>
      <c r="D2061" s="1" t="s">
        <v>8073</v>
      </c>
      <c r="E2061" s="1" t="s">
        <v>795</v>
      </c>
      <c r="F2061" s="1" t="s">
        <v>30</v>
      </c>
      <c r="G2061" s="1" t="s">
        <v>8141</v>
      </c>
      <c r="H2061" s="1" t="s">
        <v>1762</v>
      </c>
      <c r="I2061" t="b">
        <f>COUNTIF(Estadísticas!I:I,'centraldecomunicacion.es'!H2061)&gt;0</f>
        <v>0</v>
      </c>
    </row>
    <row r="2062" spans="1:9" hidden="1">
      <c r="A2062" s="1" t="s">
        <v>8142</v>
      </c>
      <c r="B2062" s="1" t="s">
        <v>10</v>
      </c>
      <c r="C2062" s="1" t="s">
        <v>8143</v>
      </c>
      <c r="D2062" s="1" t="s">
        <v>8144</v>
      </c>
      <c r="E2062" s="1" t="s">
        <v>795</v>
      </c>
      <c r="F2062" s="1" t="s">
        <v>30</v>
      </c>
      <c r="G2062" s="1" t="s">
        <v>8145</v>
      </c>
      <c r="H2062" s="1" t="s">
        <v>1762</v>
      </c>
      <c r="I2062" t="b">
        <f>COUNTIF(Estadísticas!I:I,'centraldecomunicacion.es'!H2062)&gt;0</f>
        <v>0</v>
      </c>
    </row>
    <row r="2063" spans="1:9" hidden="1">
      <c r="A2063" s="1" t="s">
        <v>8146</v>
      </c>
      <c r="B2063" s="1" t="s">
        <v>10</v>
      </c>
      <c r="C2063" s="1" t="s">
        <v>8147</v>
      </c>
      <c r="D2063" s="1" t="s">
        <v>8124</v>
      </c>
      <c r="E2063" s="1" t="s">
        <v>795</v>
      </c>
      <c r="F2063" s="1" t="s">
        <v>30</v>
      </c>
      <c r="G2063" s="1" t="s">
        <v>8148</v>
      </c>
      <c r="H2063" s="1" t="s">
        <v>1762</v>
      </c>
      <c r="I2063" t="b">
        <f>COUNTIF(Estadísticas!I:I,'centraldecomunicacion.es'!H2063)&gt;0</f>
        <v>0</v>
      </c>
    </row>
    <row r="2064" spans="1:9" hidden="1">
      <c r="A2064" s="1" t="s">
        <v>8149</v>
      </c>
      <c r="B2064" s="1" t="s">
        <v>10</v>
      </c>
      <c r="C2064" s="1" t="s">
        <v>8150</v>
      </c>
      <c r="D2064" s="1" t="s">
        <v>8151</v>
      </c>
      <c r="E2064" s="1" t="s">
        <v>795</v>
      </c>
      <c r="F2064" s="1" t="s">
        <v>30</v>
      </c>
      <c r="G2064" s="1" t="s">
        <v>8152</v>
      </c>
      <c r="H2064" s="1" t="s">
        <v>1762</v>
      </c>
      <c r="I2064" t="b">
        <f>COUNTIF(Estadísticas!I:I,'centraldecomunicacion.es'!H2064)&gt;0</f>
        <v>0</v>
      </c>
    </row>
    <row r="2065" spans="1:9" hidden="1">
      <c r="A2065" s="1" t="s">
        <v>8153</v>
      </c>
      <c r="B2065" s="1" t="s">
        <v>10</v>
      </c>
      <c r="C2065" s="1" t="s">
        <v>8154</v>
      </c>
      <c r="D2065" s="1" t="s">
        <v>8155</v>
      </c>
      <c r="E2065" s="1" t="s">
        <v>795</v>
      </c>
      <c r="F2065" s="1" t="s">
        <v>30</v>
      </c>
      <c r="G2065" s="1" t="s">
        <v>30</v>
      </c>
      <c r="H2065" s="1" t="s">
        <v>1762</v>
      </c>
      <c r="I2065" t="b">
        <f>COUNTIF(Estadísticas!I:I,'centraldecomunicacion.es'!H2065)&gt;0</f>
        <v>0</v>
      </c>
    </row>
    <row r="2066" spans="1:9" hidden="1">
      <c r="A2066" s="1" t="s">
        <v>8156</v>
      </c>
      <c r="B2066" s="1" t="s">
        <v>10</v>
      </c>
      <c r="C2066" s="1" t="s">
        <v>8157</v>
      </c>
      <c r="D2066" s="1" t="s">
        <v>8158</v>
      </c>
      <c r="E2066" s="1" t="s">
        <v>795</v>
      </c>
      <c r="F2066" s="1" t="s">
        <v>30</v>
      </c>
      <c r="G2066" s="1" t="s">
        <v>30</v>
      </c>
      <c r="H2066" s="1" t="s">
        <v>1762</v>
      </c>
      <c r="I2066" t="b">
        <f>COUNTIF(Estadísticas!I:I,'centraldecomunicacion.es'!H2066)&gt;0</f>
        <v>0</v>
      </c>
    </row>
    <row r="2067" spans="1:9" hidden="1">
      <c r="A2067" s="1" t="s">
        <v>8159</v>
      </c>
      <c r="B2067" s="1" t="s">
        <v>10</v>
      </c>
      <c r="C2067" s="1" t="s">
        <v>8160</v>
      </c>
      <c r="D2067" s="1" t="s">
        <v>8161</v>
      </c>
      <c r="E2067" s="1" t="s">
        <v>795</v>
      </c>
      <c r="F2067" s="1" t="s">
        <v>30</v>
      </c>
      <c r="G2067" s="1" t="s">
        <v>8162</v>
      </c>
      <c r="H2067" s="1" t="s">
        <v>1762</v>
      </c>
      <c r="I2067" t="b">
        <f>COUNTIF(Estadísticas!I:I,'centraldecomunicacion.es'!H2067)&gt;0</f>
        <v>0</v>
      </c>
    </row>
    <row r="2068" spans="1:9" hidden="1">
      <c r="A2068" s="1" t="s">
        <v>8163</v>
      </c>
      <c r="B2068" s="1" t="s">
        <v>10</v>
      </c>
      <c r="C2068" s="1" t="s">
        <v>8164</v>
      </c>
      <c r="D2068" s="1" t="s">
        <v>8165</v>
      </c>
      <c r="E2068" s="1" t="s">
        <v>795</v>
      </c>
      <c r="F2068" s="1" t="s">
        <v>30</v>
      </c>
      <c r="G2068" s="1" t="s">
        <v>8166</v>
      </c>
      <c r="H2068" s="1" t="s">
        <v>1762</v>
      </c>
      <c r="I2068" t="b">
        <f>COUNTIF(Estadísticas!I:I,'centraldecomunicacion.es'!H2068)&gt;0</f>
        <v>0</v>
      </c>
    </row>
    <row r="2069" spans="1:9" hidden="1">
      <c r="A2069" s="1" t="s">
        <v>8167</v>
      </c>
      <c r="B2069" s="1" t="s">
        <v>10</v>
      </c>
      <c r="C2069" s="1" t="s">
        <v>8168</v>
      </c>
      <c r="D2069" s="1" t="s">
        <v>812</v>
      </c>
      <c r="E2069" s="1" t="s">
        <v>795</v>
      </c>
      <c r="F2069" s="1" t="s">
        <v>8169</v>
      </c>
      <c r="G2069" s="1" t="s">
        <v>8170</v>
      </c>
      <c r="H2069" s="1" t="s">
        <v>1762</v>
      </c>
      <c r="I2069" t="b">
        <f>COUNTIF(Estadísticas!I:I,'centraldecomunicacion.es'!H2069)&gt;0</f>
        <v>0</v>
      </c>
    </row>
    <row r="2070" spans="1:9" hidden="1">
      <c r="A2070" s="1" t="s">
        <v>8171</v>
      </c>
      <c r="B2070" s="1" t="s">
        <v>10</v>
      </c>
      <c r="C2070" s="1" t="s">
        <v>8172</v>
      </c>
      <c r="D2070" s="1" t="s">
        <v>8173</v>
      </c>
      <c r="E2070" s="1" t="s">
        <v>795</v>
      </c>
      <c r="F2070" s="1" t="s">
        <v>30</v>
      </c>
      <c r="G2070" s="1" t="s">
        <v>8174</v>
      </c>
      <c r="H2070" s="1" t="s">
        <v>1762</v>
      </c>
      <c r="I2070" t="b">
        <f>COUNTIF(Estadísticas!I:I,'centraldecomunicacion.es'!H2070)&gt;0</f>
        <v>0</v>
      </c>
    </row>
    <row r="2071" spans="1:9" hidden="1">
      <c r="A2071" s="1" t="s">
        <v>8175</v>
      </c>
      <c r="B2071" s="1" t="s">
        <v>10</v>
      </c>
      <c r="C2071" s="1" t="s">
        <v>8176</v>
      </c>
      <c r="D2071" s="1" t="s">
        <v>8073</v>
      </c>
      <c r="E2071" s="1" t="s">
        <v>795</v>
      </c>
      <c r="F2071" s="1" t="s">
        <v>30</v>
      </c>
      <c r="G2071" s="1" t="s">
        <v>8177</v>
      </c>
      <c r="H2071" s="1" t="s">
        <v>1762</v>
      </c>
      <c r="I2071" t="b">
        <f>COUNTIF(Estadísticas!I:I,'centraldecomunicacion.es'!H2071)&gt;0</f>
        <v>0</v>
      </c>
    </row>
    <row r="2072" spans="1:9" hidden="1">
      <c r="A2072" s="1" t="s">
        <v>8178</v>
      </c>
      <c r="B2072" s="1" t="s">
        <v>10</v>
      </c>
      <c r="C2072" s="1" t="s">
        <v>8179</v>
      </c>
      <c r="D2072" s="1" t="s">
        <v>8144</v>
      </c>
      <c r="E2072" s="1" t="s">
        <v>795</v>
      </c>
      <c r="F2072" s="1" t="s">
        <v>30</v>
      </c>
      <c r="G2072" s="1" t="s">
        <v>30</v>
      </c>
      <c r="H2072" s="1" t="s">
        <v>1762</v>
      </c>
      <c r="I2072" t="b">
        <f>COUNTIF(Estadísticas!I:I,'centraldecomunicacion.es'!H2072)&gt;0</f>
        <v>0</v>
      </c>
    </row>
    <row r="2073" spans="1:9" hidden="1">
      <c r="A2073" s="1" t="s">
        <v>8180</v>
      </c>
      <c r="B2073" s="1" t="s">
        <v>10</v>
      </c>
      <c r="C2073" s="1" t="s">
        <v>8181</v>
      </c>
      <c r="D2073" s="1" t="s">
        <v>8182</v>
      </c>
      <c r="E2073" s="1" t="s">
        <v>795</v>
      </c>
      <c r="F2073" s="1" t="s">
        <v>30</v>
      </c>
      <c r="G2073" s="1" t="s">
        <v>30</v>
      </c>
      <c r="H2073" s="1" t="s">
        <v>1762</v>
      </c>
      <c r="I2073" t="b">
        <f>COUNTIF(Estadísticas!I:I,'centraldecomunicacion.es'!H2073)&gt;0</f>
        <v>0</v>
      </c>
    </row>
    <row r="2074" spans="1:9" hidden="1">
      <c r="A2074" s="1" t="s">
        <v>8183</v>
      </c>
      <c r="B2074" s="1" t="s">
        <v>10</v>
      </c>
      <c r="C2074" s="1" t="s">
        <v>8184</v>
      </c>
      <c r="D2074" s="1" t="s">
        <v>8185</v>
      </c>
      <c r="E2074" s="1" t="s">
        <v>795</v>
      </c>
      <c r="F2074" s="1" t="s">
        <v>30</v>
      </c>
      <c r="G2074" s="1" t="s">
        <v>8186</v>
      </c>
      <c r="H2074" s="1" t="s">
        <v>1762</v>
      </c>
      <c r="I2074" t="b">
        <f>COUNTIF(Estadísticas!I:I,'centraldecomunicacion.es'!H2074)&gt;0</f>
        <v>0</v>
      </c>
    </row>
    <row r="2075" spans="1:9" hidden="1">
      <c r="A2075" s="1" t="s">
        <v>8187</v>
      </c>
      <c r="B2075" s="1" t="s">
        <v>18</v>
      </c>
      <c r="C2075" s="1" t="s">
        <v>8188</v>
      </c>
      <c r="D2075" s="1" t="s">
        <v>8189</v>
      </c>
      <c r="E2075" s="1" t="s">
        <v>795</v>
      </c>
      <c r="F2075" s="1" t="s">
        <v>30</v>
      </c>
      <c r="G2075" s="1" t="s">
        <v>8190</v>
      </c>
      <c r="H2075" s="1" t="s">
        <v>1762</v>
      </c>
      <c r="I2075" t="b">
        <f>COUNTIF(Estadísticas!I:I,'centraldecomunicacion.es'!H2075)&gt;0</f>
        <v>0</v>
      </c>
    </row>
    <row r="2076" spans="1:9" hidden="1">
      <c r="A2076" s="1" t="s">
        <v>8191</v>
      </c>
      <c r="B2076" s="1" t="s">
        <v>10</v>
      </c>
      <c r="C2076" s="1" t="s">
        <v>8192</v>
      </c>
      <c r="D2076" s="1" t="s">
        <v>8193</v>
      </c>
      <c r="E2076" s="1" t="s">
        <v>795</v>
      </c>
      <c r="F2076" s="1" t="s">
        <v>30</v>
      </c>
      <c r="G2076" s="1" t="s">
        <v>8194</v>
      </c>
      <c r="H2076" s="1" t="s">
        <v>1762</v>
      </c>
      <c r="I2076" t="b">
        <f>COUNTIF(Estadísticas!I:I,'centraldecomunicacion.es'!H2076)&gt;0</f>
        <v>0</v>
      </c>
    </row>
    <row r="2077" spans="1:9" hidden="1">
      <c r="A2077" s="1" t="s">
        <v>8195</v>
      </c>
      <c r="B2077" s="1" t="s">
        <v>10</v>
      </c>
      <c r="C2077" s="1" t="s">
        <v>8196</v>
      </c>
      <c r="D2077" s="1" t="s">
        <v>8197</v>
      </c>
      <c r="E2077" s="1" t="s">
        <v>795</v>
      </c>
      <c r="F2077" s="1" t="s">
        <v>30</v>
      </c>
      <c r="G2077" s="1" t="s">
        <v>8198</v>
      </c>
      <c r="H2077" s="1" t="s">
        <v>1762</v>
      </c>
      <c r="I2077" t="b">
        <f>COUNTIF(Estadísticas!I:I,'centraldecomunicacion.es'!H2077)&gt;0</f>
        <v>0</v>
      </c>
    </row>
    <row r="2078" spans="1:9" hidden="1">
      <c r="A2078" s="1" t="s">
        <v>8199</v>
      </c>
      <c r="B2078" s="1" t="s">
        <v>10</v>
      </c>
      <c r="C2078" s="1" t="s">
        <v>8200</v>
      </c>
      <c r="D2078" s="1" t="s">
        <v>8201</v>
      </c>
      <c r="E2078" s="1" t="s">
        <v>795</v>
      </c>
      <c r="F2078" s="1" t="s">
        <v>30</v>
      </c>
      <c r="G2078" s="1" t="s">
        <v>30</v>
      </c>
      <c r="H2078" s="1" t="s">
        <v>1762</v>
      </c>
      <c r="I2078" t="b">
        <f>COUNTIF(Estadísticas!I:I,'centraldecomunicacion.es'!H2078)&gt;0</f>
        <v>0</v>
      </c>
    </row>
    <row r="2079" spans="1:9" hidden="1">
      <c r="A2079" s="1" t="s">
        <v>8202</v>
      </c>
      <c r="B2079" s="1" t="s">
        <v>10</v>
      </c>
      <c r="C2079" s="1" t="s">
        <v>8203</v>
      </c>
      <c r="D2079" s="1" t="s">
        <v>8204</v>
      </c>
      <c r="E2079" s="1" t="s">
        <v>795</v>
      </c>
      <c r="F2079" s="1" t="s">
        <v>8205</v>
      </c>
      <c r="G2079" s="1" t="s">
        <v>8206</v>
      </c>
      <c r="H2079" s="1" t="s">
        <v>8207</v>
      </c>
      <c r="I2079" t="b">
        <f>COUNTIF(Estadísticas!I:I,'centraldecomunicacion.es'!H2079)&gt;0</f>
        <v>0</v>
      </c>
    </row>
    <row r="2080" spans="1:9" hidden="1">
      <c r="A2080" s="1" t="s">
        <v>8208</v>
      </c>
      <c r="B2080" s="1" t="s">
        <v>10</v>
      </c>
      <c r="C2080" s="1" t="s">
        <v>8209</v>
      </c>
      <c r="D2080" s="1" t="s">
        <v>8210</v>
      </c>
      <c r="E2080" s="1" t="s">
        <v>795</v>
      </c>
      <c r="F2080" s="1" t="s">
        <v>30</v>
      </c>
      <c r="G2080" s="1" t="s">
        <v>8211</v>
      </c>
      <c r="H2080" s="1" t="s">
        <v>1762</v>
      </c>
      <c r="I2080" t="b">
        <f>COUNTIF(Estadísticas!I:I,'centraldecomunicacion.es'!H2080)&gt;0</f>
        <v>0</v>
      </c>
    </row>
    <row r="2081" spans="1:9" hidden="1">
      <c r="A2081" s="1" t="s">
        <v>8212</v>
      </c>
      <c r="B2081" s="1" t="s">
        <v>10</v>
      </c>
      <c r="C2081" s="1" t="s">
        <v>8213</v>
      </c>
      <c r="D2081" s="1" t="s">
        <v>8214</v>
      </c>
      <c r="E2081" s="1" t="s">
        <v>795</v>
      </c>
      <c r="F2081" s="1" t="s">
        <v>30</v>
      </c>
      <c r="G2081" s="1" t="s">
        <v>8215</v>
      </c>
      <c r="H2081" s="1" t="s">
        <v>1762</v>
      </c>
      <c r="I2081" t="b">
        <f>COUNTIF(Estadísticas!I:I,'centraldecomunicacion.es'!H2081)&gt;0</f>
        <v>0</v>
      </c>
    </row>
    <row r="2082" spans="1:9" hidden="1">
      <c r="A2082" s="1" t="s">
        <v>8216</v>
      </c>
      <c r="B2082" s="1" t="s">
        <v>10</v>
      </c>
      <c r="C2082" s="1" t="s">
        <v>8217</v>
      </c>
      <c r="D2082" s="1" t="s">
        <v>8155</v>
      </c>
      <c r="E2082" s="1" t="s">
        <v>795</v>
      </c>
      <c r="F2082" s="1" t="s">
        <v>30</v>
      </c>
      <c r="G2082" s="1" t="s">
        <v>30</v>
      </c>
      <c r="H2082" s="1" t="s">
        <v>1762</v>
      </c>
      <c r="I2082" t="b">
        <f>COUNTIF(Estadísticas!I:I,'centraldecomunicacion.es'!H2082)&gt;0</f>
        <v>0</v>
      </c>
    </row>
    <row r="2083" spans="1:9" hidden="1">
      <c r="A2083" s="1" t="s">
        <v>8218</v>
      </c>
      <c r="B2083" s="1" t="s">
        <v>18</v>
      </c>
      <c r="C2083" s="1" t="s">
        <v>8219</v>
      </c>
      <c r="D2083" s="1" t="s">
        <v>8073</v>
      </c>
      <c r="E2083" s="1" t="s">
        <v>795</v>
      </c>
      <c r="F2083" s="1" t="s">
        <v>30</v>
      </c>
      <c r="G2083" s="1" t="s">
        <v>8220</v>
      </c>
      <c r="H2083" s="1" t="s">
        <v>1762</v>
      </c>
      <c r="I2083" t="b">
        <f>COUNTIF(Estadísticas!I:I,'centraldecomunicacion.es'!H2083)&gt;0</f>
        <v>0</v>
      </c>
    </row>
    <row r="2084" spans="1:9" hidden="1">
      <c r="A2084" s="1" t="s">
        <v>8221</v>
      </c>
      <c r="B2084" s="1" t="s">
        <v>10</v>
      </c>
      <c r="C2084" s="1" t="s">
        <v>8222</v>
      </c>
      <c r="D2084" s="1" t="s">
        <v>8193</v>
      </c>
      <c r="E2084" s="1" t="s">
        <v>795</v>
      </c>
      <c r="F2084" s="1" t="s">
        <v>30</v>
      </c>
      <c r="G2084" s="1" t="s">
        <v>8223</v>
      </c>
      <c r="H2084" s="1" t="s">
        <v>1762</v>
      </c>
      <c r="I2084" t="b">
        <f>COUNTIF(Estadísticas!I:I,'centraldecomunicacion.es'!H2084)&gt;0</f>
        <v>0</v>
      </c>
    </row>
    <row r="2085" spans="1:9" hidden="1">
      <c r="A2085" s="1" t="s">
        <v>8224</v>
      </c>
      <c r="B2085" s="1" t="s">
        <v>10</v>
      </c>
      <c r="C2085" s="1" t="s">
        <v>8225</v>
      </c>
      <c r="D2085" s="1" t="s">
        <v>8226</v>
      </c>
      <c r="E2085" s="1" t="s">
        <v>795</v>
      </c>
      <c r="F2085" s="1" t="s">
        <v>30</v>
      </c>
      <c r="G2085" s="1" t="s">
        <v>30</v>
      </c>
      <c r="H2085" s="1" t="s">
        <v>1762</v>
      </c>
      <c r="I2085" t="b">
        <f>COUNTIF(Estadísticas!I:I,'centraldecomunicacion.es'!H2085)&gt;0</f>
        <v>0</v>
      </c>
    </row>
    <row r="2086" spans="1:9" hidden="1">
      <c r="A2086" s="1" t="s">
        <v>8227</v>
      </c>
      <c r="B2086" s="1" t="s">
        <v>10</v>
      </c>
      <c r="C2086" s="1" t="s">
        <v>8228</v>
      </c>
      <c r="D2086" s="1" t="s">
        <v>8155</v>
      </c>
      <c r="E2086" s="1" t="s">
        <v>795</v>
      </c>
      <c r="F2086" s="1" t="s">
        <v>30</v>
      </c>
      <c r="G2086" s="1" t="s">
        <v>7369</v>
      </c>
      <c r="H2086" s="1" t="s">
        <v>1762</v>
      </c>
      <c r="I2086" t="b">
        <f>COUNTIF(Estadísticas!I:I,'centraldecomunicacion.es'!H2086)&gt;0</f>
        <v>0</v>
      </c>
    </row>
    <row r="2087" spans="1:9" hidden="1">
      <c r="A2087" s="1" t="s">
        <v>8229</v>
      </c>
      <c r="B2087" s="1" t="s">
        <v>10</v>
      </c>
      <c r="C2087" s="1" t="s">
        <v>8230</v>
      </c>
      <c r="D2087" s="1" t="s">
        <v>8197</v>
      </c>
      <c r="E2087" s="1" t="s">
        <v>795</v>
      </c>
      <c r="F2087" s="1" t="s">
        <v>30</v>
      </c>
      <c r="G2087" s="1" t="s">
        <v>8231</v>
      </c>
      <c r="H2087" s="1" t="s">
        <v>1762</v>
      </c>
      <c r="I2087" t="b">
        <f>COUNTIF(Estadísticas!I:I,'centraldecomunicacion.es'!H2087)&gt;0</f>
        <v>0</v>
      </c>
    </row>
    <row r="2088" spans="1:9" hidden="1">
      <c r="A2088" s="1" t="s">
        <v>8232</v>
      </c>
      <c r="B2088" s="1" t="s">
        <v>10</v>
      </c>
      <c r="C2088" s="1" t="s">
        <v>8233</v>
      </c>
      <c r="D2088" s="1" t="s">
        <v>8234</v>
      </c>
      <c r="E2088" s="1" t="s">
        <v>795</v>
      </c>
      <c r="F2088" s="1" t="s">
        <v>30</v>
      </c>
      <c r="G2088" s="1" t="s">
        <v>30</v>
      </c>
      <c r="H2088" s="1" t="s">
        <v>1762</v>
      </c>
      <c r="I2088" t="b">
        <f>COUNTIF(Estadísticas!I:I,'centraldecomunicacion.es'!H2088)&gt;0</f>
        <v>0</v>
      </c>
    </row>
    <row r="2089" spans="1:9" hidden="1">
      <c r="A2089" s="1" t="s">
        <v>8235</v>
      </c>
      <c r="B2089" s="1" t="s">
        <v>10</v>
      </c>
      <c r="C2089" s="1" t="s">
        <v>8236</v>
      </c>
      <c r="D2089" s="1" t="s">
        <v>8155</v>
      </c>
      <c r="E2089" s="1" t="s">
        <v>795</v>
      </c>
      <c r="F2089" s="1" t="s">
        <v>30</v>
      </c>
      <c r="G2089" s="1" t="s">
        <v>8237</v>
      </c>
      <c r="H2089" s="1" t="s">
        <v>1762</v>
      </c>
      <c r="I2089" t="b">
        <f>COUNTIF(Estadísticas!I:I,'centraldecomunicacion.es'!H2089)&gt;0</f>
        <v>0</v>
      </c>
    </row>
    <row r="2090" spans="1:9" hidden="1">
      <c r="A2090" s="1" t="s">
        <v>8238</v>
      </c>
      <c r="B2090" s="1" t="s">
        <v>10</v>
      </c>
      <c r="C2090" s="1" t="s">
        <v>8239</v>
      </c>
      <c r="D2090" s="1" t="s">
        <v>8234</v>
      </c>
      <c r="E2090" s="1" t="s">
        <v>795</v>
      </c>
      <c r="F2090" s="1" t="s">
        <v>30</v>
      </c>
      <c r="G2090" s="1" t="s">
        <v>8240</v>
      </c>
      <c r="H2090" s="1" t="s">
        <v>1762</v>
      </c>
      <c r="I2090" t="b">
        <f>COUNTIF(Estadísticas!I:I,'centraldecomunicacion.es'!H2090)&gt;0</f>
        <v>0</v>
      </c>
    </row>
    <row r="2091" spans="1:9" hidden="1">
      <c r="A2091" s="1" t="s">
        <v>8241</v>
      </c>
      <c r="B2091" s="1" t="s">
        <v>18</v>
      </c>
      <c r="C2091" s="1" t="s">
        <v>8242</v>
      </c>
      <c r="D2091" s="1" t="s">
        <v>806</v>
      </c>
      <c r="E2091" s="1" t="s">
        <v>795</v>
      </c>
      <c r="F2091" s="1" t="s">
        <v>30</v>
      </c>
      <c r="G2091" s="1" t="s">
        <v>8243</v>
      </c>
      <c r="H2091" s="1" t="s">
        <v>1762</v>
      </c>
      <c r="I2091" t="b">
        <f>COUNTIF(Estadísticas!I:I,'centraldecomunicacion.es'!H2091)&gt;0</f>
        <v>0</v>
      </c>
    </row>
    <row r="2092" spans="1:9" hidden="1">
      <c r="A2092" s="1" t="s">
        <v>8244</v>
      </c>
      <c r="B2092" s="1" t="s">
        <v>10</v>
      </c>
      <c r="C2092" s="1" t="s">
        <v>30</v>
      </c>
      <c r="D2092" s="1" t="s">
        <v>8046</v>
      </c>
      <c r="E2092" s="1" t="s">
        <v>30</v>
      </c>
      <c r="F2092" s="1" t="s">
        <v>8245</v>
      </c>
      <c r="G2092" s="1" t="s">
        <v>8246</v>
      </c>
      <c r="H2092" s="1" t="s">
        <v>8247</v>
      </c>
      <c r="I2092" t="b">
        <f>COUNTIF(Estadísticas!I:I,'centraldecomunicacion.es'!H2092)&gt;0</f>
        <v>0</v>
      </c>
    </row>
    <row r="2093" spans="1:9" hidden="1">
      <c r="A2093" s="1" t="s">
        <v>8248</v>
      </c>
      <c r="B2093" s="1" t="s">
        <v>10</v>
      </c>
      <c r="C2093" s="1" t="s">
        <v>8249</v>
      </c>
      <c r="D2093" s="1" t="s">
        <v>8250</v>
      </c>
      <c r="E2093" s="1" t="s">
        <v>795</v>
      </c>
      <c r="F2093" s="1" t="s">
        <v>8251</v>
      </c>
      <c r="G2093" s="1" t="s">
        <v>8252</v>
      </c>
      <c r="H2093" s="1" t="s">
        <v>8253</v>
      </c>
      <c r="I2093" t="b">
        <f>COUNTIF(Estadísticas!I:I,'centraldecomunicacion.es'!H2093)&gt;0</f>
        <v>0</v>
      </c>
    </row>
    <row r="2094" spans="1:9" hidden="1">
      <c r="A2094" s="1" t="s">
        <v>8254</v>
      </c>
      <c r="B2094" s="1" t="s">
        <v>10</v>
      </c>
      <c r="C2094" s="1" t="s">
        <v>8255</v>
      </c>
      <c r="D2094" s="1" t="s">
        <v>8256</v>
      </c>
      <c r="E2094" s="1" t="s">
        <v>795</v>
      </c>
      <c r="F2094" s="1" t="s">
        <v>30</v>
      </c>
      <c r="G2094" s="1" t="s">
        <v>8257</v>
      </c>
      <c r="H2094" s="1" t="s">
        <v>1762</v>
      </c>
      <c r="I2094" t="b">
        <f>COUNTIF(Estadísticas!I:I,'centraldecomunicacion.es'!H2094)&gt;0</f>
        <v>0</v>
      </c>
    </row>
    <row r="2095" spans="1:9" hidden="1">
      <c r="A2095" s="1" t="s">
        <v>8258</v>
      </c>
      <c r="B2095" s="1" t="s">
        <v>10</v>
      </c>
      <c r="C2095" s="1" t="s">
        <v>8259</v>
      </c>
      <c r="D2095" s="1" t="s">
        <v>8214</v>
      </c>
      <c r="E2095" s="1" t="s">
        <v>795</v>
      </c>
      <c r="F2095" s="1" t="s">
        <v>30</v>
      </c>
      <c r="G2095" s="1" t="s">
        <v>8260</v>
      </c>
      <c r="H2095" s="1" t="s">
        <v>1762</v>
      </c>
      <c r="I2095" t="b">
        <f>COUNTIF(Estadísticas!I:I,'centraldecomunicacion.es'!H2095)&gt;0</f>
        <v>0</v>
      </c>
    </row>
    <row r="2096" spans="1:9">
      <c r="A2096" s="1" t="s">
        <v>816</v>
      </c>
      <c r="B2096" s="1" t="s">
        <v>10</v>
      </c>
      <c r="C2096" s="1" t="s">
        <v>817</v>
      </c>
      <c r="D2096" s="1" t="s">
        <v>818</v>
      </c>
      <c r="E2096" s="1" t="s">
        <v>795</v>
      </c>
      <c r="F2096" s="1" t="s">
        <v>819</v>
      </c>
      <c r="G2096" s="1" t="s">
        <v>820</v>
      </c>
      <c r="H2096" s="1" t="s">
        <v>821</v>
      </c>
      <c r="I2096" t="b">
        <f>COUNTIF(Estadísticas!I:I,'centraldecomunicacion.es'!H2096)&gt;0</f>
        <v>1</v>
      </c>
    </row>
    <row r="2097" spans="1:9" hidden="1">
      <c r="A2097" s="1" t="s">
        <v>8261</v>
      </c>
      <c r="B2097" s="1" t="s">
        <v>10</v>
      </c>
      <c r="C2097" s="1" t="s">
        <v>8262</v>
      </c>
      <c r="D2097" s="1" t="s">
        <v>806</v>
      </c>
      <c r="E2097" s="1" t="s">
        <v>795</v>
      </c>
      <c r="F2097" s="1" t="s">
        <v>30</v>
      </c>
      <c r="G2097" s="1" t="s">
        <v>30</v>
      </c>
      <c r="H2097" s="1" t="s">
        <v>1762</v>
      </c>
      <c r="I2097" t="b">
        <f>COUNTIF(Estadísticas!I:I,'centraldecomunicacion.es'!H2097)&gt;0</f>
        <v>0</v>
      </c>
    </row>
    <row r="2098" spans="1:9" hidden="1">
      <c r="A2098" s="1" t="s">
        <v>8263</v>
      </c>
      <c r="B2098" s="1" t="s">
        <v>10</v>
      </c>
      <c r="C2098" s="1" t="s">
        <v>8264</v>
      </c>
      <c r="D2098" s="1" t="s">
        <v>8234</v>
      </c>
      <c r="E2098" s="1" t="s">
        <v>795</v>
      </c>
      <c r="F2098" s="1" t="s">
        <v>30</v>
      </c>
      <c r="G2098" s="1" t="s">
        <v>8265</v>
      </c>
      <c r="H2098" s="1" t="s">
        <v>1762</v>
      </c>
      <c r="I2098" t="b">
        <f>COUNTIF(Estadísticas!I:I,'centraldecomunicacion.es'!H2098)&gt;0</f>
        <v>0</v>
      </c>
    </row>
    <row r="2099" spans="1:9" hidden="1">
      <c r="A2099" s="1" t="s">
        <v>8266</v>
      </c>
      <c r="B2099" s="1" t="s">
        <v>10</v>
      </c>
      <c r="C2099" s="1" t="s">
        <v>30</v>
      </c>
      <c r="D2099" s="1" t="s">
        <v>8046</v>
      </c>
      <c r="E2099" s="1" t="s">
        <v>30</v>
      </c>
      <c r="F2099" s="1" t="s">
        <v>30</v>
      </c>
      <c r="G2099" s="1" t="s">
        <v>8267</v>
      </c>
      <c r="H2099" s="1" t="s">
        <v>1762</v>
      </c>
      <c r="I2099" t="b">
        <f>COUNTIF(Estadísticas!I:I,'centraldecomunicacion.es'!H2099)&gt;0</f>
        <v>0</v>
      </c>
    </row>
    <row r="2100" spans="1:9" hidden="1">
      <c r="A2100" s="1" t="s">
        <v>8268</v>
      </c>
      <c r="B2100" s="1" t="s">
        <v>10</v>
      </c>
      <c r="C2100" s="1" t="s">
        <v>8269</v>
      </c>
      <c r="D2100" s="1" t="s">
        <v>4783</v>
      </c>
      <c r="E2100" s="1" t="s">
        <v>926</v>
      </c>
      <c r="F2100" s="1" t="s">
        <v>8270</v>
      </c>
      <c r="G2100" s="1" t="s">
        <v>8271</v>
      </c>
      <c r="H2100" s="1" t="s">
        <v>1762</v>
      </c>
      <c r="I2100" t="b">
        <f>COUNTIF(Estadísticas!I:I,'centraldecomunicacion.es'!H2100)&gt;0</f>
        <v>0</v>
      </c>
    </row>
    <row r="2101" spans="1:9" hidden="1">
      <c r="A2101" s="1" t="s">
        <v>8272</v>
      </c>
      <c r="B2101" s="1" t="s">
        <v>10</v>
      </c>
      <c r="C2101" s="1" t="s">
        <v>8273</v>
      </c>
      <c r="D2101" s="1" t="s">
        <v>806</v>
      </c>
      <c r="E2101" s="1" t="s">
        <v>795</v>
      </c>
      <c r="F2101" s="1" t="s">
        <v>8274</v>
      </c>
      <c r="G2101" s="1" t="s">
        <v>30</v>
      </c>
      <c r="H2101" s="1" t="s">
        <v>1762</v>
      </c>
      <c r="I2101" t="b">
        <f>COUNTIF(Estadísticas!I:I,'centraldecomunicacion.es'!H2101)&gt;0</f>
        <v>0</v>
      </c>
    </row>
    <row r="2102" spans="1:9" hidden="1">
      <c r="A2102" s="1" t="s">
        <v>8275</v>
      </c>
      <c r="B2102" s="1" t="s">
        <v>10</v>
      </c>
      <c r="C2102" s="1" t="s">
        <v>8276</v>
      </c>
      <c r="D2102" s="1" t="s">
        <v>806</v>
      </c>
      <c r="E2102" s="1" t="s">
        <v>795</v>
      </c>
      <c r="F2102" s="1" t="s">
        <v>30</v>
      </c>
      <c r="G2102" s="1" t="s">
        <v>8277</v>
      </c>
      <c r="H2102" s="1" t="s">
        <v>1762</v>
      </c>
      <c r="I2102" t="b">
        <f>COUNTIF(Estadísticas!I:I,'centraldecomunicacion.es'!H2102)&gt;0</f>
        <v>0</v>
      </c>
    </row>
    <row r="2103" spans="1:9" hidden="1">
      <c r="A2103" s="1" t="s">
        <v>8278</v>
      </c>
      <c r="B2103" s="1" t="s">
        <v>10</v>
      </c>
      <c r="C2103" s="1" t="s">
        <v>8279</v>
      </c>
      <c r="D2103" s="1" t="s">
        <v>8280</v>
      </c>
      <c r="E2103" s="1" t="s">
        <v>795</v>
      </c>
      <c r="F2103" s="1" t="s">
        <v>30</v>
      </c>
      <c r="G2103" s="1" t="s">
        <v>30</v>
      </c>
      <c r="H2103" s="1" t="s">
        <v>1762</v>
      </c>
      <c r="I2103" t="b">
        <f>COUNTIF(Estadísticas!I:I,'centraldecomunicacion.es'!H2103)&gt;0</f>
        <v>0</v>
      </c>
    </row>
    <row r="2104" spans="1:9" hidden="1">
      <c r="A2104" s="1" t="s">
        <v>8281</v>
      </c>
      <c r="B2104" s="1" t="s">
        <v>10</v>
      </c>
      <c r="C2104" s="1" t="s">
        <v>30</v>
      </c>
      <c r="D2104" s="1" t="s">
        <v>8046</v>
      </c>
      <c r="E2104" s="1" t="s">
        <v>30</v>
      </c>
      <c r="F2104" s="1" t="s">
        <v>8282</v>
      </c>
      <c r="G2104" s="1" t="s">
        <v>8283</v>
      </c>
      <c r="H2104" s="1" t="s">
        <v>1762</v>
      </c>
      <c r="I2104" t="b">
        <f>COUNTIF(Estadísticas!I:I,'centraldecomunicacion.es'!H2104)&gt;0</f>
        <v>0</v>
      </c>
    </row>
    <row r="2105" spans="1:9" hidden="1">
      <c r="A2105" s="1" t="s">
        <v>8284</v>
      </c>
      <c r="B2105" s="1" t="s">
        <v>10</v>
      </c>
      <c r="C2105" s="1" t="s">
        <v>8285</v>
      </c>
      <c r="D2105" s="1" t="s">
        <v>8189</v>
      </c>
      <c r="E2105" s="1" t="s">
        <v>795</v>
      </c>
      <c r="F2105" s="1" t="s">
        <v>30</v>
      </c>
      <c r="G2105" s="1" t="s">
        <v>8286</v>
      </c>
      <c r="H2105" s="1" t="s">
        <v>1762</v>
      </c>
      <c r="I2105" t="b">
        <f>COUNTIF(Estadísticas!I:I,'centraldecomunicacion.es'!H2105)&gt;0</f>
        <v>0</v>
      </c>
    </row>
    <row r="2106" spans="1:9" hidden="1">
      <c r="A2106" s="1" t="s">
        <v>8287</v>
      </c>
      <c r="B2106" s="1" t="s">
        <v>10</v>
      </c>
      <c r="C2106" s="1" t="s">
        <v>8288</v>
      </c>
      <c r="D2106" s="1" t="s">
        <v>8144</v>
      </c>
      <c r="E2106" s="1" t="s">
        <v>795</v>
      </c>
      <c r="F2106" s="1" t="s">
        <v>30</v>
      </c>
      <c r="G2106" s="1" t="s">
        <v>30</v>
      </c>
      <c r="H2106" s="1" t="s">
        <v>1762</v>
      </c>
      <c r="I2106" t="b">
        <f>COUNTIF(Estadísticas!I:I,'centraldecomunicacion.es'!H2106)&gt;0</f>
        <v>0</v>
      </c>
    </row>
    <row r="2107" spans="1:9" hidden="1">
      <c r="A2107" s="1" t="s">
        <v>8289</v>
      </c>
      <c r="B2107" s="1" t="s">
        <v>10</v>
      </c>
      <c r="C2107" s="1" t="s">
        <v>8290</v>
      </c>
      <c r="D2107" s="1" t="s">
        <v>8124</v>
      </c>
      <c r="E2107" s="1" t="s">
        <v>795</v>
      </c>
      <c r="F2107" s="1" t="s">
        <v>30</v>
      </c>
      <c r="G2107" s="1" t="s">
        <v>8291</v>
      </c>
      <c r="H2107" s="1" t="s">
        <v>1762</v>
      </c>
      <c r="I2107" t="b">
        <f>COUNTIF(Estadísticas!I:I,'centraldecomunicacion.es'!H2107)&gt;0</f>
        <v>0</v>
      </c>
    </row>
    <row r="2108" spans="1:9" hidden="1">
      <c r="A2108" s="1" t="s">
        <v>8292</v>
      </c>
      <c r="B2108" s="1" t="s">
        <v>10</v>
      </c>
      <c r="C2108" s="1" t="s">
        <v>8293</v>
      </c>
      <c r="D2108" s="1" t="s">
        <v>806</v>
      </c>
      <c r="E2108" s="1" t="s">
        <v>795</v>
      </c>
      <c r="F2108" s="1" t="s">
        <v>30</v>
      </c>
      <c r="G2108" s="1" t="s">
        <v>8294</v>
      </c>
      <c r="H2108" s="1" t="s">
        <v>1762</v>
      </c>
      <c r="I2108" t="b">
        <f>COUNTIF(Estadísticas!I:I,'centraldecomunicacion.es'!H2108)&gt;0</f>
        <v>0</v>
      </c>
    </row>
    <row r="2109" spans="1:9" hidden="1">
      <c r="A2109" s="1" t="s">
        <v>8295</v>
      </c>
      <c r="B2109" s="1" t="s">
        <v>10</v>
      </c>
      <c r="C2109" s="1" t="s">
        <v>8296</v>
      </c>
      <c r="D2109" s="1" t="s">
        <v>8297</v>
      </c>
      <c r="E2109" s="1" t="s">
        <v>795</v>
      </c>
      <c r="F2109" s="1" t="s">
        <v>30</v>
      </c>
      <c r="G2109" s="1" t="s">
        <v>8298</v>
      </c>
      <c r="H2109" s="1" t="s">
        <v>1762</v>
      </c>
      <c r="I2109" t="b">
        <f>COUNTIF(Estadísticas!I:I,'centraldecomunicacion.es'!H2109)&gt;0</f>
        <v>0</v>
      </c>
    </row>
    <row r="2110" spans="1:9" hidden="1">
      <c r="A2110" s="1" t="s">
        <v>8299</v>
      </c>
      <c r="B2110" s="1" t="s">
        <v>10</v>
      </c>
      <c r="C2110" s="1" t="s">
        <v>8300</v>
      </c>
      <c r="D2110" s="1" t="s">
        <v>8301</v>
      </c>
      <c r="E2110" s="1" t="s">
        <v>795</v>
      </c>
      <c r="F2110" s="1" t="s">
        <v>30</v>
      </c>
      <c r="G2110" s="1" t="s">
        <v>8302</v>
      </c>
      <c r="H2110" s="1" t="s">
        <v>1762</v>
      </c>
      <c r="I2110" t="b">
        <f>COUNTIF(Estadísticas!I:I,'centraldecomunicacion.es'!H2110)&gt;0</f>
        <v>0</v>
      </c>
    </row>
    <row r="2111" spans="1:9" hidden="1">
      <c r="A2111" s="1" t="s">
        <v>8303</v>
      </c>
      <c r="B2111" s="1" t="s">
        <v>10</v>
      </c>
      <c r="C2111" s="1" t="s">
        <v>8304</v>
      </c>
      <c r="D2111" s="1" t="s">
        <v>8305</v>
      </c>
      <c r="E2111" s="1" t="s">
        <v>795</v>
      </c>
      <c r="F2111" s="1" t="s">
        <v>30</v>
      </c>
      <c r="G2111" s="1" t="s">
        <v>8306</v>
      </c>
      <c r="H2111" s="1" t="s">
        <v>1762</v>
      </c>
      <c r="I2111" t="b">
        <f>COUNTIF(Estadísticas!I:I,'centraldecomunicacion.es'!H2111)&gt;0</f>
        <v>0</v>
      </c>
    </row>
    <row r="2112" spans="1:9" hidden="1">
      <c r="A2112" s="1" t="s">
        <v>8307</v>
      </c>
      <c r="B2112" s="1" t="s">
        <v>18</v>
      </c>
      <c r="C2112" s="1" t="s">
        <v>8308</v>
      </c>
      <c r="D2112" s="1" t="s">
        <v>8297</v>
      </c>
      <c r="E2112" s="1" t="s">
        <v>795</v>
      </c>
      <c r="F2112" s="1" t="s">
        <v>30</v>
      </c>
      <c r="G2112" s="1" t="s">
        <v>8309</v>
      </c>
      <c r="H2112" s="1" t="s">
        <v>1762</v>
      </c>
      <c r="I2112" t="b">
        <f>COUNTIF(Estadísticas!I:I,'centraldecomunicacion.es'!H2112)&gt;0</f>
        <v>0</v>
      </c>
    </row>
    <row r="2113" spans="1:9" hidden="1">
      <c r="A2113" s="1" t="s">
        <v>8310</v>
      </c>
      <c r="B2113" s="1" t="s">
        <v>10</v>
      </c>
      <c r="C2113" s="1" t="s">
        <v>8311</v>
      </c>
      <c r="D2113" s="1" t="s">
        <v>8312</v>
      </c>
      <c r="E2113" s="1" t="s">
        <v>795</v>
      </c>
      <c r="F2113" s="1" t="s">
        <v>30</v>
      </c>
      <c r="G2113" s="1" t="s">
        <v>8313</v>
      </c>
      <c r="H2113" s="1" t="s">
        <v>1762</v>
      </c>
      <c r="I2113" t="b">
        <f>COUNTIF(Estadísticas!I:I,'centraldecomunicacion.es'!H2113)&gt;0</f>
        <v>0</v>
      </c>
    </row>
    <row r="2114" spans="1:9" hidden="1">
      <c r="A2114" s="1" t="s">
        <v>8314</v>
      </c>
      <c r="B2114" s="1" t="s">
        <v>10</v>
      </c>
      <c r="C2114" s="1" t="s">
        <v>8315</v>
      </c>
      <c r="D2114" s="1" t="s">
        <v>8316</v>
      </c>
      <c r="E2114" s="1" t="s">
        <v>795</v>
      </c>
      <c r="F2114" s="1" t="s">
        <v>8317</v>
      </c>
      <c r="G2114" s="1" t="s">
        <v>8318</v>
      </c>
      <c r="H2114" s="1" t="s">
        <v>8319</v>
      </c>
      <c r="I2114" t="b">
        <f>COUNTIF(Estadísticas!I:I,'centraldecomunicacion.es'!H2114)&gt;0</f>
        <v>0</v>
      </c>
    </row>
    <row r="2115" spans="1:9" hidden="1">
      <c r="A2115" s="1" t="s">
        <v>8320</v>
      </c>
      <c r="B2115" s="1" t="s">
        <v>10</v>
      </c>
      <c r="C2115" s="1" t="s">
        <v>8321</v>
      </c>
      <c r="D2115" s="1" t="s">
        <v>8189</v>
      </c>
      <c r="E2115" s="1" t="s">
        <v>795</v>
      </c>
      <c r="F2115" s="1" t="s">
        <v>30</v>
      </c>
      <c r="G2115" s="1" t="s">
        <v>8322</v>
      </c>
      <c r="H2115" s="1" t="s">
        <v>1762</v>
      </c>
      <c r="I2115" t="b">
        <f>COUNTIF(Estadísticas!I:I,'centraldecomunicacion.es'!H2115)&gt;0</f>
        <v>0</v>
      </c>
    </row>
    <row r="2116" spans="1:9" hidden="1">
      <c r="A2116" s="1" t="s">
        <v>8323</v>
      </c>
      <c r="B2116" s="1" t="s">
        <v>18</v>
      </c>
      <c r="C2116" s="1" t="s">
        <v>8324</v>
      </c>
      <c r="D2116" s="1" t="s">
        <v>8155</v>
      </c>
      <c r="E2116" s="1" t="s">
        <v>795</v>
      </c>
      <c r="F2116" s="1" t="s">
        <v>30</v>
      </c>
      <c r="G2116" s="1" t="s">
        <v>8325</v>
      </c>
      <c r="H2116" s="1" t="s">
        <v>1762</v>
      </c>
      <c r="I2116" t="b">
        <f>COUNTIF(Estadísticas!I:I,'centraldecomunicacion.es'!H2116)&gt;0</f>
        <v>0</v>
      </c>
    </row>
    <row r="2117" spans="1:9" hidden="1">
      <c r="A2117" s="1" t="s">
        <v>8326</v>
      </c>
      <c r="B2117" s="1" t="s">
        <v>10</v>
      </c>
      <c r="C2117" s="1" t="s">
        <v>8327</v>
      </c>
      <c r="D2117" s="1" t="s">
        <v>806</v>
      </c>
      <c r="E2117" s="1" t="s">
        <v>795</v>
      </c>
      <c r="F2117" s="1" t="s">
        <v>30</v>
      </c>
      <c r="G2117" s="1" t="s">
        <v>8328</v>
      </c>
      <c r="H2117" s="1" t="s">
        <v>1762</v>
      </c>
      <c r="I2117" t="b">
        <f>COUNTIF(Estadísticas!I:I,'centraldecomunicacion.es'!H2117)&gt;0</f>
        <v>0</v>
      </c>
    </row>
    <row r="2118" spans="1:9" hidden="1">
      <c r="A2118" s="1" t="s">
        <v>8329</v>
      </c>
      <c r="B2118" s="1" t="s">
        <v>10</v>
      </c>
      <c r="C2118" s="1" t="s">
        <v>8330</v>
      </c>
      <c r="D2118" s="1" t="s">
        <v>8301</v>
      </c>
      <c r="E2118" s="1" t="s">
        <v>795</v>
      </c>
      <c r="F2118" s="1" t="s">
        <v>30</v>
      </c>
      <c r="G2118" s="1" t="s">
        <v>8331</v>
      </c>
      <c r="H2118" s="1" t="s">
        <v>1762</v>
      </c>
      <c r="I2118" t="b">
        <f>COUNTIF(Estadísticas!I:I,'centraldecomunicacion.es'!H2118)&gt;0</f>
        <v>0</v>
      </c>
    </row>
    <row r="2119" spans="1:9" hidden="1">
      <c r="A2119" s="1" t="s">
        <v>8332</v>
      </c>
      <c r="B2119" s="1" t="s">
        <v>10</v>
      </c>
      <c r="C2119" s="1" t="s">
        <v>8333</v>
      </c>
      <c r="D2119" s="1" t="s">
        <v>8334</v>
      </c>
      <c r="E2119" s="1" t="s">
        <v>795</v>
      </c>
      <c r="F2119" s="1" t="s">
        <v>30</v>
      </c>
      <c r="G2119" s="1" t="s">
        <v>8335</v>
      </c>
      <c r="H2119" s="1" t="s">
        <v>1762</v>
      </c>
      <c r="I2119" t="b">
        <f>COUNTIF(Estadísticas!I:I,'centraldecomunicacion.es'!H2119)&gt;0</f>
        <v>0</v>
      </c>
    </row>
    <row r="2120" spans="1:9" hidden="1">
      <c r="A2120" s="1" t="s">
        <v>8336</v>
      </c>
      <c r="B2120" s="1" t="s">
        <v>10</v>
      </c>
      <c r="C2120" s="1" t="s">
        <v>8337</v>
      </c>
      <c r="D2120" s="1" t="s">
        <v>926</v>
      </c>
      <c r="E2120" s="1" t="s">
        <v>926</v>
      </c>
      <c r="F2120" s="1" t="s">
        <v>8338</v>
      </c>
      <c r="G2120" s="1" t="s">
        <v>8339</v>
      </c>
      <c r="H2120" s="1" t="s">
        <v>8340</v>
      </c>
      <c r="I2120" t="b">
        <f>COUNTIF(Estadísticas!I:I,'centraldecomunicacion.es'!H2120)&gt;0</f>
        <v>0</v>
      </c>
    </row>
    <row r="2121" spans="1:9" hidden="1">
      <c r="A2121" s="1" t="s">
        <v>8341</v>
      </c>
      <c r="B2121" s="1" t="s">
        <v>10</v>
      </c>
      <c r="C2121" s="1" t="s">
        <v>30</v>
      </c>
      <c r="D2121" s="1" t="s">
        <v>8046</v>
      </c>
      <c r="E2121" s="1" t="s">
        <v>30</v>
      </c>
      <c r="F2121" s="1" t="s">
        <v>1984</v>
      </c>
      <c r="G2121" s="1" t="s">
        <v>8342</v>
      </c>
      <c r="H2121" s="1" t="s">
        <v>1762</v>
      </c>
      <c r="I2121" t="b">
        <f>COUNTIF(Estadísticas!I:I,'centraldecomunicacion.es'!H2121)&gt;0</f>
        <v>0</v>
      </c>
    </row>
    <row r="2122" spans="1:9" hidden="1">
      <c r="A2122" s="1" t="s">
        <v>8343</v>
      </c>
      <c r="B2122" s="1" t="s">
        <v>18</v>
      </c>
      <c r="C2122" s="1" t="s">
        <v>8344</v>
      </c>
      <c r="D2122" s="1" t="s">
        <v>8189</v>
      </c>
      <c r="E2122" s="1" t="s">
        <v>795</v>
      </c>
      <c r="F2122" s="1" t="s">
        <v>30</v>
      </c>
      <c r="G2122" s="1" t="s">
        <v>8345</v>
      </c>
      <c r="H2122" s="1" t="s">
        <v>1762</v>
      </c>
      <c r="I2122" t="b">
        <f>COUNTIF(Estadísticas!I:I,'centraldecomunicacion.es'!H2122)&gt;0</f>
        <v>0</v>
      </c>
    </row>
    <row r="2123" spans="1:9" hidden="1">
      <c r="A2123" s="1" t="s">
        <v>8346</v>
      </c>
      <c r="B2123" s="1" t="s">
        <v>10</v>
      </c>
      <c r="C2123" s="1" t="s">
        <v>8347</v>
      </c>
      <c r="D2123" s="1" t="s">
        <v>926</v>
      </c>
      <c r="E2123" s="1" t="s">
        <v>926</v>
      </c>
      <c r="F2123" s="1" t="s">
        <v>8348</v>
      </c>
      <c r="G2123" s="1" t="s">
        <v>8349</v>
      </c>
      <c r="H2123" s="1" t="s">
        <v>8350</v>
      </c>
      <c r="I2123" t="b">
        <f>COUNTIF(Estadísticas!I:I,'centraldecomunicacion.es'!H2123)&gt;0</f>
        <v>0</v>
      </c>
    </row>
    <row r="2124" spans="1:9" hidden="1">
      <c r="A2124" s="1" t="s">
        <v>8351</v>
      </c>
      <c r="B2124" s="1" t="s">
        <v>18</v>
      </c>
      <c r="C2124" s="1" t="s">
        <v>8352</v>
      </c>
      <c r="D2124" s="1" t="s">
        <v>8305</v>
      </c>
      <c r="E2124" s="1" t="s">
        <v>795</v>
      </c>
      <c r="F2124" s="1" t="s">
        <v>30</v>
      </c>
      <c r="G2124" s="1" t="s">
        <v>8353</v>
      </c>
      <c r="H2124" s="1" t="s">
        <v>1762</v>
      </c>
      <c r="I2124" t="b">
        <f>COUNTIF(Estadísticas!I:I,'centraldecomunicacion.es'!H2124)&gt;0</f>
        <v>0</v>
      </c>
    </row>
    <row r="2125" spans="1:9" hidden="1">
      <c r="A2125" s="1" t="s">
        <v>8354</v>
      </c>
      <c r="B2125" s="1" t="s">
        <v>10</v>
      </c>
      <c r="C2125" s="1" t="s">
        <v>8355</v>
      </c>
      <c r="D2125" s="1" t="s">
        <v>926</v>
      </c>
      <c r="E2125" s="1" t="s">
        <v>926</v>
      </c>
      <c r="F2125" s="1" t="s">
        <v>8356</v>
      </c>
      <c r="G2125" s="1" t="s">
        <v>8357</v>
      </c>
      <c r="H2125" s="1" t="s">
        <v>8358</v>
      </c>
      <c r="I2125" t="b">
        <f>COUNTIF(Estadísticas!I:I,'centraldecomunicacion.es'!H2125)&gt;0</f>
        <v>0</v>
      </c>
    </row>
    <row r="2126" spans="1:9" hidden="1">
      <c r="A2126" s="1" t="s">
        <v>8359</v>
      </c>
      <c r="B2126" s="1" t="s">
        <v>10</v>
      </c>
      <c r="C2126" s="1" t="s">
        <v>8360</v>
      </c>
      <c r="D2126" s="1" t="s">
        <v>8361</v>
      </c>
      <c r="E2126" s="1" t="s">
        <v>795</v>
      </c>
      <c r="F2126" s="1" t="s">
        <v>30</v>
      </c>
      <c r="G2126" s="1" t="s">
        <v>30</v>
      </c>
      <c r="H2126" s="1" t="s">
        <v>1762</v>
      </c>
      <c r="I2126" t="b">
        <f>COUNTIF(Estadísticas!I:I,'centraldecomunicacion.es'!H2126)&gt;0</f>
        <v>0</v>
      </c>
    </row>
    <row r="2127" spans="1:9" hidden="1">
      <c r="A2127" s="1" t="s">
        <v>8362</v>
      </c>
      <c r="B2127" s="1" t="s">
        <v>18</v>
      </c>
      <c r="C2127" s="1" t="s">
        <v>8363</v>
      </c>
      <c r="D2127" s="1" t="s">
        <v>8214</v>
      </c>
      <c r="E2127" s="1" t="s">
        <v>795</v>
      </c>
      <c r="F2127" s="1" t="s">
        <v>30</v>
      </c>
      <c r="G2127" s="1" t="s">
        <v>8364</v>
      </c>
      <c r="H2127" s="1" t="s">
        <v>1762</v>
      </c>
      <c r="I2127" t="b">
        <f>COUNTIF(Estadísticas!I:I,'centraldecomunicacion.es'!H2127)&gt;0</f>
        <v>0</v>
      </c>
    </row>
    <row r="2128" spans="1:9" hidden="1">
      <c r="A2128" s="1" t="s">
        <v>8365</v>
      </c>
      <c r="B2128" s="1" t="s">
        <v>18</v>
      </c>
      <c r="C2128" s="1" t="s">
        <v>8366</v>
      </c>
      <c r="D2128" s="1" t="s">
        <v>8367</v>
      </c>
      <c r="E2128" s="1" t="s">
        <v>926</v>
      </c>
      <c r="F2128" s="1" t="s">
        <v>4288</v>
      </c>
      <c r="G2128" s="1" t="s">
        <v>8368</v>
      </c>
      <c r="H2128" s="1" t="s">
        <v>4290</v>
      </c>
      <c r="I2128" t="b">
        <f>COUNTIF(Estadísticas!I:I,'centraldecomunicacion.es'!H2128)&gt;0</f>
        <v>0</v>
      </c>
    </row>
    <row r="2129" spans="1:9" hidden="1">
      <c r="A2129" s="1" t="s">
        <v>8369</v>
      </c>
      <c r="B2129" s="1" t="s">
        <v>10</v>
      </c>
      <c r="C2129" s="1" t="s">
        <v>8370</v>
      </c>
      <c r="D2129" s="1" t="s">
        <v>8371</v>
      </c>
      <c r="E2129" s="1" t="s">
        <v>926</v>
      </c>
      <c r="F2129" s="1" t="s">
        <v>8372</v>
      </c>
      <c r="G2129" s="1" t="s">
        <v>8373</v>
      </c>
      <c r="H2129" s="1" t="s">
        <v>1762</v>
      </c>
      <c r="I2129" t="b">
        <f>COUNTIF(Estadísticas!I:I,'centraldecomunicacion.es'!H2129)&gt;0</f>
        <v>0</v>
      </c>
    </row>
    <row r="2130" spans="1:9" hidden="1">
      <c r="A2130" s="1" t="s">
        <v>8374</v>
      </c>
      <c r="B2130" s="1" t="s">
        <v>18</v>
      </c>
      <c r="C2130" s="1" t="s">
        <v>8375</v>
      </c>
      <c r="D2130" s="1" t="s">
        <v>8376</v>
      </c>
      <c r="E2130" s="1" t="s">
        <v>795</v>
      </c>
      <c r="F2130" s="1" t="s">
        <v>30</v>
      </c>
      <c r="G2130" s="1" t="s">
        <v>8377</v>
      </c>
      <c r="H2130" s="1" t="s">
        <v>1762</v>
      </c>
      <c r="I2130" t="b">
        <f>COUNTIF(Estadísticas!I:I,'centraldecomunicacion.es'!H2130)&gt;0</f>
        <v>0</v>
      </c>
    </row>
    <row r="2131" spans="1:9" hidden="1">
      <c r="A2131" s="1" t="s">
        <v>8378</v>
      </c>
      <c r="B2131" s="1" t="s">
        <v>18</v>
      </c>
      <c r="C2131" s="1" t="s">
        <v>8379</v>
      </c>
      <c r="D2131" s="1" t="s">
        <v>812</v>
      </c>
      <c r="E2131" s="1" t="s">
        <v>795</v>
      </c>
      <c r="F2131" s="1" t="s">
        <v>30</v>
      </c>
      <c r="G2131" s="1" t="s">
        <v>8380</v>
      </c>
      <c r="H2131" s="1" t="s">
        <v>1762</v>
      </c>
      <c r="I2131" t="b">
        <f>COUNTIF(Estadísticas!I:I,'centraldecomunicacion.es'!H2131)&gt;0</f>
        <v>0</v>
      </c>
    </row>
    <row r="2132" spans="1:9" hidden="1">
      <c r="A2132" s="1" t="s">
        <v>8381</v>
      </c>
      <c r="B2132" s="1" t="s">
        <v>18</v>
      </c>
      <c r="C2132" s="1" t="s">
        <v>8382</v>
      </c>
      <c r="D2132" s="1" t="s">
        <v>6201</v>
      </c>
      <c r="E2132" s="1" t="s">
        <v>926</v>
      </c>
      <c r="F2132" s="1" t="s">
        <v>4288</v>
      </c>
      <c r="G2132" s="1" t="s">
        <v>8383</v>
      </c>
      <c r="H2132" s="1" t="s">
        <v>4290</v>
      </c>
      <c r="I2132" t="b">
        <f>COUNTIF(Estadísticas!I:I,'centraldecomunicacion.es'!H2132)&gt;0</f>
        <v>0</v>
      </c>
    </row>
    <row r="2133" spans="1:9" hidden="1">
      <c r="A2133" s="1" t="s">
        <v>8384</v>
      </c>
      <c r="B2133" s="1" t="s">
        <v>18</v>
      </c>
      <c r="C2133" s="1" t="s">
        <v>8385</v>
      </c>
      <c r="D2133" s="1" t="s">
        <v>8386</v>
      </c>
      <c r="E2133" s="1" t="s">
        <v>795</v>
      </c>
      <c r="F2133" s="1" t="s">
        <v>30</v>
      </c>
      <c r="G2133" s="1" t="s">
        <v>30</v>
      </c>
      <c r="H2133" s="1" t="s">
        <v>1762</v>
      </c>
      <c r="I2133" t="b">
        <f>COUNTIF(Estadísticas!I:I,'centraldecomunicacion.es'!H2133)&gt;0</f>
        <v>0</v>
      </c>
    </row>
    <row r="2134" spans="1:9" hidden="1">
      <c r="A2134" s="1" t="s">
        <v>8387</v>
      </c>
      <c r="B2134" s="1" t="s">
        <v>18</v>
      </c>
      <c r="C2134" s="1" t="s">
        <v>8388</v>
      </c>
      <c r="D2134" s="1" t="s">
        <v>806</v>
      </c>
      <c r="E2134" s="1" t="s">
        <v>795</v>
      </c>
      <c r="F2134" s="1" t="s">
        <v>30</v>
      </c>
      <c r="G2134" s="1" t="s">
        <v>30</v>
      </c>
      <c r="H2134" s="1" t="s">
        <v>1762</v>
      </c>
      <c r="I2134" t="b">
        <f>COUNTIF(Estadísticas!I:I,'centraldecomunicacion.es'!H2134)&gt;0</f>
        <v>0</v>
      </c>
    </row>
    <row r="2135" spans="1:9" hidden="1">
      <c r="A2135" s="1" t="s">
        <v>8389</v>
      </c>
      <c r="B2135" s="1" t="s">
        <v>18</v>
      </c>
      <c r="C2135" s="1" t="s">
        <v>8390</v>
      </c>
      <c r="D2135" s="1" t="s">
        <v>926</v>
      </c>
      <c r="E2135" s="1" t="s">
        <v>926</v>
      </c>
      <c r="F2135" s="1" t="s">
        <v>4288</v>
      </c>
      <c r="G2135" s="1" t="s">
        <v>8391</v>
      </c>
      <c r="H2135" s="1" t="s">
        <v>4290</v>
      </c>
      <c r="I2135" t="b">
        <f>COUNTIF(Estadísticas!I:I,'centraldecomunicacion.es'!H2135)&gt;0</f>
        <v>0</v>
      </c>
    </row>
    <row r="2136" spans="1:9" hidden="1">
      <c r="A2136" s="1" t="s">
        <v>8392</v>
      </c>
      <c r="B2136" s="1" t="s">
        <v>10</v>
      </c>
      <c r="C2136" s="1" t="s">
        <v>8393</v>
      </c>
      <c r="D2136" s="1" t="s">
        <v>7276</v>
      </c>
      <c r="E2136" s="1" t="s">
        <v>685</v>
      </c>
      <c r="F2136" s="1" t="s">
        <v>30</v>
      </c>
      <c r="G2136" s="1" t="s">
        <v>8394</v>
      </c>
      <c r="H2136" s="1" t="s">
        <v>1762</v>
      </c>
      <c r="I2136" t="b">
        <f>COUNTIF(Estadísticas!I:I,'centraldecomunicacion.es'!H2136)&gt;0</f>
        <v>0</v>
      </c>
    </row>
    <row r="2137" spans="1:9" hidden="1">
      <c r="A2137" s="1" t="s">
        <v>8395</v>
      </c>
      <c r="B2137" s="1" t="s">
        <v>18</v>
      </c>
      <c r="C2137" s="1" t="s">
        <v>8396</v>
      </c>
      <c r="D2137" s="1" t="s">
        <v>4783</v>
      </c>
      <c r="E2137" s="1" t="s">
        <v>926</v>
      </c>
      <c r="F2137" s="1" t="s">
        <v>4288</v>
      </c>
      <c r="G2137" s="1" t="s">
        <v>8397</v>
      </c>
      <c r="H2137" s="1" t="s">
        <v>4290</v>
      </c>
      <c r="I2137" t="b">
        <f>COUNTIF(Estadísticas!I:I,'centraldecomunicacion.es'!H2137)&gt;0</f>
        <v>0</v>
      </c>
    </row>
    <row r="2138" spans="1:9" hidden="1">
      <c r="A2138" s="1" t="s">
        <v>8398</v>
      </c>
      <c r="B2138" s="1" t="s">
        <v>10</v>
      </c>
      <c r="C2138" s="1" t="s">
        <v>8399</v>
      </c>
      <c r="D2138" s="1" t="s">
        <v>824</v>
      </c>
      <c r="E2138" s="1" t="s">
        <v>824</v>
      </c>
      <c r="F2138" s="1" t="s">
        <v>30</v>
      </c>
      <c r="G2138" s="1" t="s">
        <v>8400</v>
      </c>
      <c r="H2138" s="1" t="s">
        <v>1762</v>
      </c>
      <c r="I2138" t="b">
        <f>COUNTIF(Estadísticas!I:I,'centraldecomunicacion.es'!H2138)&gt;0</f>
        <v>0</v>
      </c>
    </row>
    <row r="2139" spans="1:9">
      <c r="A2139" s="1" t="s">
        <v>822</v>
      </c>
      <c r="B2139" s="1" t="s">
        <v>18</v>
      </c>
      <c r="C2139" s="1" t="s">
        <v>823</v>
      </c>
      <c r="D2139" s="1" t="s">
        <v>824</v>
      </c>
      <c r="E2139" s="1" t="s">
        <v>824</v>
      </c>
      <c r="F2139" s="1" t="s">
        <v>825</v>
      </c>
      <c r="G2139" s="1" t="s">
        <v>826</v>
      </c>
      <c r="H2139" s="1" t="s">
        <v>827</v>
      </c>
      <c r="I2139" t="b">
        <f>COUNTIF(Estadísticas!I:I,'centraldecomunicacion.es'!H2139)&gt;0</f>
        <v>1</v>
      </c>
    </row>
    <row r="2140" spans="1:9" hidden="1">
      <c r="A2140" s="1" t="s">
        <v>8401</v>
      </c>
      <c r="B2140" s="1" t="s">
        <v>18</v>
      </c>
      <c r="C2140" s="1" t="s">
        <v>8402</v>
      </c>
      <c r="D2140" s="1" t="s">
        <v>824</v>
      </c>
      <c r="E2140" s="1" t="s">
        <v>824</v>
      </c>
      <c r="F2140" s="1" t="s">
        <v>8403</v>
      </c>
      <c r="G2140" s="1" t="s">
        <v>8404</v>
      </c>
      <c r="H2140" s="1" t="s">
        <v>1762</v>
      </c>
      <c r="I2140" t="b">
        <f>COUNTIF(Estadísticas!I:I,'centraldecomunicacion.es'!H2140)&gt;0</f>
        <v>0</v>
      </c>
    </row>
    <row r="2141" spans="1:9" hidden="1">
      <c r="A2141" s="1" t="s">
        <v>8405</v>
      </c>
      <c r="B2141" s="1" t="s">
        <v>10</v>
      </c>
      <c r="C2141" s="1" t="s">
        <v>8406</v>
      </c>
      <c r="D2141" s="1" t="s">
        <v>824</v>
      </c>
      <c r="E2141" s="1" t="s">
        <v>824</v>
      </c>
      <c r="F2141" s="1" t="s">
        <v>30</v>
      </c>
      <c r="G2141" s="1" t="s">
        <v>8407</v>
      </c>
      <c r="H2141" s="1" t="s">
        <v>1762</v>
      </c>
      <c r="I2141" t="b">
        <f>COUNTIF(Estadísticas!I:I,'centraldecomunicacion.es'!H2141)&gt;0</f>
        <v>0</v>
      </c>
    </row>
    <row r="2142" spans="1:9" hidden="1">
      <c r="A2142" s="1" t="s">
        <v>8408</v>
      </c>
      <c r="B2142" s="1" t="s">
        <v>10</v>
      </c>
      <c r="C2142" s="1" t="s">
        <v>8409</v>
      </c>
      <c r="D2142" s="1" t="s">
        <v>824</v>
      </c>
      <c r="E2142" s="1" t="s">
        <v>824</v>
      </c>
      <c r="F2142" s="1" t="s">
        <v>30</v>
      </c>
      <c r="G2142" s="1" t="s">
        <v>8410</v>
      </c>
      <c r="H2142" s="1" t="s">
        <v>1762</v>
      </c>
      <c r="I2142" t="b">
        <f>COUNTIF(Estadísticas!I:I,'centraldecomunicacion.es'!H2142)&gt;0</f>
        <v>0</v>
      </c>
    </row>
    <row r="2143" spans="1:9" hidden="1">
      <c r="A2143" s="1" t="s">
        <v>8411</v>
      </c>
      <c r="B2143" s="1" t="s">
        <v>10</v>
      </c>
      <c r="C2143" s="1" t="s">
        <v>8412</v>
      </c>
      <c r="D2143" s="1" t="s">
        <v>824</v>
      </c>
      <c r="E2143" s="1" t="s">
        <v>824</v>
      </c>
      <c r="F2143" s="1" t="s">
        <v>8413</v>
      </c>
      <c r="G2143" s="1" t="s">
        <v>8414</v>
      </c>
      <c r="H2143" s="1" t="s">
        <v>8415</v>
      </c>
      <c r="I2143" t="b">
        <f>COUNTIF(Estadísticas!I:I,'centraldecomunicacion.es'!H2143)&gt;0</f>
        <v>0</v>
      </c>
    </row>
    <row r="2144" spans="1:9" hidden="1">
      <c r="A2144" s="1" t="s">
        <v>8416</v>
      </c>
      <c r="B2144" s="1" t="s">
        <v>10</v>
      </c>
      <c r="C2144" s="1" t="s">
        <v>30</v>
      </c>
      <c r="D2144" s="1" t="s">
        <v>8417</v>
      </c>
      <c r="E2144" s="1" t="s">
        <v>30</v>
      </c>
      <c r="F2144" s="1" t="s">
        <v>30</v>
      </c>
      <c r="G2144" s="1" t="s">
        <v>8418</v>
      </c>
      <c r="H2144" s="1" t="s">
        <v>1762</v>
      </c>
      <c r="I2144" t="b">
        <f>COUNTIF(Estadísticas!I:I,'centraldecomunicacion.es'!H2144)&gt;0</f>
        <v>0</v>
      </c>
    </row>
    <row r="2145" spans="1:9" hidden="1">
      <c r="A2145" s="1" t="s">
        <v>8419</v>
      </c>
      <c r="B2145" s="1" t="s">
        <v>10</v>
      </c>
      <c r="C2145" s="1" t="s">
        <v>8420</v>
      </c>
      <c r="D2145" s="1" t="s">
        <v>824</v>
      </c>
      <c r="E2145" s="1" t="s">
        <v>824</v>
      </c>
      <c r="F2145" s="1" t="s">
        <v>8421</v>
      </c>
      <c r="G2145" s="1" t="s">
        <v>8422</v>
      </c>
      <c r="H2145" s="1" t="s">
        <v>1762</v>
      </c>
      <c r="I2145" t="b">
        <f>COUNTIF(Estadísticas!I:I,'centraldecomunicacion.es'!H2145)&gt;0</f>
        <v>0</v>
      </c>
    </row>
    <row r="2146" spans="1:9">
      <c r="A2146" s="1" t="s">
        <v>828</v>
      </c>
      <c r="B2146" s="1" t="s">
        <v>10</v>
      </c>
      <c r="C2146" s="1" t="s">
        <v>829</v>
      </c>
      <c r="D2146" s="1" t="s">
        <v>824</v>
      </c>
      <c r="E2146" s="1" t="s">
        <v>824</v>
      </c>
      <c r="F2146" s="1" t="s">
        <v>830</v>
      </c>
      <c r="G2146" s="1" t="s">
        <v>831</v>
      </c>
      <c r="H2146" s="1" t="s">
        <v>832</v>
      </c>
      <c r="I2146" t="b">
        <f>COUNTIF(Estadísticas!I:I,'centraldecomunicacion.es'!H2146)&gt;0</f>
        <v>1</v>
      </c>
    </row>
    <row r="2147" spans="1:9" hidden="1">
      <c r="A2147" s="1" t="s">
        <v>8423</v>
      </c>
      <c r="B2147" s="1" t="s">
        <v>10</v>
      </c>
      <c r="C2147" s="1" t="s">
        <v>8424</v>
      </c>
      <c r="D2147" s="1" t="s">
        <v>824</v>
      </c>
      <c r="E2147" s="1" t="s">
        <v>824</v>
      </c>
      <c r="F2147" s="1" t="s">
        <v>30</v>
      </c>
      <c r="G2147" s="1" t="s">
        <v>30</v>
      </c>
      <c r="H2147" s="1" t="s">
        <v>1762</v>
      </c>
      <c r="I2147" t="b">
        <f>COUNTIF(Estadísticas!I:I,'centraldecomunicacion.es'!H2147)&gt;0</f>
        <v>0</v>
      </c>
    </row>
    <row r="2148" spans="1:9" hidden="1">
      <c r="A2148" s="1" t="s">
        <v>8425</v>
      </c>
      <c r="B2148" s="1" t="s">
        <v>10</v>
      </c>
      <c r="C2148" s="1" t="s">
        <v>8426</v>
      </c>
      <c r="D2148" s="1" t="s">
        <v>824</v>
      </c>
      <c r="E2148" s="1" t="s">
        <v>824</v>
      </c>
      <c r="F2148" s="1" t="s">
        <v>30</v>
      </c>
      <c r="G2148" s="1" t="s">
        <v>30</v>
      </c>
      <c r="H2148" s="1" t="s">
        <v>1762</v>
      </c>
      <c r="I2148" t="b">
        <f>COUNTIF(Estadísticas!I:I,'centraldecomunicacion.es'!H2148)&gt;0</f>
        <v>0</v>
      </c>
    </row>
    <row r="2149" spans="1:9" hidden="1">
      <c r="A2149" s="1" t="s">
        <v>8427</v>
      </c>
      <c r="B2149" s="1" t="s">
        <v>10</v>
      </c>
      <c r="C2149" s="1" t="s">
        <v>8428</v>
      </c>
      <c r="D2149" s="1" t="s">
        <v>824</v>
      </c>
      <c r="E2149" s="1" t="s">
        <v>824</v>
      </c>
      <c r="F2149" s="1" t="s">
        <v>8429</v>
      </c>
      <c r="G2149" s="1" t="s">
        <v>8430</v>
      </c>
      <c r="H2149" s="1" t="s">
        <v>8431</v>
      </c>
      <c r="I2149" t="b">
        <f>COUNTIF(Estadísticas!I:I,'centraldecomunicacion.es'!H2149)&gt;0</f>
        <v>0</v>
      </c>
    </row>
    <row r="2150" spans="1:9" hidden="1">
      <c r="A2150" s="1" t="s">
        <v>8432</v>
      </c>
      <c r="B2150" s="1" t="s">
        <v>10</v>
      </c>
      <c r="C2150" s="1" t="s">
        <v>30</v>
      </c>
      <c r="D2150" s="1" t="s">
        <v>8417</v>
      </c>
      <c r="E2150" s="1" t="s">
        <v>30</v>
      </c>
      <c r="F2150" s="1" t="s">
        <v>1984</v>
      </c>
      <c r="G2150" s="1" t="s">
        <v>8433</v>
      </c>
      <c r="H2150" s="1" t="s">
        <v>1762</v>
      </c>
      <c r="I2150" t="b">
        <f>COUNTIF(Estadísticas!I:I,'centraldecomunicacion.es'!H2150)&gt;0</f>
        <v>0</v>
      </c>
    </row>
    <row r="2151" spans="1:9" hidden="1">
      <c r="A2151" s="1" t="s">
        <v>8434</v>
      </c>
      <c r="B2151" s="1" t="s">
        <v>10</v>
      </c>
      <c r="C2151" s="1" t="s">
        <v>8435</v>
      </c>
      <c r="D2151" s="1" t="s">
        <v>824</v>
      </c>
      <c r="E2151" s="1" t="s">
        <v>824</v>
      </c>
      <c r="F2151" s="1" t="s">
        <v>8436</v>
      </c>
      <c r="G2151" s="1" t="s">
        <v>8437</v>
      </c>
      <c r="H2151" s="1" t="s">
        <v>1762</v>
      </c>
      <c r="I2151" t="b">
        <f>COUNTIF(Estadísticas!I:I,'centraldecomunicacion.es'!H2151)&gt;0</f>
        <v>0</v>
      </c>
    </row>
    <row r="2152" spans="1:9" hidden="1">
      <c r="A2152" s="1" t="s">
        <v>8438</v>
      </c>
      <c r="B2152" s="1" t="s">
        <v>10</v>
      </c>
      <c r="C2152" s="1" t="s">
        <v>30</v>
      </c>
      <c r="D2152" s="1" t="s">
        <v>8417</v>
      </c>
      <c r="E2152" s="1" t="s">
        <v>30</v>
      </c>
      <c r="F2152" s="1" t="s">
        <v>30</v>
      </c>
      <c r="G2152" s="1" t="s">
        <v>8407</v>
      </c>
      <c r="H2152" s="1" t="s">
        <v>1762</v>
      </c>
      <c r="I2152" t="b">
        <f>COUNTIF(Estadísticas!I:I,'centraldecomunicacion.es'!H2152)&gt;0</f>
        <v>0</v>
      </c>
    </row>
    <row r="2153" spans="1:9" hidden="1">
      <c r="A2153" s="1" t="s">
        <v>8439</v>
      </c>
      <c r="B2153" s="1" t="s">
        <v>10</v>
      </c>
      <c r="C2153" s="1" t="s">
        <v>8440</v>
      </c>
      <c r="D2153" s="1" t="s">
        <v>824</v>
      </c>
      <c r="E2153" s="1" t="s">
        <v>824</v>
      </c>
      <c r="F2153" s="1" t="s">
        <v>30</v>
      </c>
      <c r="G2153" s="1" t="s">
        <v>30</v>
      </c>
      <c r="H2153" s="1" t="s">
        <v>1762</v>
      </c>
      <c r="I2153" t="b">
        <f>COUNTIF(Estadísticas!I:I,'centraldecomunicacion.es'!H2153)&gt;0</f>
        <v>0</v>
      </c>
    </row>
    <row r="2154" spans="1:9" hidden="1">
      <c r="A2154" s="1" t="s">
        <v>8441</v>
      </c>
      <c r="B2154" s="1" t="s">
        <v>10</v>
      </c>
      <c r="C2154" s="1" t="s">
        <v>30</v>
      </c>
      <c r="D2154" s="1" t="s">
        <v>8417</v>
      </c>
      <c r="E2154" s="1" t="s">
        <v>30</v>
      </c>
      <c r="F2154" s="1" t="s">
        <v>30</v>
      </c>
      <c r="G2154" s="1" t="s">
        <v>8442</v>
      </c>
      <c r="H2154" s="1" t="s">
        <v>1762</v>
      </c>
      <c r="I2154" t="b">
        <f>COUNTIF(Estadísticas!I:I,'centraldecomunicacion.es'!H2154)&gt;0</f>
        <v>0</v>
      </c>
    </row>
    <row r="2155" spans="1:9" hidden="1">
      <c r="A2155" s="1" t="s">
        <v>8443</v>
      </c>
      <c r="B2155" s="1" t="s">
        <v>10</v>
      </c>
      <c r="C2155" s="1" t="s">
        <v>8444</v>
      </c>
      <c r="D2155" s="1" t="s">
        <v>824</v>
      </c>
      <c r="E2155" s="1" t="s">
        <v>824</v>
      </c>
      <c r="F2155" s="1" t="s">
        <v>30</v>
      </c>
      <c r="G2155" s="1" t="s">
        <v>30</v>
      </c>
      <c r="H2155" s="1" t="s">
        <v>1762</v>
      </c>
      <c r="I2155" t="b">
        <f>COUNTIF(Estadísticas!I:I,'centraldecomunicacion.es'!H2155)&gt;0</f>
        <v>0</v>
      </c>
    </row>
    <row r="2156" spans="1:9" hidden="1">
      <c r="A2156" s="1" t="s">
        <v>8445</v>
      </c>
      <c r="B2156" s="1" t="s">
        <v>10</v>
      </c>
      <c r="C2156" s="1" t="s">
        <v>8446</v>
      </c>
      <c r="D2156" s="1" t="s">
        <v>8447</v>
      </c>
      <c r="E2156" s="1" t="s">
        <v>824</v>
      </c>
      <c r="F2156" s="1" t="s">
        <v>8448</v>
      </c>
      <c r="G2156" s="1" t="s">
        <v>8449</v>
      </c>
      <c r="H2156" s="1" t="s">
        <v>1762</v>
      </c>
      <c r="I2156" t="b">
        <f>COUNTIF(Estadísticas!I:I,'centraldecomunicacion.es'!H2156)&gt;0</f>
        <v>0</v>
      </c>
    </row>
    <row r="2157" spans="1:9">
      <c r="A2157" s="1" t="s">
        <v>833</v>
      </c>
      <c r="B2157" s="1" t="s">
        <v>10</v>
      </c>
      <c r="C2157" s="1" t="s">
        <v>834</v>
      </c>
      <c r="D2157" s="1" t="s">
        <v>835</v>
      </c>
      <c r="E2157" s="1" t="s">
        <v>836</v>
      </c>
      <c r="F2157" s="1" t="s">
        <v>837</v>
      </c>
      <c r="G2157" s="1" t="s">
        <v>838</v>
      </c>
      <c r="H2157" s="1" t="s">
        <v>839</v>
      </c>
      <c r="I2157" t="b">
        <f>COUNTIF(Estadísticas!I:I,'centraldecomunicacion.es'!H2157)&gt;0</f>
        <v>1</v>
      </c>
    </row>
    <row r="2158" spans="1:9" hidden="1">
      <c r="A2158" s="1" t="s">
        <v>8450</v>
      </c>
      <c r="B2158" s="1" t="s">
        <v>10</v>
      </c>
      <c r="C2158" s="1" t="s">
        <v>30</v>
      </c>
      <c r="D2158" s="1" t="s">
        <v>8417</v>
      </c>
      <c r="E2158" s="1" t="s">
        <v>30</v>
      </c>
      <c r="F2158" s="1" t="s">
        <v>2851</v>
      </c>
      <c r="G2158" s="1" t="s">
        <v>8451</v>
      </c>
      <c r="H2158" s="1" t="s">
        <v>1762</v>
      </c>
      <c r="I2158" t="b">
        <f>COUNTIF(Estadísticas!I:I,'centraldecomunicacion.es'!H2158)&gt;0</f>
        <v>0</v>
      </c>
    </row>
    <row r="2159" spans="1:9" hidden="1">
      <c r="A2159" s="1" t="s">
        <v>8452</v>
      </c>
      <c r="B2159" s="1" t="s">
        <v>18</v>
      </c>
      <c r="C2159" s="1" t="s">
        <v>8453</v>
      </c>
      <c r="D2159" s="1" t="s">
        <v>8454</v>
      </c>
      <c r="E2159" s="1" t="s">
        <v>824</v>
      </c>
      <c r="F2159" s="1" t="s">
        <v>30</v>
      </c>
      <c r="G2159" s="1" t="s">
        <v>8455</v>
      </c>
      <c r="H2159" s="1" t="s">
        <v>1762</v>
      </c>
      <c r="I2159" t="b">
        <f>COUNTIF(Estadísticas!I:I,'centraldecomunicacion.es'!H2159)&gt;0</f>
        <v>0</v>
      </c>
    </row>
    <row r="2160" spans="1:9" hidden="1">
      <c r="A2160" s="1" t="s">
        <v>8456</v>
      </c>
      <c r="B2160" s="1" t="s">
        <v>10</v>
      </c>
      <c r="C2160" s="1" t="s">
        <v>8457</v>
      </c>
      <c r="D2160" s="1" t="s">
        <v>8458</v>
      </c>
      <c r="E2160" s="1" t="s">
        <v>824</v>
      </c>
      <c r="F2160" s="1" t="s">
        <v>30</v>
      </c>
      <c r="G2160" s="1" t="s">
        <v>30</v>
      </c>
      <c r="H2160" s="1" t="s">
        <v>1762</v>
      </c>
      <c r="I2160" t="b">
        <f>COUNTIF(Estadísticas!I:I,'centraldecomunicacion.es'!H2160)&gt;0</f>
        <v>0</v>
      </c>
    </row>
    <row r="2161" spans="1:9" hidden="1">
      <c r="A2161" s="1" t="s">
        <v>8459</v>
      </c>
      <c r="B2161" s="1" t="s">
        <v>10</v>
      </c>
      <c r="C2161" s="1" t="s">
        <v>8460</v>
      </c>
      <c r="D2161" s="1" t="s">
        <v>8461</v>
      </c>
      <c r="E2161" s="1" t="s">
        <v>824</v>
      </c>
      <c r="F2161" s="1" t="s">
        <v>30</v>
      </c>
      <c r="G2161" s="1" t="s">
        <v>8462</v>
      </c>
      <c r="H2161" s="1" t="s">
        <v>1762</v>
      </c>
      <c r="I2161" t="b">
        <f>COUNTIF(Estadísticas!I:I,'centraldecomunicacion.es'!H2161)&gt;0</f>
        <v>0</v>
      </c>
    </row>
    <row r="2162" spans="1:9" hidden="1">
      <c r="A2162" s="1" t="s">
        <v>8463</v>
      </c>
      <c r="B2162" s="1" t="s">
        <v>10</v>
      </c>
      <c r="C2162" s="1" t="s">
        <v>8464</v>
      </c>
      <c r="D2162" s="1" t="s">
        <v>8465</v>
      </c>
      <c r="E2162" s="1" t="s">
        <v>824</v>
      </c>
      <c r="F2162" s="1" t="s">
        <v>8466</v>
      </c>
      <c r="G2162" s="1" t="s">
        <v>8467</v>
      </c>
      <c r="H2162" s="1" t="s">
        <v>1762</v>
      </c>
      <c r="I2162" t="b">
        <f>COUNTIF(Estadísticas!I:I,'centraldecomunicacion.es'!H2162)&gt;0</f>
        <v>0</v>
      </c>
    </row>
    <row r="2163" spans="1:9" hidden="1">
      <c r="A2163" s="1" t="s">
        <v>8468</v>
      </c>
      <c r="B2163" s="1" t="s">
        <v>10</v>
      </c>
      <c r="C2163" s="1" t="s">
        <v>8469</v>
      </c>
      <c r="D2163" s="1" t="s">
        <v>8470</v>
      </c>
      <c r="E2163" s="1" t="s">
        <v>824</v>
      </c>
      <c r="F2163" s="1" t="s">
        <v>30</v>
      </c>
      <c r="G2163" s="1" t="s">
        <v>30</v>
      </c>
      <c r="H2163" s="1" t="s">
        <v>1762</v>
      </c>
      <c r="I2163" t="b">
        <f>COUNTIF(Estadísticas!I:I,'centraldecomunicacion.es'!H2163)&gt;0</f>
        <v>0</v>
      </c>
    </row>
    <row r="2164" spans="1:9" hidden="1">
      <c r="A2164" s="1" t="s">
        <v>8471</v>
      </c>
      <c r="B2164" s="1" t="s">
        <v>10</v>
      </c>
      <c r="C2164" s="1" t="s">
        <v>8472</v>
      </c>
      <c r="D2164" s="1" t="s">
        <v>8473</v>
      </c>
      <c r="E2164" s="1" t="s">
        <v>824</v>
      </c>
      <c r="F2164" s="1" t="s">
        <v>30</v>
      </c>
      <c r="G2164" s="1" t="s">
        <v>30</v>
      </c>
      <c r="H2164" s="1" t="s">
        <v>1762</v>
      </c>
      <c r="I2164" t="b">
        <f>COUNTIF(Estadísticas!I:I,'centraldecomunicacion.es'!H2164)&gt;0</f>
        <v>0</v>
      </c>
    </row>
    <row r="2165" spans="1:9" hidden="1">
      <c r="A2165" s="1" t="s">
        <v>8474</v>
      </c>
      <c r="B2165" s="1" t="s">
        <v>10</v>
      </c>
      <c r="C2165" s="1" t="s">
        <v>8475</v>
      </c>
      <c r="D2165" s="1" t="s">
        <v>8476</v>
      </c>
      <c r="E2165" s="1" t="s">
        <v>824</v>
      </c>
      <c r="F2165" s="1" t="s">
        <v>30</v>
      </c>
      <c r="G2165" s="1" t="s">
        <v>30</v>
      </c>
      <c r="H2165" s="1" t="s">
        <v>1762</v>
      </c>
      <c r="I2165" t="b">
        <f>COUNTIF(Estadísticas!I:I,'centraldecomunicacion.es'!H2165)&gt;0</f>
        <v>0</v>
      </c>
    </row>
    <row r="2166" spans="1:9" hidden="1">
      <c r="A2166" s="1" t="s">
        <v>8477</v>
      </c>
      <c r="B2166" s="1" t="s">
        <v>10</v>
      </c>
      <c r="C2166" s="1" t="s">
        <v>8478</v>
      </c>
      <c r="D2166" s="1" t="s">
        <v>8479</v>
      </c>
      <c r="E2166" s="1" t="s">
        <v>824</v>
      </c>
      <c r="F2166" s="1" t="s">
        <v>30</v>
      </c>
      <c r="G2166" s="1" t="s">
        <v>8480</v>
      </c>
      <c r="H2166" s="1" t="s">
        <v>1762</v>
      </c>
      <c r="I2166" t="b">
        <f>COUNTIF(Estadísticas!I:I,'centraldecomunicacion.es'!H2166)&gt;0</f>
        <v>0</v>
      </c>
    </row>
    <row r="2167" spans="1:9" hidden="1">
      <c r="A2167" s="1" t="s">
        <v>8481</v>
      </c>
      <c r="B2167" s="1" t="s">
        <v>10</v>
      </c>
      <c r="C2167" s="1" t="s">
        <v>8482</v>
      </c>
      <c r="D2167" s="1" t="s">
        <v>8483</v>
      </c>
      <c r="E2167" s="1" t="s">
        <v>824</v>
      </c>
      <c r="F2167" s="1" t="s">
        <v>8484</v>
      </c>
      <c r="G2167" s="1" t="s">
        <v>8485</v>
      </c>
      <c r="H2167" s="1" t="s">
        <v>1762</v>
      </c>
      <c r="I2167" t="b">
        <f>COUNTIF(Estadísticas!I:I,'centraldecomunicacion.es'!H2167)&gt;0</f>
        <v>0</v>
      </c>
    </row>
    <row r="2168" spans="1:9" hidden="1">
      <c r="A2168" s="1" t="s">
        <v>8486</v>
      </c>
      <c r="B2168" s="1" t="s">
        <v>10</v>
      </c>
      <c r="C2168" s="1" t="s">
        <v>8487</v>
      </c>
      <c r="D2168" s="1" t="s">
        <v>8479</v>
      </c>
      <c r="E2168" s="1" t="s">
        <v>824</v>
      </c>
      <c r="F2168" s="1" t="s">
        <v>30</v>
      </c>
      <c r="G2168" s="1" t="s">
        <v>30</v>
      </c>
      <c r="H2168" s="1" t="s">
        <v>1762</v>
      </c>
      <c r="I2168" t="b">
        <f>COUNTIF(Estadísticas!I:I,'centraldecomunicacion.es'!H2168)&gt;0</f>
        <v>0</v>
      </c>
    </row>
    <row r="2169" spans="1:9" hidden="1">
      <c r="A2169" s="1" t="s">
        <v>8488</v>
      </c>
      <c r="B2169" s="1" t="s">
        <v>10</v>
      </c>
      <c r="C2169" s="1" t="s">
        <v>8489</v>
      </c>
      <c r="D2169" s="1" t="s">
        <v>8490</v>
      </c>
      <c r="E2169" s="1" t="s">
        <v>824</v>
      </c>
      <c r="F2169" s="1" t="s">
        <v>30</v>
      </c>
      <c r="G2169" s="1" t="s">
        <v>30</v>
      </c>
      <c r="H2169" s="1" t="s">
        <v>1762</v>
      </c>
      <c r="I2169" t="b">
        <f>COUNTIF(Estadísticas!I:I,'centraldecomunicacion.es'!H2169)&gt;0</f>
        <v>0</v>
      </c>
    </row>
    <row r="2170" spans="1:9" hidden="1">
      <c r="A2170" s="1" t="s">
        <v>8491</v>
      </c>
      <c r="B2170" s="1" t="s">
        <v>10</v>
      </c>
      <c r="C2170" s="1" t="s">
        <v>8492</v>
      </c>
      <c r="D2170" s="1" t="s">
        <v>8490</v>
      </c>
      <c r="E2170" s="1" t="s">
        <v>824</v>
      </c>
      <c r="F2170" s="1" t="s">
        <v>30</v>
      </c>
      <c r="G2170" s="1" t="s">
        <v>30</v>
      </c>
      <c r="H2170" s="1" t="s">
        <v>1762</v>
      </c>
      <c r="I2170" t="b">
        <f>COUNTIF(Estadísticas!I:I,'centraldecomunicacion.es'!H2170)&gt;0</f>
        <v>0</v>
      </c>
    </row>
    <row r="2171" spans="1:9" hidden="1">
      <c r="A2171" s="1" t="s">
        <v>8493</v>
      </c>
      <c r="B2171" s="1" t="s">
        <v>18</v>
      </c>
      <c r="C2171" s="1" t="s">
        <v>8494</v>
      </c>
      <c r="D2171" s="1" t="s">
        <v>8465</v>
      </c>
      <c r="E2171" s="1" t="s">
        <v>824</v>
      </c>
      <c r="F2171" s="1" t="s">
        <v>30</v>
      </c>
      <c r="G2171" s="1" t="s">
        <v>30</v>
      </c>
      <c r="H2171" s="1" t="s">
        <v>1762</v>
      </c>
      <c r="I2171" t="b">
        <f>COUNTIF(Estadísticas!I:I,'centraldecomunicacion.es'!H2171)&gt;0</f>
        <v>0</v>
      </c>
    </row>
    <row r="2172" spans="1:9" hidden="1">
      <c r="A2172" s="1" t="s">
        <v>8495</v>
      </c>
      <c r="B2172" s="1" t="s">
        <v>10</v>
      </c>
      <c r="C2172" s="1" t="s">
        <v>30</v>
      </c>
      <c r="D2172" s="1" t="s">
        <v>8417</v>
      </c>
      <c r="E2172" s="1" t="s">
        <v>30</v>
      </c>
      <c r="F2172" s="1" t="s">
        <v>1984</v>
      </c>
      <c r="G2172" s="1" t="s">
        <v>7996</v>
      </c>
      <c r="H2172" s="1" t="s">
        <v>1762</v>
      </c>
      <c r="I2172" t="b">
        <f>COUNTIF(Estadísticas!I:I,'centraldecomunicacion.es'!H2172)&gt;0</f>
        <v>0</v>
      </c>
    </row>
    <row r="2173" spans="1:9" hidden="1">
      <c r="A2173" s="1" t="s">
        <v>8496</v>
      </c>
      <c r="B2173" s="1" t="s">
        <v>10</v>
      </c>
      <c r="C2173" s="1" t="s">
        <v>8497</v>
      </c>
      <c r="D2173" s="1" t="s">
        <v>8498</v>
      </c>
      <c r="E2173" s="1" t="s">
        <v>824</v>
      </c>
      <c r="F2173" s="1" t="s">
        <v>30</v>
      </c>
      <c r="G2173" s="1" t="s">
        <v>8499</v>
      </c>
      <c r="H2173" s="1" t="s">
        <v>1762</v>
      </c>
      <c r="I2173" t="b">
        <f>COUNTIF(Estadísticas!I:I,'centraldecomunicacion.es'!H2173)&gt;0</f>
        <v>0</v>
      </c>
    </row>
    <row r="2174" spans="1:9" hidden="1">
      <c r="A2174" s="1" t="s">
        <v>8500</v>
      </c>
      <c r="B2174" s="1" t="s">
        <v>10</v>
      </c>
      <c r="C2174" s="1" t="s">
        <v>8501</v>
      </c>
      <c r="D2174" s="1" t="s">
        <v>8502</v>
      </c>
      <c r="E2174" s="1" t="s">
        <v>926</v>
      </c>
      <c r="F2174" s="1" t="s">
        <v>8503</v>
      </c>
      <c r="G2174" s="1" t="s">
        <v>8504</v>
      </c>
      <c r="H2174" s="1" t="s">
        <v>1762</v>
      </c>
      <c r="I2174" t="b">
        <f>COUNTIF(Estadísticas!I:I,'centraldecomunicacion.es'!H2174)&gt;0</f>
        <v>0</v>
      </c>
    </row>
    <row r="2175" spans="1:9" hidden="1">
      <c r="A2175" s="1" t="s">
        <v>8505</v>
      </c>
      <c r="B2175" s="1" t="s">
        <v>10</v>
      </c>
      <c r="C2175" s="1" t="s">
        <v>8506</v>
      </c>
      <c r="D2175" s="1" t="s">
        <v>457</v>
      </c>
      <c r="E2175" s="1" t="s">
        <v>457</v>
      </c>
      <c r="F2175" s="1" t="s">
        <v>8507</v>
      </c>
      <c r="G2175" s="1" t="s">
        <v>8508</v>
      </c>
      <c r="H2175" s="1" t="s">
        <v>8509</v>
      </c>
      <c r="I2175" t="b">
        <f>COUNTIF(Estadísticas!I:I,'centraldecomunicacion.es'!H2175)&gt;0</f>
        <v>0</v>
      </c>
    </row>
    <row r="2176" spans="1:9" hidden="1">
      <c r="A2176" s="1" t="s">
        <v>8510</v>
      </c>
      <c r="B2176" s="1" t="s">
        <v>10</v>
      </c>
      <c r="C2176" s="1" t="s">
        <v>8511</v>
      </c>
      <c r="D2176" s="1" t="s">
        <v>8512</v>
      </c>
      <c r="E2176" s="1" t="s">
        <v>824</v>
      </c>
      <c r="F2176" s="1" t="s">
        <v>30</v>
      </c>
      <c r="G2176" s="1" t="s">
        <v>30</v>
      </c>
      <c r="H2176" s="1" t="s">
        <v>1762</v>
      </c>
      <c r="I2176" t="b">
        <f>COUNTIF(Estadísticas!I:I,'centraldecomunicacion.es'!H2176)&gt;0</f>
        <v>0</v>
      </c>
    </row>
    <row r="2177" spans="1:9" hidden="1">
      <c r="A2177" s="1" t="s">
        <v>8513</v>
      </c>
      <c r="B2177" s="1" t="s">
        <v>10</v>
      </c>
      <c r="C2177" s="1" t="s">
        <v>8514</v>
      </c>
      <c r="D2177" s="1" t="s">
        <v>8515</v>
      </c>
      <c r="E2177" s="1" t="s">
        <v>824</v>
      </c>
      <c r="F2177" s="1" t="s">
        <v>30</v>
      </c>
      <c r="G2177" s="1" t="s">
        <v>30</v>
      </c>
      <c r="H2177" s="1" t="s">
        <v>1762</v>
      </c>
      <c r="I2177" t="b">
        <f>COUNTIF(Estadísticas!I:I,'centraldecomunicacion.es'!H2177)&gt;0</f>
        <v>0</v>
      </c>
    </row>
    <row r="2178" spans="1:9" hidden="1">
      <c r="A2178" s="1" t="s">
        <v>8516</v>
      </c>
      <c r="B2178" s="1" t="s">
        <v>18</v>
      </c>
      <c r="C2178" s="1" t="s">
        <v>8517</v>
      </c>
      <c r="D2178" s="1" t="s">
        <v>8518</v>
      </c>
      <c r="E2178" s="1" t="s">
        <v>824</v>
      </c>
      <c r="F2178" s="1" t="s">
        <v>8519</v>
      </c>
      <c r="G2178" s="1" t="s">
        <v>8520</v>
      </c>
      <c r="H2178" s="1" t="s">
        <v>1762</v>
      </c>
      <c r="I2178" t="b">
        <f>COUNTIF(Estadísticas!I:I,'centraldecomunicacion.es'!H2178)&gt;0</f>
        <v>0</v>
      </c>
    </row>
    <row r="2179" spans="1:9" hidden="1">
      <c r="A2179" s="1" t="s">
        <v>8521</v>
      </c>
      <c r="B2179" s="1" t="s">
        <v>10</v>
      </c>
      <c r="C2179" s="1" t="s">
        <v>8522</v>
      </c>
      <c r="D2179" s="1" t="s">
        <v>8523</v>
      </c>
      <c r="E2179" s="1" t="s">
        <v>824</v>
      </c>
      <c r="F2179" s="1" t="s">
        <v>30</v>
      </c>
      <c r="G2179" s="1" t="s">
        <v>30</v>
      </c>
      <c r="H2179" s="1" t="s">
        <v>1762</v>
      </c>
      <c r="I2179" t="b">
        <f>COUNTIF(Estadísticas!I:I,'centraldecomunicacion.es'!H2179)&gt;0</f>
        <v>0</v>
      </c>
    </row>
    <row r="2180" spans="1:9" hidden="1">
      <c r="A2180" s="1" t="s">
        <v>8524</v>
      </c>
      <c r="B2180" s="1" t="s">
        <v>18</v>
      </c>
      <c r="C2180" s="1" t="s">
        <v>8525</v>
      </c>
      <c r="D2180" s="1" t="s">
        <v>8461</v>
      </c>
      <c r="E2180" s="1" t="s">
        <v>824</v>
      </c>
      <c r="F2180" s="1" t="s">
        <v>8526</v>
      </c>
      <c r="G2180" s="1" t="s">
        <v>8462</v>
      </c>
      <c r="H2180" s="1" t="s">
        <v>8527</v>
      </c>
      <c r="I2180" t="b">
        <f>COUNTIF(Estadísticas!I:I,'centraldecomunicacion.es'!H2180)&gt;0</f>
        <v>0</v>
      </c>
    </row>
    <row r="2181" spans="1:9" hidden="1">
      <c r="A2181" s="1" t="s">
        <v>8528</v>
      </c>
      <c r="B2181" s="1" t="s">
        <v>18</v>
      </c>
      <c r="C2181" s="1" t="s">
        <v>8529</v>
      </c>
      <c r="D2181" s="1" t="s">
        <v>8530</v>
      </c>
      <c r="E2181" s="1" t="s">
        <v>926</v>
      </c>
      <c r="F2181" s="1" t="s">
        <v>30</v>
      </c>
      <c r="G2181" s="1" t="s">
        <v>8531</v>
      </c>
      <c r="H2181" s="1" t="s">
        <v>1762</v>
      </c>
      <c r="I2181" t="b">
        <f>COUNTIF(Estadísticas!I:I,'centraldecomunicacion.es'!H2181)&gt;0</f>
        <v>0</v>
      </c>
    </row>
    <row r="2182" spans="1:9" hidden="1">
      <c r="A2182" s="1" t="s">
        <v>8532</v>
      </c>
      <c r="B2182" s="1" t="s">
        <v>10</v>
      </c>
      <c r="C2182" s="1" t="s">
        <v>8533</v>
      </c>
      <c r="D2182" s="1" t="s">
        <v>8518</v>
      </c>
      <c r="E2182" s="1" t="s">
        <v>824</v>
      </c>
      <c r="F2182" s="1" t="s">
        <v>30</v>
      </c>
      <c r="G2182" s="1" t="s">
        <v>30</v>
      </c>
      <c r="H2182" s="1" t="s">
        <v>1762</v>
      </c>
      <c r="I2182" t="b">
        <f>COUNTIF(Estadísticas!I:I,'centraldecomunicacion.es'!H2182)&gt;0</f>
        <v>0</v>
      </c>
    </row>
    <row r="2183" spans="1:9" hidden="1">
      <c r="A2183" s="1" t="s">
        <v>8534</v>
      </c>
      <c r="B2183" s="1" t="s">
        <v>10</v>
      </c>
      <c r="C2183" s="1" t="s">
        <v>8535</v>
      </c>
      <c r="D2183" s="1" t="s">
        <v>8536</v>
      </c>
      <c r="E2183" s="1" t="s">
        <v>926</v>
      </c>
      <c r="F2183" s="1" t="s">
        <v>30</v>
      </c>
      <c r="G2183" s="1" t="s">
        <v>8537</v>
      </c>
      <c r="H2183" s="1" t="s">
        <v>1762</v>
      </c>
      <c r="I2183" t="b">
        <f>COUNTIF(Estadísticas!I:I,'centraldecomunicacion.es'!H2183)&gt;0</f>
        <v>0</v>
      </c>
    </row>
    <row r="2184" spans="1:9" hidden="1">
      <c r="A2184" s="1" t="s">
        <v>8538</v>
      </c>
      <c r="B2184" s="1" t="s">
        <v>10</v>
      </c>
      <c r="C2184" s="1" t="s">
        <v>8539</v>
      </c>
      <c r="D2184" s="1" t="s">
        <v>8540</v>
      </c>
      <c r="E2184" s="1" t="s">
        <v>842</v>
      </c>
      <c r="F2184" s="1" t="s">
        <v>30</v>
      </c>
      <c r="G2184" s="1" t="s">
        <v>8541</v>
      </c>
      <c r="H2184" s="1" t="s">
        <v>1762</v>
      </c>
      <c r="I2184" t="b">
        <f>COUNTIF(Estadísticas!I:I,'centraldecomunicacion.es'!H2184)&gt;0</f>
        <v>0</v>
      </c>
    </row>
    <row r="2185" spans="1:9" hidden="1">
      <c r="A2185" s="1" t="s">
        <v>8542</v>
      </c>
      <c r="B2185" s="1" t="s">
        <v>10</v>
      </c>
      <c r="C2185" s="1" t="s">
        <v>8543</v>
      </c>
      <c r="D2185" s="1" t="s">
        <v>8544</v>
      </c>
      <c r="E2185" s="1" t="s">
        <v>1324</v>
      </c>
      <c r="F2185" s="1" t="s">
        <v>1984</v>
      </c>
      <c r="G2185" s="1" t="s">
        <v>8545</v>
      </c>
      <c r="H2185" s="1" t="s">
        <v>1762</v>
      </c>
      <c r="I2185" t="b">
        <f>COUNTIF(Estadísticas!I:I,'centraldecomunicacion.es'!H2185)&gt;0</f>
        <v>0</v>
      </c>
    </row>
    <row r="2186" spans="1:9" hidden="1">
      <c r="A2186" s="1" t="s">
        <v>8546</v>
      </c>
      <c r="B2186" s="1" t="s">
        <v>10</v>
      </c>
      <c r="C2186" s="1" t="s">
        <v>8547</v>
      </c>
      <c r="D2186" s="1" t="s">
        <v>8518</v>
      </c>
      <c r="E2186" s="1" t="s">
        <v>824</v>
      </c>
      <c r="F2186" s="1" t="s">
        <v>30</v>
      </c>
      <c r="G2186" s="1" t="s">
        <v>30</v>
      </c>
      <c r="H2186" s="1" t="s">
        <v>1762</v>
      </c>
      <c r="I2186" t="b">
        <f>COUNTIF(Estadísticas!I:I,'centraldecomunicacion.es'!H2186)&gt;0</f>
        <v>0</v>
      </c>
    </row>
    <row r="2187" spans="1:9" hidden="1">
      <c r="A2187" s="1" t="s">
        <v>8548</v>
      </c>
      <c r="B2187" s="1" t="s">
        <v>18</v>
      </c>
      <c r="C2187" s="1" t="s">
        <v>8549</v>
      </c>
      <c r="D2187" s="1" t="s">
        <v>8518</v>
      </c>
      <c r="E2187" s="1" t="s">
        <v>824</v>
      </c>
      <c r="F2187" s="1" t="s">
        <v>30</v>
      </c>
      <c r="G2187" s="1" t="s">
        <v>8550</v>
      </c>
      <c r="H2187" s="1" t="s">
        <v>1762</v>
      </c>
      <c r="I2187" t="b">
        <f>COUNTIF(Estadísticas!I:I,'centraldecomunicacion.es'!H2187)&gt;0</f>
        <v>0</v>
      </c>
    </row>
    <row r="2188" spans="1:9" hidden="1">
      <c r="A2188" s="1" t="s">
        <v>8551</v>
      </c>
      <c r="B2188" s="1" t="s">
        <v>10</v>
      </c>
      <c r="C2188" s="1" t="s">
        <v>8552</v>
      </c>
      <c r="D2188" s="1" t="s">
        <v>8553</v>
      </c>
      <c r="E2188" s="1" t="s">
        <v>1324</v>
      </c>
      <c r="F2188" s="1" t="s">
        <v>30</v>
      </c>
      <c r="G2188" s="1" t="s">
        <v>8554</v>
      </c>
      <c r="H2188" s="1" t="s">
        <v>1762</v>
      </c>
      <c r="I2188" t="b">
        <f>COUNTIF(Estadísticas!I:I,'centraldecomunicacion.es'!H2188)&gt;0</f>
        <v>0</v>
      </c>
    </row>
    <row r="2189" spans="1:9" hidden="1">
      <c r="A2189" s="1" t="s">
        <v>8555</v>
      </c>
      <c r="B2189" s="1" t="s">
        <v>10</v>
      </c>
      <c r="C2189" s="1" t="s">
        <v>8556</v>
      </c>
      <c r="D2189" s="1" t="s">
        <v>457</v>
      </c>
      <c r="E2189" s="1" t="s">
        <v>457</v>
      </c>
      <c r="F2189" s="1" t="s">
        <v>8557</v>
      </c>
      <c r="G2189" s="1" t="s">
        <v>8558</v>
      </c>
      <c r="H2189" s="1" t="s">
        <v>1762</v>
      </c>
      <c r="I2189" t="b">
        <f>COUNTIF(Estadísticas!I:I,'centraldecomunicacion.es'!H2189)&gt;0</f>
        <v>0</v>
      </c>
    </row>
    <row r="2190" spans="1:9" hidden="1">
      <c r="A2190" s="1" t="s">
        <v>8559</v>
      </c>
      <c r="B2190" s="1" t="s">
        <v>10</v>
      </c>
      <c r="C2190" s="1" t="s">
        <v>30</v>
      </c>
      <c r="D2190" s="1" t="s">
        <v>8417</v>
      </c>
      <c r="E2190" s="1" t="s">
        <v>30</v>
      </c>
      <c r="F2190" s="1" t="s">
        <v>1984</v>
      </c>
      <c r="G2190" s="1" t="s">
        <v>8560</v>
      </c>
      <c r="H2190" s="1" t="s">
        <v>1762</v>
      </c>
      <c r="I2190" t="b">
        <f>COUNTIF(Estadísticas!I:I,'centraldecomunicacion.es'!H2190)&gt;0</f>
        <v>0</v>
      </c>
    </row>
    <row r="2191" spans="1:9">
      <c r="A2191" s="1" t="s">
        <v>840</v>
      </c>
      <c r="B2191" s="1" t="s">
        <v>10</v>
      </c>
      <c r="C2191" s="1" t="s">
        <v>841</v>
      </c>
      <c r="D2191" s="1" t="s">
        <v>842</v>
      </c>
      <c r="E2191" s="1" t="s">
        <v>842</v>
      </c>
      <c r="F2191" s="1" t="s">
        <v>843</v>
      </c>
      <c r="G2191" s="1" t="s">
        <v>844</v>
      </c>
      <c r="H2191" s="1" t="s">
        <v>845</v>
      </c>
      <c r="I2191" t="b">
        <f>COUNTIF(Estadísticas!I:I,'centraldecomunicacion.es'!H2191)&gt;0</f>
        <v>1</v>
      </c>
    </row>
    <row r="2192" spans="1:9" hidden="1">
      <c r="A2192" s="1" t="s">
        <v>8561</v>
      </c>
      <c r="B2192" s="1" t="s">
        <v>10</v>
      </c>
      <c r="C2192" s="1" t="s">
        <v>8562</v>
      </c>
      <c r="D2192" s="1" t="s">
        <v>8563</v>
      </c>
      <c r="E2192" s="1" t="s">
        <v>926</v>
      </c>
      <c r="F2192" s="1" t="s">
        <v>30</v>
      </c>
      <c r="G2192" s="1" t="s">
        <v>8564</v>
      </c>
      <c r="H2192" s="1" t="s">
        <v>1762</v>
      </c>
      <c r="I2192" t="b">
        <f>COUNTIF(Estadísticas!I:I,'centraldecomunicacion.es'!H2192)&gt;0</f>
        <v>0</v>
      </c>
    </row>
    <row r="2193" spans="1:9" hidden="1">
      <c r="A2193" s="1" t="s">
        <v>8565</v>
      </c>
      <c r="B2193" s="1" t="s">
        <v>10</v>
      </c>
      <c r="C2193" s="1" t="s">
        <v>8566</v>
      </c>
      <c r="D2193" s="1" t="s">
        <v>6201</v>
      </c>
      <c r="E2193" s="1" t="s">
        <v>926</v>
      </c>
      <c r="F2193" s="1" t="s">
        <v>30</v>
      </c>
      <c r="G2193" s="1" t="s">
        <v>8567</v>
      </c>
      <c r="H2193" s="1" t="s">
        <v>1762</v>
      </c>
      <c r="I2193" t="b">
        <f>COUNTIF(Estadísticas!I:I,'centraldecomunicacion.es'!H2193)&gt;0</f>
        <v>0</v>
      </c>
    </row>
    <row r="2194" spans="1:9" hidden="1">
      <c r="A2194" s="1" t="s">
        <v>8568</v>
      </c>
      <c r="B2194" s="1" t="s">
        <v>10</v>
      </c>
      <c r="C2194" s="1" t="s">
        <v>8569</v>
      </c>
      <c r="D2194" s="1" t="s">
        <v>8570</v>
      </c>
      <c r="E2194" s="1" t="s">
        <v>1324</v>
      </c>
      <c r="F2194" s="1" t="s">
        <v>30</v>
      </c>
      <c r="G2194" s="1" t="s">
        <v>30</v>
      </c>
      <c r="H2194" s="1" t="s">
        <v>1762</v>
      </c>
      <c r="I2194" t="b">
        <f>COUNTIF(Estadísticas!I:I,'centraldecomunicacion.es'!H2194)&gt;0</f>
        <v>0</v>
      </c>
    </row>
    <row r="2195" spans="1:9" hidden="1">
      <c r="A2195" s="1" t="s">
        <v>8571</v>
      </c>
      <c r="B2195" s="1" t="s">
        <v>18</v>
      </c>
      <c r="C2195" s="1" t="s">
        <v>8572</v>
      </c>
      <c r="D2195" s="1" t="s">
        <v>4779</v>
      </c>
      <c r="E2195" s="1" t="s">
        <v>1208</v>
      </c>
      <c r="F2195" s="1" t="s">
        <v>8573</v>
      </c>
      <c r="G2195" s="1" t="s">
        <v>8574</v>
      </c>
      <c r="H2195" s="1" t="s">
        <v>8575</v>
      </c>
      <c r="I2195" t="b">
        <f>COUNTIF(Estadísticas!I:I,'centraldecomunicacion.es'!H2195)&gt;0</f>
        <v>0</v>
      </c>
    </row>
    <row r="2196" spans="1:9" hidden="1">
      <c r="A2196" s="1" t="s">
        <v>8576</v>
      </c>
      <c r="B2196" s="1" t="s">
        <v>18</v>
      </c>
      <c r="C2196" s="1" t="s">
        <v>8577</v>
      </c>
      <c r="D2196" s="1" t="s">
        <v>4779</v>
      </c>
      <c r="E2196" s="1" t="s">
        <v>1208</v>
      </c>
      <c r="F2196" s="1" t="s">
        <v>8573</v>
      </c>
      <c r="G2196" s="1" t="s">
        <v>8574</v>
      </c>
      <c r="H2196" s="1" t="s">
        <v>8575</v>
      </c>
      <c r="I2196" t="b">
        <f>COUNTIF(Estadísticas!I:I,'centraldecomunicacion.es'!H2196)&gt;0</f>
        <v>0</v>
      </c>
    </row>
    <row r="2197" spans="1:9" hidden="1">
      <c r="A2197" s="1" t="s">
        <v>8578</v>
      </c>
      <c r="B2197" s="1" t="s">
        <v>10</v>
      </c>
      <c r="C2197" s="1" t="s">
        <v>8579</v>
      </c>
      <c r="D2197" s="1" t="s">
        <v>848</v>
      </c>
      <c r="E2197" s="1" t="s">
        <v>848</v>
      </c>
      <c r="F2197" s="1" t="s">
        <v>8580</v>
      </c>
      <c r="G2197" s="1" t="s">
        <v>8581</v>
      </c>
      <c r="H2197" s="1" t="s">
        <v>1762</v>
      </c>
      <c r="I2197" t="b">
        <f>COUNTIF(Estadísticas!I:I,'centraldecomunicacion.es'!H2197)&gt;0</f>
        <v>0</v>
      </c>
    </row>
    <row r="2198" spans="1:9" hidden="1">
      <c r="A2198" s="1" t="s">
        <v>8582</v>
      </c>
      <c r="B2198" s="1" t="s">
        <v>10</v>
      </c>
      <c r="C2198" s="1" t="s">
        <v>8583</v>
      </c>
      <c r="D2198" s="1" t="s">
        <v>848</v>
      </c>
      <c r="E2198" s="1" t="s">
        <v>848</v>
      </c>
      <c r="F2198" s="1" t="s">
        <v>30</v>
      </c>
      <c r="G2198" s="1" t="s">
        <v>8584</v>
      </c>
      <c r="H2198" s="1" t="s">
        <v>1762</v>
      </c>
      <c r="I2198" t="b">
        <f>COUNTIF(Estadísticas!I:I,'centraldecomunicacion.es'!H2198)&gt;0</f>
        <v>0</v>
      </c>
    </row>
    <row r="2199" spans="1:9">
      <c r="A2199" s="1" t="s">
        <v>846</v>
      </c>
      <c r="B2199" s="1" t="s">
        <v>10</v>
      </c>
      <c r="C2199" s="1" t="s">
        <v>847</v>
      </c>
      <c r="D2199" s="1" t="s">
        <v>848</v>
      </c>
      <c r="E2199" s="1" t="s">
        <v>848</v>
      </c>
      <c r="F2199" s="1" t="s">
        <v>849</v>
      </c>
      <c r="G2199" s="1" t="s">
        <v>850</v>
      </c>
      <c r="H2199" s="1" t="s">
        <v>851</v>
      </c>
      <c r="I2199" t="b">
        <f>COUNTIF(Estadísticas!I:I,'centraldecomunicacion.es'!H2199)&gt;0</f>
        <v>1</v>
      </c>
    </row>
    <row r="2200" spans="1:9" hidden="1">
      <c r="A2200" s="1" t="s">
        <v>8585</v>
      </c>
      <c r="B2200" s="1" t="s">
        <v>10</v>
      </c>
      <c r="C2200" s="1" t="s">
        <v>8586</v>
      </c>
      <c r="D2200" s="1" t="s">
        <v>848</v>
      </c>
      <c r="E2200" s="1" t="s">
        <v>848</v>
      </c>
      <c r="F2200" s="1" t="s">
        <v>8587</v>
      </c>
      <c r="G2200" s="1" t="s">
        <v>8588</v>
      </c>
      <c r="H2200" s="1" t="s">
        <v>8589</v>
      </c>
      <c r="I2200" t="b">
        <f>COUNTIF(Estadísticas!I:I,'centraldecomunicacion.es'!H2200)&gt;0</f>
        <v>0</v>
      </c>
    </row>
    <row r="2201" spans="1:9" hidden="1">
      <c r="A2201" s="1" t="s">
        <v>8590</v>
      </c>
      <c r="B2201" s="1" t="s">
        <v>10</v>
      </c>
      <c r="C2201" s="1" t="s">
        <v>8591</v>
      </c>
      <c r="D2201" s="1" t="s">
        <v>848</v>
      </c>
      <c r="E2201" s="1" t="s">
        <v>848</v>
      </c>
      <c r="F2201" s="1" t="s">
        <v>30</v>
      </c>
      <c r="G2201" s="1" t="s">
        <v>8592</v>
      </c>
      <c r="H2201" s="1" t="s">
        <v>1762</v>
      </c>
      <c r="I2201" t="b">
        <f>COUNTIF(Estadísticas!I:I,'centraldecomunicacion.es'!H2201)&gt;0</f>
        <v>0</v>
      </c>
    </row>
    <row r="2202" spans="1:9" hidden="1">
      <c r="A2202" s="1" t="s">
        <v>8593</v>
      </c>
      <c r="B2202" s="1" t="s">
        <v>18</v>
      </c>
      <c r="C2202" s="1" t="s">
        <v>8594</v>
      </c>
      <c r="D2202" s="1" t="s">
        <v>848</v>
      </c>
      <c r="E2202" s="1" t="s">
        <v>848</v>
      </c>
      <c r="F2202" s="1" t="s">
        <v>8595</v>
      </c>
      <c r="G2202" s="1" t="s">
        <v>8596</v>
      </c>
      <c r="H2202" s="1" t="s">
        <v>8597</v>
      </c>
      <c r="I2202" t="b">
        <f>COUNTIF(Estadísticas!I:I,'centraldecomunicacion.es'!H2202)&gt;0</f>
        <v>0</v>
      </c>
    </row>
    <row r="2203" spans="1:9" hidden="1">
      <c r="A2203" s="1" t="s">
        <v>8598</v>
      </c>
      <c r="B2203" s="1" t="s">
        <v>10</v>
      </c>
      <c r="C2203" s="1" t="s">
        <v>8599</v>
      </c>
      <c r="D2203" s="1" t="s">
        <v>848</v>
      </c>
      <c r="E2203" s="1" t="s">
        <v>848</v>
      </c>
      <c r="F2203" s="1" t="s">
        <v>8600</v>
      </c>
      <c r="G2203" s="1" t="s">
        <v>8601</v>
      </c>
      <c r="H2203" s="1" t="s">
        <v>8602</v>
      </c>
      <c r="I2203" t="b">
        <f>COUNTIF(Estadísticas!I:I,'centraldecomunicacion.es'!H2203)&gt;0</f>
        <v>0</v>
      </c>
    </row>
    <row r="2204" spans="1:9" hidden="1">
      <c r="A2204" s="1" t="s">
        <v>8603</v>
      </c>
      <c r="B2204" s="1" t="s">
        <v>10</v>
      </c>
      <c r="C2204" s="1" t="s">
        <v>8604</v>
      </c>
      <c r="D2204" s="1" t="s">
        <v>848</v>
      </c>
      <c r="E2204" s="1" t="s">
        <v>848</v>
      </c>
      <c r="F2204" s="1" t="s">
        <v>30</v>
      </c>
      <c r="G2204" s="1" t="s">
        <v>8605</v>
      </c>
      <c r="H2204" s="1" t="s">
        <v>1762</v>
      </c>
      <c r="I2204" t="b">
        <f>COUNTIF(Estadísticas!I:I,'centraldecomunicacion.es'!H2204)&gt;0</f>
        <v>0</v>
      </c>
    </row>
    <row r="2205" spans="1:9" hidden="1">
      <c r="A2205" s="1" t="s">
        <v>8606</v>
      </c>
      <c r="B2205" s="1" t="s">
        <v>18</v>
      </c>
      <c r="C2205" s="1" t="s">
        <v>8607</v>
      </c>
      <c r="D2205" s="1" t="s">
        <v>848</v>
      </c>
      <c r="E2205" s="1" t="s">
        <v>848</v>
      </c>
      <c r="F2205" s="1" t="s">
        <v>30</v>
      </c>
      <c r="G2205" s="1" t="s">
        <v>8608</v>
      </c>
      <c r="H2205" s="1" t="s">
        <v>1762</v>
      </c>
      <c r="I2205" t="b">
        <f>COUNTIF(Estadísticas!I:I,'centraldecomunicacion.es'!H2205)&gt;0</f>
        <v>0</v>
      </c>
    </row>
    <row r="2206" spans="1:9" hidden="1">
      <c r="A2206" s="1" t="s">
        <v>8609</v>
      </c>
      <c r="B2206" s="1" t="s">
        <v>10</v>
      </c>
      <c r="C2206" s="1" t="s">
        <v>8610</v>
      </c>
      <c r="D2206" s="1" t="s">
        <v>848</v>
      </c>
      <c r="E2206" s="1" t="s">
        <v>848</v>
      </c>
      <c r="F2206" s="1" t="s">
        <v>8611</v>
      </c>
      <c r="G2206" s="1" t="s">
        <v>8612</v>
      </c>
      <c r="H2206" s="1" t="s">
        <v>1762</v>
      </c>
      <c r="I2206" t="b">
        <f>COUNTIF(Estadísticas!I:I,'centraldecomunicacion.es'!H2206)&gt;0</f>
        <v>0</v>
      </c>
    </row>
    <row r="2207" spans="1:9" hidden="1">
      <c r="A2207" s="1" t="s">
        <v>8613</v>
      </c>
      <c r="B2207" s="1" t="s">
        <v>18</v>
      </c>
      <c r="C2207" s="1" t="s">
        <v>8614</v>
      </c>
      <c r="D2207" s="1" t="s">
        <v>848</v>
      </c>
      <c r="E2207" s="1" t="s">
        <v>848</v>
      </c>
      <c r="F2207" s="1" t="s">
        <v>30</v>
      </c>
      <c r="G2207" s="1" t="s">
        <v>8615</v>
      </c>
      <c r="H2207" s="1" t="s">
        <v>1762</v>
      </c>
      <c r="I2207" t="b">
        <f>COUNTIF(Estadísticas!I:I,'centraldecomunicacion.es'!H2207)&gt;0</f>
        <v>0</v>
      </c>
    </row>
    <row r="2208" spans="1:9" hidden="1">
      <c r="A2208" s="1" t="s">
        <v>8616</v>
      </c>
      <c r="B2208" s="1" t="s">
        <v>10</v>
      </c>
      <c r="C2208" s="1" t="s">
        <v>8617</v>
      </c>
      <c r="D2208" s="1" t="s">
        <v>848</v>
      </c>
      <c r="E2208" s="1" t="s">
        <v>848</v>
      </c>
      <c r="F2208" s="1" t="s">
        <v>30</v>
      </c>
      <c r="G2208" s="1" t="s">
        <v>8618</v>
      </c>
      <c r="H2208" s="1" t="s">
        <v>1762</v>
      </c>
      <c r="I2208" t="b">
        <f>COUNTIF(Estadísticas!I:I,'centraldecomunicacion.es'!H2208)&gt;0</f>
        <v>0</v>
      </c>
    </row>
    <row r="2209" spans="1:9" hidden="1">
      <c r="A2209" s="1" t="s">
        <v>8619</v>
      </c>
      <c r="B2209" s="1" t="s">
        <v>10</v>
      </c>
      <c r="C2209" s="1" t="s">
        <v>8620</v>
      </c>
      <c r="D2209" s="1" t="s">
        <v>848</v>
      </c>
      <c r="E2209" s="1" t="s">
        <v>848</v>
      </c>
      <c r="F2209" s="1" t="s">
        <v>8621</v>
      </c>
      <c r="G2209" s="1" t="s">
        <v>8622</v>
      </c>
      <c r="H2209" s="1" t="s">
        <v>8623</v>
      </c>
      <c r="I2209" t="b">
        <f>COUNTIF(Estadísticas!I:I,'centraldecomunicacion.es'!H2209)&gt;0</f>
        <v>0</v>
      </c>
    </row>
    <row r="2210" spans="1:9" hidden="1">
      <c r="A2210" s="1" t="s">
        <v>8624</v>
      </c>
      <c r="B2210" s="1" t="s">
        <v>10</v>
      </c>
      <c r="C2210" s="1" t="s">
        <v>8625</v>
      </c>
      <c r="D2210" s="1" t="s">
        <v>848</v>
      </c>
      <c r="E2210" s="1" t="s">
        <v>848</v>
      </c>
      <c r="F2210" s="1" t="s">
        <v>30</v>
      </c>
      <c r="G2210" s="1" t="s">
        <v>8626</v>
      </c>
      <c r="H2210" s="1" t="s">
        <v>1762</v>
      </c>
      <c r="I2210" t="b">
        <f>COUNTIF(Estadísticas!I:I,'centraldecomunicacion.es'!H2210)&gt;0</f>
        <v>0</v>
      </c>
    </row>
    <row r="2211" spans="1:9" hidden="1">
      <c r="A2211" s="1" t="s">
        <v>8627</v>
      </c>
      <c r="B2211" s="1" t="s">
        <v>10</v>
      </c>
      <c r="C2211" s="1" t="s">
        <v>8628</v>
      </c>
      <c r="D2211" s="1" t="s">
        <v>848</v>
      </c>
      <c r="E2211" s="1" t="s">
        <v>848</v>
      </c>
      <c r="F2211" s="1" t="s">
        <v>30</v>
      </c>
      <c r="G2211" s="1" t="s">
        <v>8629</v>
      </c>
      <c r="H2211" s="1" t="s">
        <v>1762</v>
      </c>
      <c r="I2211" t="b">
        <f>COUNTIF(Estadísticas!I:I,'centraldecomunicacion.es'!H2211)&gt;0</f>
        <v>0</v>
      </c>
    </row>
    <row r="2212" spans="1:9" hidden="1">
      <c r="A2212" s="1" t="s">
        <v>8630</v>
      </c>
      <c r="B2212" s="1" t="s">
        <v>10</v>
      </c>
      <c r="C2212" s="1" t="s">
        <v>8631</v>
      </c>
      <c r="D2212" s="1" t="s">
        <v>848</v>
      </c>
      <c r="E2212" s="1" t="s">
        <v>848</v>
      </c>
      <c r="F2212" s="1" t="s">
        <v>30</v>
      </c>
      <c r="G2212" s="1" t="s">
        <v>8632</v>
      </c>
      <c r="H2212" s="1" t="s">
        <v>1762</v>
      </c>
      <c r="I2212" t="b">
        <f>COUNTIF(Estadísticas!I:I,'centraldecomunicacion.es'!H2212)&gt;0</f>
        <v>0</v>
      </c>
    </row>
    <row r="2213" spans="1:9" hidden="1">
      <c r="A2213" s="1" t="s">
        <v>8633</v>
      </c>
      <c r="B2213" s="1" t="s">
        <v>10</v>
      </c>
      <c r="C2213" s="1" t="s">
        <v>8634</v>
      </c>
      <c r="D2213" s="1" t="s">
        <v>848</v>
      </c>
      <c r="E2213" s="1" t="s">
        <v>848</v>
      </c>
      <c r="F2213" s="1" t="s">
        <v>30</v>
      </c>
      <c r="G2213" s="1" t="s">
        <v>8635</v>
      </c>
      <c r="H2213" s="1" t="s">
        <v>1762</v>
      </c>
      <c r="I2213" t="b">
        <f>COUNTIF(Estadísticas!I:I,'centraldecomunicacion.es'!H2213)&gt;0</f>
        <v>0</v>
      </c>
    </row>
    <row r="2214" spans="1:9" hidden="1">
      <c r="A2214" s="1" t="s">
        <v>8636</v>
      </c>
      <c r="B2214" s="1" t="s">
        <v>10</v>
      </c>
      <c r="C2214" s="1" t="s">
        <v>8637</v>
      </c>
      <c r="D2214" s="1" t="s">
        <v>8638</v>
      </c>
      <c r="E2214" s="1" t="s">
        <v>848</v>
      </c>
      <c r="F2214" s="1" t="s">
        <v>30</v>
      </c>
      <c r="G2214" s="1" t="s">
        <v>8639</v>
      </c>
      <c r="H2214" s="1" t="s">
        <v>1762</v>
      </c>
      <c r="I2214" t="b">
        <f>COUNTIF(Estadísticas!I:I,'centraldecomunicacion.es'!H2214)&gt;0</f>
        <v>0</v>
      </c>
    </row>
    <row r="2215" spans="1:9" hidden="1">
      <c r="A2215" s="1" t="s">
        <v>8640</v>
      </c>
      <c r="B2215" s="1" t="s">
        <v>10</v>
      </c>
      <c r="C2215" s="1" t="s">
        <v>8641</v>
      </c>
      <c r="D2215" s="1" t="s">
        <v>848</v>
      </c>
      <c r="E2215" s="1" t="s">
        <v>848</v>
      </c>
      <c r="F2215" s="1" t="s">
        <v>30</v>
      </c>
      <c r="G2215" s="1" t="s">
        <v>8642</v>
      </c>
      <c r="H2215" s="1" t="s">
        <v>1762</v>
      </c>
      <c r="I2215" t="b">
        <f>COUNTIF(Estadísticas!I:I,'centraldecomunicacion.es'!H2215)&gt;0</f>
        <v>0</v>
      </c>
    </row>
    <row r="2216" spans="1:9" hidden="1">
      <c r="A2216" s="1" t="s">
        <v>8643</v>
      </c>
      <c r="B2216" s="1" t="s">
        <v>10</v>
      </c>
      <c r="C2216" s="1" t="s">
        <v>8644</v>
      </c>
      <c r="D2216" s="1" t="s">
        <v>848</v>
      </c>
      <c r="E2216" s="1" t="s">
        <v>848</v>
      </c>
      <c r="F2216" s="1" t="s">
        <v>30</v>
      </c>
      <c r="G2216" s="1" t="s">
        <v>8645</v>
      </c>
      <c r="H2216" s="1" t="s">
        <v>1762</v>
      </c>
      <c r="I2216" t="b">
        <f>COUNTIF(Estadísticas!I:I,'centraldecomunicacion.es'!H2216)&gt;0</f>
        <v>0</v>
      </c>
    </row>
    <row r="2217" spans="1:9" hidden="1">
      <c r="A2217" s="1" t="s">
        <v>8646</v>
      </c>
      <c r="B2217" s="1" t="s">
        <v>10</v>
      </c>
      <c r="C2217" s="1" t="s">
        <v>8647</v>
      </c>
      <c r="D2217" s="1" t="s">
        <v>848</v>
      </c>
      <c r="E2217" s="1" t="s">
        <v>848</v>
      </c>
      <c r="F2217" s="1" t="s">
        <v>30</v>
      </c>
      <c r="G2217" s="1" t="s">
        <v>30</v>
      </c>
      <c r="H2217" s="1" t="s">
        <v>1762</v>
      </c>
      <c r="I2217" t="b">
        <f>COUNTIF(Estadísticas!I:I,'centraldecomunicacion.es'!H2217)&gt;0</f>
        <v>0</v>
      </c>
    </row>
    <row r="2218" spans="1:9" hidden="1">
      <c r="A2218" s="1" t="s">
        <v>8648</v>
      </c>
      <c r="B2218" s="1" t="s">
        <v>10</v>
      </c>
      <c r="C2218" s="1" t="s">
        <v>8649</v>
      </c>
      <c r="D2218" s="1" t="s">
        <v>848</v>
      </c>
      <c r="E2218" s="1" t="s">
        <v>848</v>
      </c>
      <c r="F2218" s="1" t="s">
        <v>30</v>
      </c>
      <c r="G2218" s="1" t="s">
        <v>8650</v>
      </c>
      <c r="H2218" s="1" t="s">
        <v>1762</v>
      </c>
      <c r="I2218" t="b">
        <f>COUNTIF(Estadísticas!I:I,'centraldecomunicacion.es'!H2218)&gt;0</f>
        <v>0</v>
      </c>
    </row>
    <row r="2219" spans="1:9" hidden="1">
      <c r="A2219" s="1" t="s">
        <v>8651</v>
      </c>
      <c r="B2219" s="1" t="s">
        <v>10</v>
      </c>
      <c r="C2219" s="1" t="s">
        <v>8652</v>
      </c>
      <c r="D2219" s="1" t="s">
        <v>848</v>
      </c>
      <c r="E2219" s="1" t="s">
        <v>848</v>
      </c>
      <c r="F2219" s="1" t="s">
        <v>30</v>
      </c>
      <c r="G2219" s="1" t="s">
        <v>30</v>
      </c>
      <c r="H2219" s="1" t="s">
        <v>1762</v>
      </c>
      <c r="I2219" t="b">
        <f>COUNTIF(Estadísticas!I:I,'centraldecomunicacion.es'!H2219)&gt;0</f>
        <v>0</v>
      </c>
    </row>
    <row r="2220" spans="1:9" hidden="1">
      <c r="A2220" s="1" t="s">
        <v>8593</v>
      </c>
      <c r="B2220" s="1" t="s">
        <v>18</v>
      </c>
      <c r="C2220" s="1" t="s">
        <v>8653</v>
      </c>
      <c r="D2220" s="1" t="s">
        <v>848</v>
      </c>
      <c r="E2220" s="1" t="s">
        <v>848</v>
      </c>
      <c r="F2220" s="1" t="s">
        <v>8595</v>
      </c>
      <c r="G2220" s="1" t="s">
        <v>8654</v>
      </c>
      <c r="H2220" s="1" t="s">
        <v>8597</v>
      </c>
      <c r="I2220" t="b">
        <f>COUNTIF(Estadísticas!I:I,'centraldecomunicacion.es'!H2220)&gt;0</f>
        <v>0</v>
      </c>
    </row>
    <row r="2221" spans="1:9" hidden="1">
      <c r="A2221" s="1" t="s">
        <v>8655</v>
      </c>
      <c r="B2221" s="1" t="s">
        <v>10</v>
      </c>
      <c r="C2221" s="1" t="s">
        <v>8656</v>
      </c>
      <c r="D2221" s="1" t="s">
        <v>848</v>
      </c>
      <c r="E2221" s="1" t="s">
        <v>848</v>
      </c>
      <c r="F2221" s="1" t="s">
        <v>8657</v>
      </c>
      <c r="G2221" s="1" t="s">
        <v>8658</v>
      </c>
      <c r="H2221" s="1" t="s">
        <v>8659</v>
      </c>
      <c r="I2221" t="b">
        <f>COUNTIF(Estadísticas!I:I,'centraldecomunicacion.es'!H2221)&gt;0</f>
        <v>0</v>
      </c>
    </row>
    <row r="2222" spans="1:9" hidden="1">
      <c r="A2222" s="1" t="s">
        <v>8660</v>
      </c>
      <c r="B2222" s="1" t="s">
        <v>10</v>
      </c>
      <c r="C2222" s="1" t="s">
        <v>8661</v>
      </c>
      <c r="D2222" s="1" t="s">
        <v>848</v>
      </c>
      <c r="E2222" s="1" t="s">
        <v>848</v>
      </c>
      <c r="F2222" s="1" t="s">
        <v>30</v>
      </c>
      <c r="G2222" s="1" t="s">
        <v>8662</v>
      </c>
      <c r="H2222" s="1" t="s">
        <v>1762</v>
      </c>
      <c r="I2222" t="b">
        <f>COUNTIF(Estadísticas!I:I,'centraldecomunicacion.es'!H2222)&gt;0</f>
        <v>0</v>
      </c>
    </row>
    <row r="2223" spans="1:9" hidden="1">
      <c r="A2223" s="1" t="s">
        <v>8663</v>
      </c>
      <c r="B2223" s="1" t="s">
        <v>10</v>
      </c>
      <c r="C2223" s="1" t="s">
        <v>8664</v>
      </c>
      <c r="D2223" s="1" t="s">
        <v>848</v>
      </c>
      <c r="E2223" s="1" t="s">
        <v>848</v>
      </c>
      <c r="F2223" s="1" t="s">
        <v>30</v>
      </c>
      <c r="G2223" s="1" t="s">
        <v>30</v>
      </c>
      <c r="H2223" s="1" t="s">
        <v>1762</v>
      </c>
      <c r="I2223" t="b">
        <f>COUNTIF(Estadísticas!I:I,'centraldecomunicacion.es'!H2223)&gt;0</f>
        <v>0</v>
      </c>
    </row>
    <row r="2224" spans="1:9" hidden="1">
      <c r="A2224" s="1" t="s">
        <v>8665</v>
      </c>
      <c r="B2224" s="1" t="s">
        <v>10</v>
      </c>
      <c r="C2224" s="1" t="s">
        <v>8666</v>
      </c>
      <c r="D2224" s="1" t="s">
        <v>848</v>
      </c>
      <c r="E2224" s="1" t="s">
        <v>848</v>
      </c>
      <c r="F2224" s="1" t="s">
        <v>30</v>
      </c>
      <c r="G2224" s="1" t="s">
        <v>30</v>
      </c>
      <c r="H2224" s="1" t="s">
        <v>1762</v>
      </c>
      <c r="I2224" t="b">
        <f>COUNTIF(Estadísticas!I:I,'centraldecomunicacion.es'!H2224)&gt;0</f>
        <v>0</v>
      </c>
    </row>
    <row r="2225" spans="1:9" hidden="1">
      <c r="A2225" s="1" t="s">
        <v>8667</v>
      </c>
      <c r="B2225" s="1" t="s">
        <v>10</v>
      </c>
      <c r="C2225" s="1" t="s">
        <v>8668</v>
      </c>
      <c r="D2225" s="1" t="s">
        <v>848</v>
      </c>
      <c r="E2225" s="1" t="s">
        <v>848</v>
      </c>
      <c r="F2225" s="1" t="s">
        <v>30</v>
      </c>
      <c r="G2225" s="1" t="s">
        <v>8669</v>
      </c>
      <c r="H2225" s="1" t="s">
        <v>1762</v>
      </c>
      <c r="I2225" t="b">
        <f>COUNTIF(Estadísticas!I:I,'centraldecomunicacion.es'!H2225)&gt;0</f>
        <v>0</v>
      </c>
    </row>
    <row r="2226" spans="1:9" hidden="1">
      <c r="A2226" s="1" t="s">
        <v>8670</v>
      </c>
      <c r="B2226" s="1" t="s">
        <v>10</v>
      </c>
      <c r="C2226" s="1" t="s">
        <v>8671</v>
      </c>
      <c r="D2226" s="1" t="s">
        <v>848</v>
      </c>
      <c r="E2226" s="1" t="s">
        <v>848</v>
      </c>
      <c r="F2226" s="1" t="s">
        <v>1984</v>
      </c>
      <c r="G2226" s="1" t="s">
        <v>8672</v>
      </c>
      <c r="H2226" s="1" t="s">
        <v>1762</v>
      </c>
      <c r="I2226" t="b">
        <f>COUNTIF(Estadísticas!I:I,'centraldecomunicacion.es'!H2226)&gt;0</f>
        <v>0</v>
      </c>
    </row>
    <row r="2227" spans="1:9" hidden="1">
      <c r="A2227" s="1" t="s">
        <v>8673</v>
      </c>
      <c r="B2227" s="1" t="s">
        <v>10</v>
      </c>
      <c r="C2227" s="1" t="s">
        <v>8674</v>
      </c>
      <c r="D2227" s="1" t="s">
        <v>848</v>
      </c>
      <c r="E2227" s="1" t="s">
        <v>848</v>
      </c>
      <c r="F2227" s="1" t="s">
        <v>30</v>
      </c>
      <c r="G2227" s="1" t="s">
        <v>30</v>
      </c>
      <c r="H2227" s="1" t="s">
        <v>1762</v>
      </c>
      <c r="I2227" t="b">
        <f>COUNTIF(Estadísticas!I:I,'centraldecomunicacion.es'!H2227)&gt;0</f>
        <v>0</v>
      </c>
    </row>
    <row r="2228" spans="1:9" hidden="1">
      <c r="A2228" s="1" t="s">
        <v>8675</v>
      </c>
      <c r="B2228" s="1" t="s">
        <v>10</v>
      </c>
      <c r="C2228" s="1" t="s">
        <v>8676</v>
      </c>
      <c r="D2228" s="1" t="s">
        <v>848</v>
      </c>
      <c r="E2228" s="1" t="s">
        <v>848</v>
      </c>
      <c r="F2228" s="1" t="s">
        <v>30</v>
      </c>
      <c r="G2228" s="1" t="s">
        <v>8677</v>
      </c>
      <c r="H2228" s="1" t="s">
        <v>1762</v>
      </c>
      <c r="I2228" t="b">
        <f>COUNTIF(Estadísticas!I:I,'centraldecomunicacion.es'!H2228)&gt;0</f>
        <v>0</v>
      </c>
    </row>
    <row r="2229" spans="1:9" hidden="1">
      <c r="A2229" s="1" t="s">
        <v>8678</v>
      </c>
      <c r="B2229" s="1" t="s">
        <v>10</v>
      </c>
      <c r="C2229" s="1" t="s">
        <v>8679</v>
      </c>
      <c r="D2229" s="1" t="s">
        <v>8680</v>
      </c>
      <c r="E2229" s="1" t="s">
        <v>848</v>
      </c>
      <c r="F2229" s="1" t="s">
        <v>8681</v>
      </c>
      <c r="G2229" s="1" t="s">
        <v>8682</v>
      </c>
      <c r="H2229" s="1" t="s">
        <v>8683</v>
      </c>
      <c r="I2229" t="b">
        <f>COUNTIF(Estadísticas!I:I,'centraldecomunicacion.es'!H2229)&gt;0</f>
        <v>0</v>
      </c>
    </row>
    <row r="2230" spans="1:9" hidden="1">
      <c r="A2230" s="1" t="s">
        <v>8684</v>
      </c>
      <c r="B2230" s="1" t="s">
        <v>10</v>
      </c>
      <c r="C2230" s="1" t="s">
        <v>8685</v>
      </c>
      <c r="D2230" s="1" t="s">
        <v>8638</v>
      </c>
      <c r="E2230" s="1" t="s">
        <v>848</v>
      </c>
      <c r="F2230" s="1" t="s">
        <v>30</v>
      </c>
      <c r="G2230" s="1" t="s">
        <v>8686</v>
      </c>
      <c r="H2230" s="1" t="s">
        <v>1762</v>
      </c>
      <c r="I2230" t="b">
        <f>COUNTIF(Estadísticas!I:I,'centraldecomunicacion.es'!H2230)&gt;0</f>
        <v>0</v>
      </c>
    </row>
    <row r="2231" spans="1:9" hidden="1">
      <c r="A2231" s="1" t="s">
        <v>8687</v>
      </c>
      <c r="B2231" s="1" t="s">
        <v>10</v>
      </c>
      <c r="C2231" s="1" t="s">
        <v>8688</v>
      </c>
      <c r="D2231" s="1" t="s">
        <v>8689</v>
      </c>
      <c r="E2231" s="1" t="s">
        <v>848</v>
      </c>
      <c r="F2231" s="1" t="s">
        <v>8657</v>
      </c>
      <c r="G2231" s="1" t="s">
        <v>8658</v>
      </c>
      <c r="H2231" s="1" t="s">
        <v>8659</v>
      </c>
      <c r="I2231" t="b">
        <f>COUNTIF(Estadísticas!I:I,'centraldecomunicacion.es'!H2231)&gt;0</f>
        <v>0</v>
      </c>
    </row>
    <row r="2232" spans="1:9" hidden="1">
      <c r="A2232" s="1" t="s">
        <v>8627</v>
      </c>
      <c r="B2232" s="1" t="s">
        <v>10</v>
      </c>
      <c r="C2232" s="1" t="s">
        <v>8690</v>
      </c>
      <c r="D2232" s="1" t="s">
        <v>848</v>
      </c>
      <c r="E2232" s="1" t="s">
        <v>848</v>
      </c>
      <c r="F2232" s="1" t="s">
        <v>30</v>
      </c>
      <c r="G2232" s="1" t="s">
        <v>8691</v>
      </c>
      <c r="H2232" s="1" t="s">
        <v>1762</v>
      </c>
      <c r="I2232" t="b">
        <f>COUNTIF(Estadísticas!I:I,'centraldecomunicacion.es'!H2232)&gt;0</f>
        <v>0</v>
      </c>
    </row>
    <row r="2233" spans="1:9" hidden="1">
      <c r="A2233" s="1" t="s">
        <v>8692</v>
      </c>
      <c r="B2233" s="1" t="s">
        <v>10</v>
      </c>
      <c r="C2233" s="1" t="s">
        <v>8693</v>
      </c>
      <c r="D2233" s="1" t="s">
        <v>848</v>
      </c>
      <c r="E2233" s="1" t="s">
        <v>848</v>
      </c>
      <c r="F2233" s="1" t="s">
        <v>30</v>
      </c>
      <c r="G2233" s="1" t="s">
        <v>8694</v>
      </c>
      <c r="H2233" s="1" t="s">
        <v>1762</v>
      </c>
      <c r="I2233" t="b">
        <f>COUNTIF(Estadísticas!I:I,'centraldecomunicacion.es'!H2233)&gt;0</f>
        <v>0</v>
      </c>
    </row>
    <row r="2234" spans="1:9" hidden="1">
      <c r="A2234" s="1" t="s">
        <v>8695</v>
      </c>
      <c r="B2234" s="1" t="s">
        <v>10</v>
      </c>
      <c r="C2234" s="1" t="s">
        <v>8696</v>
      </c>
      <c r="D2234" s="1" t="s">
        <v>848</v>
      </c>
      <c r="E2234" s="1" t="s">
        <v>848</v>
      </c>
      <c r="F2234" s="1" t="s">
        <v>30</v>
      </c>
      <c r="G2234" s="1" t="s">
        <v>8697</v>
      </c>
      <c r="H2234" s="1" t="s">
        <v>1762</v>
      </c>
      <c r="I2234" t="b">
        <f>COUNTIF(Estadísticas!I:I,'centraldecomunicacion.es'!H2234)&gt;0</f>
        <v>0</v>
      </c>
    </row>
    <row r="2235" spans="1:9">
      <c r="A2235" s="1" t="s">
        <v>852</v>
      </c>
      <c r="B2235" s="1" t="s">
        <v>10</v>
      </c>
      <c r="C2235" s="1" t="s">
        <v>853</v>
      </c>
      <c r="D2235" s="1" t="s">
        <v>854</v>
      </c>
      <c r="E2235" s="1" t="s">
        <v>848</v>
      </c>
      <c r="F2235" s="1" t="s">
        <v>855</v>
      </c>
      <c r="G2235" s="1" t="s">
        <v>856</v>
      </c>
      <c r="H2235" s="1" t="s">
        <v>857</v>
      </c>
      <c r="I2235" t="b">
        <f>COUNTIF(Estadísticas!I:I,'centraldecomunicacion.es'!H2235)&gt;0</f>
        <v>1</v>
      </c>
    </row>
    <row r="2236" spans="1:9" hidden="1">
      <c r="A2236" s="1" t="s">
        <v>8698</v>
      </c>
      <c r="B2236" s="1" t="s">
        <v>18</v>
      </c>
      <c r="C2236" s="1" t="s">
        <v>8699</v>
      </c>
      <c r="D2236" s="1" t="s">
        <v>848</v>
      </c>
      <c r="E2236" s="1" t="s">
        <v>848</v>
      </c>
      <c r="F2236" s="1" t="s">
        <v>8700</v>
      </c>
      <c r="G2236" s="1" t="s">
        <v>8701</v>
      </c>
      <c r="H2236" s="1" t="s">
        <v>8702</v>
      </c>
      <c r="I2236" t="b">
        <f>COUNTIF(Estadísticas!I:I,'centraldecomunicacion.es'!H2236)&gt;0</f>
        <v>0</v>
      </c>
    </row>
    <row r="2237" spans="1:9" hidden="1">
      <c r="A2237" s="1" t="s">
        <v>8703</v>
      </c>
      <c r="B2237" s="1" t="s">
        <v>10</v>
      </c>
      <c r="C2237" s="1" t="s">
        <v>8704</v>
      </c>
      <c r="D2237" s="1" t="s">
        <v>8638</v>
      </c>
      <c r="E2237" s="1" t="s">
        <v>848</v>
      </c>
      <c r="F2237" s="1" t="s">
        <v>30</v>
      </c>
      <c r="G2237" s="1" t="s">
        <v>8705</v>
      </c>
      <c r="H2237" s="1" t="s">
        <v>1762</v>
      </c>
      <c r="I2237" t="b">
        <f>COUNTIF(Estadísticas!I:I,'centraldecomunicacion.es'!H2237)&gt;0</f>
        <v>0</v>
      </c>
    </row>
    <row r="2238" spans="1:9" hidden="1">
      <c r="A2238" s="1" t="s">
        <v>8706</v>
      </c>
      <c r="B2238" s="1" t="s">
        <v>10</v>
      </c>
      <c r="C2238" s="1" t="s">
        <v>8707</v>
      </c>
      <c r="D2238" s="1" t="s">
        <v>848</v>
      </c>
      <c r="E2238" s="1" t="s">
        <v>848</v>
      </c>
      <c r="F2238" s="1" t="s">
        <v>30</v>
      </c>
      <c r="G2238" s="1" t="s">
        <v>30</v>
      </c>
      <c r="H2238" s="1" t="s">
        <v>1762</v>
      </c>
      <c r="I2238" t="b">
        <f>COUNTIF(Estadísticas!I:I,'centraldecomunicacion.es'!H2238)&gt;0</f>
        <v>0</v>
      </c>
    </row>
    <row r="2239" spans="1:9">
      <c r="A2239" s="1" t="s">
        <v>858</v>
      </c>
      <c r="B2239" s="1" t="s">
        <v>18</v>
      </c>
      <c r="C2239" s="1" t="s">
        <v>859</v>
      </c>
      <c r="D2239" s="1" t="s">
        <v>854</v>
      </c>
      <c r="E2239" s="1" t="s">
        <v>848</v>
      </c>
      <c r="F2239" s="1" t="s">
        <v>860</v>
      </c>
      <c r="G2239" s="1" t="s">
        <v>861</v>
      </c>
      <c r="H2239" s="1" t="s">
        <v>862</v>
      </c>
      <c r="I2239" t="b">
        <f>COUNTIF(Estadísticas!I:I,'centraldecomunicacion.es'!H2239)&gt;0</f>
        <v>1</v>
      </c>
    </row>
    <row r="2240" spans="1:9" hidden="1">
      <c r="A2240" s="1" t="s">
        <v>8708</v>
      </c>
      <c r="B2240" s="1" t="s">
        <v>18</v>
      </c>
      <c r="C2240" s="1" t="s">
        <v>8709</v>
      </c>
      <c r="D2240" s="1" t="s">
        <v>8710</v>
      </c>
      <c r="E2240" s="1" t="s">
        <v>848</v>
      </c>
      <c r="F2240" s="1" t="s">
        <v>30</v>
      </c>
      <c r="G2240" s="1" t="s">
        <v>30</v>
      </c>
      <c r="H2240" s="1" t="s">
        <v>1762</v>
      </c>
      <c r="I2240" t="b">
        <f>COUNTIF(Estadísticas!I:I,'centraldecomunicacion.es'!H2240)&gt;0</f>
        <v>0</v>
      </c>
    </row>
    <row r="2241" spans="1:9" hidden="1">
      <c r="A2241" s="1" t="s">
        <v>8711</v>
      </c>
      <c r="B2241" s="1" t="s">
        <v>18</v>
      </c>
      <c r="C2241" s="1" t="s">
        <v>8712</v>
      </c>
      <c r="D2241" s="1" t="s">
        <v>8680</v>
      </c>
      <c r="E2241" s="1" t="s">
        <v>848</v>
      </c>
      <c r="F2241" s="1" t="s">
        <v>30</v>
      </c>
      <c r="G2241" s="1" t="s">
        <v>8713</v>
      </c>
      <c r="H2241" s="1" t="s">
        <v>1762</v>
      </c>
      <c r="I2241" t="b">
        <f>COUNTIF(Estadísticas!I:I,'centraldecomunicacion.es'!H2241)&gt;0</f>
        <v>0</v>
      </c>
    </row>
    <row r="2242" spans="1:9" hidden="1">
      <c r="A2242" s="1" t="s">
        <v>8714</v>
      </c>
      <c r="B2242" s="1" t="s">
        <v>10</v>
      </c>
      <c r="C2242" s="1" t="s">
        <v>8715</v>
      </c>
      <c r="D2242" s="1" t="s">
        <v>8716</v>
      </c>
      <c r="E2242" s="1" t="s">
        <v>848</v>
      </c>
      <c r="F2242" s="1" t="s">
        <v>8717</v>
      </c>
      <c r="G2242" s="1" t="s">
        <v>8718</v>
      </c>
      <c r="H2242" s="1" t="s">
        <v>1762</v>
      </c>
      <c r="I2242" t="b">
        <f>COUNTIF(Estadísticas!I:I,'centraldecomunicacion.es'!H2242)&gt;0</f>
        <v>0</v>
      </c>
    </row>
    <row r="2243" spans="1:9" hidden="1">
      <c r="A2243" s="1" t="s">
        <v>8719</v>
      </c>
      <c r="B2243" s="1" t="s">
        <v>10</v>
      </c>
      <c r="C2243" s="1" t="s">
        <v>8720</v>
      </c>
      <c r="D2243" s="1" t="s">
        <v>8721</v>
      </c>
      <c r="E2243" s="1" t="s">
        <v>848</v>
      </c>
      <c r="F2243" s="1" t="s">
        <v>30</v>
      </c>
      <c r="G2243" s="1" t="s">
        <v>8722</v>
      </c>
      <c r="H2243" s="1" t="s">
        <v>1762</v>
      </c>
      <c r="I2243" t="b">
        <f>COUNTIF(Estadísticas!I:I,'centraldecomunicacion.es'!H2243)&gt;0</f>
        <v>0</v>
      </c>
    </row>
    <row r="2244" spans="1:9" hidden="1">
      <c r="A2244" s="1" t="s">
        <v>8640</v>
      </c>
      <c r="B2244" s="1" t="s">
        <v>10</v>
      </c>
      <c r="C2244" s="1" t="s">
        <v>8723</v>
      </c>
      <c r="D2244" s="1" t="s">
        <v>8724</v>
      </c>
      <c r="E2244" s="1" t="s">
        <v>848</v>
      </c>
      <c r="F2244" s="1" t="s">
        <v>30</v>
      </c>
      <c r="G2244" s="1" t="s">
        <v>8725</v>
      </c>
      <c r="H2244" s="1" t="s">
        <v>1762</v>
      </c>
      <c r="I2244" t="b">
        <f>COUNTIF(Estadísticas!I:I,'centraldecomunicacion.es'!H2244)&gt;0</f>
        <v>0</v>
      </c>
    </row>
    <row r="2245" spans="1:9" hidden="1">
      <c r="A2245" s="1" t="s">
        <v>8726</v>
      </c>
      <c r="B2245" s="1" t="s">
        <v>10</v>
      </c>
      <c r="C2245" s="1" t="s">
        <v>8727</v>
      </c>
      <c r="D2245" s="1" t="s">
        <v>8728</v>
      </c>
      <c r="E2245" s="1" t="s">
        <v>848</v>
      </c>
      <c r="F2245" s="1" t="s">
        <v>30</v>
      </c>
      <c r="G2245" s="1" t="s">
        <v>8729</v>
      </c>
      <c r="H2245" s="1" t="s">
        <v>1762</v>
      </c>
      <c r="I2245" t="b">
        <f>COUNTIF(Estadísticas!I:I,'centraldecomunicacion.es'!H2245)&gt;0</f>
        <v>0</v>
      </c>
    </row>
    <row r="2246" spans="1:9">
      <c r="A2246" s="1" t="s">
        <v>863</v>
      </c>
      <c r="B2246" s="1" t="s">
        <v>10</v>
      </c>
      <c r="C2246" s="1" t="s">
        <v>864</v>
      </c>
      <c r="D2246" s="1" t="s">
        <v>865</v>
      </c>
      <c r="E2246" s="1" t="s">
        <v>848</v>
      </c>
      <c r="F2246" s="1" t="s">
        <v>866</v>
      </c>
      <c r="G2246" s="1" t="s">
        <v>867</v>
      </c>
      <c r="H2246" s="1" t="s">
        <v>868</v>
      </c>
      <c r="I2246" t="b">
        <f>COUNTIF(Estadísticas!I:I,'centraldecomunicacion.es'!H2246)&gt;0</f>
        <v>1</v>
      </c>
    </row>
    <row r="2247" spans="1:9" hidden="1">
      <c r="A2247" s="1" t="s">
        <v>8730</v>
      </c>
      <c r="B2247" s="1" t="s">
        <v>10</v>
      </c>
      <c r="C2247" s="1" t="s">
        <v>8731</v>
      </c>
      <c r="D2247" s="1" t="s">
        <v>8732</v>
      </c>
      <c r="E2247" s="1" t="s">
        <v>848</v>
      </c>
      <c r="F2247" s="1" t="s">
        <v>30</v>
      </c>
      <c r="G2247" s="1" t="s">
        <v>30</v>
      </c>
      <c r="H2247" s="1" t="s">
        <v>1762</v>
      </c>
      <c r="I2247" t="b">
        <f>COUNTIF(Estadísticas!I:I,'centraldecomunicacion.es'!H2247)&gt;0</f>
        <v>0</v>
      </c>
    </row>
    <row r="2248" spans="1:9">
      <c r="A2248" s="1" t="s">
        <v>869</v>
      </c>
      <c r="B2248" s="1" t="s">
        <v>10</v>
      </c>
      <c r="C2248" s="1" t="s">
        <v>870</v>
      </c>
      <c r="D2248" s="1" t="s">
        <v>871</v>
      </c>
      <c r="E2248" s="1" t="s">
        <v>848</v>
      </c>
      <c r="F2248" s="1" t="s">
        <v>872</v>
      </c>
      <c r="G2248" s="1" t="s">
        <v>873</v>
      </c>
      <c r="H2248" s="1" t="s">
        <v>874</v>
      </c>
      <c r="I2248" t="b">
        <f>COUNTIF(Estadísticas!I:I,'centraldecomunicacion.es'!H2248)&gt;0</f>
        <v>1</v>
      </c>
    </row>
    <row r="2249" spans="1:9" hidden="1">
      <c r="A2249" s="1" t="s">
        <v>8733</v>
      </c>
      <c r="B2249" s="1" t="s">
        <v>10</v>
      </c>
      <c r="C2249" s="1" t="s">
        <v>8734</v>
      </c>
      <c r="D2249" s="1" t="s">
        <v>865</v>
      </c>
      <c r="E2249" s="1" t="s">
        <v>848</v>
      </c>
      <c r="F2249" s="1" t="s">
        <v>8735</v>
      </c>
      <c r="G2249" s="1" t="s">
        <v>8736</v>
      </c>
      <c r="H2249" s="1" t="s">
        <v>1762</v>
      </c>
      <c r="I2249" t="b">
        <f>COUNTIF(Estadísticas!I:I,'centraldecomunicacion.es'!H2249)&gt;0</f>
        <v>0</v>
      </c>
    </row>
    <row r="2250" spans="1:9" hidden="1">
      <c r="A2250" s="1" t="s">
        <v>8737</v>
      </c>
      <c r="B2250" s="1" t="s">
        <v>10</v>
      </c>
      <c r="C2250" s="1" t="s">
        <v>8738</v>
      </c>
      <c r="D2250" s="1" t="s">
        <v>8739</v>
      </c>
      <c r="E2250" s="1" t="s">
        <v>848</v>
      </c>
      <c r="F2250" s="1" t="s">
        <v>30</v>
      </c>
      <c r="G2250" s="1" t="s">
        <v>8740</v>
      </c>
      <c r="H2250" s="1" t="s">
        <v>1762</v>
      </c>
      <c r="I2250" t="b">
        <f>COUNTIF(Estadísticas!I:I,'centraldecomunicacion.es'!H2250)&gt;0</f>
        <v>0</v>
      </c>
    </row>
    <row r="2251" spans="1:9" hidden="1">
      <c r="A2251" s="1" t="s">
        <v>8741</v>
      </c>
      <c r="B2251" s="1" t="s">
        <v>10</v>
      </c>
      <c r="C2251" s="1" t="s">
        <v>8742</v>
      </c>
      <c r="D2251" s="1" t="s">
        <v>8743</v>
      </c>
      <c r="E2251" s="1" t="s">
        <v>848</v>
      </c>
      <c r="F2251" s="1" t="s">
        <v>30</v>
      </c>
      <c r="G2251" s="1" t="s">
        <v>30</v>
      </c>
      <c r="H2251" s="1" t="s">
        <v>1762</v>
      </c>
      <c r="I2251" t="b">
        <f>COUNTIF(Estadísticas!I:I,'centraldecomunicacion.es'!H2251)&gt;0</f>
        <v>0</v>
      </c>
    </row>
    <row r="2252" spans="1:9" hidden="1">
      <c r="A2252" s="1" t="s">
        <v>8744</v>
      </c>
      <c r="B2252" s="1" t="s">
        <v>10</v>
      </c>
      <c r="C2252" s="1" t="s">
        <v>8745</v>
      </c>
      <c r="D2252" s="1" t="s">
        <v>8746</v>
      </c>
      <c r="E2252" s="1" t="s">
        <v>848</v>
      </c>
      <c r="F2252" s="1" t="s">
        <v>30</v>
      </c>
      <c r="G2252" s="1" t="s">
        <v>8747</v>
      </c>
      <c r="H2252" s="1" t="s">
        <v>1762</v>
      </c>
      <c r="I2252" t="b">
        <f>COUNTIF(Estadísticas!I:I,'centraldecomunicacion.es'!H2252)&gt;0</f>
        <v>0</v>
      </c>
    </row>
    <row r="2253" spans="1:9" hidden="1">
      <c r="A2253" s="1" t="s">
        <v>8748</v>
      </c>
      <c r="B2253" s="1" t="s">
        <v>10</v>
      </c>
      <c r="C2253" s="1" t="s">
        <v>8749</v>
      </c>
      <c r="D2253" s="1" t="s">
        <v>8716</v>
      </c>
      <c r="E2253" s="1" t="s">
        <v>848</v>
      </c>
      <c r="F2253" s="1" t="s">
        <v>8750</v>
      </c>
      <c r="G2253" s="1" t="s">
        <v>8751</v>
      </c>
      <c r="H2253" s="1" t="s">
        <v>1762</v>
      </c>
      <c r="I2253" t="b">
        <f>COUNTIF(Estadísticas!I:I,'centraldecomunicacion.es'!H2253)&gt;0</f>
        <v>0</v>
      </c>
    </row>
    <row r="2254" spans="1:9" hidden="1">
      <c r="A2254" s="1" t="s">
        <v>8752</v>
      </c>
      <c r="B2254" s="1" t="s">
        <v>18</v>
      </c>
      <c r="C2254" s="1" t="s">
        <v>8753</v>
      </c>
      <c r="D2254" s="1" t="s">
        <v>865</v>
      </c>
      <c r="E2254" s="1" t="s">
        <v>848</v>
      </c>
      <c r="F2254" s="1" t="s">
        <v>8754</v>
      </c>
      <c r="G2254" s="1" t="s">
        <v>8755</v>
      </c>
      <c r="H2254" s="1" t="s">
        <v>1762</v>
      </c>
      <c r="I2254" t="b">
        <f>COUNTIF(Estadísticas!I:I,'centraldecomunicacion.es'!H2254)&gt;0</f>
        <v>0</v>
      </c>
    </row>
    <row r="2255" spans="1:9" hidden="1">
      <c r="A2255" s="1" t="s">
        <v>8756</v>
      </c>
      <c r="B2255" s="1" t="s">
        <v>10</v>
      </c>
      <c r="C2255" s="1" t="s">
        <v>8757</v>
      </c>
      <c r="D2255" s="1" t="s">
        <v>8758</v>
      </c>
      <c r="E2255" s="1" t="s">
        <v>848</v>
      </c>
      <c r="F2255" s="1" t="s">
        <v>8759</v>
      </c>
      <c r="G2255" s="1" t="s">
        <v>30</v>
      </c>
      <c r="H2255" s="1" t="s">
        <v>1762</v>
      </c>
      <c r="I2255" t="b">
        <f>COUNTIF(Estadísticas!I:I,'centraldecomunicacion.es'!H2255)&gt;0</f>
        <v>0</v>
      </c>
    </row>
    <row r="2256" spans="1:9" hidden="1">
      <c r="A2256" s="1" t="s">
        <v>8760</v>
      </c>
      <c r="B2256" s="1" t="s">
        <v>10</v>
      </c>
      <c r="C2256" s="1" t="s">
        <v>8761</v>
      </c>
      <c r="D2256" s="1" t="s">
        <v>871</v>
      </c>
      <c r="E2256" s="1" t="s">
        <v>848</v>
      </c>
      <c r="F2256" s="1" t="s">
        <v>30</v>
      </c>
      <c r="G2256" s="1" t="s">
        <v>8762</v>
      </c>
      <c r="H2256" s="1" t="s">
        <v>1762</v>
      </c>
      <c r="I2256" t="b">
        <f>COUNTIF(Estadísticas!I:I,'centraldecomunicacion.es'!H2256)&gt;0</f>
        <v>0</v>
      </c>
    </row>
    <row r="2257" spans="1:9" hidden="1">
      <c r="A2257" s="1" t="s">
        <v>8763</v>
      </c>
      <c r="B2257" s="1" t="s">
        <v>10</v>
      </c>
      <c r="C2257" s="1" t="s">
        <v>8764</v>
      </c>
      <c r="D2257" s="1" t="s">
        <v>8739</v>
      </c>
      <c r="E2257" s="1" t="s">
        <v>848</v>
      </c>
      <c r="F2257" s="1" t="s">
        <v>1830</v>
      </c>
      <c r="G2257" s="1" t="s">
        <v>8765</v>
      </c>
      <c r="H2257" s="1" t="s">
        <v>1762</v>
      </c>
      <c r="I2257" t="b">
        <f>COUNTIF(Estadísticas!I:I,'centraldecomunicacion.es'!H2257)&gt;0</f>
        <v>0</v>
      </c>
    </row>
    <row r="2258" spans="1:9" hidden="1">
      <c r="A2258" s="1" t="s">
        <v>8766</v>
      </c>
      <c r="B2258" s="1" t="s">
        <v>10</v>
      </c>
      <c r="C2258" s="1" t="s">
        <v>8767</v>
      </c>
      <c r="D2258" s="1" t="s">
        <v>865</v>
      </c>
      <c r="E2258" s="1" t="s">
        <v>848</v>
      </c>
      <c r="F2258" s="1" t="s">
        <v>30</v>
      </c>
      <c r="G2258" s="1" t="s">
        <v>8768</v>
      </c>
      <c r="H2258" s="1" t="s">
        <v>1762</v>
      </c>
      <c r="I2258" t="b">
        <f>COUNTIF(Estadísticas!I:I,'centraldecomunicacion.es'!H2258)&gt;0</f>
        <v>0</v>
      </c>
    </row>
    <row r="2259" spans="1:9">
      <c r="A2259" s="1" t="s">
        <v>875</v>
      </c>
      <c r="B2259" s="1" t="s">
        <v>18</v>
      </c>
      <c r="C2259" s="1" t="s">
        <v>876</v>
      </c>
      <c r="D2259" s="1" t="s">
        <v>871</v>
      </c>
      <c r="E2259" s="1" t="s">
        <v>848</v>
      </c>
      <c r="F2259" s="1" t="s">
        <v>877</v>
      </c>
      <c r="G2259" s="1" t="s">
        <v>878</v>
      </c>
      <c r="H2259" s="1" t="s">
        <v>879</v>
      </c>
      <c r="I2259" t="b">
        <f>COUNTIF(Estadísticas!I:I,'centraldecomunicacion.es'!H2259)&gt;0</f>
        <v>1</v>
      </c>
    </row>
    <row r="2260" spans="1:9" hidden="1">
      <c r="A2260" s="1" t="s">
        <v>8769</v>
      </c>
      <c r="B2260" s="1" t="s">
        <v>18</v>
      </c>
      <c r="C2260" s="1" t="s">
        <v>8770</v>
      </c>
      <c r="D2260" s="1" t="s">
        <v>871</v>
      </c>
      <c r="E2260" s="1" t="s">
        <v>848</v>
      </c>
      <c r="F2260" s="1" t="s">
        <v>30</v>
      </c>
      <c r="G2260" s="1" t="s">
        <v>8771</v>
      </c>
      <c r="H2260" s="1" t="s">
        <v>1762</v>
      </c>
      <c r="I2260" t="b">
        <f>COUNTIF(Estadísticas!I:I,'centraldecomunicacion.es'!H2260)&gt;0</f>
        <v>0</v>
      </c>
    </row>
    <row r="2261" spans="1:9" hidden="1">
      <c r="A2261" s="1" t="s">
        <v>8772</v>
      </c>
      <c r="B2261" s="1" t="s">
        <v>10</v>
      </c>
      <c r="C2261" s="1" t="s">
        <v>8773</v>
      </c>
      <c r="D2261" s="1" t="s">
        <v>8743</v>
      </c>
      <c r="E2261" s="1" t="s">
        <v>848</v>
      </c>
      <c r="F2261" s="1" t="s">
        <v>30</v>
      </c>
      <c r="G2261" s="1" t="s">
        <v>8774</v>
      </c>
      <c r="H2261" s="1" t="s">
        <v>1762</v>
      </c>
      <c r="I2261" t="b">
        <f>COUNTIF(Estadísticas!I:I,'centraldecomunicacion.es'!H2261)&gt;0</f>
        <v>0</v>
      </c>
    </row>
    <row r="2262" spans="1:9" hidden="1">
      <c r="A2262" s="1" t="s">
        <v>8775</v>
      </c>
      <c r="B2262" s="1" t="s">
        <v>10</v>
      </c>
      <c r="C2262" s="1" t="s">
        <v>8776</v>
      </c>
      <c r="D2262" s="1" t="s">
        <v>865</v>
      </c>
      <c r="E2262" s="1" t="s">
        <v>848</v>
      </c>
      <c r="F2262" s="1" t="s">
        <v>30</v>
      </c>
      <c r="G2262" s="1" t="s">
        <v>8777</v>
      </c>
      <c r="H2262" s="1" t="s">
        <v>1762</v>
      </c>
      <c r="I2262" t="b">
        <f>COUNTIF(Estadísticas!I:I,'centraldecomunicacion.es'!H2262)&gt;0</f>
        <v>0</v>
      </c>
    </row>
    <row r="2263" spans="1:9" hidden="1">
      <c r="A2263" s="1" t="s">
        <v>8778</v>
      </c>
      <c r="B2263" s="1" t="s">
        <v>10</v>
      </c>
      <c r="C2263" s="1" t="s">
        <v>8779</v>
      </c>
      <c r="D2263" s="1" t="s">
        <v>8780</v>
      </c>
      <c r="E2263" s="1" t="s">
        <v>848</v>
      </c>
      <c r="F2263" s="1" t="s">
        <v>30</v>
      </c>
      <c r="G2263" s="1" t="s">
        <v>30</v>
      </c>
      <c r="H2263" s="1" t="s">
        <v>1762</v>
      </c>
      <c r="I2263" t="b">
        <f>COUNTIF(Estadísticas!I:I,'centraldecomunicacion.es'!H2263)&gt;0</f>
        <v>0</v>
      </c>
    </row>
    <row r="2264" spans="1:9" hidden="1">
      <c r="A2264" s="1" t="s">
        <v>8781</v>
      </c>
      <c r="B2264" s="1" t="s">
        <v>10</v>
      </c>
      <c r="C2264" s="1" t="s">
        <v>8782</v>
      </c>
      <c r="D2264" s="1" t="s">
        <v>660</v>
      </c>
      <c r="E2264" s="1" t="s">
        <v>660</v>
      </c>
      <c r="F2264" s="1" t="s">
        <v>8783</v>
      </c>
      <c r="G2264" s="1" t="s">
        <v>8784</v>
      </c>
      <c r="H2264" s="1" t="s">
        <v>8785</v>
      </c>
      <c r="I2264" t="b">
        <f>COUNTIF(Estadísticas!I:I,'centraldecomunicacion.es'!H2264)&gt;0</f>
        <v>0</v>
      </c>
    </row>
    <row r="2265" spans="1:9" hidden="1">
      <c r="A2265" s="1" t="s">
        <v>8786</v>
      </c>
      <c r="B2265" s="1" t="s">
        <v>10</v>
      </c>
      <c r="C2265" s="1" t="s">
        <v>8787</v>
      </c>
      <c r="D2265" s="1" t="s">
        <v>8716</v>
      </c>
      <c r="E2265" s="1" t="s">
        <v>848</v>
      </c>
      <c r="F2265" s="1" t="s">
        <v>30</v>
      </c>
      <c r="G2265" s="1" t="s">
        <v>8788</v>
      </c>
      <c r="H2265" s="1" t="s">
        <v>1762</v>
      </c>
      <c r="I2265" t="b">
        <f>COUNTIF(Estadísticas!I:I,'centraldecomunicacion.es'!H2265)&gt;0</f>
        <v>0</v>
      </c>
    </row>
    <row r="2266" spans="1:9" hidden="1">
      <c r="A2266" s="1" t="s">
        <v>8789</v>
      </c>
      <c r="B2266" s="1" t="s">
        <v>10</v>
      </c>
      <c r="C2266" s="1" t="s">
        <v>8790</v>
      </c>
      <c r="D2266" s="1" t="s">
        <v>8746</v>
      </c>
      <c r="E2266" s="1" t="s">
        <v>848</v>
      </c>
      <c r="F2266" s="1" t="s">
        <v>30</v>
      </c>
      <c r="G2266" s="1" t="s">
        <v>30</v>
      </c>
      <c r="H2266" s="1" t="s">
        <v>1762</v>
      </c>
      <c r="I2266" t="b">
        <f>COUNTIF(Estadísticas!I:I,'centraldecomunicacion.es'!H2266)&gt;0</f>
        <v>0</v>
      </c>
    </row>
    <row r="2267" spans="1:9" hidden="1">
      <c r="A2267" s="1" t="s">
        <v>8791</v>
      </c>
      <c r="B2267" s="1" t="s">
        <v>10</v>
      </c>
      <c r="C2267" s="1" t="s">
        <v>8792</v>
      </c>
      <c r="D2267" s="1" t="s">
        <v>8716</v>
      </c>
      <c r="E2267" s="1" t="s">
        <v>848</v>
      </c>
      <c r="F2267" s="1" t="s">
        <v>30</v>
      </c>
      <c r="G2267" s="1" t="s">
        <v>8793</v>
      </c>
      <c r="H2267" s="1" t="s">
        <v>1762</v>
      </c>
      <c r="I2267" t="b">
        <f>COUNTIF(Estadísticas!I:I,'centraldecomunicacion.es'!H2267)&gt;0</f>
        <v>0</v>
      </c>
    </row>
    <row r="2268" spans="1:9" hidden="1">
      <c r="A2268" s="1" t="s">
        <v>8794</v>
      </c>
      <c r="B2268" s="1" t="s">
        <v>10</v>
      </c>
      <c r="C2268" s="1" t="s">
        <v>8795</v>
      </c>
      <c r="D2268" s="1" t="s">
        <v>865</v>
      </c>
      <c r="E2268" s="1" t="s">
        <v>848</v>
      </c>
      <c r="F2268" s="1" t="s">
        <v>30</v>
      </c>
      <c r="G2268" s="1" t="s">
        <v>8796</v>
      </c>
      <c r="H2268" s="1" t="s">
        <v>1762</v>
      </c>
      <c r="I2268" t="b">
        <f>COUNTIF(Estadísticas!I:I,'centraldecomunicacion.es'!H2268)&gt;0</f>
        <v>0</v>
      </c>
    </row>
    <row r="2269" spans="1:9" hidden="1">
      <c r="A2269" s="1" t="s">
        <v>8797</v>
      </c>
      <c r="B2269" s="1" t="s">
        <v>10</v>
      </c>
      <c r="C2269" s="1" t="s">
        <v>8798</v>
      </c>
      <c r="D2269" s="1" t="s">
        <v>865</v>
      </c>
      <c r="E2269" s="1" t="s">
        <v>848</v>
      </c>
      <c r="F2269" s="1" t="s">
        <v>30</v>
      </c>
      <c r="G2269" s="1" t="s">
        <v>8799</v>
      </c>
      <c r="H2269" s="1" t="s">
        <v>1762</v>
      </c>
      <c r="I2269" t="b">
        <f>COUNTIF(Estadísticas!I:I,'centraldecomunicacion.es'!H2269)&gt;0</f>
        <v>0</v>
      </c>
    </row>
    <row r="2270" spans="1:9">
      <c r="A2270" s="1" t="s">
        <v>880</v>
      </c>
      <c r="B2270" s="1" t="s">
        <v>10</v>
      </c>
      <c r="C2270" s="1" t="s">
        <v>881</v>
      </c>
      <c r="D2270" s="1" t="s">
        <v>882</v>
      </c>
      <c r="E2270" s="1" t="s">
        <v>882</v>
      </c>
      <c r="F2270" s="1" t="s">
        <v>883</v>
      </c>
      <c r="G2270" s="1" t="s">
        <v>884</v>
      </c>
      <c r="H2270" s="1" t="s">
        <v>885</v>
      </c>
      <c r="I2270" t="b">
        <f>COUNTIF(Estadísticas!I:I,'centraldecomunicacion.es'!H2270)&gt;0</f>
        <v>1</v>
      </c>
    </row>
    <row r="2271" spans="1:9" hidden="1">
      <c r="A2271" s="1" t="s">
        <v>8800</v>
      </c>
      <c r="B2271" s="1" t="s">
        <v>10</v>
      </c>
      <c r="C2271" s="1" t="s">
        <v>30</v>
      </c>
      <c r="D2271" s="1" t="s">
        <v>8801</v>
      </c>
      <c r="E2271" s="1" t="s">
        <v>30</v>
      </c>
      <c r="F2271" s="1" t="s">
        <v>8802</v>
      </c>
      <c r="G2271" s="1" t="s">
        <v>8803</v>
      </c>
      <c r="H2271" s="1" t="s">
        <v>1762</v>
      </c>
      <c r="I2271" t="b">
        <f>COUNTIF(Estadísticas!I:I,'centraldecomunicacion.es'!H2271)&gt;0</f>
        <v>0</v>
      </c>
    </row>
    <row r="2272" spans="1:9" hidden="1">
      <c r="A2272" s="1" t="s">
        <v>8804</v>
      </c>
      <c r="B2272" s="1" t="s">
        <v>10</v>
      </c>
      <c r="C2272" s="1" t="s">
        <v>8805</v>
      </c>
      <c r="D2272" s="1" t="s">
        <v>882</v>
      </c>
      <c r="E2272" s="1" t="s">
        <v>882</v>
      </c>
      <c r="F2272" s="1" t="s">
        <v>8806</v>
      </c>
      <c r="G2272" s="1" t="s">
        <v>8807</v>
      </c>
      <c r="H2272" s="1" t="s">
        <v>8808</v>
      </c>
      <c r="I2272" t="b">
        <f>COUNTIF(Estadísticas!I:I,'centraldecomunicacion.es'!H2272)&gt;0</f>
        <v>0</v>
      </c>
    </row>
    <row r="2273" spans="1:9" hidden="1">
      <c r="A2273" s="1" t="s">
        <v>8809</v>
      </c>
      <c r="B2273" s="1" t="s">
        <v>10</v>
      </c>
      <c r="C2273" s="1" t="s">
        <v>8810</v>
      </c>
      <c r="D2273" s="1" t="s">
        <v>882</v>
      </c>
      <c r="E2273" s="1" t="s">
        <v>882</v>
      </c>
      <c r="F2273" s="1" t="s">
        <v>30</v>
      </c>
      <c r="G2273" s="1" t="s">
        <v>8811</v>
      </c>
      <c r="H2273" s="1" t="s">
        <v>1762</v>
      </c>
      <c r="I2273" t="b">
        <f>COUNTIF(Estadísticas!I:I,'centraldecomunicacion.es'!H2273)&gt;0</f>
        <v>0</v>
      </c>
    </row>
    <row r="2274" spans="1:9" hidden="1">
      <c r="A2274" s="1" t="s">
        <v>8812</v>
      </c>
      <c r="B2274" s="1" t="s">
        <v>10</v>
      </c>
      <c r="C2274" s="1" t="s">
        <v>8813</v>
      </c>
      <c r="D2274" s="1" t="s">
        <v>882</v>
      </c>
      <c r="E2274" s="1" t="s">
        <v>882</v>
      </c>
      <c r="F2274" s="1" t="s">
        <v>8814</v>
      </c>
      <c r="G2274" s="1" t="s">
        <v>8815</v>
      </c>
      <c r="H2274" s="1" t="s">
        <v>1762</v>
      </c>
      <c r="I2274" t="b">
        <f>COUNTIF(Estadísticas!I:I,'centraldecomunicacion.es'!H2274)&gt;0</f>
        <v>0</v>
      </c>
    </row>
    <row r="2275" spans="1:9" hidden="1">
      <c r="A2275" s="1" t="s">
        <v>8816</v>
      </c>
      <c r="B2275" s="1" t="s">
        <v>10</v>
      </c>
      <c r="C2275" s="1" t="s">
        <v>8817</v>
      </c>
      <c r="D2275" s="1" t="s">
        <v>882</v>
      </c>
      <c r="E2275" s="1" t="s">
        <v>882</v>
      </c>
      <c r="F2275" s="1" t="s">
        <v>1984</v>
      </c>
      <c r="G2275" s="1" t="s">
        <v>30</v>
      </c>
      <c r="H2275" s="1" t="s">
        <v>1762</v>
      </c>
      <c r="I2275" t="b">
        <f>COUNTIF(Estadísticas!I:I,'centraldecomunicacion.es'!H2275)&gt;0</f>
        <v>0</v>
      </c>
    </row>
    <row r="2276" spans="1:9" hidden="1">
      <c r="A2276" s="1" t="s">
        <v>8818</v>
      </c>
      <c r="B2276" s="1" t="s">
        <v>10</v>
      </c>
      <c r="C2276" s="1" t="s">
        <v>8819</v>
      </c>
      <c r="D2276" s="1" t="s">
        <v>882</v>
      </c>
      <c r="E2276" s="1" t="s">
        <v>882</v>
      </c>
      <c r="F2276" s="1" t="s">
        <v>30</v>
      </c>
      <c r="G2276" s="1" t="s">
        <v>8820</v>
      </c>
      <c r="H2276" s="1" t="s">
        <v>1762</v>
      </c>
      <c r="I2276" t="b">
        <f>COUNTIF(Estadísticas!I:I,'centraldecomunicacion.es'!H2276)&gt;0</f>
        <v>0</v>
      </c>
    </row>
    <row r="2277" spans="1:9" hidden="1">
      <c r="A2277" s="1" t="s">
        <v>8821</v>
      </c>
      <c r="B2277" s="1" t="s">
        <v>10</v>
      </c>
      <c r="C2277" s="1" t="s">
        <v>8822</v>
      </c>
      <c r="D2277" s="1" t="s">
        <v>882</v>
      </c>
      <c r="E2277" s="1" t="s">
        <v>882</v>
      </c>
      <c r="F2277" s="1" t="s">
        <v>30</v>
      </c>
      <c r="G2277" s="1" t="s">
        <v>30</v>
      </c>
      <c r="H2277" s="1" t="s">
        <v>1762</v>
      </c>
      <c r="I2277" t="b">
        <f>COUNTIF(Estadísticas!I:I,'centraldecomunicacion.es'!H2277)&gt;0</f>
        <v>0</v>
      </c>
    </row>
    <row r="2278" spans="1:9" hidden="1">
      <c r="A2278" s="1" t="s">
        <v>8823</v>
      </c>
      <c r="B2278" s="1" t="s">
        <v>10</v>
      </c>
      <c r="C2278" s="1" t="s">
        <v>8824</v>
      </c>
      <c r="D2278" s="1" t="s">
        <v>882</v>
      </c>
      <c r="E2278" s="1" t="s">
        <v>882</v>
      </c>
      <c r="F2278" s="1" t="s">
        <v>30</v>
      </c>
      <c r="G2278" s="1" t="s">
        <v>8825</v>
      </c>
      <c r="H2278" s="1" t="s">
        <v>1762</v>
      </c>
      <c r="I2278" t="b">
        <f>COUNTIF(Estadísticas!I:I,'centraldecomunicacion.es'!H2278)&gt;0</f>
        <v>0</v>
      </c>
    </row>
    <row r="2279" spans="1:9" hidden="1">
      <c r="A2279" s="1" t="s">
        <v>8826</v>
      </c>
      <c r="B2279" s="1" t="s">
        <v>10</v>
      </c>
      <c r="C2279" s="1" t="s">
        <v>8827</v>
      </c>
      <c r="D2279" s="1" t="s">
        <v>882</v>
      </c>
      <c r="E2279" s="1" t="s">
        <v>882</v>
      </c>
      <c r="F2279" s="1" t="s">
        <v>30</v>
      </c>
      <c r="G2279" s="1" t="s">
        <v>8828</v>
      </c>
      <c r="H2279" s="1" t="s">
        <v>1762</v>
      </c>
      <c r="I2279" t="b">
        <f>COUNTIF(Estadísticas!I:I,'centraldecomunicacion.es'!H2279)&gt;0</f>
        <v>0</v>
      </c>
    </row>
    <row r="2280" spans="1:9" hidden="1">
      <c r="A2280" s="1" t="s">
        <v>8829</v>
      </c>
      <c r="B2280" s="1" t="s">
        <v>10</v>
      </c>
      <c r="C2280" s="1" t="s">
        <v>8830</v>
      </c>
      <c r="D2280" s="1" t="s">
        <v>882</v>
      </c>
      <c r="E2280" s="1" t="s">
        <v>882</v>
      </c>
      <c r="F2280" s="1" t="s">
        <v>30</v>
      </c>
      <c r="G2280" s="1" t="s">
        <v>30</v>
      </c>
      <c r="H2280" s="1" t="s">
        <v>1762</v>
      </c>
      <c r="I2280" t="b">
        <f>COUNTIF(Estadísticas!I:I,'centraldecomunicacion.es'!H2280)&gt;0</f>
        <v>0</v>
      </c>
    </row>
    <row r="2281" spans="1:9" hidden="1">
      <c r="A2281" s="1" t="s">
        <v>8831</v>
      </c>
      <c r="B2281" s="1" t="s">
        <v>10</v>
      </c>
      <c r="C2281" s="1" t="s">
        <v>8832</v>
      </c>
      <c r="D2281" s="1" t="s">
        <v>882</v>
      </c>
      <c r="E2281" s="1" t="s">
        <v>882</v>
      </c>
      <c r="F2281" s="1" t="s">
        <v>8833</v>
      </c>
      <c r="G2281" s="1" t="s">
        <v>8834</v>
      </c>
      <c r="H2281" s="1" t="s">
        <v>8835</v>
      </c>
      <c r="I2281" t="b">
        <f>COUNTIF(Estadísticas!I:I,'centraldecomunicacion.es'!H2281)&gt;0</f>
        <v>0</v>
      </c>
    </row>
    <row r="2282" spans="1:9" hidden="1">
      <c r="A2282" s="1" t="s">
        <v>8836</v>
      </c>
      <c r="B2282" s="1" t="s">
        <v>10</v>
      </c>
      <c r="C2282" s="1" t="s">
        <v>8837</v>
      </c>
      <c r="D2282" s="1" t="s">
        <v>882</v>
      </c>
      <c r="E2282" s="1" t="s">
        <v>882</v>
      </c>
      <c r="F2282" s="1" t="s">
        <v>30</v>
      </c>
      <c r="G2282" s="1" t="s">
        <v>8838</v>
      </c>
      <c r="H2282" s="1" t="s">
        <v>1762</v>
      </c>
      <c r="I2282" t="b">
        <f>COUNTIF(Estadísticas!I:I,'centraldecomunicacion.es'!H2282)&gt;0</f>
        <v>0</v>
      </c>
    </row>
    <row r="2283" spans="1:9" hidden="1">
      <c r="A2283" s="1" t="s">
        <v>8839</v>
      </c>
      <c r="B2283" s="1" t="s">
        <v>10</v>
      </c>
      <c r="C2283" s="1" t="s">
        <v>8840</v>
      </c>
      <c r="D2283" s="1" t="s">
        <v>882</v>
      </c>
      <c r="E2283" s="1" t="s">
        <v>882</v>
      </c>
      <c r="F2283" s="1" t="s">
        <v>30</v>
      </c>
      <c r="G2283" s="1" t="s">
        <v>30</v>
      </c>
      <c r="H2283" s="1" t="s">
        <v>1762</v>
      </c>
      <c r="I2283" t="b">
        <f>COUNTIF(Estadísticas!I:I,'centraldecomunicacion.es'!H2283)&gt;0</f>
        <v>0</v>
      </c>
    </row>
    <row r="2284" spans="1:9" hidden="1">
      <c r="A2284" s="1" t="s">
        <v>8841</v>
      </c>
      <c r="B2284" s="1" t="s">
        <v>10</v>
      </c>
      <c r="C2284" s="1" t="s">
        <v>8842</v>
      </c>
      <c r="D2284" s="1" t="s">
        <v>8843</v>
      </c>
      <c r="E2284" s="1" t="s">
        <v>882</v>
      </c>
      <c r="F2284" s="1" t="s">
        <v>30</v>
      </c>
      <c r="G2284" s="1" t="s">
        <v>8844</v>
      </c>
      <c r="H2284" s="1" t="s">
        <v>1762</v>
      </c>
      <c r="I2284" t="b">
        <f>COUNTIF(Estadísticas!I:I,'centraldecomunicacion.es'!H2284)&gt;0</f>
        <v>0</v>
      </c>
    </row>
    <row r="2285" spans="1:9" hidden="1">
      <c r="A2285" s="1" t="s">
        <v>8845</v>
      </c>
      <c r="B2285" s="1" t="s">
        <v>10</v>
      </c>
      <c r="C2285" s="1" t="s">
        <v>8846</v>
      </c>
      <c r="D2285" s="1" t="s">
        <v>8847</v>
      </c>
      <c r="E2285" s="1" t="s">
        <v>882</v>
      </c>
      <c r="F2285" s="1" t="s">
        <v>30</v>
      </c>
      <c r="G2285" s="1" t="s">
        <v>8848</v>
      </c>
      <c r="H2285" s="1" t="s">
        <v>1762</v>
      </c>
      <c r="I2285" t="b">
        <f>COUNTIF(Estadísticas!I:I,'centraldecomunicacion.es'!H2285)&gt;0</f>
        <v>0</v>
      </c>
    </row>
    <row r="2286" spans="1:9" hidden="1">
      <c r="A2286" s="1" t="s">
        <v>8849</v>
      </c>
      <c r="B2286" s="1" t="s">
        <v>10</v>
      </c>
      <c r="C2286" s="1" t="s">
        <v>8850</v>
      </c>
      <c r="D2286" s="1" t="s">
        <v>882</v>
      </c>
      <c r="E2286" s="1" t="s">
        <v>882</v>
      </c>
      <c r="F2286" s="1" t="s">
        <v>30</v>
      </c>
      <c r="G2286" s="1" t="s">
        <v>8851</v>
      </c>
      <c r="H2286" s="1" t="s">
        <v>1762</v>
      </c>
      <c r="I2286" t="b">
        <f>COUNTIF(Estadísticas!I:I,'centraldecomunicacion.es'!H2286)&gt;0</f>
        <v>0</v>
      </c>
    </row>
    <row r="2287" spans="1:9" hidden="1">
      <c r="A2287" s="1" t="s">
        <v>8852</v>
      </c>
      <c r="B2287" s="1" t="s">
        <v>18</v>
      </c>
      <c r="C2287" s="1" t="s">
        <v>8853</v>
      </c>
      <c r="D2287" s="1" t="s">
        <v>882</v>
      </c>
      <c r="E2287" s="1" t="s">
        <v>882</v>
      </c>
      <c r="F2287" s="1" t="s">
        <v>8854</v>
      </c>
      <c r="G2287" s="1" t="s">
        <v>8855</v>
      </c>
      <c r="H2287" s="1" t="s">
        <v>8856</v>
      </c>
      <c r="I2287" t="b">
        <f>COUNTIF(Estadísticas!I:I,'centraldecomunicacion.es'!H2287)&gt;0</f>
        <v>0</v>
      </c>
    </row>
    <row r="2288" spans="1:9" hidden="1">
      <c r="A2288" s="1" t="s">
        <v>8857</v>
      </c>
      <c r="B2288" s="1" t="s">
        <v>10</v>
      </c>
      <c r="C2288" s="1" t="s">
        <v>8858</v>
      </c>
      <c r="D2288" s="1" t="s">
        <v>8843</v>
      </c>
      <c r="E2288" s="1" t="s">
        <v>882</v>
      </c>
      <c r="F2288" s="1" t="s">
        <v>30</v>
      </c>
      <c r="G2288" s="1" t="s">
        <v>8859</v>
      </c>
      <c r="H2288" s="1" t="s">
        <v>1762</v>
      </c>
      <c r="I2288" t="b">
        <f>COUNTIF(Estadísticas!I:I,'centraldecomunicacion.es'!H2288)&gt;0</f>
        <v>0</v>
      </c>
    </row>
    <row r="2289" spans="1:9">
      <c r="A2289" s="1" t="s">
        <v>886</v>
      </c>
      <c r="B2289" s="1" t="s">
        <v>10</v>
      </c>
      <c r="C2289" s="1" t="s">
        <v>887</v>
      </c>
      <c r="D2289" s="1" t="s">
        <v>882</v>
      </c>
      <c r="E2289" s="1" t="s">
        <v>882</v>
      </c>
      <c r="F2289" s="1" t="s">
        <v>888</v>
      </c>
      <c r="G2289" s="1" t="s">
        <v>889</v>
      </c>
      <c r="H2289" s="1" t="s">
        <v>890</v>
      </c>
      <c r="I2289" t="b">
        <f>COUNTIF(Estadísticas!I:I,'centraldecomunicacion.es'!H2289)&gt;0</f>
        <v>1</v>
      </c>
    </row>
    <row r="2290" spans="1:9" hidden="1">
      <c r="A2290" s="1" t="s">
        <v>8860</v>
      </c>
      <c r="B2290" s="1" t="s">
        <v>10</v>
      </c>
      <c r="C2290" s="1" t="s">
        <v>8861</v>
      </c>
      <c r="D2290" s="1" t="s">
        <v>882</v>
      </c>
      <c r="E2290" s="1" t="s">
        <v>882</v>
      </c>
      <c r="F2290" s="1" t="s">
        <v>30</v>
      </c>
      <c r="G2290" s="1" t="s">
        <v>8862</v>
      </c>
      <c r="H2290" s="1" t="s">
        <v>1762</v>
      </c>
      <c r="I2290" t="b">
        <f>COUNTIF(Estadísticas!I:I,'centraldecomunicacion.es'!H2290)&gt;0</f>
        <v>0</v>
      </c>
    </row>
    <row r="2291" spans="1:9" hidden="1">
      <c r="A2291" s="1" t="s">
        <v>8863</v>
      </c>
      <c r="B2291" s="1" t="s">
        <v>10</v>
      </c>
      <c r="C2291" s="1" t="s">
        <v>8864</v>
      </c>
      <c r="D2291" s="1" t="s">
        <v>8847</v>
      </c>
      <c r="E2291" s="1" t="s">
        <v>882</v>
      </c>
      <c r="F2291" s="1" t="s">
        <v>30</v>
      </c>
      <c r="G2291" s="1" t="s">
        <v>8865</v>
      </c>
      <c r="H2291" s="1" t="s">
        <v>1762</v>
      </c>
      <c r="I2291" t="b">
        <f>COUNTIF(Estadísticas!I:I,'centraldecomunicacion.es'!H2291)&gt;0</f>
        <v>0</v>
      </c>
    </row>
    <row r="2292" spans="1:9" hidden="1">
      <c r="A2292" s="1" t="s">
        <v>8866</v>
      </c>
      <c r="B2292" s="1" t="s">
        <v>10</v>
      </c>
      <c r="C2292" s="1" t="s">
        <v>8867</v>
      </c>
      <c r="D2292" s="1" t="s">
        <v>882</v>
      </c>
      <c r="E2292" s="1" t="s">
        <v>882</v>
      </c>
      <c r="F2292" s="1" t="s">
        <v>30</v>
      </c>
      <c r="G2292" s="1" t="s">
        <v>8868</v>
      </c>
      <c r="H2292" s="1" t="s">
        <v>1762</v>
      </c>
      <c r="I2292" t="b">
        <f>COUNTIF(Estadísticas!I:I,'centraldecomunicacion.es'!H2292)&gt;0</f>
        <v>0</v>
      </c>
    </row>
    <row r="2293" spans="1:9" hidden="1">
      <c r="A2293" s="1" t="s">
        <v>8869</v>
      </c>
      <c r="B2293" s="1" t="s">
        <v>10</v>
      </c>
      <c r="C2293" s="1" t="s">
        <v>30</v>
      </c>
      <c r="D2293" s="1" t="s">
        <v>8801</v>
      </c>
      <c r="E2293" s="1" t="s">
        <v>30</v>
      </c>
      <c r="F2293" s="1" t="s">
        <v>30</v>
      </c>
      <c r="G2293" s="1" t="s">
        <v>8870</v>
      </c>
      <c r="H2293" s="1" t="s">
        <v>1762</v>
      </c>
      <c r="I2293" t="b">
        <f>COUNTIF(Estadísticas!I:I,'centraldecomunicacion.es'!H2293)&gt;0</f>
        <v>0</v>
      </c>
    </row>
    <row r="2294" spans="1:9" hidden="1">
      <c r="A2294" s="1" t="s">
        <v>8871</v>
      </c>
      <c r="B2294" s="1" t="s">
        <v>10</v>
      </c>
      <c r="C2294" s="1" t="s">
        <v>8872</v>
      </c>
      <c r="D2294" s="1" t="s">
        <v>882</v>
      </c>
      <c r="E2294" s="1" t="s">
        <v>882</v>
      </c>
      <c r="F2294" s="1" t="s">
        <v>30</v>
      </c>
      <c r="G2294" s="1" t="s">
        <v>8873</v>
      </c>
      <c r="H2294" s="1" t="s">
        <v>1762</v>
      </c>
      <c r="I2294" t="b">
        <f>COUNTIF(Estadísticas!I:I,'centraldecomunicacion.es'!H2294)&gt;0</f>
        <v>0</v>
      </c>
    </row>
    <row r="2295" spans="1:9" hidden="1">
      <c r="A2295" s="1" t="s">
        <v>8874</v>
      </c>
      <c r="B2295" s="1" t="s">
        <v>18</v>
      </c>
      <c r="C2295" s="1" t="s">
        <v>8875</v>
      </c>
      <c r="D2295" s="1" t="s">
        <v>8801</v>
      </c>
      <c r="E2295" s="1" t="s">
        <v>882</v>
      </c>
      <c r="F2295" s="1" t="s">
        <v>30</v>
      </c>
      <c r="G2295" s="1" t="s">
        <v>8876</v>
      </c>
      <c r="H2295" s="1" t="s">
        <v>1762</v>
      </c>
      <c r="I2295" t="b">
        <f>COUNTIF(Estadísticas!I:I,'centraldecomunicacion.es'!H2295)&gt;0</f>
        <v>0</v>
      </c>
    </row>
    <row r="2296" spans="1:9" hidden="1">
      <c r="A2296" s="1" t="s">
        <v>8877</v>
      </c>
      <c r="B2296" s="1" t="s">
        <v>18</v>
      </c>
      <c r="C2296" s="1" t="s">
        <v>8878</v>
      </c>
      <c r="D2296" s="1" t="s">
        <v>882</v>
      </c>
      <c r="E2296" s="1" t="s">
        <v>882</v>
      </c>
      <c r="F2296" s="1" t="s">
        <v>30</v>
      </c>
      <c r="G2296" s="1" t="s">
        <v>8879</v>
      </c>
      <c r="H2296" s="1" t="s">
        <v>1762</v>
      </c>
      <c r="I2296" t="b">
        <f>COUNTIF(Estadísticas!I:I,'centraldecomunicacion.es'!H2296)&gt;0</f>
        <v>0</v>
      </c>
    </row>
    <row r="2297" spans="1:9" hidden="1">
      <c r="A2297" s="1" t="s">
        <v>8880</v>
      </c>
      <c r="B2297" s="1" t="s">
        <v>10</v>
      </c>
      <c r="C2297" s="1" t="s">
        <v>8881</v>
      </c>
      <c r="D2297" s="1" t="s">
        <v>8882</v>
      </c>
      <c r="E2297" s="1" t="s">
        <v>882</v>
      </c>
      <c r="F2297" s="1" t="s">
        <v>30</v>
      </c>
      <c r="G2297" s="1" t="s">
        <v>8883</v>
      </c>
      <c r="H2297" s="1" t="s">
        <v>1762</v>
      </c>
      <c r="I2297" t="b">
        <f>COUNTIF(Estadísticas!I:I,'centraldecomunicacion.es'!H2297)&gt;0</f>
        <v>0</v>
      </c>
    </row>
    <row r="2298" spans="1:9" hidden="1">
      <c r="A2298" s="1" t="s">
        <v>8884</v>
      </c>
      <c r="B2298" s="1" t="s">
        <v>18</v>
      </c>
      <c r="C2298" s="1" t="s">
        <v>8885</v>
      </c>
      <c r="D2298" s="1" t="s">
        <v>882</v>
      </c>
      <c r="E2298" s="1" t="s">
        <v>882</v>
      </c>
      <c r="F2298" s="1" t="s">
        <v>30</v>
      </c>
      <c r="G2298" s="1" t="s">
        <v>8886</v>
      </c>
      <c r="H2298" s="1" t="s">
        <v>1762</v>
      </c>
      <c r="I2298" t="b">
        <f>COUNTIF(Estadísticas!I:I,'centraldecomunicacion.es'!H2298)&gt;0</f>
        <v>0</v>
      </c>
    </row>
    <row r="2299" spans="1:9" hidden="1">
      <c r="A2299" s="1" t="s">
        <v>8887</v>
      </c>
      <c r="B2299" s="1" t="s">
        <v>18</v>
      </c>
      <c r="C2299" s="1" t="s">
        <v>8888</v>
      </c>
      <c r="D2299" s="1" t="s">
        <v>8843</v>
      </c>
      <c r="E2299" s="1" t="s">
        <v>882</v>
      </c>
      <c r="F2299" s="1" t="s">
        <v>8889</v>
      </c>
      <c r="G2299" s="1" t="s">
        <v>8890</v>
      </c>
      <c r="H2299" s="1" t="s">
        <v>1762</v>
      </c>
      <c r="I2299" t="b">
        <f>COUNTIF(Estadísticas!I:I,'centraldecomunicacion.es'!H2299)&gt;0</f>
        <v>0</v>
      </c>
    </row>
    <row r="2300" spans="1:9" hidden="1">
      <c r="A2300" s="1" t="s">
        <v>8891</v>
      </c>
      <c r="B2300" s="1" t="s">
        <v>18</v>
      </c>
      <c r="C2300" s="1" t="s">
        <v>8892</v>
      </c>
      <c r="D2300" s="1" t="s">
        <v>882</v>
      </c>
      <c r="E2300" s="1" t="s">
        <v>882</v>
      </c>
      <c r="F2300" s="1" t="s">
        <v>30</v>
      </c>
      <c r="G2300" s="1" t="s">
        <v>8893</v>
      </c>
      <c r="H2300" s="1" t="s">
        <v>1762</v>
      </c>
      <c r="I2300" t="b">
        <f>COUNTIF(Estadísticas!I:I,'centraldecomunicacion.es'!H2300)&gt;0</f>
        <v>0</v>
      </c>
    </row>
    <row r="2301" spans="1:9" hidden="1">
      <c r="A2301" s="1" t="s">
        <v>8894</v>
      </c>
      <c r="B2301" s="1" t="s">
        <v>18</v>
      </c>
      <c r="C2301" s="1" t="s">
        <v>8895</v>
      </c>
      <c r="D2301" s="1" t="s">
        <v>8896</v>
      </c>
      <c r="E2301" s="1" t="s">
        <v>882</v>
      </c>
      <c r="F2301" s="1" t="s">
        <v>8897</v>
      </c>
      <c r="G2301" s="1" t="s">
        <v>8898</v>
      </c>
      <c r="H2301" s="1" t="s">
        <v>8899</v>
      </c>
      <c r="I2301" t="b">
        <f>COUNTIF(Estadísticas!I:I,'centraldecomunicacion.es'!H2301)&gt;0</f>
        <v>0</v>
      </c>
    </row>
    <row r="2302" spans="1:9" hidden="1">
      <c r="A2302" s="1" t="s">
        <v>8900</v>
      </c>
      <c r="B2302" s="1" t="s">
        <v>10</v>
      </c>
      <c r="C2302" s="1" t="s">
        <v>8901</v>
      </c>
      <c r="D2302" s="1" t="s">
        <v>8902</v>
      </c>
      <c r="E2302" s="1" t="s">
        <v>882</v>
      </c>
      <c r="F2302" s="1" t="s">
        <v>30</v>
      </c>
      <c r="G2302" s="1" t="s">
        <v>8903</v>
      </c>
      <c r="H2302" s="1" t="s">
        <v>1762</v>
      </c>
      <c r="I2302" t="b">
        <f>COUNTIF(Estadísticas!I:I,'centraldecomunicacion.es'!H2302)&gt;0</f>
        <v>0</v>
      </c>
    </row>
    <row r="2303" spans="1:9" hidden="1">
      <c r="A2303" s="1" t="s">
        <v>8904</v>
      </c>
      <c r="B2303" s="1" t="s">
        <v>10</v>
      </c>
      <c r="C2303" s="1" t="s">
        <v>8905</v>
      </c>
      <c r="D2303" s="1" t="s">
        <v>8882</v>
      </c>
      <c r="E2303" s="1" t="s">
        <v>882</v>
      </c>
      <c r="F2303" s="1" t="s">
        <v>30</v>
      </c>
      <c r="G2303" s="1" t="s">
        <v>8906</v>
      </c>
      <c r="H2303" s="1" t="s">
        <v>1762</v>
      </c>
      <c r="I2303" t="b">
        <f>COUNTIF(Estadísticas!I:I,'centraldecomunicacion.es'!H2303)&gt;0</f>
        <v>0</v>
      </c>
    </row>
    <row r="2304" spans="1:9" hidden="1">
      <c r="A2304" s="1" t="s">
        <v>8907</v>
      </c>
      <c r="B2304" s="1" t="s">
        <v>10</v>
      </c>
      <c r="C2304" s="1" t="s">
        <v>8908</v>
      </c>
      <c r="D2304" s="1" t="s">
        <v>8801</v>
      </c>
      <c r="E2304" s="1" t="s">
        <v>882</v>
      </c>
      <c r="F2304" s="1" t="s">
        <v>30</v>
      </c>
      <c r="G2304" s="1" t="s">
        <v>8909</v>
      </c>
      <c r="H2304" s="1" t="s">
        <v>1762</v>
      </c>
      <c r="I2304" t="b">
        <f>COUNTIF(Estadísticas!I:I,'centraldecomunicacion.es'!H2304)&gt;0</f>
        <v>0</v>
      </c>
    </row>
    <row r="2305" spans="1:9" hidden="1">
      <c r="A2305" s="1" t="s">
        <v>8910</v>
      </c>
      <c r="B2305" s="1" t="s">
        <v>10</v>
      </c>
      <c r="C2305" s="1" t="s">
        <v>8911</v>
      </c>
      <c r="D2305" s="1" t="s">
        <v>8912</v>
      </c>
      <c r="E2305" s="1" t="s">
        <v>882</v>
      </c>
      <c r="F2305" s="1" t="s">
        <v>30</v>
      </c>
      <c r="G2305" s="1" t="s">
        <v>8913</v>
      </c>
      <c r="H2305" s="1" t="s">
        <v>1762</v>
      </c>
      <c r="I2305" t="b">
        <f>COUNTIF(Estadísticas!I:I,'centraldecomunicacion.es'!H2305)&gt;0</f>
        <v>0</v>
      </c>
    </row>
    <row r="2306" spans="1:9" hidden="1">
      <c r="A2306" s="1" t="s">
        <v>3579</v>
      </c>
      <c r="B2306" s="1" t="s">
        <v>10</v>
      </c>
      <c r="C2306" s="1" t="s">
        <v>8914</v>
      </c>
      <c r="D2306" s="1" t="s">
        <v>8915</v>
      </c>
      <c r="E2306" s="1" t="s">
        <v>882</v>
      </c>
      <c r="F2306" s="1" t="s">
        <v>30</v>
      </c>
      <c r="G2306" s="1" t="s">
        <v>8916</v>
      </c>
      <c r="H2306" s="1" t="s">
        <v>1762</v>
      </c>
      <c r="I2306" t="b">
        <f>COUNTIF(Estadísticas!I:I,'centraldecomunicacion.es'!H2306)&gt;0</f>
        <v>0</v>
      </c>
    </row>
    <row r="2307" spans="1:9" hidden="1">
      <c r="A2307" s="1" t="s">
        <v>8917</v>
      </c>
      <c r="B2307" s="1" t="s">
        <v>10</v>
      </c>
      <c r="C2307" s="1" t="s">
        <v>8918</v>
      </c>
      <c r="D2307" s="1" t="s">
        <v>8801</v>
      </c>
      <c r="E2307" s="1" t="s">
        <v>882</v>
      </c>
      <c r="F2307" s="1" t="s">
        <v>30</v>
      </c>
      <c r="G2307" s="1" t="s">
        <v>30</v>
      </c>
      <c r="H2307" s="1" t="s">
        <v>1762</v>
      </c>
      <c r="I2307" t="b">
        <f>COUNTIF(Estadísticas!I:I,'centraldecomunicacion.es'!H2307)&gt;0</f>
        <v>0</v>
      </c>
    </row>
    <row r="2308" spans="1:9" hidden="1">
      <c r="A2308" s="1" t="s">
        <v>8919</v>
      </c>
      <c r="B2308" s="1" t="s">
        <v>10</v>
      </c>
      <c r="C2308" s="1" t="s">
        <v>8920</v>
      </c>
      <c r="D2308" s="1" t="s">
        <v>8921</v>
      </c>
      <c r="E2308" s="1" t="s">
        <v>882</v>
      </c>
      <c r="F2308" s="1" t="s">
        <v>30</v>
      </c>
      <c r="G2308" s="1" t="s">
        <v>8922</v>
      </c>
      <c r="H2308" s="1" t="s">
        <v>1762</v>
      </c>
      <c r="I2308" t="b">
        <f>COUNTIF(Estadísticas!I:I,'centraldecomunicacion.es'!H2308)&gt;0</f>
        <v>0</v>
      </c>
    </row>
    <row r="2309" spans="1:9" hidden="1">
      <c r="A2309" s="1" t="s">
        <v>8923</v>
      </c>
      <c r="B2309" s="1" t="s">
        <v>10</v>
      </c>
      <c r="C2309" s="1" t="s">
        <v>8924</v>
      </c>
      <c r="D2309" s="1" t="s">
        <v>8925</v>
      </c>
      <c r="E2309" s="1" t="s">
        <v>882</v>
      </c>
      <c r="F2309" s="1" t="s">
        <v>30</v>
      </c>
      <c r="G2309" s="1" t="s">
        <v>8926</v>
      </c>
      <c r="H2309" s="1" t="s">
        <v>1762</v>
      </c>
      <c r="I2309" t="b">
        <f>COUNTIF(Estadísticas!I:I,'centraldecomunicacion.es'!H2309)&gt;0</f>
        <v>0</v>
      </c>
    </row>
    <row r="2310" spans="1:9" hidden="1">
      <c r="A2310" s="1" t="s">
        <v>8927</v>
      </c>
      <c r="B2310" s="1" t="s">
        <v>10</v>
      </c>
      <c r="C2310" s="1" t="s">
        <v>8928</v>
      </c>
      <c r="D2310" s="1" t="s">
        <v>8929</v>
      </c>
      <c r="E2310" s="1" t="s">
        <v>882</v>
      </c>
      <c r="F2310" s="1" t="s">
        <v>30</v>
      </c>
      <c r="G2310" s="1" t="s">
        <v>30</v>
      </c>
      <c r="H2310" s="1" t="s">
        <v>1762</v>
      </c>
      <c r="I2310" t="b">
        <f>COUNTIF(Estadísticas!I:I,'centraldecomunicacion.es'!H2310)&gt;0</f>
        <v>0</v>
      </c>
    </row>
    <row r="2311" spans="1:9" hidden="1">
      <c r="A2311" s="1" t="s">
        <v>8930</v>
      </c>
      <c r="B2311" s="1" t="s">
        <v>10</v>
      </c>
      <c r="C2311" s="1" t="s">
        <v>8931</v>
      </c>
      <c r="D2311" s="1" t="s">
        <v>8932</v>
      </c>
      <c r="E2311" s="1" t="s">
        <v>882</v>
      </c>
      <c r="F2311" s="1" t="s">
        <v>8933</v>
      </c>
      <c r="G2311" s="1" t="s">
        <v>8934</v>
      </c>
      <c r="H2311" s="1" t="s">
        <v>1762</v>
      </c>
      <c r="I2311" t="b">
        <f>COUNTIF(Estadísticas!I:I,'centraldecomunicacion.es'!H2311)&gt;0</f>
        <v>0</v>
      </c>
    </row>
    <row r="2312" spans="1:9" hidden="1">
      <c r="A2312" s="1" t="s">
        <v>8935</v>
      </c>
      <c r="B2312" s="1" t="s">
        <v>10</v>
      </c>
      <c r="C2312" s="1" t="s">
        <v>8936</v>
      </c>
      <c r="D2312" s="1" t="s">
        <v>8937</v>
      </c>
      <c r="E2312" s="1" t="s">
        <v>882</v>
      </c>
      <c r="F2312" s="1" t="s">
        <v>30</v>
      </c>
      <c r="G2312" s="1" t="s">
        <v>8938</v>
      </c>
      <c r="H2312" s="1" t="s">
        <v>1762</v>
      </c>
      <c r="I2312" t="b">
        <f>COUNTIF(Estadísticas!I:I,'centraldecomunicacion.es'!H2312)&gt;0</f>
        <v>0</v>
      </c>
    </row>
    <row r="2313" spans="1:9" hidden="1">
      <c r="A2313" s="1" t="s">
        <v>8939</v>
      </c>
      <c r="B2313" s="1" t="s">
        <v>18</v>
      </c>
      <c r="C2313" s="1" t="s">
        <v>8940</v>
      </c>
      <c r="D2313" s="1" t="s">
        <v>8896</v>
      </c>
      <c r="E2313" s="1" t="s">
        <v>882</v>
      </c>
      <c r="F2313" s="1" t="s">
        <v>8897</v>
      </c>
      <c r="G2313" s="1" t="s">
        <v>8898</v>
      </c>
      <c r="H2313" s="1" t="s">
        <v>8899</v>
      </c>
      <c r="I2313" t="b">
        <f>COUNTIF(Estadísticas!I:I,'centraldecomunicacion.es'!H2313)&gt;0</f>
        <v>0</v>
      </c>
    </row>
    <row r="2314" spans="1:9" hidden="1">
      <c r="A2314" s="1" t="s">
        <v>8941</v>
      </c>
      <c r="B2314" s="1" t="s">
        <v>18</v>
      </c>
      <c r="C2314" s="1" t="s">
        <v>8942</v>
      </c>
      <c r="D2314" s="1" t="s">
        <v>8921</v>
      </c>
      <c r="E2314" s="1" t="s">
        <v>882</v>
      </c>
      <c r="F2314" s="1" t="s">
        <v>8943</v>
      </c>
      <c r="G2314" s="1" t="s">
        <v>8944</v>
      </c>
      <c r="H2314" s="1" t="s">
        <v>8945</v>
      </c>
      <c r="I2314" t="b">
        <f>COUNTIF(Estadísticas!I:I,'centraldecomunicacion.es'!H2314)&gt;0</f>
        <v>0</v>
      </c>
    </row>
    <row r="2315" spans="1:9" hidden="1">
      <c r="A2315" s="1" t="s">
        <v>8946</v>
      </c>
      <c r="B2315" s="1" t="s">
        <v>10</v>
      </c>
      <c r="C2315" s="1" t="s">
        <v>8947</v>
      </c>
      <c r="D2315" s="1" t="s">
        <v>8948</v>
      </c>
      <c r="E2315" s="1" t="s">
        <v>882</v>
      </c>
      <c r="F2315" s="1" t="s">
        <v>30</v>
      </c>
      <c r="G2315" s="1" t="s">
        <v>8949</v>
      </c>
      <c r="H2315" s="1" t="s">
        <v>1762</v>
      </c>
      <c r="I2315" t="b">
        <f>COUNTIF(Estadísticas!I:I,'centraldecomunicacion.es'!H2315)&gt;0</f>
        <v>0</v>
      </c>
    </row>
    <row r="2316" spans="1:9" hidden="1">
      <c r="A2316" s="1" t="s">
        <v>8950</v>
      </c>
      <c r="B2316" s="1" t="s">
        <v>10</v>
      </c>
      <c r="C2316" s="1" t="s">
        <v>8951</v>
      </c>
      <c r="D2316" s="1" t="s">
        <v>8952</v>
      </c>
      <c r="E2316" s="1" t="s">
        <v>882</v>
      </c>
      <c r="F2316" s="1" t="s">
        <v>8953</v>
      </c>
      <c r="G2316" s="1" t="s">
        <v>8954</v>
      </c>
      <c r="H2316" s="1" t="s">
        <v>1875</v>
      </c>
      <c r="I2316" t="b">
        <f>COUNTIF(Estadísticas!I:I,'centraldecomunicacion.es'!H2316)&gt;0</f>
        <v>0</v>
      </c>
    </row>
    <row r="2317" spans="1:9" hidden="1">
      <c r="A2317" s="1" t="s">
        <v>8955</v>
      </c>
      <c r="B2317" s="1" t="s">
        <v>10</v>
      </c>
      <c r="C2317" s="1" t="s">
        <v>8956</v>
      </c>
      <c r="D2317" s="1" t="s">
        <v>8957</v>
      </c>
      <c r="E2317" s="1" t="s">
        <v>882</v>
      </c>
      <c r="F2317" s="1" t="s">
        <v>30</v>
      </c>
      <c r="G2317" s="1" t="s">
        <v>8958</v>
      </c>
      <c r="H2317" s="1" t="s">
        <v>1762</v>
      </c>
      <c r="I2317" t="b">
        <f>COUNTIF(Estadísticas!I:I,'centraldecomunicacion.es'!H2317)&gt;0</f>
        <v>0</v>
      </c>
    </row>
    <row r="2318" spans="1:9" hidden="1">
      <c r="A2318" s="1" t="s">
        <v>8959</v>
      </c>
      <c r="B2318" s="1" t="s">
        <v>18</v>
      </c>
      <c r="C2318" s="1" t="s">
        <v>8960</v>
      </c>
      <c r="D2318" s="1" t="s">
        <v>8957</v>
      </c>
      <c r="E2318" s="1" t="s">
        <v>882</v>
      </c>
      <c r="F2318" s="1" t="s">
        <v>8961</v>
      </c>
      <c r="G2318" s="1" t="s">
        <v>8962</v>
      </c>
      <c r="H2318" s="1" t="s">
        <v>1762</v>
      </c>
      <c r="I2318" t="b">
        <f>COUNTIF(Estadísticas!I:I,'centraldecomunicacion.es'!H2318)&gt;0</f>
        <v>0</v>
      </c>
    </row>
    <row r="2319" spans="1:9" hidden="1">
      <c r="A2319" s="1" t="s">
        <v>8963</v>
      </c>
      <c r="B2319" s="1" t="s">
        <v>10</v>
      </c>
      <c r="C2319" s="1" t="s">
        <v>8964</v>
      </c>
      <c r="D2319" s="1" t="s">
        <v>8965</v>
      </c>
      <c r="E2319" s="1" t="s">
        <v>882</v>
      </c>
      <c r="F2319" s="1" t="s">
        <v>30</v>
      </c>
      <c r="G2319" s="1" t="s">
        <v>8966</v>
      </c>
      <c r="H2319" s="1" t="s">
        <v>1762</v>
      </c>
      <c r="I2319" t="b">
        <f>COUNTIF(Estadísticas!I:I,'centraldecomunicacion.es'!H2319)&gt;0</f>
        <v>0</v>
      </c>
    </row>
    <row r="2320" spans="1:9" hidden="1">
      <c r="A2320" s="1" t="s">
        <v>8967</v>
      </c>
      <c r="B2320" s="1" t="s">
        <v>10</v>
      </c>
      <c r="C2320" s="1" t="s">
        <v>8968</v>
      </c>
      <c r="D2320" s="1" t="s">
        <v>8969</v>
      </c>
      <c r="E2320" s="1" t="s">
        <v>882</v>
      </c>
      <c r="F2320" s="1" t="s">
        <v>30</v>
      </c>
      <c r="G2320" s="1" t="s">
        <v>8970</v>
      </c>
      <c r="H2320" s="1" t="s">
        <v>1762</v>
      </c>
      <c r="I2320" t="b">
        <f>COUNTIF(Estadísticas!I:I,'centraldecomunicacion.es'!H2320)&gt;0</f>
        <v>0</v>
      </c>
    </row>
    <row r="2321" spans="1:9" hidden="1">
      <c r="A2321" s="1" t="s">
        <v>8971</v>
      </c>
      <c r="B2321" s="1" t="s">
        <v>10</v>
      </c>
      <c r="C2321" s="1" t="s">
        <v>8972</v>
      </c>
      <c r="D2321" s="1" t="s">
        <v>8973</v>
      </c>
      <c r="E2321" s="1" t="s">
        <v>882</v>
      </c>
      <c r="F2321" s="1" t="s">
        <v>30</v>
      </c>
      <c r="G2321" s="1" t="s">
        <v>8974</v>
      </c>
      <c r="H2321" s="1" t="s">
        <v>1762</v>
      </c>
      <c r="I2321" t="b">
        <f>COUNTIF(Estadísticas!I:I,'centraldecomunicacion.es'!H2321)&gt;0</f>
        <v>0</v>
      </c>
    </row>
    <row r="2322" spans="1:9" hidden="1">
      <c r="A2322" s="1" t="s">
        <v>8975</v>
      </c>
      <c r="B2322" s="1" t="s">
        <v>10</v>
      </c>
      <c r="C2322" s="1" t="s">
        <v>8976</v>
      </c>
      <c r="D2322" s="1" t="s">
        <v>5649</v>
      </c>
      <c r="E2322" s="1" t="s">
        <v>882</v>
      </c>
      <c r="F2322" s="1" t="s">
        <v>30</v>
      </c>
      <c r="G2322" s="1" t="s">
        <v>8977</v>
      </c>
      <c r="H2322" s="1" t="s">
        <v>1762</v>
      </c>
      <c r="I2322" t="b">
        <f>COUNTIF(Estadísticas!I:I,'centraldecomunicacion.es'!H2322)&gt;0</f>
        <v>0</v>
      </c>
    </row>
    <row r="2323" spans="1:9" hidden="1">
      <c r="A2323" s="1" t="s">
        <v>8978</v>
      </c>
      <c r="B2323" s="1" t="s">
        <v>18</v>
      </c>
      <c r="C2323" s="1" t="s">
        <v>8979</v>
      </c>
      <c r="D2323" s="1" t="s">
        <v>8980</v>
      </c>
      <c r="E2323" s="1" t="s">
        <v>882</v>
      </c>
      <c r="F2323" s="1" t="s">
        <v>30</v>
      </c>
      <c r="G2323" s="1" t="s">
        <v>8981</v>
      </c>
      <c r="H2323" s="1" t="s">
        <v>1762</v>
      </c>
      <c r="I2323" t="b">
        <f>COUNTIF(Estadísticas!I:I,'centraldecomunicacion.es'!H2323)&gt;0</f>
        <v>0</v>
      </c>
    </row>
    <row r="2324" spans="1:9" hidden="1">
      <c r="A2324" s="1" t="s">
        <v>8982</v>
      </c>
      <c r="B2324" s="1" t="s">
        <v>10</v>
      </c>
      <c r="C2324" s="1" t="s">
        <v>8983</v>
      </c>
      <c r="D2324" s="1" t="s">
        <v>8984</v>
      </c>
      <c r="E2324" s="1" t="s">
        <v>882</v>
      </c>
      <c r="F2324" s="1" t="s">
        <v>30</v>
      </c>
      <c r="G2324" s="1" t="s">
        <v>8985</v>
      </c>
      <c r="H2324" s="1" t="s">
        <v>1762</v>
      </c>
      <c r="I2324" t="b">
        <f>COUNTIF(Estadísticas!I:I,'centraldecomunicacion.es'!H2324)&gt;0</f>
        <v>0</v>
      </c>
    </row>
    <row r="2325" spans="1:9" hidden="1">
      <c r="A2325" s="1" t="s">
        <v>8986</v>
      </c>
      <c r="B2325" s="1" t="s">
        <v>10</v>
      </c>
      <c r="C2325" s="1" t="s">
        <v>8987</v>
      </c>
      <c r="D2325" s="1" t="s">
        <v>8988</v>
      </c>
      <c r="E2325" s="1" t="s">
        <v>882</v>
      </c>
      <c r="F2325" s="1" t="s">
        <v>30</v>
      </c>
      <c r="G2325" s="1" t="s">
        <v>8989</v>
      </c>
      <c r="H2325" s="1" t="s">
        <v>1762</v>
      </c>
      <c r="I2325" t="b">
        <f>COUNTIF(Estadísticas!I:I,'centraldecomunicacion.es'!H2325)&gt;0</f>
        <v>0</v>
      </c>
    </row>
    <row r="2326" spans="1:9" hidden="1">
      <c r="A2326" s="1" t="s">
        <v>8990</v>
      </c>
      <c r="B2326" s="1" t="s">
        <v>10</v>
      </c>
      <c r="C2326" s="1" t="s">
        <v>8991</v>
      </c>
      <c r="D2326" s="1" t="s">
        <v>8801</v>
      </c>
      <c r="E2326" s="1" t="s">
        <v>882</v>
      </c>
      <c r="F2326" s="1" t="s">
        <v>30</v>
      </c>
      <c r="G2326" s="1" t="s">
        <v>8992</v>
      </c>
      <c r="H2326" s="1" t="s">
        <v>1762</v>
      </c>
      <c r="I2326" t="b">
        <f>COUNTIF(Estadísticas!I:I,'centraldecomunicacion.es'!H2326)&gt;0</f>
        <v>0</v>
      </c>
    </row>
    <row r="2327" spans="1:9" hidden="1">
      <c r="A2327" s="1" t="s">
        <v>8993</v>
      </c>
      <c r="B2327" s="1" t="s">
        <v>18</v>
      </c>
      <c r="C2327" s="1" t="s">
        <v>8994</v>
      </c>
      <c r="D2327" s="1" t="s">
        <v>8948</v>
      </c>
      <c r="E2327" s="1" t="s">
        <v>882</v>
      </c>
      <c r="F2327" s="1" t="s">
        <v>8995</v>
      </c>
      <c r="G2327" s="1" t="s">
        <v>8996</v>
      </c>
      <c r="H2327" s="1" t="s">
        <v>8997</v>
      </c>
      <c r="I2327" t="b">
        <f>COUNTIF(Estadísticas!I:I,'centraldecomunicacion.es'!H2327)&gt;0</f>
        <v>0</v>
      </c>
    </row>
    <row r="2328" spans="1:9" hidden="1">
      <c r="A2328" s="1" t="s">
        <v>8998</v>
      </c>
      <c r="B2328" s="1" t="s">
        <v>10</v>
      </c>
      <c r="C2328" s="1" t="s">
        <v>8999</v>
      </c>
      <c r="D2328" s="1" t="s">
        <v>8965</v>
      </c>
      <c r="E2328" s="1" t="s">
        <v>882</v>
      </c>
      <c r="F2328" s="1" t="s">
        <v>30</v>
      </c>
      <c r="G2328" s="1" t="s">
        <v>9000</v>
      </c>
      <c r="H2328" s="1" t="s">
        <v>1762</v>
      </c>
      <c r="I2328" t="b">
        <f>COUNTIF(Estadísticas!I:I,'centraldecomunicacion.es'!H2328)&gt;0</f>
        <v>0</v>
      </c>
    </row>
    <row r="2329" spans="1:9" hidden="1">
      <c r="A2329" s="1" t="s">
        <v>9001</v>
      </c>
      <c r="B2329" s="1" t="s">
        <v>10</v>
      </c>
      <c r="C2329" s="1" t="s">
        <v>9002</v>
      </c>
      <c r="D2329" s="1" t="s">
        <v>5649</v>
      </c>
      <c r="E2329" s="1" t="s">
        <v>882</v>
      </c>
      <c r="F2329" s="1" t="s">
        <v>30</v>
      </c>
      <c r="G2329" s="1" t="s">
        <v>30</v>
      </c>
      <c r="H2329" s="1" t="s">
        <v>1762</v>
      </c>
      <c r="I2329" t="b">
        <f>COUNTIF(Estadísticas!I:I,'centraldecomunicacion.es'!H2329)&gt;0</f>
        <v>0</v>
      </c>
    </row>
    <row r="2330" spans="1:9" hidden="1">
      <c r="A2330" s="1" t="s">
        <v>9003</v>
      </c>
      <c r="B2330" s="1" t="s">
        <v>10</v>
      </c>
      <c r="C2330" s="1" t="s">
        <v>9004</v>
      </c>
      <c r="D2330" s="1" t="s">
        <v>9005</v>
      </c>
      <c r="E2330" s="1" t="s">
        <v>882</v>
      </c>
      <c r="F2330" s="1" t="s">
        <v>30</v>
      </c>
      <c r="G2330" s="1" t="s">
        <v>9006</v>
      </c>
      <c r="H2330" s="1" t="s">
        <v>1762</v>
      </c>
      <c r="I2330" t="b">
        <f>COUNTIF(Estadísticas!I:I,'centraldecomunicacion.es'!H2330)&gt;0</f>
        <v>0</v>
      </c>
    </row>
    <row r="2331" spans="1:9" hidden="1">
      <c r="A2331" s="1" t="s">
        <v>9007</v>
      </c>
      <c r="B2331" s="1" t="s">
        <v>10</v>
      </c>
      <c r="C2331" s="1" t="s">
        <v>9008</v>
      </c>
      <c r="D2331" s="1" t="s">
        <v>9005</v>
      </c>
      <c r="E2331" s="1" t="s">
        <v>882</v>
      </c>
      <c r="F2331" s="1" t="s">
        <v>30</v>
      </c>
      <c r="G2331" s="1" t="s">
        <v>9009</v>
      </c>
      <c r="H2331" s="1" t="s">
        <v>1762</v>
      </c>
      <c r="I2331" t="b">
        <f>COUNTIF(Estadísticas!I:I,'centraldecomunicacion.es'!H2331)&gt;0</f>
        <v>0</v>
      </c>
    </row>
    <row r="2332" spans="1:9" hidden="1">
      <c r="A2332" s="1" t="s">
        <v>9010</v>
      </c>
      <c r="B2332" s="1" t="s">
        <v>10</v>
      </c>
      <c r="C2332" s="1" t="s">
        <v>9011</v>
      </c>
      <c r="D2332" s="1" t="s">
        <v>9005</v>
      </c>
      <c r="E2332" s="1" t="s">
        <v>882</v>
      </c>
      <c r="F2332" s="1" t="s">
        <v>30</v>
      </c>
      <c r="G2332" s="1" t="s">
        <v>30</v>
      </c>
      <c r="H2332" s="1" t="s">
        <v>1762</v>
      </c>
      <c r="I2332" t="b">
        <f>COUNTIF(Estadísticas!I:I,'centraldecomunicacion.es'!H2332)&gt;0</f>
        <v>0</v>
      </c>
    </row>
    <row r="2333" spans="1:9" hidden="1">
      <c r="A2333" s="1" t="s">
        <v>9012</v>
      </c>
      <c r="B2333" s="1" t="s">
        <v>10</v>
      </c>
      <c r="C2333" s="1" t="s">
        <v>9013</v>
      </c>
      <c r="D2333" s="1" t="s">
        <v>5638</v>
      </c>
      <c r="E2333" s="1" t="s">
        <v>882</v>
      </c>
      <c r="F2333" s="1" t="s">
        <v>30</v>
      </c>
      <c r="G2333" s="1" t="s">
        <v>30</v>
      </c>
      <c r="H2333" s="1" t="s">
        <v>1762</v>
      </c>
      <c r="I2333" t="b">
        <f>COUNTIF(Estadísticas!I:I,'centraldecomunicacion.es'!H2333)&gt;0</f>
        <v>0</v>
      </c>
    </row>
    <row r="2334" spans="1:9" hidden="1">
      <c r="A2334" s="1" t="s">
        <v>9014</v>
      </c>
      <c r="B2334" s="1" t="s">
        <v>10</v>
      </c>
      <c r="C2334" s="1" t="s">
        <v>9015</v>
      </c>
      <c r="D2334" s="1" t="s">
        <v>9016</v>
      </c>
      <c r="E2334" s="1" t="s">
        <v>882</v>
      </c>
      <c r="F2334" s="1" t="s">
        <v>30</v>
      </c>
      <c r="G2334" s="1" t="s">
        <v>9017</v>
      </c>
      <c r="H2334" s="1" t="s">
        <v>1762</v>
      </c>
      <c r="I2334" t="b">
        <f>COUNTIF(Estadísticas!I:I,'centraldecomunicacion.es'!H2334)&gt;0</f>
        <v>0</v>
      </c>
    </row>
    <row r="2335" spans="1:9" hidden="1">
      <c r="A2335" s="1" t="s">
        <v>9018</v>
      </c>
      <c r="B2335" s="1" t="s">
        <v>10</v>
      </c>
      <c r="C2335" s="1" t="s">
        <v>9019</v>
      </c>
      <c r="D2335" s="1" t="s">
        <v>8957</v>
      </c>
      <c r="E2335" s="1" t="s">
        <v>882</v>
      </c>
      <c r="F2335" s="1" t="s">
        <v>30</v>
      </c>
      <c r="G2335" s="1" t="s">
        <v>9020</v>
      </c>
      <c r="H2335" s="1" t="s">
        <v>1762</v>
      </c>
      <c r="I2335" t="b">
        <f>COUNTIF(Estadísticas!I:I,'centraldecomunicacion.es'!H2335)&gt;0</f>
        <v>0</v>
      </c>
    </row>
    <row r="2336" spans="1:9" hidden="1">
      <c r="A2336" s="1" t="s">
        <v>9021</v>
      </c>
      <c r="B2336" s="1" t="s">
        <v>10</v>
      </c>
      <c r="C2336" s="1" t="s">
        <v>9022</v>
      </c>
      <c r="D2336" s="1" t="s">
        <v>660</v>
      </c>
      <c r="E2336" s="1" t="s">
        <v>660</v>
      </c>
      <c r="F2336" s="1" t="s">
        <v>1830</v>
      </c>
      <c r="G2336" s="1" t="s">
        <v>9023</v>
      </c>
      <c r="H2336" s="1" t="s">
        <v>1762</v>
      </c>
      <c r="I2336" t="b">
        <f>COUNTIF(Estadísticas!I:I,'centraldecomunicacion.es'!H2336)&gt;0</f>
        <v>0</v>
      </c>
    </row>
    <row r="2337" spans="1:9" hidden="1">
      <c r="A2337" s="1" t="s">
        <v>9024</v>
      </c>
      <c r="B2337" s="1" t="s">
        <v>10</v>
      </c>
      <c r="C2337" s="1" t="s">
        <v>9025</v>
      </c>
      <c r="D2337" s="1" t="s">
        <v>660</v>
      </c>
      <c r="E2337" s="1" t="s">
        <v>660</v>
      </c>
      <c r="F2337" s="1" t="s">
        <v>30</v>
      </c>
      <c r="G2337" s="1" t="s">
        <v>9026</v>
      </c>
      <c r="H2337" s="1" t="s">
        <v>1762</v>
      </c>
      <c r="I2337" t="b">
        <f>COUNTIF(Estadísticas!I:I,'centraldecomunicacion.es'!H2337)&gt;0</f>
        <v>0</v>
      </c>
    </row>
    <row r="2338" spans="1:9" hidden="1">
      <c r="A2338" s="1" t="s">
        <v>9027</v>
      </c>
      <c r="B2338" s="1" t="s">
        <v>18</v>
      </c>
      <c r="C2338" s="1" t="s">
        <v>9028</v>
      </c>
      <c r="D2338" s="1" t="s">
        <v>660</v>
      </c>
      <c r="E2338" s="1" t="s">
        <v>660</v>
      </c>
      <c r="F2338" s="1" t="s">
        <v>9029</v>
      </c>
      <c r="G2338" s="1" t="s">
        <v>9030</v>
      </c>
      <c r="H2338" s="1" t="s">
        <v>1762</v>
      </c>
      <c r="I2338" t="b">
        <f>COUNTIF(Estadísticas!I:I,'centraldecomunicacion.es'!H2338)&gt;0</f>
        <v>0</v>
      </c>
    </row>
    <row r="2339" spans="1:9" hidden="1">
      <c r="A2339" s="1" t="s">
        <v>9031</v>
      </c>
      <c r="B2339" s="1" t="s">
        <v>10</v>
      </c>
      <c r="C2339" s="1" t="s">
        <v>9032</v>
      </c>
      <c r="D2339" s="1" t="s">
        <v>660</v>
      </c>
      <c r="E2339" s="1" t="s">
        <v>660</v>
      </c>
      <c r="F2339" s="1" t="s">
        <v>9033</v>
      </c>
      <c r="G2339" s="1" t="s">
        <v>9034</v>
      </c>
      <c r="H2339" s="1" t="s">
        <v>9035</v>
      </c>
      <c r="I2339" t="b">
        <f>COUNTIF(Estadísticas!I:I,'centraldecomunicacion.es'!H2339)&gt;0</f>
        <v>0</v>
      </c>
    </row>
    <row r="2340" spans="1:9" hidden="1">
      <c r="A2340" s="1" t="s">
        <v>9036</v>
      </c>
      <c r="B2340" s="1" t="s">
        <v>10</v>
      </c>
      <c r="C2340" s="1" t="s">
        <v>9037</v>
      </c>
      <c r="D2340" s="1" t="s">
        <v>660</v>
      </c>
      <c r="E2340" s="1" t="s">
        <v>660</v>
      </c>
      <c r="F2340" s="1" t="s">
        <v>9038</v>
      </c>
      <c r="G2340" s="1" t="s">
        <v>9039</v>
      </c>
      <c r="H2340" s="1" t="s">
        <v>1762</v>
      </c>
      <c r="I2340" t="b">
        <f>COUNTIF(Estadísticas!I:I,'centraldecomunicacion.es'!H2340)&gt;0</f>
        <v>0</v>
      </c>
    </row>
    <row r="2341" spans="1:9" hidden="1">
      <c r="A2341" s="1" t="s">
        <v>9040</v>
      </c>
      <c r="B2341" s="1" t="s">
        <v>10</v>
      </c>
      <c r="C2341" s="1" t="s">
        <v>9041</v>
      </c>
      <c r="D2341" s="1" t="s">
        <v>660</v>
      </c>
      <c r="E2341" s="1" t="s">
        <v>660</v>
      </c>
      <c r="F2341" s="1" t="s">
        <v>30</v>
      </c>
      <c r="G2341" s="1" t="s">
        <v>9042</v>
      </c>
      <c r="H2341" s="1" t="s">
        <v>1762</v>
      </c>
      <c r="I2341" t="b">
        <f>COUNTIF(Estadísticas!I:I,'centraldecomunicacion.es'!H2341)&gt;0</f>
        <v>0</v>
      </c>
    </row>
    <row r="2342" spans="1:9" hidden="1">
      <c r="A2342" s="1" t="s">
        <v>9043</v>
      </c>
      <c r="B2342" s="1" t="s">
        <v>10</v>
      </c>
      <c r="C2342" s="1" t="s">
        <v>9044</v>
      </c>
      <c r="D2342" s="1" t="s">
        <v>660</v>
      </c>
      <c r="E2342" s="1" t="s">
        <v>660</v>
      </c>
      <c r="F2342" s="1" t="s">
        <v>1984</v>
      </c>
      <c r="G2342" s="1" t="s">
        <v>9045</v>
      </c>
      <c r="H2342" s="1" t="s">
        <v>1762</v>
      </c>
      <c r="I2342" t="b">
        <f>COUNTIF(Estadísticas!I:I,'centraldecomunicacion.es'!H2342)&gt;0</f>
        <v>0</v>
      </c>
    </row>
    <row r="2343" spans="1:9" hidden="1">
      <c r="A2343" s="1" t="s">
        <v>9046</v>
      </c>
      <c r="B2343" s="1" t="s">
        <v>10</v>
      </c>
      <c r="C2343" s="1" t="s">
        <v>30</v>
      </c>
      <c r="D2343" s="1" t="s">
        <v>9047</v>
      </c>
      <c r="E2343" s="1" t="s">
        <v>30</v>
      </c>
      <c r="F2343" s="1" t="s">
        <v>6306</v>
      </c>
      <c r="G2343" s="1" t="s">
        <v>9048</v>
      </c>
      <c r="H2343" s="1" t="s">
        <v>1762</v>
      </c>
      <c r="I2343" t="b">
        <f>COUNTIF(Estadísticas!I:I,'centraldecomunicacion.es'!H2343)&gt;0</f>
        <v>0</v>
      </c>
    </row>
    <row r="2344" spans="1:9" hidden="1">
      <c r="A2344" s="1" t="s">
        <v>9049</v>
      </c>
      <c r="B2344" s="1" t="s">
        <v>10</v>
      </c>
      <c r="C2344" s="1" t="s">
        <v>9050</v>
      </c>
      <c r="D2344" s="1" t="s">
        <v>660</v>
      </c>
      <c r="E2344" s="1" t="s">
        <v>660</v>
      </c>
      <c r="F2344" s="1" t="s">
        <v>30</v>
      </c>
      <c r="G2344" s="1" t="s">
        <v>9051</v>
      </c>
      <c r="H2344" s="1" t="s">
        <v>1762</v>
      </c>
      <c r="I2344" t="b">
        <f>COUNTIF(Estadísticas!I:I,'centraldecomunicacion.es'!H2344)&gt;0</f>
        <v>0</v>
      </c>
    </row>
    <row r="2345" spans="1:9" hidden="1">
      <c r="A2345" s="1" t="s">
        <v>9052</v>
      </c>
      <c r="B2345" s="1" t="s">
        <v>10</v>
      </c>
      <c r="C2345" s="1" t="s">
        <v>9053</v>
      </c>
      <c r="D2345" s="1" t="s">
        <v>660</v>
      </c>
      <c r="E2345" s="1" t="s">
        <v>660</v>
      </c>
      <c r="F2345" s="1" t="s">
        <v>30</v>
      </c>
      <c r="G2345" s="1" t="s">
        <v>9054</v>
      </c>
      <c r="H2345" s="1" t="s">
        <v>1762</v>
      </c>
      <c r="I2345" t="b">
        <f>COUNTIF(Estadísticas!I:I,'centraldecomunicacion.es'!H2345)&gt;0</f>
        <v>0</v>
      </c>
    </row>
    <row r="2346" spans="1:9" hidden="1">
      <c r="A2346" s="1" t="s">
        <v>9055</v>
      </c>
      <c r="B2346" s="1" t="s">
        <v>10</v>
      </c>
      <c r="C2346" s="1" t="s">
        <v>9056</v>
      </c>
      <c r="D2346" s="1" t="s">
        <v>660</v>
      </c>
      <c r="E2346" s="1" t="s">
        <v>660</v>
      </c>
      <c r="F2346" s="1" t="s">
        <v>30</v>
      </c>
      <c r="G2346" s="1" t="s">
        <v>30</v>
      </c>
      <c r="H2346" s="1" t="s">
        <v>1762</v>
      </c>
      <c r="I2346" t="b">
        <f>COUNTIF(Estadísticas!I:I,'centraldecomunicacion.es'!H2346)&gt;0</f>
        <v>0</v>
      </c>
    </row>
    <row r="2347" spans="1:9" hidden="1">
      <c r="A2347" s="1" t="s">
        <v>9057</v>
      </c>
      <c r="B2347" s="1" t="s">
        <v>10</v>
      </c>
      <c r="C2347" s="1" t="s">
        <v>9058</v>
      </c>
      <c r="D2347" s="1" t="s">
        <v>660</v>
      </c>
      <c r="E2347" s="1" t="s">
        <v>660</v>
      </c>
      <c r="F2347" s="1" t="s">
        <v>30</v>
      </c>
      <c r="G2347" s="1" t="s">
        <v>9059</v>
      </c>
      <c r="H2347" s="1" t="s">
        <v>1762</v>
      </c>
      <c r="I2347" t="b">
        <f>COUNTIF(Estadísticas!I:I,'centraldecomunicacion.es'!H2347)&gt;0</f>
        <v>0</v>
      </c>
    </row>
    <row r="2348" spans="1:9" hidden="1">
      <c r="A2348" s="1" t="s">
        <v>9060</v>
      </c>
      <c r="B2348" s="1" t="s">
        <v>10</v>
      </c>
      <c r="C2348" s="1" t="s">
        <v>9061</v>
      </c>
      <c r="D2348" s="1" t="s">
        <v>660</v>
      </c>
      <c r="E2348" s="1" t="s">
        <v>660</v>
      </c>
      <c r="F2348" s="1" t="s">
        <v>30</v>
      </c>
      <c r="G2348" s="1" t="s">
        <v>30</v>
      </c>
      <c r="H2348" s="1" t="s">
        <v>1762</v>
      </c>
      <c r="I2348" t="b">
        <f>COUNTIF(Estadísticas!I:I,'centraldecomunicacion.es'!H2348)&gt;0</f>
        <v>0</v>
      </c>
    </row>
    <row r="2349" spans="1:9">
      <c r="A2349" s="1" t="s">
        <v>891</v>
      </c>
      <c r="B2349" s="1" t="s">
        <v>10</v>
      </c>
      <c r="C2349" s="1" t="s">
        <v>892</v>
      </c>
      <c r="D2349" s="1" t="s">
        <v>660</v>
      </c>
      <c r="E2349" s="1" t="s">
        <v>660</v>
      </c>
      <c r="F2349" s="1" t="s">
        <v>893</v>
      </c>
      <c r="G2349" s="1" t="s">
        <v>894</v>
      </c>
      <c r="H2349" s="1" t="s">
        <v>895</v>
      </c>
      <c r="I2349" t="b">
        <f>COUNTIF(Estadísticas!I:I,'centraldecomunicacion.es'!H2349)&gt;0</f>
        <v>1</v>
      </c>
    </row>
    <row r="2350" spans="1:9" hidden="1">
      <c r="A2350" s="1" t="s">
        <v>9062</v>
      </c>
      <c r="B2350" s="1" t="s">
        <v>10</v>
      </c>
      <c r="C2350" s="1" t="s">
        <v>9063</v>
      </c>
      <c r="D2350" s="1" t="s">
        <v>660</v>
      </c>
      <c r="E2350" s="1" t="s">
        <v>660</v>
      </c>
      <c r="F2350" s="1" t="s">
        <v>9064</v>
      </c>
      <c r="G2350" s="1" t="s">
        <v>9065</v>
      </c>
      <c r="H2350" s="1" t="s">
        <v>9066</v>
      </c>
      <c r="I2350" t="b">
        <f>COUNTIF(Estadísticas!I:I,'centraldecomunicacion.es'!H2350)&gt;0</f>
        <v>0</v>
      </c>
    </row>
    <row r="2351" spans="1:9" hidden="1">
      <c r="A2351" s="1" t="s">
        <v>9067</v>
      </c>
      <c r="B2351" s="1" t="s">
        <v>10</v>
      </c>
      <c r="C2351" s="1" t="s">
        <v>9058</v>
      </c>
      <c r="D2351" s="1" t="s">
        <v>660</v>
      </c>
      <c r="E2351" s="1" t="s">
        <v>660</v>
      </c>
      <c r="F2351" s="1" t="s">
        <v>30</v>
      </c>
      <c r="G2351" s="1" t="s">
        <v>9068</v>
      </c>
      <c r="H2351" s="1" t="s">
        <v>1762</v>
      </c>
      <c r="I2351" t="b">
        <f>COUNTIF(Estadísticas!I:I,'centraldecomunicacion.es'!H2351)&gt;0</f>
        <v>0</v>
      </c>
    </row>
    <row r="2352" spans="1:9" hidden="1">
      <c r="A2352" s="1" t="s">
        <v>9069</v>
      </c>
      <c r="B2352" s="1" t="s">
        <v>18</v>
      </c>
      <c r="C2352" s="1" t="s">
        <v>9070</v>
      </c>
      <c r="D2352" s="1" t="s">
        <v>660</v>
      </c>
      <c r="E2352" s="1" t="s">
        <v>660</v>
      </c>
      <c r="F2352" s="1" t="s">
        <v>30</v>
      </c>
      <c r="G2352" s="1" t="s">
        <v>30</v>
      </c>
      <c r="H2352" s="1" t="s">
        <v>1762</v>
      </c>
      <c r="I2352" t="b">
        <f>COUNTIF(Estadísticas!I:I,'centraldecomunicacion.es'!H2352)&gt;0</f>
        <v>0</v>
      </c>
    </row>
    <row r="2353" spans="1:9">
      <c r="A2353" s="1" t="s">
        <v>896</v>
      </c>
      <c r="B2353" s="1" t="s">
        <v>10</v>
      </c>
      <c r="C2353" s="1" t="s">
        <v>897</v>
      </c>
      <c r="D2353" s="1" t="s">
        <v>898</v>
      </c>
      <c r="E2353" s="1" t="s">
        <v>660</v>
      </c>
      <c r="F2353" s="1" t="s">
        <v>899</v>
      </c>
      <c r="G2353" s="1" t="s">
        <v>900</v>
      </c>
      <c r="H2353" s="1" t="s">
        <v>901</v>
      </c>
      <c r="I2353" t="b">
        <f>COUNTIF(Estadísticas!I:I,'centraldecomunicacion.es'!H2353)&gt;0</f>
        <v>1</v>
      </c>
    </row>
    <row r="2354" spans="1:9" hidden="1">
      <c r="A2354" s="1" t="s">
        <v>9071</v>
      </c>
      <c r="B2354" s="1" t="s">
        <v>10</v>
      </c>
      <c r="C2354" s="1" t="s">
        <v>9072</v>
      </c>
      <c r="D2354" s="1" t="s">
        <v>9073</v>
      </c>
      <c r="E2354" s="1" t="s">
        <v>660</v>
      </c>
      <c r="F2354" s="1" t="s">
        <v>9074</v>
      </c>
      <c r="G2354" s="1" t="s">
        <v>9075</v>
      </c>
      <c r="H2354" s="1" t="s">
        <v>9076</v>
      </c>
      <c r="I2354" t="b">
        <f>COUNTIF(Estadísticas!I:I,'centraldecomunicacion.es'!H2354)&gt;0</f>
        <v>0</v>
      </c>
    </row>
    <row r="2355" spans="1:9" hidden="1">
      <c r="A2355" s="1" t="s">
        <v>9077</v>
      </c>
      <c r="B2355" s="1" t="s">
        <v>10</v>
      </c>
      <c r="C2355" s="1" t="s">
        <v>9078</v>
      </c>
      <c r="D2355" s="1" t="s">
        <v>898</v>
      </c>
      <c r="E2355" s="1" t="s">
        <v>660</v>
      </c>
      <c r="F2355" s="1" t="s">
        <v>1984</v>
      </c>
      <c r="G2355" s="1" t="s">
        <v>9079</v>
      </c>
      <c r="H2355" s="1" t="s">
        <v>1762</v>
      </c>
      <c r="I2355" t="b">
        <f>COUNTIF(Estadísticas!I:I,'centraldecomunicacion.es'!H2355)&gt;0</f>
        <v>0</v>
      </c>
    </row>
    <row r="2356" spans="1:9" hidden="1">
      <c r="A2356" s="1" t="s">
        <v>9080</v>
      </c>
      <c r="B2356" s="1" t="s">
        <v>10</v>
      </c>
      <c r="C2356" s="1" t="s">
        <v>9081</v>
      </c>
      <c r="D2356" s="1" t="s">
        <v>9073</v>
      </c>
      <c r="E2356" s="1" t="s">
        <v>660</v>
      </c>
      <c r="F2356" s="1" t="s">
        <v>30</v>
      </c>
      <c r="G2356" s="1" t="s">
        <v>30</v>
      </c>
      <c r="H2356" s="1" t="s">
        <v>1762</v>
      </c>
      <c r="I2356" t="b">
        <f>COUNTIF(Estadísticas!I:I,'centraldecomunicacion.es'!H2356)&gt;0</f>
        <v>0</v>
      </c>
    </row>
    <row r="2357" spans="1:9" hidden="1">
      <c r="A2357" s="1" t="s">
        <v>9082</v>
      </c>
      <c r="B2357" s="1" t="s">
        <v>10</v>
      </c>
      <c r="C2357" s="1" t="s">
        <v>9083</v>
      </c>
      <c r="D2357" s="1" t="s">
        <v>457</v>
      </c>
      <c r="E2357" s="1" t="s">
        <v>457</v>
      </c>
      <c r="F2357" s="1" t="s">
        <v>9084</v>
      </c>
      <c r="G2357" s="1" t="s">
        <v>9085</v>
      </c>
      <c r="H2357" s="1" t="s">
        <v>9086</v>
      </c>
      <c r="I2357" t="b">
        <f>COUNTIF(Estadísticas!I:I,'centraldecomunicacion.es'!H2357)&gt;0</f>
        <v>0</v>
      </c>
    </row>
    <row r="2358" spans="1:9" hidden="1">
      <c r="A2358" s="1" t="s">
        <v>9087</v>
      </c>
      <c r="B2358" s="1" t="s">
        <v>10</v>
      </c>
      <c r="C2358" s="1" t="s">
        <v>9088</v>
      </c>
      <c r="D2358" s="1" t="s">
        <v>9089</v>
      </c>
      <c r="E2358" s="1" t="s">
        <v>660</v>
      </c>
      <c r="F2358" s="1" t="s">
        <v>9090</v>
      </c>
      <c r="G2358" s="1" t="s">
        <v>9091</v>
      </c>
      <c r="H2358" s="1" t="s">
        <v>9092</v>
      </c>
      <c r="I2358" t="b">
        <f>COUNTIF(Estadísticas!I:I,'centraldecomunicacion.es'!H2358)&gt;0</f>
        <v>0</v>
      </c>
    </row>
    <row r="2359" spans="1:9" hidden="1">
      <c r="A2359" s="1" t="s">
        <v>9093</v>
      </c>
      <c r="B2359" s="1" t="s">
        <v>10</v>
      </c>
      <c r="C2359" s="1" t="s">
        <v>9094</v>
      </c>
      <c r="D2359" s="1" t="s">
        <v>9073</v>
      </c>
      <c r="E2359" s="1" t="s">
        <v>660</v>
      </c>
      <c r="F2359" s="1" t="s">
        <v>9095</v>
      </c>
      <c r="G2359" s="1" t="s">
        <v>9096</v>
      </c>
      <c r="H2359" s="1" t="s">
        <v>9097</v>
      </c>
      <c r="I2359" t="b">
        <f>COUNTIF(Estadísticas!I:I,'centraldecomunicacion.es'!H2359)&gt;0</f>
        <v>0</v>
      </c>
    </row>
    <row r="2360" spans="1:9" hidden="1">
      <c r="A2360" s="1" t="s">
        <v>9098</v>
      </c>
      <c r="B2360" s="1" t="s">
        <v>10</v>
      </c>
      <c r="C2360" s="1" t="s">
        <v>9099</v>
      </c>
      <c r="D2360" s="1" t="s">
        <v>9100</v>
      </c>
      <c r="E2360" s="1" t="s">
        <v>660</v>
      </c>
      <c r="F2360" s="1" t="s">
        <v>30</v>
      </c>
      <c r="G2360" s="1" t="s">
        <v>30</v>
      </c>
      <c r="H2360" s="1" t="s">
        <v>1762</v>
      </c>
      <c r="I2360" t="b">
        <f>COUNTIF(Estadísticas!I:I,'centraldecomunicacion.es'!H2360)&gt;0</f>
        <v>0</v>
      </c>
    </row>
    <row r="2361" spans="1:9" hidden="1">
      <c r="A2361" s="1" t="s">
        <v>9101</v>
      </c>
      <c r="B2361" s="1" t="s">
        <v>10</v>
      </c>
      <c r="C2361" s="1" t="s">
        <v>30</v>
      </c>
      <c r="D2361" s="1" t="s">
        <v>9047</v>
      </c>
      <c r="E2361" s="1" t="s">
        <v>30</v>
      </c>
      <c r="F2361" s="1" t="s">
        <v>1984</v>
      </c>
      <c r="G2361" s="1" t="s">
        <v>9102</v>
      </c>
      <c r="H2361" s="1" t="s">
        <v>1762</v>
      </c>
      <c r="I2361" t="b">
        <f>COUNTIF(Estadísticas!I:I,'centraldecomunicacion.es'!H2361)&gt;0</f>
        <v>0</v>
      </c>
    </row>
    <row r="2362" spans="1:9" hidden="1">
      <c r="A2362" s="1" t="s">
        <v>9103</v>
      </c>
      <c r="B2362" s="1" t="s">
        <v>10</v>
      </c>
      <c r="C2362" s="1" t="s">
        <v>9104</v>
      </c>
      <c r="D2362" s="1" t="s">
        <v>457</v>
      </c>
      <c r="E2362" s="1" t="s">
        <v>457</v>
      </c>
      <c r="F2362" s="1" t="s">
        <v>9105</v>
      </c>
      <c r="G2362" s="1" t="s">
        <v>9106</v>
      </c>
      <c r="H2362" s="1" t="s">
        <v>9107</v>
      </c>
      <c r="I2362" t="b">
        <f>COUNTIF(Estadísticas!I:I,'centraldecomunicacion.es'!H2362)&gt;0</f>
        <v>0</v>
      </c>
    </row>
    <row r="2363" spans="1:9" hidden="1">
      <c r="A2363" s="1" t="s">
        <v>9108</v>
      </c>
      <c r="B2363" s="1" t="s">
        <v>10</v>
      </c>
      <c r="C2363" s="1" t="s">
        <v>9109</v>
      </c>
      <c r="D2363" s="1" t="s">
        <v>457</v>
      </c>
      <c r="E2363" s="1" t="s">
        <v>457</v>
      </c>
      <c r="F2363" s="1" t="s">
        <v>9110</v>
      </c>
      <c r="G2363" s="1" t="s">
        <v>9111</v>
      </c>
      <c r="H2363" s="1" t="s">
        <v>9112</v>
      </c>
      <c r="I2363" t="b">
        <f>COUNTIF(Estadísticas!I:I,'centraldecomunicacion.es'!H2363)&gt;0</f>
        <v>0</v>
      </c>
    </row>
    <row r="2364" spans="1:9" hidden="1">
      <c r="A2364" s="1" t="s">
        <v>9113</v>
      </c>
      <c r="B2364" s="1" t="s">
        <v>10</v>
      </c>
      <c r="C2364" s="1" t="s">
        <v>9114</v>
      </c>
      <c r="D2364" s="1" t="s">
        <v>9115</v>
      </c>
      <c r="E2364" s="1" t="s">
        <v>660</v>
      </c>
      <c r="F2364" s="1" t="s">
        <v>30</v>
      </c>
      <c r="G2364" s="1" t="s">
        <v>9116</v>
      </c>
      <c r="H2364" s="1" t="s">
        <v>1762</v>
      </c>
      <c r="I2364" t="b">
        <f>COUNTIF(Estadísticas!I:I,'centraldecomunicacion.es'!H2364)&gt;0</f>
        <v>0</v>
      </c>
    </row>
    <row r="2365" spans="1:9" hidden="1">
      <c r="A2365" s="1" t="s">
        <v>9117</v>
      </c>
      <c r="B2365" s="1" t="s">
        <v>10</v>
      </c>
      <c r="C2365" s="1" t="s">
        <v>9118</v>
      </c>
      <c r="D2365" s="1" t="s">
        <v>5630</v>
      </c>
      <c r="E2365" s="1" t="s">
        <v>660</v>
      </c>
      <c r="F2365" s="1" t="s">
        <v>30</v>
      </c>
      <c r="G2365" s="1" t="s">
        <v>9119</v>
      </c>
      <c r="H2365" s="1" t="s">
        <v>1762</v>
      </c>
      <c r="I2365" t="b">
        <f>COUNTIF(Estadísticas!I:I,'centraldecomunicacion.es'!H2365)&gt;0</f>
        <v>0</v>
      </c>
    </row>
    <row r="2366" spans="1:9" hidden="1">
      <c r="A2366" s="1" t="s">
        <v>9120</v>
      </c>
      <c r="B2366" s="1" t="s">
        <v>10</v>
      </c>
      <c r="C2366" s="1" t="s">
        <v>9121</v>
      </c>
      <c r="D2366" s="1" t="s">
        <v>5630</v>
      </c>
      <c r="E2366" s="1" t="s">
        <v>660</v>
      </c>
      <c r="F2366" s="1" t="s">
        <v>30</v>
      </c>
      <c r="G2366" s="1" t="s">
        <v>9122</v>
      </c>
      <c r="H2366" s="1" t="s">
        <v>1762</v>
      </c>
      <c r="I2366" t="b">
        <f>COUNTIF(Estadísticas!I:I,'centraldecomunicacion.es'!H2366)&gt;0</f>
        <v>0</v>
      </c>
    </row>
    <row r="2367" spans="1:9" hidden="1">
      <c r="A2367" s="1" t="s">
        <v>9123</v>
      </c>
      <c r="B2367" s="1" t="s">
        <v>10</v>
      </c>
      <c r="C2367" s="1" t="s">
        <v>9124</v>
      </c>
      <c r="D2367" s="1" t="s">
        <v>9125</v>
      </c>
      <c r="E2367" s="1" t="s">
        <v>660</v>
      </c>
      <c r="F2367" s="1" t="s">
        <v>30</v>
      </c>
      <c r="G2367" s="1" t="s">
        <v>30</v>
      </c>
      <c r="H2367" s="1" t="s">
        <v>1762</v>
      </c>
      <c r="I2367" t="b">
        <f>COUNTIF(Estadísticas!I:I,'centraldecomunicacion.es'!H2367)&gt;0</f>
        <v>0</v>
      </c>
    </row>
    <row r="2368" spans="1:9" hidden="1">
      <c r="A2368" s="1" t="s">
        <v>9126</v>
      </c>
      <c r="B2368" s="1" t="s">
        <v>10</v>
      </c>
      <c r="C2368" s="1" t="s">
        <v>9127</v>
      </c>
      <c r="D2368" s="1" t="s">
        <v>9128</v>
      </c>
      <c r="E2368" s="1" t="s">
        <v>660</v>
      </c>
      <c r="F2368" s="1" t="s">
        <v>30</v>
      </c>
      <c r="G2368" s="1" t="s">
        <v>9129</v>
      </c>
      <c r="H2368" s="1" t="s">
        <v>1762</v>
      </c>
      <c r="I2368" t="b">
        <f>COUNTIF(Estadísticas!I:I,'centraldecomunicacion.es'!H2368)&gt;0</f>
        <v>0</v>
      </c>
    </row>
    <row r="2369" spans="1:9" hidden="1">
      <c r="A2369" s="1" t="s">
        <v>9130</v>
      </c>
      <c r="B2369" s="1" t="s">
        <v>10</v>
      </c>
      <c r="C2369" s="1" t="s">
        <v>9131</v>
      </c>
      <c r="D2369" s="1" t="s">
        <v>9132</v>
      </c>
      <c r="E2369" s="1" t="s">
        <v>660</v>
      </c>
      <c r="F2369" s="1" t="s">
        <v>30</v>
      </c>
      <c r="G2369" s="1" t="s">
        <v>9133</v>
      </c>
      <c r="H2369" s="1" t="s">
        <v>1762</v>
      </c>
      <c r="I2369" t="b">
        <f>COUNTIF(Estadísticas!I:I,'centraldecomunicacion.es'!H2369)&gt;0</f>
        <v>0</v>
      </c>
    </row>
    <row r="2370" spans="1:9" hidden="1">
      <c r="A2370" s="1" t="s">
        <v>9134</v>
      </c>
      <c r="B2370" s="1" t="s">
        <v>10</v>
      </c>
      <c r="C2370" s="1" t="s">
        <v>9135</v>
      </c>
      <c r="D2370" s="1" t="s">
        <v>9132</v>
      </c>
      <c r="E2370" s="1" t="s">
        <v>660</v>
      </c>
      <c r="F2370" s="1" t="s">
        <v>30</v>
      </c>
      <c r="G2370" s="1" t="s">
        <v>9136</v>
      </c>
      <c r="H2370" s="1" t="s">
        <v>1762</v>
      </c>
      <c r="I2370" t="b">
        <f>COUNTIF(Estadísticas!I:I,'centraldecomunicacion.es'!H2370)&gt;0</f>
        <v>0</v>
      </c>
    </row>
    <row r="2371" spans="1:9" hidden="1">
      <c r="A2371" s="1" t="s">
        <v>9137</v>
      </c>
      <c r="B2371" s="1" t="s">
        <v>10</v>
      </c>
      <c r="C2371" s="1" t="s">
        <v>9138</v>
      </c>
      <c r="D2371" s="1" t="s">
        <v>926</v>
      </c>
      <c r="E2371" s="1" t="s">
        <v>926</v>
      </c>
      <c r="F2371" s="1" t="s">
        <v>9139</v>
      </c>
      <c r="G2371" s="1" t="s">
        <v>9140</v>
      </c>
      <c r="H2371" s="1" t="s">
        <v>9141</v>
      </c>
      <c r="I2371" t="b">
        <f>COUNTIF(Estadísticas!I:I,'centraldecomunicacion.es'!H2371)&gt;0</f>
        <v>0</v>
      </c>
    </row>
    <row r="2372" spans="1:9" hidden="1">
      <c r="A2372" s="1" t="s">
        <v>9142</v>
      </c>
      <c r="B2372" s="1" t="s">
        <v>10</v>
      </c>
      <c r="C2372" s="1" t="s">
        <v>9143</v>
      </c>
      <c r="D2372" s="1" t="s">
        <v>9144</v>
      </c>
      <c r="E2372" s="1" t="s">
        <v>660</v>
      </c>
      <c r="F2372" s="1" t="s">
        <v>30</v>
      </c>
      <c r="G2372" s="1" t="s">
        <v>9145</v>
      </c>
      <c r="H2372" s="1" t="s">
        <v>1762</v>
      </c>
      <c r="I2372" t="b">
        <f>COUNTIF(Estadísticas!I:I,'centraldecomunicacion.es'!H2372)&gt;0</f>
        <v>0</v>
      </c>
    </row>
    <row r="2373" spans="1:9" hidden="1">
      <c r="A2373" s="1" t="s">
        <v>9146</v>
      </c>
      <c r="B2373" s="1" t="s">
        <v>10</v>
      </c>
      <c r="C2373" s="1" t="s">
        <v>9147</v>
      </c>
      <c r="D2373" s="1" t="s">
        <v>5630</v>
      </c>
      <c r="E2373" s="1" t="s">
        <v>660</v>
      </c>
      <c r="F2373" s="1" t="s">
        <v>30</v>
      </c>
      <c r="G2373" s="1" t="s">
        <v>30</v>
      </c>
      <c r="H2373" s="1" t="s">
        <v>1762</v>
      </c>
      <c r="I2373" t="b">
        <f>COUNTIF(Estadísticas!I:I,'centraldecomunicacion.es'!H2373)&gt;0</f>
        <v>0</v>
      </c>
    </row>
    <row r="2374" spans="1:9" hidden="1">
      <c r="A2374" s="1" t="s">
        <v>9148</v>
      </c>
      <c r="B2374" s="1" t="s">
        <v>10</v>
      </c>
      <c r="C2374" s="1" t="s">
        <v>9149</v>
      </c>
      <c r="D2374" s="1" t="s">
        <v>926</v>
      </c>
      <c r="E2374" s="1" t="s">
        <v>926</v>
      </c>
      <c r="F2374" s="1" t="s">
        <v>2692</v>
      </c>
      <c r="G2374" s="1" t="s">
        <v>9150</v>
      </c>
      <c r="H2374" s="1" t="s">
        <v>1762</v>
      </c>
      <c r="I2374" t="b">
        <f>COUNTIF(Estadísticas!I:I,'centraldecomunicacion.es'!H2374)&gt;0</f>
        <v>0</v>
      </c>
    </row>
    <row r="2375" spans="1:9" hidden="1">
      <c r="A2375" s="1" t="s">
        <v>9151</v>
      </c>
      <c r="B2375" s="1" t="s">
        <v>10</v>
      </c>
      <c r="C2375" s="1" t="s">
        <v>9152</v>
      </c>
      <c r="D2375" s="1" t="s">
        <v>9132</v>
      </c>
      <c r="E2375" s="1" t="s">
        <v>660</v>
      </c>
      <c r="F2375" s="1" t="s">
        <v>30</v>
      </c>
      <c r="G2375" s="1" t="s">
        <v>9153</v>
      </c>
      <c r="H2375" s="1" t="s">
        <v>1762</v>
      </c>
      <c r="I2375" t="b">
        <f>COUNTIF(Estadísticas!I:I,'centraldecomunicacion.es'!H2375)&gt;0</f>
        <v>0</v>
      </c>
    </row>
    <row r="2376" spans="1:9" hidden="1">
      <c r="A2376" s="1" t="s">
        <v>9154</v>
      </c>
      <c r="B2376" s="1" t="s">
        <v>10</v>
      </c>
      <c r="C2376" s="1" t="s">
        <v>9155</v>
      </c>
      <c r="D2376" s="1" t="s">
        <v>9128</v>
      </c>
      <c r="E2376" s="1" t="s">
        <v>660</v>
      </c>
      <c r="F2376" s="1" t="s">
        <v>30</v>
      </c>
      <c r="G2376" s="1" t="s">
        <v>9156</v>
      </c>
      <c r="H2376" s="1" t="s">
        <v>1762</v>
      </c>
      <c r="I2376" t="b">
        <f>COUNTIF(Estadísticas!I:I,'centraldecomunicacion.es'!H2376)&gt;0</f>
        <v>0</v>
      </c>
    </row>
    <row r="2377" spans="1:9" hidden="1">
      <c r="A2377" s="1" t="s">
        <v>9157</v>
      </c>
      <c r="B2377" s="1" t="s">
        <v>10</v>
      </c>
      <c r="C2377" s="1" t="s">
        <v>9158</v>
      </c>
      <c r="D2377" s="1" t="s">
        <v>457</v>
      </c>
      <c r="E2377" s="1" t="s">
        <v>457</v>
      </c>
      <c r="F2377" s="1" t="s">
        <v>9110</v>
      </c>
      <c r="G2377" s="1" t="s">
        <v>9111</v>
      </c>
      <c r="H2377" s="1" t="s">
        <v>9112</v>
      </c>
      <c r="I2377" t="b">
        <f>COUNTIF(Estadísticas!I:I,'centraldecomunicacion.es'!H2377)&gt;0</f>
        <v>0</v>
      </c>
    </row>
    <row r="2378" spans="1:9" hidden="1">
      <c r="A2378" s="1" t="s">
        <v>9159</v>
      </c>
      <c r="B2378" s="1" t="s">
        <v>18</v>
      </c>
      <c r="C2378" s="1" t="s">
        <v>9160</v>
      </c>
      <c r="D2378" s="1" t="s">
        <v>8536</v>
      </c>
      <c r="E2378" s="1" t="s">
        <v>926</v>
      </c>
      <c r="F2378" s="1" t="s">
        <v>30</v>
      </c>
      <c r="G2378" s="1" t="s">
        <v>9161</v>
      </c>
      <c r="H2378" s="1" t="s">
        <v>1762</v>
      </c>
      <c r="I2378" t="b">
        <f>COUNTIF(Estadísticas!I:I,'centraldecomunicacion.es'!H2378)&gt;0</f>
        <v>0</v>
      </c>
    </row>
    <row r="2379" spans="1:9">
      <c r="A2379" s="1" t="s">
        <v>902</v>
      </c>
      <c r="B2379" s="1" t="s">
        <v>10</v>
      </c>
      <c r="C2379" s="1" t="s">
        <v>903</v>
      </c>
      <c r="D2379" s="1" t="s">
        <v>294</v>
      </c>
      <c r="E2379" s="1" t="s">
        <v>294</v>
      </c>
      <c r="F2379" s="1" t="s">
        <v>904</v>
      </c>
      <c r="G2379" s="1" t="s">
        <v>905</v>
      </c>
      <c r="H2379" s="1" t="s">
        <v>906</v>
      </c>
      <c r="I2379" t="b">
        <f>COUNTIF(Estadísticas!I:I,'centraldecomunicacion.es'!H2379)&gt;0</f>
        <v>1</v>
      </c>
    </row>
    <row r="2380" spans="1:9" hidden="1">
      <c r="A2380" s="1" t="s">
        <v>9162</v>
      </c>
      <c r="B2380" s="1" t="s">
        <v>10</v>
      </c>
      <c r="C2380" s="1" t="s">
        <v>9163</v>
      </c>
      <c r="D2380" s="1" t="s">
        <v>842</v>
      </c>
      <c r="E2380" s="1" t="s">
        <v>842</v>
      </c>
      <c r="F2380" s="1" t="s">
        <v>30</v>
      </c>
      <c r="G2380" s="1" t="s">
        <v>9164</v>
      </c>
      <c r="H2380" s="1" t="s">
        <v>1762</v>
      </c>
      <c r="I2380" t="b">
        <f>COUNTIF(Estadísticas!I:I,'centraldecomunicacion.es'!H2380)&gt;0</f>
        <v>0</v>
      </c>
    </row>
    <row r="2381" spans="1:9" hidden="1">
      <c r="A2381" s="1" t="s">
        <v>9165</v>
      </c>
      <c r="B2381" s="1" t="s">
        <v>10</v>
      </c>
      <c r="C2381" s="1" t="s">
        <v>9166</v>
      </c>
      <c r="D2381" s="1" t="s">
        <v>842</v>
      </c>
      <c r="E2381" s="1" t="s">
        <v>842</v>
      </c>
      <c r="F2381" s="1" t="s">
        <v>9167</v>
      </c>
      <c r="G2381" s="1" t="s">
        <v>9168</v>
      </c>
      <c r="H2381" s="1" t="s">
        <v>1762</v>
      </c>
      <c r="I2381" t="b">
        <f>COUNTIF(Estadísticas!I:I,'centraldecomunicacion.es'!H2381)&gt;0</f>
        <v>0</v>
      </c>
    </row>
    <row r="2382" spans="1:9" hidden="1">
      <c r="A2382" s="1" t="s">
        <v>9169</v>
      </c>
      <c r="B2382" s="1" t="s">
        <v>10</v>
      </c>
      <c r="C2382" s="1" t="s">
        <v>9170</v>
      </c>
      <c r="D2382" s="1" t="s">
        <v>842</v>
      </c>
      <c r="E2382" s="1" t="s">
        <v>842</v>
      </c>
      <c r="F2382" s="1" t="s">
        <v>9171</v>
      </c>
      <c r="G2382" s="1" t="s">
        <v>9172</v>
      </c>
      <c r="H2382" s="1" t="s">
        <v>9173</v>
      </c>
      <c r="I2382" t="b">
        <f>COUNTIF(Estadísticas!I:I,'centraldecomunicacion.es'!H2382)&gt;0</f>
        <v>0</v>
      </c>
    </row>
    <row r="2383" spans="1:9" hidden="1">
      <c r="A2383" s="1" t="s">
        <v>9174</v>
      </c>
      <c r="B2383" s="1" t="s">
        <v>10</v>
      </c>
      <c r="C2383" s="1" t="s">
        <v>9175</v>
      </c>
      <c r="D2383" s="1" t="s">
        <v>842</v>
      </c>
      <c r="E2383" s="1" t="s">
        <v>842</v>
      </c>
      <c r="F2383" s="1" t="s">
        <v>9176</v>
      </c>
      <c r="G2383" s="1" t="s">
        <v>9177</v>
      </c>
      <c r="H2383" s="1" t="s">
        <v>9178</v>
      </c>
      <c r="I2383" t="b">
        <f>COUNTIF(Estadísticas!I:I,'centraldecomunicacion.es'!H2383)&gt;0</f>
        <v>0</v>
      </c>
    </row>
    <row r="2384" spans="1:9">
      <c r="A2384" s="1" t="s">
        <v>907</v>
      </c>
      <c r="B2384" s="1" t="s">
        <v>10</v>
      </c>
      <c r="C2384" s="1" t="s">
        <v>908</v>
      </c>
      <c r="D2384" s="1" t="s">
        <v>842</v>
      </c>
      <c r="E2384" s="1" t="s">
        <v>842</v>
      </c>
      <c r="F2384" s="1" t="s">
        <v>909</v>
      </c>
      <c r="G2384" s="1" t="s">
        <v>910</v>
      </c>
      <c r="H2384" s="1" t="s">
        <v>911</v>
      </c>
      <c r="I2384" t="b">
        <f>COUNTIF(Estadísticas!I:I,'centraldecomunicacion.es'!H2384)&gt;0</f>
        <v>1</v>
      </c>
    </row>
    <row r="2385" spans="1:9" hidden="1">
      <c r="A2385" s="1" t="s">
        <v>9179</v>
      </c>
      <c r="B2385" s="1" t="s">
        <v>18</v>
      </c>
      <c r="C2385" s="1" t="s">
        <v>9180</v>
      </c>
      <c r="D2385" s="1" t="s">
        <v>842</v>
      </c>
      <c r="E2385" s="1" t="s">
        <v>842</v>
      </c>
      <c r="F2385" s="1" t="s">
        <v>30</v>
      </c>
      <c r="G2385" s="1" t="s">
        <v>9181</v>
      </c>
      <c r="H2385" s="1" t="s">
        <v>1762</v>
      </c>
      <c r="I2385" t="b">
        <f>COUNTIF(Estadísticas!I:I,'centraldecomunicacion.es'!H2385)&gt;0</f>
        <v>0</v>
      </c>
    </row>
    <row r="2386" spans="1:9" hidden="1">
      <c r="A2386" s="1" t="s">
        <v>9182</v>
      </c>
      <c r="B2386" s="1" t="s">
        <v>10</v>
      </c>
      <c r="C2386" s="1" t="s">
        <v>9183</v>
      </c>
      <c r="D2386" s="1" t="s">
        <v>842</v>
      </c>
      <c r="E2386" s="1" t="s">
        <v>842</v>
      </c>
      <c r="F2386" s="1" t="s">
        <v>9184</v>
      </c>
      <c r="G2386" s="1" t="s">
        <v>9185</v>
      </c>
      <c r="H2386" s="1" t="s">
        <v>1762</v>
      </c>
      <c r="I2386" t="b">
        <f>COUNTIF(Estadísticas!I:I,'centraldecomunicacion.es'!H2386)&gt;0</f>
        <v>0</v>
      </c>
    </row>
    <row r="2387" spans="1:9" hidden="1">
      <c r="A2387" s="1" t="s">
        <v>9186</v>
      </c>
      <c r="B2387" s="1" t="s">
        <v>18</v>
      </c>
      <c r="C2387" s="1" t="s">
        <v>9187</v>
      </c>
      <c r="D2387" s="1" t="s">
        <v>842</v>
      </c>
      <c r="E2387" s="1" t="s">
        <v>842</v>
      </c>
      <c r="F2387" s="1" t="s">
        <v>9188</v>
      </c>
      <c r="G2387" s="1" t="s">
        <v>9189</v>
      </c>
      <c r="H2387" s="1" t="s">
        <v>1762</v>
      </c>
      <c r="I2387" t="b">
        <f>COUNTIF(Estadísticas!I:I,'centraldecomunicacion.es'!H2387)&gt;0</f>
        <v>0</v>
      </c>
    </row>
    <row r="2388" spans="1:9" hidden="1">
      <c r="A2388" s="1" t="s">
        <v>9190</v>
      </c>
      <c r="B2388" s="1" t="s">
        <v>10</v>
      </c>
      <c r="C2388" s="1" t="s">
        <v>9191</v>
      </c>
      <c r="D2388" s="1" t="s">
        <v>842</v>
      </c>
      <c r="E2388" s="1" t="s">
        <v>842</v>
      </c>
      <c r="F2388" s="1" t="s">
        <v>30</v>
      </c>
      <c r="G2388" s="1" t="s">
        <v>9192</v>
      </c>
      <c r="H2388" s="1" t="s">
        <v>1762</v>
      </c>
      <c r="I2388" t="b">
        <f>COUNTIF(Estadísticas!I:I,'centraldecomunicacion.es'!H2388)&gt;0</f>
        <v>0</v>
      </c>
    </row>
    <row r="2389" spans="1:9" hidden="1">
      <c r="A2389" s="1" t="s">
        <v>9193</v>
      </c>
      <c r="B2389" s="1" t="s">
        <v>10</v>
      </c>
      <c r="C2389" s="1" t="s">
        <v>9194</v>
      </c>
      <c r="D2389" s="1" t="s">
        <v>842</v>
      </c>
      <c r="E2389" s="1" t="s">
        <v>842</v>
      </c>
      <c r="F2389" s="1" t="s">
        <v>9195</v>
      </c>
      <c r="G2389" s="1" t="s">
        <v>9196</v>
      </c>
      <c r="H2389" s="1" t="s">
        <v>1762</v>
      </c>
      <c r="I2389" t="b">
        <f>COUNTIF(Estadísticas!I:I,'centraldecomunicacion.es'!H2389)&gt;0</f>
        <v>0</v>
      </c>
    </row>
    <row r="2390" spans="1:9" hidden="1">
      <c r="A2390" s="1" t="s">
        <v>9197</v>
      </c>
      <c r="B2390" s="1" t="s">
        <v>10</v>
      </c>
      <c r="C2390" s="1" t="s">
        <v>9198</v>
      </c>
      <c r="D2390" s="1" t="s">
        <v>842</v>
      </c>
      <c r="E2390" s="1" t="s">
        <v>842</v>
      </c>
      <c r="F2390" s="1" t="s">
        <v>30</v>
      </c>
      <c r="G2390" s="1" t="s">
        <v>9199</v>
      </c>
      <c r="H2390" s="1" t="s">
        <v>1762</v>
      </c>
      <c r="I2390" t="b">
        <f>COUNTIF(Estadísticas!I:I,'centraldecomunicacion.es'!H2390)&gt;0</f>
        <v>0</v>
      </c>
    </row>
    <row r="2391" spans="1:9" hidden="1">
      <c r="A2391" s="1" t="s">
        <v>9200</v>
      </c>
      <c r="B2391" s="1" t="s">
        <v>10</v>
      </c>
      <c r="C2391" s="1" t="s">
        <v>9201</v>
      </c>
      <c r="D2391" s="1" t="s">
        <v>842</v>
      </c>
      <c r="E2391" s="1" t="s">
        <v>842</v>
      </c>
      <c r="F2391" s="1" t="s">
        <v>9202</v>
      </c>
      <c r="G2391" s="1" t="s">
        <v>9203</v>
      </c>
      <c r="H2391" s="1" t="s">
        <v>1762</v>
      </c>
      <c r="I2391" t="b">
        <f>COUNTIF(Estadísticas!I:I,'centraldecomunicacion.es'!H2391)&gt;0</f>
        <v>0</v>
      </c>
    </row>
    <row r="2392" spans="1:9" hidden="1">
      <c r="A2392" s="1" t="s">
        <v>9204</v>
      </c>
      <c r="B2392" s="1" t="s">
        <v>10</v>
      </c>
      <c r="C2392" s="1" t="s">
        <v>9205</v>
      </c>
      <c r="D2392" s="1" t="s">
        <v>842</v>
      </c>
      <c r="E2392" s="1" t="s">
        <v>842</v>
      </c>
      <c r="F2392" s="1" t="s">
        <v>9206</v>
      </c>
      <c r="G2392" s="1" t="s">
        <v>9207</v>
      </c>
      <c r="H2392" s="1" t="s">
        <v>9208</v>
      </c>
      <c r="I2392" t="b">
        <f>COUNTIF(Estadísticas!I:I,'centraldecomunicacion.es'!H2392)&gt;0</f>
        <v>0</v>
      </c>
    </row>
    <row r="2393" spans="1:9" hidden="1">
      <c r="A2393" s="1" t="s">
        <v>9209</v>
      </c>
      <c r="B2393" s="1" t="s">
        <v>18</v>
      </c>
      <c r="C2393" s="1" t="s">
        <v>9210</v>
      </c>
      <c r="D2393" s="1" t="s">
        <v>842</v>
      </c>
      <c r="E2393" s="1" t="s">
        <v>842</v>
      </c>
      <c r="F2393" s="1" t="s">
        <v>30</v>
      </c>
      <c r="G2393" s="1" t="s">
        <v>9211</v>
      </c>
      <c r="H2393" s="1" t="s">
        <v>1762</v>
      </c>
      <c r="I2393" t="b">
        <f>COUNTIF(Estadísticas!I:I,'centraldecomunicacion.es'!H2393)&gt;0</f>
        <v>0</v>
      </c>
    </row>
    <row r="2394" spans="1:9" hidden="1">
      <c r="A2394" s="1" t="s">
        <v>9212</v>
      </c>
      <c r="B2394" s="1" t="s">
        <v>18</v>
      </c>
      <c r="C2394" s="1" t="s">
        <v>9213</v>
      </c>
      <c r="D2394" s="1" t="s">
        <v>842</v>
      </c>
      <c r="E2394" s="1" t="s">
        <v>842</v>
      </c>
      <c r="F2394" s="1" t="s">
        <v>9188</v>
      </c>
      <c r="G2394" s="1" t="s">
        <v>9214</v>
      </c>
      <c r="H2394" s="1" t="s">
        <v>1762</v>
      </c>
      <c r="I2394" t="b">
        <f>COUNTIF(Estadísticas!I:I,'centraldecomunicacion.es'!H2394)&gt;0</f>
        <v>0</v>
      </c>
    </row>
    <row r="2395" spans="1:9" hidden="1">
      <c r="A2395" s="1" t="s">
        <v>9215</v>
      </c>
      <c r="B2395" s="1" t="s">
        <v>18</v>
      </c>
      <c r="C2395" s="1" t="s">
        <v>9216</v>
      </c>
      <c r="D2395" s="1" t="s">
        <v>9217</v>
      </c>
      <c r="E2395" s="1" t="s">
        <v>842</v>
      </c>
      <c r="F2395" s="1" t="s">
        <v>9188</v>
      </c>
      <c r="G2395" s="1" t="s">
        <v>9218</v>
      </c>
      <c r="H2395" s="1" t="s">
        <v>1762</v>
      </c>
      <c r="I2395" t="b">
        <f>COUNTIF(Estadísticas!I:I,'centraldecomunicacion.es'!H2395)&gt;0</f>
        <v>0</v>
      </c>
    </row>
    <row r="2396" spans="1:9" hidden="1">
      <c r="A2396" s="1" t="s">
        <v>9219</v>
      </c>
      <c r="B2396" s="1" t="s">
        <v>10</v>
      </c>
      <c r="C2396" s="1" t="s">
        <v>30</v>
      </c>
      <c r="D2396" s="1" t="s">
        <v>9220</v>
      </c>
      <c r="E2396" s="1" t="s">
        <v>30</v>
      </c>
      <c r="F2396" s="1" t="s">
        <v>30</v>
      </c>
      <c r="G2396" s="1" t="s">
        <v>9221</v>
      </c>
      <c r="H2396" s="1" t="s">
        <v>1762</v>
      </c>
      <c r="I2396" t="b">
        <f>COUNTIF(Estadísticas!I:I,'centraldecomunicacion.es'!H2396)&gt;0</f>
        <v>0</v>
      </c>
    </row>
    <row r="2397" spans="1:9" hidden="1">
      <c r="A2397" s="1" t="s">
        <v>9222</v>
      </c>
      <c r="B2397" s="1" t="s">
        <v>10</v>
      </c>
      <c r="C2397" s="1" t="s">
        <v>9223</v>
      </c>
      <c r="D2397" s="1" t="s">
        <v>842</v>
      </c>
      <c r="E2397" s="1" t="s">
        <v>842</v>
      </c>
      <c r="F2397" s="1" t="s">
        <v>30</v>
      </c>
      <c r="G2397" s="1" t="s">
        <v>9224</v>
      </c>
      <c r="H2397" s="1" t="s">
        <v>1762</v>
      </c>
      <c r="I2397" t="b">
        <f>COUNTIF(Estadísticas!I:I,'centraldecomunicacion.es'!H2397)&gt;0</f>
        <v>0</v>
      </c>
    </row>
    <row r="2398" spans="1:9" hidden="1">
      <c r="A2398" s="1" t="s">
        <v>9225</v>
      </c>
      <c r="B2398" s="1" t="s">
        <v>10</v>
      </c>
      <c r="C2398" s="1" t="s">
        <v>9226</v>
      </c>
      <c r="D2398" s="1" t="s">
        <v>842</v>
      </c>
      <c r="E2398" s="1" t="s">
        <v>842</v>
      </c>
      <c r="F2398" s="1" t="s">
        <v>30</v>
      </c>
      <c r="G2398" s="1" t="s">
        <v>30</v>
      </c>
      <c r="H2398" s="1" t="s">
        <v>1762</v>
      </c>
      <c r="I2398" t="b">
        <f>COUNTIF(Estadísticas!I:I,'centraldecomunicacion.es'!H2398)&gt;0</f>
        <v>0</v>
      </c>
    </row>
    <row r="2399" spans="1:9" hidden="1">
      <c r="A2399" s="1" t="s">
        <v>9227</v>
      </c>
      <c r="B2399" s="1" t="s">
        <v>10</v>
      </c>
      <c r="C2399" s="1" t="s">
        <v>9228</v>
      </c>
      <c r="D2399" s="1" t="s">
        <v>842</v>
      </c>
      <c r="E2399" s="1" t="s">
        <v>842</v>
      </c>
      <c r="F2399" s="1" t="s">
        <v>30</v>
      </c>
      <c r="G2399" s="1" t="s">
        <v>30</v>
      </c>
      <c r="H2399" s="1" t="s">
        <v>1762</v>
      </c>
      <c r="I2399" t="b">
        <f>COUNTIF(Estadísticas!I:I,'centraldecomunicacion.es'!H2399)&gt;0</f>
        <v>0</v>
      </c>
    </row>
    <row r="2400" spans="1:9" hidden="1">
      <c r="A2400" s="1" t="s">
        <v>9229</v>
      </c>
      <c r="B2400" s="1" t="s">
        <v>18</v>
      </c>
      <c r="C2400" s="1" t="s">
        <v>9230</v>
      </c>
      <c r="D2400" s="1" t="s">
        <v>9217</v>
      </c>
      <c r="E2400" s="1" t="s">
        <v>842</v>
      </c>
      <c r="F2400" s="1" t="s">
        <v>9231</v>
      </c>
      <c r="G2400" s="1" t="s">
        <v>9232</v>
      </c>
      <c r="H2400" s="1" t="s">
        <v>9233</v>
      </c>
      <c r="I2400" t="b">
        <f>COUNTIF(Estadísticas!I:I,'centraldecomunicacion.es'!H2400)&gt;0</f>
        <v>0</v>
      </c>
    </row>
    <row r="2401" spans="1:9" hidden="1">
      <c r="A2401" s="1" t="s">
        <v>9234</v>
      </c>
      <c r="B2401" s="1" t="s">
        <v>18</v>
      </c>
      <c r="C2401" s="1" t="s">
        <v>9235</v>
      </c>
      <c r="D2401" s="1" t="s">
        <v>842</v>
      </c>
      <c r="E2401" s="1" t="s">
        <v>842</v>
      </c>
      <c r="F2401" s="1" t="s">
        <v>9236</v>
      </c>
      <c r="G2401" s="1" t="s">
        <v>9237</v>
      </c>
      <c r="H2401" s="1" t="s">
        <v>1762</v>
      </c>
      <c r="I2401" t="b">
        <f>COUNTIF(Estadísticas!I:I,'centraldecomunicacion.es'!H2401)&gt;0</f>
        <v>0</v>
      </c>
    </row>
    <row r="2402" spans="1:9" hidden="1">
      <c r="A2402" s="1" t="s">
        <v>9238</v>
      </c>
      <c r="B2402" s="1" t="s">
        <v>10</v>
      </c>
      <c r="C2402" s="1" t="s">
        <v>9239</v>
      </c>
      <c r="D2402" s="1" t="s">
        <v>842</v>
      </c>
      <c r="E2402" s="1" t="s">
        <v>842</v>
      </c>
      <c r="F2402" s="1" t="s">
        <v>30</v>
      </c>
      <c r="G2402" s="1" t="s">
        <v>30</v>
      </c>
      <c r="H2402" s="1" t="s">
        <v>1762</v>
      </c>
      <c r="I2402" t="b">
        <f>COUNTIF(Estadísticas!I:I,'centraldecomunicacion.es'!H2402)&gt;0</f>
        <v>0</v>
      </c>
    </row>
    <row r="2403" spans="1:9" hidden="1">
      <c r="A2403" s="1" t="s">
        <v>9240</v>
      </c>
      <c r="B2403" s="1" t="s">
        <v>10</v>
      </c>
      <c r="C2403" s="1" t="s">
        <v>9241</v>
      </c>
      <c r="D2403" s="1" t="s">
        <v>842</v>
      </c>
      <c r="E2403" s="1" t="s">
        <v>842</v>
      </c>
      <c r="F2403" s="1" t="s">
        <v>30</v>
      </c>
      <c r="G2403" s="1" t="s">
        <v>9242</v>
      </c>
      <c r="H2403" s="1" t="s">
        <v>1762</v>
      </c>
      <c r="I2403" t="b">
        <f>COUNTIF(Estadísticas!I:I,'centraldecomunicacion.es'!H2403)&gt;0</f>
        <v>0</v>
      </c>
    </row>
    <row r="2404" spans="1:9" hidden="1">
      <c r="A2404" s="1" t="s">
        <v>9243</v>
      </c>
      <c r="B2404" s="1" t="s">
        <v>10</v>
      </c>
      <c r="C2404" s="1" t="s">
        <v>9244</v>
      </c>
      <c r="D2404" s="1" t="s">
        <v>9245</v>
      </c>
      <c r="E2404" s="1" t="s">
        <v>842</v>
      </c>
      <c r="F2404" s="1" t="s">
        <v>9246</v>
      </c>
      <c r="G2404" s="1" t="s">
        <v>9247</v>
      </c>
      <c r="H2404" s="1" t="s">
        <v>1762</v>
      </c>
      <c r="I2404" t="b">
        <f>COUNTIF(Estadísticas!I:I,'centraldecomunicacion.es'!H2404)&gt;0</f>
        <v>0</v>
      </c>
    </row>
    <row r="2405" spans="1:9" hidden="1">
      <c r="A2405" s="1" t="s">
        <v>9248</v>
      </c>
      <c r="B2405" s="1" t="s">
        <v>10</v>
      </c>
      <c r="C2405" s="1" t="s">
        <v>9249</v>
      </c>
      <c r="D2405" s="1" t="s">
        <v>842</v>
      </c>
      <c r="E2405" s="1" t="s">
        <v>842</v>
      </c>
      <c r="F2405" s="1" t="s">
        <v>30</v>
      </c>
      <c r="G2405" s="1" t="s">
        <v>9250</v>
      </c>
      <c r="H2405" s="1" t="s">
        <v>1762</v>
      </c>
      <c r="I2405" t="b">
        <f>COUNTIF(Estadísticas!I:I,'centraldecomunicacion.es'!H2405)&gt;0</f>
        <v>0</v>
      </c>
    </row>
    <row r="2406" spans="1:9" hidden="1">
      <c r="A2406" s="1" t="s">
        <v>9251</v>
      </c>
      <c r="B2406" s="1" t="s">
        <v>10</v>
      </c>
      <c r="C2406" s="1" t="s">
        <v>9252</v>
      </c>
      <c r="D2406" s="1" t="s">
        <v>842</v>
      </c>
      <c r="E2406" s="1" t="s">
        <v>842</v>
      </c>
      <c r="F2406" s="1" t="s">
        <v>30</v>
      </c>
      <c r="G2406" s="1" t="s">
        <v>30</v>
      </c>
      <c r="H2406" s="1" t="s">
        <v>1762</v>
      </c>
      <c r="I2406" t="b">
        <f>COUNTIF(Estadísticas!I:I,'centraldecomunicacion.es'!H2406)&gt;0</f>
        <v>0</v>
      </c>
    </row>
    <row r="2407" spans="1:9" hidden="1">
      <c r="A2407" s="1" t="s">
        <v>9253</v>
      </c>
      <c r="B2407" s="1" t="s">
        <v>10</v>
      </c>
      <c r="C2407" s="1" t="s">
        <v>9254</v>
      </c>
      <c r="D2407" s="1" t="s">
        <v>842</v>
      </c>
      <c r="E2407" s="1" t="s">
        <v>842</v>
      </c>
      <c r="F2407" s="1" t="s">
        <v>30</v>
      </c>
      <c r="G2407" s="1" t="s">
        <v>30</v>
      </c>
      <c r="H2407" s="1" t="s">
        <v>1762</v>
      </c>
      <c r="I2407" t="b">
        <f>COUNTIF(Estadísticas!I:I,'centraldecomunicacion.es'!H2407)&gt;0</f>
        <v>0</v>
      </c>
    </row>
    <row r="2408" spans="1:9" hidden="1">
      <c r="A2408" s="1" t="s">
        <v>9255</v>
      </c>
      <c r="B2408" s="1" t="s">
        <v>18</v>
      </c>
      <c r="C2408" s="1" t="s">
        <v>9256</v>
      </c>
      <c r="D2408" s="1" t="s">
        <v>9257</v>
      </c>
      <c r="E2408" s="1" t="s">
        <v>842</v>
      </c>
      <c r="F2408" s="1" t="s">
        <v>9188</v>
      </c>
      <c r="G2408" s="1" t="s">
        <v>9258</v>
      </c>
      <c r="H2408" s="1" t="s">
        <v>1762</v>
      </c>
      <c r="I2408" t="b">
        <f>COUNTIF(Estadísticas!I:I,'centraldecomunicacion.es'!H2408)&gt;0</f>
        <v>0</v>
      </c>
    </row>
    <row r="2409" spans="1:9" hidden="1">
      <c r="A2409" s="1" t="s">
        <v>9259</v>
      </c>
      <c r="B2409" s="1" t="s">
        <v>10</v>
      </c>
      <c r="C2409" s="1" t="s">
        <v>9260</v>
      </c>
      <c r="D2409" s="1" t="s">
        <v>842</v>
      </c>
      <c r="E2409" s="1" t="s">
        <v>842</v>
      </c>
      <c r="F2409" s="1" t="s">
        <v>30</v>
      </c>
      <c r="G2409" s="1" t="s">
        <v>30</v>
      </c>
      <c r="H2409" s="1" t="s">
        <v>1762</v>
      </c>
      <c r="I2409" t="b">
        <f>COUNTIF(Estadísticas!I:I,'centraldecomunicacion.es'!H2409)&gt;0</f>
        <v>0</v>
      </c>
    </row>
    <row r="2410" spans="1:9" hidden="1">
      <c r="A2410" s="1" t="s">
        <v>9261</v>
      </c>
      <c r="B2410" s="1" t="s">
        <v>10</v>
      </c>
      <c r="C2410" s="1" t="s">
        <v>9262</v>
      </c>
      <c r="D2410" s="1" t="s">
        <v>842</v>
      </c>
      <c r="E2410" s="1" t="s">
        <v>842</v>
      </c>
      <c r="F2410" s="1" t="s">
        <v>30</v>
      </c>
      <c r="G2410" s="1" t="s">
        <v>9263</v>
      </c>
      <c r="H2410" s="1" t="s">
        <v>1762</v>
      </c>
      <c r="I2410" t="b">
        <f>COUNTIF(Estadísticas!I:I,'centraldecomunicacion.es'!H2410)&gt;0</f>
        <v>0</v>
      </c>
    </row>
    <row r="2411" spans="1:9" hidden="1">
      <c r="A2411" s="1" t="s">
        <v>9264</v>
      </c>
      <c r="B2411" s="1" t="s">
        <v>10</v>
      </c>
      <c r="C2411" s="1" t="s">
        <v>30</v>
      </c>
      <c r="D2411" s="1" t="s">
        <v>9220</v>
      </c>
      <c r="E2411" s="1" t="s">
        <v>30</v>
      </c>
      <c r="F2411" s="1" t="s">
        <v>9265</v>
      </c>
      <c r="G2411" s="1" t="s">
        <v>9266</v>
      </c>
      <c r="H2411" s="1" t="s">
        <v>1762</v>
      </c>
      <c r="I2411" t="b">
        <f>COUNTIF(Estadísticas!I:I,'centraldecomunicacion.es'!H2411)&gt;0</f>
        <v>0</v>
      </c>
    </row>
    <row r="2412" spans="1:9" hidden="1">
      <c r="A2412" s="1" t="s">
        <v>9267</v>
      </c>
      <c r="B2412" s="1" t="s">
        <v>10</v>
      </c>
      <c r="C2412" s="1" t="s">
        <v>9268</v>
      </c>
      <c r="D2412" s="1" t="s">
        <v>842</v>
      </c>
      <c r="E2412" s="1" t="s">
        <v>842</v>
      </c>
      <c r="F2412" s="1" t="s">
        <v>30</v>
      </c>
      <c r="G2412" s="1" t="s">
        <v>9269</v>
      </c>
      <c r="H2412" s="1" t="s">
        <v>1762</v>
      </c>
      <c r="I2412" t="b">
        <f>COUNTIF(Estadísticas!I:I,'centraldecomunicacion.es'!H2412)&gt;0</f>
        <v>0</v>
      </c>
    </row>
    <row r="2413" spans="1:9" hidden="1">
      <c r="A2413" s="1" t="s">
        <v>9270</v>
      </c>
      <c r="B2413" s="1" t="s">
        <v>10</v>
      </c>
      <c r="C2413" s="1" t="s">
        <v>9271</v>
      </c>
      <c r="D2413" s="1" t="s">
        <v>842</v>
      </c>
      <c r="E2413" s="1" t="s">
        <v>842</v>
      </c>
      <c r="F2413" s="1" t="s">
        <v>30</v>
      </c>
      <c r="G2413" s="1" t="s">
        <v>30</v>
      </c>
      <c r="H2413" s="1" t="s">
        <v>1762</v>
      </c>
      <c r="I2413" t="b">
        <f>COUNTIF(Estadísticas!I:I,'centraldecomunicacion.es'!H2413)&gt;0</f>
        <v>0</v>
      </c>
    </row>
    <row r="2414" spans="1:9" hidden="1">
      <c r="A2414" s="1" t="s">
        <v>9272</v>
      </c>
      <c r="B2414" s="1" t="s">
        <v>10</v>
      </c>
      <c r="C2414" s="1" t="s">
        <v>9273</v>
      </c>
      <c r="D2414" s="1" t="s">
        <v>842</v>
      </c>
      <c r="E2414" s="1" t="s">
        <v>842</v>
      </c>
      <c r="F2414" s="1" t="s">
        <v>30</v>
      </c>
      <c r="G2414" s="1" t="s">
        <v>9274</v>
      </c>
      <c r="H2414" s="1" t="s">
        <v>1762</v>
      </c>
      <c r="I2414" t="b">
        <f>COUNTIF(Estadísticas!I:I,'centraldecomunicacion.es'!H2414)&gt;0</f>
        <v>0</v>
      </c>
    </row>
    <row r="2415" spans="1:9" hidden="1">
      <c r="A2415" s="1" t="s">
        <v>9275</v>
      </c>
      <c r="B2415" s="1" t="s">
        <v>18</v>
      </c>
      <c r="C2415" s="1" t="s">
        <v>9276</v>
      </c>
      <c r="D2415" s="1" t="s">
        <v>842</v>
      </c>
      <c r="E2415" s="1" t="s">
        <v>842</v>
      </c>
      <c r="F2415" s="1" t="s">
        <v>30</v>
      </c>
      <c r="G2415" s="1" t="s">
        <v>9277</v>
      </c>
      <c r="H2415" s="1" t="s">
        <v>1762</v>
      </c>
      <c r="I2415" t="b">
        <f>COUNTIF(Estadísticas!I:I,'centraldecomunicacion.es'!H2415)&gt;0</f>
        <v>0</v>
      </c>
    </row>
    <row r="2416" spans="1:9" hidden="1">
      <c r="A2416" s="1" t="s">
        <v>9278</v>
      </c>
      <c r="B2416" s="1" t="s">
        <v>10</v>
      </c>
      <c r="C2416" s="1" t="s">
        <v>9279</v>
      </c>
      <c r="D2416" s="1" t="s">
        <v>9280</v>
      </c>
      <c r="E2416" s="1" t="s">
        <v>842</v>
      </c>
      <c r="F2416" s="1" t="s">
        <v>9281</v>
      </c>
      <c r="G2416" s="1" t="s">
        <v>9282</v>
      </c>
      <c r="H2416" s="1" t="s">
        <v>9283</v>
      </c>
      <c r="I2416" t="b">
        <f>COUNTIF(Estadísticas!I:I,'centraldecomunicacion.es'!H2416)&gt;0</f>
        <v>0</v>
      </c>
    </row>
    <row r="2417" spans="1:9" hidden="1">
      <c r="A2417" s="1" t="s">
        <v>9284</v>
      </c>
      <c r="B2417" s="1" t="s">
        <v>18</v>
      </c>
      <c r="C2417" s="1" t="s">
        <v>9285</v>
      </c>
      <c r="D2417" s="1" t="s">
        <v>842</v>
      </c>
      <c r="E2417" s="1" t="s">
        <v>842</v>
      </c>
      <c r="F2417" s="1" t="s">
        <v>30</v>
      </c>
      <c r="G2417" s="1" t="s">
        <v>30</v>
      </c>
      <c r="H2417" s="1" t="s">
        <v>1762</v>
      </c>
      <c r="I2417" t="b">
        <f>COUNTIF(Estadísticas!I:I,'centraldecomunicacion.es'!H2417)&gt;0</f>
        <v>0</v>
      </c>
    </row>
    <row r="2418" spans="1:9" hidden="1">
      <c r="A2418" s="1" t="s">
        <v>9286</v>
      </c>
      <c r="B2418" s="1" t="s">
        <v>10</v>
      </c>
      <c r="C2418" s="1" t="s">
        <v>9287</v>
      </c>
      <c r="D2418" s="1" t="s">
        <v>9288</v>
      </c>
      <c r="E2418" s="1" t="s">
        <v>842</v>
      </c>
      <c r="F2418" s="1" t="s">
        <v>30</v>
      </c>
      <c r="G2418" s="1" t="s">
        <v>9289</v>
      </c>
      <c r="H2418" s="1" t="s">
        <v>1762</v>
      </c>
      <c r="I2418" t="b">
        <f>COUNTIF(Estadísticas!I:I,'centraldecomunicacion.es'!H2418)&gt;0</f>
        <v>0</v>
      </c>
    </row>
    <row r="2419" spans="1:9" hidden="1">
      <c r="A2419" s="1" t="s">
        <v>9290</v>
      </c>
      <c r="B2419" s="1" t="s">
        <v>10</v>
      </c>
      <c r="C2419" s="1" t="s">
        <v>9291</v>
      </c>
      <c r="D2419" s="1" t="s">
        <v>842</v>
      </c>
      <c r="E2419" s="1" t="s">
        <v>842</v>
      </c>
      <c r="F2419" s="1" t="s">
        <v>30</v>
      </c>
      <c r="G2419" s="1" t="s">
        <v>30</v>
      </c>
      <c r="H2419" s="1" t="s">
        <v>1762</v>
      </c>
      <c r="I2419" t="b">
        <f>COUNTIF(Estadísticas!I:I,'centraldecomunicacion.es'!H2419)&gt;0</f>
        <v>0</v>
      </c>
    </row>
    <row r="2420" spans="1:9" hidden="1">
      <c r="A2420" s="1" t="s">
        <v>9292</v>
      </c>
      <c r="B2420" s="1" t="s">
        <v>10</v>
      </c>
      <c r="C2420" s="1" t="s">
        <v>9293</v>
      </c>
      <c r="D2420" s="1" t="s">
        <v>842</v>
      </c>
      <c r="E2420" s="1" t="s">
        <v>842</v>
      </c>
      <c r="F2420" s="1" t="s">
        <v>30</v>
      </c>
      <c r="G2420" s="1" t="s">
        <v>30</v>
      </c>
      <c r="H2420" s="1" t="s">
        <v>1762</v>
      </c>
      <c r="I2420" t="b">
        <f>COUNTIF(Estadísticas!I:I,'centraldecomunicacion.es'!H2420)&gt;0</f>
        <v>0</v>
      </c>
    </row>
    <row r="2421" spans="1:9" hidden="1">
      <c r="A2421" s="1" t="s">
        <v>9294</v>
      </c>
      <c r="B2421" s="1" t="s">
        <v>10</v>
      </c>
      <c r="C2421" s="1" t="s">
        <v>9295</v>
      </c>
      <c r="D2421" s="1" t="s">
        <v>842</v>
      </c>
      <c r="E2421" s="1" t="s">
        <v>842</v>
      </c>
      <c r="F2421" s="1" t="s">
        <v>30</v>
      </c>
      <c r="G2421" s="1" t="s">
        <v>30</v>
      </c>
      <c r="H2421" s="1" t="s">
        <v>1762</v>
      </c>
      <c r="I2421" t="b">
        <f>COUNTIF(Estadísticas!I:I,'centraldecomunicacion.es'!H2421)&gt;0</f>
        <v>0</v>
      </c>
    </row>
    <row r="2422" spans="1:9" hidden="1">
      <c r="A2422" s="1" t="s">
        <v>9296</v>
      </c>
      <c r="B2422" s="1" t="s">
        <v>10</v>
      </c>
      <c r="C2422" s="1" t="s">
        <v>9297</v>
      </c>
      <c r="D2422" s="1" t="s">
        <v>842</v>
      </c>
      <c r="E2422" s="1" t="s">
        <v>842</v>
      </c>
      <c r="F2422" s="1" t="s">
        <v>30</v>
      </c>
      <c r="G2422" s="1" t="s">
        <v>9298</v>
      </c>
      <c r="H2422" s="1" t="s">
        <v>1762</v>
      </c>
      <c r="I2422" t="b">
        <f>COUNTIF(Estadísticas!I:I,'centraldecomunicacion.es'!H2422)&gt;0</f>
        <v>0</v>
      </c>
    </row>
    <row r="2423" spans="1:9">
      <c r="A2423" s="1" t="s">
        <v>912</v>
      </c>
      <c r="B2423" s="1" t="s">
        <v>10</v>
      </c>
      <c r="C2423" s="1" t="s">
        <v>913</v>
      </c>
      <c r="D2423" s="1" t="s">
        <v>842</v>
      </c>
      <c r="E2423" s="1" t="s">
        <v>842</v>
      </c>
      <c r="F2423" s="1" t="s">
        <v>914</v>
      </c>
      <c r="G2423" s="1" t="s">
        <v>915</v>
      </c>
      <c r="H2423" s="1" t="s">
        <v>916</v>
      </c>
      <c r="I2423" t="b">
        <f>COUNTIF(Estadísticas!I:I,'centraldecomunicacion.es'!H2423)&gt;0</f>
        <v>1</v>
      </c>
    </row>
    <row r="2424" spans="1:9" hidden="1">
      <c r="A2424" s="1" t="s">
        <v>9296</v>
      </c>
      <c r="B2424" s="1" t="s">
        <v>10</v>
      </c>
      <c r="C2424" s="1" t="s">
        <v>9299</v>
      </c>
      <c r="D2424" s="1" t="s">
        <v>842</v>
      </c>
      <c r="E2424" s="1" t="s">
        <v>842</v>
      </c>
      <c r="F2424" s="1" t="s">
        <v>30</v>
      </c>
      <c r="G2424" s="1" t="s">
        <v>9298</v>
      </c>
      <c r="H2424" s="1" t="s">
        <v>1762</v>
      </c>
      <c r="I2424" t="b">
        <f>COUNTIF(Estadísticas!I:I,'centraldecomunicacion.es'!H2424)&gt;0</f>
        <v>0</v>
      </c>
    </row>
    <row r="2425" spans="1:9" hidden="1">
      <c r="A2425" s="1" t="s">
        <v>9300</v>
      </c>
      <c r="B2425" s="1" t="s">
        <v>10</v>
      </c>
      <c r="C2425" s="1" t="s">
        <v>9301</v>
      </c>
      <c r="D2425" s="1" t="s">
        <v>9302</v>
      </c>
      <c r="E2425" s="1" t="s">
        <v>842</v>
      </c>
      <c r="F2425" s="1" t="s">
        <v>30</v>
      </c>
      <c r="G2425" s="1" t="s">
        <v>9303</v>
      </c>
      <c r="H2425" s="1" t="s">
        <v>1762</v>
      </c>
      <c r="I2425" t="b">
        <f>COUNTIF(Estadísticas!I:I,'centraldecomunicacion.es'!H2425)&gt;0</f>
        <v>0</v>
      </c>
    </row>
    <row r="2426" spans="1:9" hidden="1">
      <c r="A2426" s="1" t="s">
        <v>9304</v>
      </c>
      <c r="B2426" s="1" t="s">
        <v>18</v>
      </c>
      <c r="C2426" s="1" t="s">
        <v>9305</v>
      </c>
      <c r="D2426" s="1" t="s">
        <v>9306</v>
      </c>
      <c r="E2426" s="1" t="s">
        <v>842</v>
      </c>
      <c r="F2426" s="1" t="s">
        <v>30</v>
      </c>
      <c r="G2426" s="1" t="s">
        <v>30</v>
      </c>
      <c r="H2426" s="1" t="s">
        <v>1762</v>
      </c>
      <c r="I2426" t="b">
        <f>COUNTIF(Estadísticas!I:I,'centraldecomunicacion.es'!H2426)&gt;0</f>
        <v>0</v>
      </c>
    </row>
    <row r="2427" spans="1:9" hidden="1">
      <c r="A2427" s="1" t="s">
        <v>9307</v>
      </c>
      <c r="B2427" s="1" t="s">
        <v>10</v>
      </c>
      <c r="C2427" s="1" t="s">
        <v>9308</v>
      </c>
      <c r="D2427" s="1" t="s">
        <v>9309</v>
      </c>
      <c r="E2427" s="1" t="s">
        <v>842</v>
      </c>
      <c r="F2427" s="1" t="s">
        <v>30</v>
      </c>
      <c r="G2427" s="1" t="s">
        <v>30</v>
      </c>
      <c r="H2427" s="1" t="s">
        <v>1762</v>
      </c>
      <c r="I2427" t="b">
        <f>COUNTIF(Estadísticas!I:I,'centraldecomunicacion.es'!H2427)&gt;0</f>
        <v>0</v>
      </c>
    </row>
    <row r="2428" spans="1:9" hidden="1">
      <c r="A2428" s="1" t="s">
        <v>9310</v>
      </c>
      <c r="B2428" s="1" t="s">
        <v>10</v>
      </c>
      <c r="C2428" s="1" t="s">
        <v>9311</v>
      </c>
      <c r="D2428" s="1" t="s">
        <v>9312</v>
      </c>
      <c r="E2428" s="1" t="s">
        <v>842</v>
      </c>
      <c r="F2428" s="1" t="s">
        <v>30</v>
      </c>
      <c r="G2428" s="1" t="s">
        <v>30</v>
      </c>
      <c r="H2428" s="1" t="s">
        <v>1762</v>
      </c>
      <c r="I2428" t="b">
        <f>COUNTIF(Estadísticas!I:I,'centraldecomunicacion.es'!H2428)&gt;0</f>
        <v>0</v>
      </c>
    </row>
    <row r="2429" spans="1:9" hidden="1">
      <c r="A2429" s="1" t="s">
        <v>9313</v>
      </c>
      <c r="B2429" s="1" t="s">
        <v>10</v>
      </c>
      <c r="C2429" s="1" t="s">
        <v>9314</v>
      </c>
      <c r="D2429" s="1" t="s">
        <v>9315</v>
      </c>
      <c r="E2429" s="1" t="s">
        <v>842</v>
      </c>
      <c r="F2429" s="1" t="s">
        <v>30</v>
      </c>
      <c r="G2429" s="1" t="s">
        <v>30</v>
      </c>
      <c r="H2429" s="1" t="s">
        <v>1762</v>
      </c>
      <c r="I2429" t="b">
        <f>COUNTIF(Estadísticas!I:I,'centraldecomunicacion.es'!H2429)&gt;0</f>
        <v>0</v>
      </c>
    </row>
    <row r="2430" spans="1:9" hidden="1">
      <c r="A2430" s="1" t="s">
        <v>9316</v>
      </c>
      <c r="B2430" s="1" t="s">
        <v>10</v>
      </c>
      <c r="C2430" s="1" t="s">
        <v>9317</v>
      </c>
      <c r="D2430" s="1" t="s">
        <v>9318</v>
      </c>
      <c r="E2430" s="1" t="s">
        <v>842</v>
      </c>
      <c r="F2430" s="1" t="s">
        <v>9319</v>
      </c>
      <c r="G2430" s="1" t="s">
        <v>9320</v>
      </c>
      <c r="H2430" s="1" t="s">
        <v>9321</v>
      </c>
      <c r="I2430" t="b">
        <f>COUNTIF(Estadísticas!I:I,'centraldecomunicacion.es'!H2430)&gt;0</f>
        <v>0</v>
      </c>
    </row>
    <row r="2431" spans="1:9" hidden="1">
      <c r="A2431" s="1" t="s">
        <v>9322</v>
      </c>
      <c r="B2431" s="1" t="s">
        <v>10</v>
      </c>
      <c r="C2431" s="1" t="s">
        <v>9323</v>
      </c>
      <c r="D2431" s="1" t="s">
        <v>9324</v>
      </c>
      <c r="E2431" s="1" t="s">
        <v>842</v>
      </c>
      <c r="F2431" s="1" t="s">
        <v>30</v>
      </c>
      <c r="G2431" s="1" t="s">
        <v>9325</v>
      </c>
      <c r="H2431" s="1" t="s">
        <v>1762</v>
      </c>
      <c r="I2431" t="b">
        <f>COUNTIF(Estadísticas!I:I,'centraldecomunicacion.es'!H2431)&gt;0</f>
        <v>0</v>
      </c>
    </row>
    <row r="2432" spans="1:9" hidden="1">
      <c r="A2432" s="1" t="s">
        <v>9326</v>
      </c>
      <c r="B2432" s="1" t="s">
        <v>10</v>
      </c>
      <c r="C2432" s="1" t="s">
        <v>9327</v>
      </c>
      <c r="D2432" s="1" t="s">
        <v>1000</v>
      </c>
      <c r="E2432" s="1" t="s">
        <v>1000</v>
      </c>
      <c r="F2432" s="1" t="s">
        <v>9328</v>
      </c>
      <c r="G2432" s="1" t="s">
        <v>9329</v>
      </c>
      <c r="H2432" s="1" t="s">
        <v>1783</v>
      </c>
      <c r="I2432" t="b">
        <f>COUNTIF(Estadísticas!I:I,'centraldecomunicacion.es'!H2432)&gt;0</f>
        <v>0</v>
      </c>
    </row>
    <row r="2433" spans="1:9" hidden="1">
      <c r="A2433" s="1" t="s">
        <v>9330</v>
      </c>
      <c r="B2433" s="1" t="s">
        <v>10</v>
      </c>
      <c r="C2433" s="1" t="s">
        <v>9331</v>
      </c>
      <c r="D2433" s="1" t="s">
        <v>9332</v>
      </c>
      <c r="E2433" s="1" t="s">
        <v>842</v>
      </c>
      <c r="F2433" s="1" t="s">
        <v>30</v>
      </c>
      <c r="G2433" s="1" t="s">
        <v>30</v>
      </c>
      <c r="H2433" s="1" t="s">
        <v>1762</v>
      </c>
      <c r="I2433" t="b">
        <f>COUNTIF(Estadísticas!I:I,'centraldecomunicacion.es'!H2433)&gt;0</f>
        <v>0</v>
      </c>
    </row>
    <row r="2434" spans="1:9" hidden="1">
      <c r="A2434" s="1" t="s">
        <v>9333</v>
      </c>
      <c r="B2434" s="1" t="s">
        <v>18</v>
      </c>
      <c r="C2434" s="1" t="s">
        <v>9334</v>
      </c>
      <c r="D2434" s="1" t="s">
        <v>9335</v>
      </c>
      <c r="E2434" s="1" t="s">
        <v>842</v>
      </c>
      <c r="F2434" s="1" t="s">
        <v>30</v>
      </c>
      <c r="G2434" s="1" t="s">
        <v>9336</v>
      </c>
      <c r="H2434" s="1" t="s">
        <v>1762</v>
      </c>
      <c r="I2434" t="b">
        <f>COUNTIF(Estadísticas!I:I,'centraldecomunicacion.es'!H2434)&gt;0</f>
        <v>0</v>
      </c>
    </row>
    <row r="2435" spans="1:9" hidden="1">
      <c r="A2435" s="1" t="s">
        <v>9337</v>
      </c>
      <c r="B2435" s="1" t="s">
        <v>10</v>
      </c>
      <c r="C2435" s="1" t="s">
        <v>9338</v>
      </c>
      <c r="D2435" s="1" t="s">
        <v>1000</v>
      </c>
      <c r="E2435" s="1" t="s">
        <v>1000</v>
      </c>
      <c r="F2435" s="1" t="s">
        <v>30</v>
      </c>
      <c r="G2435" s="1" t="s">
        <v>9339</v>
      </c>
      <c r="H2435" s="1" t="s">
        <v>1762</v>
      </c>
      <c r="I2435" t="b">
        <f>COUNTIF(Estadísticas!I:I,'centraldecomunicacion.es'!H2435)&gt;0</f>
        <v>0</v>
      </c>
    </row>
    <row r="2436" spans="1:9" hidden="1">
      <c r="A2436" s="1" t="s">
        <v>9340</v>
      </c>
      <c r="B2436" s="1" t="s">
        <v>10</v>
      </c>
      <c r="C2436" s="1" t="s">
        <v>9341</v>
      </c>
      <c r="D2436" s="1" t="s">
        <v>9342</v>
      </c>
      <c r="E2436" s="1" t="s">
        <v>842</v>
      </c>
      <c r="F2436" s="1" t="s">
        <v>30</v>
      </c>
      <c r="G2436" s="1" t="s">
        <v>30</v>
      </c>
      <c r="H2436" s="1" t="s">
        <v>1762</v>
      </c>
      <c r="I2436" t="b">
        <f>COUNTIF(Estadísticas!I:I,'centraldecomunicacion.es'!H2436)&gt;0</f>
        <v>0</v>
      </c>
    </row>
    <row r="2437" spans="1:9" hidden="1">
      <c r="A2437" s="1" t="s">
        <v>9343</v>
      </c>
      <c r="B2437" s="1" t="s">
        <v>18</v>
      </c>
      <c r="C2437" s="1" t="s">
        <v>9344</v>
      </c>
      <c r="D2437" s="1" t="s">
        <v>8540</v>
      </c>
      <c r="E2437" s="1" t="s">
        <v>842</v>
      </c>
      <c r="F2437" s="1" t="s">
        <v>9345</v>
      </c>
      <c r="G2437" s="1" t="s">
        <v>9346</v>
      </c>
      <c r="H2437" s="1" t="s">
        <v>9347</v>
      </c>
      <c r="I2437" t="b">
        <f>COUNTIF(Estadísticas!I:I,'centraldecomunicacion.es'!H2437)&gt;0</f>
        <v>0</v>
      </c>
    </row>
    <row r="2438" spans="1:9" hidden="1">
      <c r="A2438" s="1" t="s">
        <v>9348</v>
      </c>
      <c r="B2438" s="1" t="s">
        <v>18</v>
      </c>
      <c r="C2438" s="1" t="s">
        <v>9349</v>
      </c>
      <c r="D2438" s="1" t="s">
        <v>9350</v>
      </c>
      <c r="E2438" s="1" t="s">
        <v>842</v>
      </c>
      <c r="F2438" s="1" t="s">
        <v>30</v>
      </c>
      <c r="G2438" s="1" t="s">
        <v>9351</v>
      </c>
      <c r="H2438" s="1" t="s">
        <v>1762</v>
      </c>
      <c r="I2438" t="b">
        <f>COUNTIF(Estadísticas!I:I,'centraldecomunicacion.es'!H2438)&gt;0</f>
        <v>0</v>
      </c>
    </row>
    <row r="2439" spans="1:9" hidden="1">
      <c r="A2439" s="1" t="s">
        <v>9352</v>
      </c>
      <c r="B2439" s="1" t="s">
        <v>10</v>
      </c>
      <c r="C2439" s="1" t="s">
        <v>9353</v>
      </c>
      <c r="D2439" s="1" t="s">
        <v>9318</v>
      </c>
      <c r="E2439" s="1" t="s">
        <v>842</v>
      </c>
      <c r="F2439" s="1" t="s">
        <v>30</v>
      </c>
      <c r="G2439" s="1" t="s">
        <v>30</v>
      </c>
      <c r="H2439" s="1" t="s">
        <v>1762</v>
      </c>
      <c r="I2439" t="b">
        <f>COUNTIF(Estadísticas!I:I,'centraldecomunicacion.es'!H2439)&gt;0</f>
        <v>0</v>
      </c>
    </row>
    <row r="2440" spans="1:9" hidden="1">
      <c r="A2440" s="1" t="s">
        <v>9354</v>
      </c>
      <c r="B2440" s="1" t="s">
        <v>10</v>
      </c>
      <c r="C2440" s="1" t="s">
        <v>9355</v>
      </c>
      <c r="D2440" s="1" t="s">
        <v>8540</v>
      </c>
      <c r="E2440" s="1" t="s">
        <v>842</v>
      </c>
      <c r="F2440" s="1" t="s">
        <v>30</v>
      </c>
      <c r="G2440" s="1" t="s">
        <v>9356</v>
      </c>
      <c r="H2440" s="1" t="s">
        <v>1762</v>
      </c>
      <c r="I2440" t="b">
        <f>COUNTIF(Estadísticas!I:I,'centraldecomunicacion.es'!H2440)&gt;0</f>
        <v>0</v>
      </c>
    </row>
    <row r="2441" spans="1:9" hidden="1">
      <c r="A2441" s="1" t="s">
        <v>9357</v>
      </c>
      <c r="B2441" s="1" t="s">
        <v>10</v>
      </c>
      <c r="C2441" s="1" t="s">
        <v>9358</v>
      </c>
      <c r="D2441" s="1" t="s">
        <v>926</v>
      </c>
      <c r="E2441" s="1" t="s">
        <v>926</v>
      </c>
      <c r="F2441" s="1" t="s">
        <v>9359</v>
      </c>
      <c r="G2441" s="1" t="s">
        <v>9360</v>
      </c>
      <c r="H2441" s="1" t="s">
        <v>9361</v>
      </c>
      <c r="I2441" t="b">
        <f>COUNTIF(Estadísticas!I:I,'centraldecomunicacion.es'!H2441)&gt;0</f>
        <v>0</v>
      </c>
    </row>
    <row r="2442" spans="1:9" hidden="1">
      <c r="A2442" s="1" t="s">
        <v>9362</v>
      </c>
      <c r="B2442" s="1" t="s">
        <v>18</v>
      </c>
      <c r="C2442" s="1" t="s">
        <v>9363</v>
      </c>
      <c r="D2442" s="1" t="s">
        <v>9364</v>
      </c>
      <c r="E2442" s="1" t="s">
        <v>842</v>
      </c>
      <c r="F2442" s="1" t="s">
        <v>9365</v>
      </c>
      <c r="G2442" s="1" t="s">
        <v>9366</v>
      </c>
      <c r="H2442" s="1" t="s">
        <v>1762</v>
      </c>
      <c r="I2442" t="b">
        <f>COUNTIF(Estadísticas!I:I,'centraldecomunicacion.es'!H2442)&gt;0</f>
        <v>0</v>
      </c>
    </row>
    <row r="2443" spans="1:9" hidden="1">
      <c r="A2443" s="1" t="s">
        <v>9367</v>
      </c>
      <c r="B2443" s="1" t="s">
        <v>10</v>
      </c>
      <c r="C2443" s="1" t="s">
        <v>9368</v>
      </c>
      <c r="D2443" s="1" t="s">
        <v>926</v>
      </c>
      <c r="E2443" s="1" t="s">
        <v>926</v>
      </c>
      <c r="F2443" s="1" t="s">
        <v>30</v>
      </c>
      <c r="G2443" s="1" t="s">
        <v>9369</v>
      </c>
      <c r="H2443" s="1" t="s">
        <v>1762</v>
      </c>
      <c r="I2443" t="b">
        <f>COUNTIF(Estadísticas!I:I,'centraldecomunicacion.es'!H2443)&gt;0</f>
        <v>0</v>
      </c>
    </row>
    <row r="2444" spans="1:9" hidden="1">
      <c r="A2444" s="1" t="s">
        <v>1995</v>
      </c>
      <c r="B2444" s="1" t="s">
        <v>10</v>
      </c>
      <c r="C2444" s="1" t="s">
        <v>9370</v>
      </c>
      <c r="D2444" s="1" t="s">
        <v>926</v>
      </c>
      <c r="E2444" s="1" t="s">
        <v>926</v>
      </c>
      <c r="F2444" s="1" t="s">
        <v>30</v>
      </c>
      <c r="G2444" s="1" t="s">
        <v>30</v>
      </c>
      <c r="H2444" s="1" t="s">
        <v>1762</v>
      </c>
      <c r="I2444" t="b">
        <f>COUNTIF(Estadísticas!I:I,'centraldecomunicacion.es'!H2444)&gt;0</f>
        <v>0</v>
      </c>
    </row>
    <row r="2445" spans="1:9" hidden="1">
      <c r="A2445" s="1" t="s">
        <v>9371</v>
      </c>
      <c r="B2445" s="1" t="s">
        <v>3050</v>
      </c>
      <c r="C2445" s="1" t="s">
        <v>9372</v>
      </c>
      <c r="D2445" s="1" t="s">
        <v>9335</v>
      </c>
      <c r="E2445" s="1" t="s">
        <v>842</v>
      </c>
      <c r="F2445" s="1" t="s">
        <v>9373</v>
      </c>
      <c r="G2445" s="1" t="s">
        <v>9374</v>
      </c>
      <c r="H2445" s="1" t="s">
        <v>9375</v>
      </c>
      <c r="I2445" t="b">
        <f>COUNTIF(Estadísticas!I:I,'centraldecomunicacion.es'!H2445)&gt;0</f>
        <v>0</v>
      </c>
    </row>
    <row r="2446" spans="1:9" hidden="1">
      <c r="A2446" s="1" t="s">
        <v>9376</v>
      </c>
      <c r="B2446" s="1" t="s">
        <v>10</v>
      </c>
      <c r="C2446" s="1" t="s">
        <v>9377</v>
      </c>
      <c r="D2446" s="1" t="s">
        <v>926</v>
      </c>
      <c r="E2446" s="1" t="s">
        <v>926</v>
      </c>
      <c r="F2446" s="1" t="s">
        <v>9378</v>
      </c>
      <c r="G2446" s="1" t="s">
        <v>9379</v>
      </c>
      <c r="H2446" s="1" t="s">
        <v>1762</v>
      </c>
      <c r="I2446" t="b">
        <f>COUNTIF(Estadísticas!I:I,'centraldecomunicacion.es'!H2446)&gt;0</f>
        <v>0</v>
      </c>
    </row>
    <row r="2447" spans="1:9" hidden="1">
      <c r="A2447" s="1" t="s">
        <v>9380</v>
      </c>
      <c r="B2447" s="1" t="s">
        <v>18</v>
      </c>
      <c r="C2447" s="1" t="s">
        <v>9381</v>
      </c>
      <c r="D2447" s="1" t="s">
        <v>926</v>
      </c>
      <c r="E2447" s="1" t="s">
        <v>926</v>
      </c>
      <c r="F2447" s="1" t="s">
        <v>30</v>
      </c>
      <c r="G2447" s="1" t="s">
        <v>9382</v>
      </c>
      <c r="H2447" s="1" t="s">
        <v>1762</v>
      </c>
      <c r="I2447" t="b">
        <f>COUNTIF(Estadísticas!I:I,'centraldecomunicacion.es'!H2447)&gt;0</f>
        <v>0</v>
      </c>
    </row>
    <row r="2448" spans="1:9" hidden="1">
      <c r="A2448" s="1" t="s">
        <v>9383</v>
      </c>
      <c r="B2448" s="1" t="s">
        <v>10</v>
      </c>
      <c r="C2448" s="1" t="s">
        <v>9384</v>
      </c>
      <c r="D2448" s="1" t="s">
        <v>836</v>
      </c>
      <c r="E2448" s="1" t="s">
        <v>836</v>
      </c>
      <c r="F2448" s="1" t="s">
        <v>9385</v>
      </c>
      <c r="G2448" s="1" t="s">
        <v>9386</v>
      </c>
      <c r="H2448" s="1" t="s">
        <v>1762</v>
      </c>
      <c r="I2448" t="b">
        <f>COUNTIF(Estadísticas!I:I,'centraldecomunicacion.es'!H2448)&gt;0</f>
        <v>0</v>
      </c>
    </row>
    <row r="2449" spans="1:9" hidden="1">
      <c r="A2449" s="1" t="s">
        <v>9387</v>
      </c>
      <c r="B2449" s="1" t="s">
        <v>18</v>
      </c>
      <c r="C2449" s="1" t="s">
        <v>9388</v>
      </c>
      <c r="D2449" s="1" t="s">
        <v>836</v>
      </c>
      <c r="E2449" s="1" t="s">
        <v>836</v>
      </c>
      <c r="F2449" s="1" t="s">
        <v>9389</v>
      </c>
      <c r="G2449" s="1" t="s">
        <v>9390</v>
      </c>
      <c r="H2449" s="1" t="s">
        <v>9391</v>
      </c>
      <c r="I2449" t="b">
        <f>COUNTIF(Estadísticas!I:I,'centraldecomunicacion.es'!H2449)&gt;0</f>
        <v>0</v>
      </c>
    </row>
    <row r="2450" spans="1:9" hidden="1">
      <c r="A2450" s="1" t="s">
        <v>9392</v>
      </c>
      <c r="B2450" s="1" t="s">
        <v>10</v>
      </c>
      <c r="C2450" s="1" t="s">
        <v>9393</v>
      </c>
      <c r="D2450" s="1" t="s">
        <v>836</v>
      </c>
      <c r="E2450" s="1" t="s">
        <v>836</v>
      </c>
      <c r="F2450" s="1" t="s">
        <v>30</v>
      </c>
      <c r="G2450" s="1" t="s">
        <v>9394</v>
      </c>
      <c r="H2450" s="1" t="s">
        <v>1762</v>
      </c>
      <c r="I2450" t="b">
        <f>COUNTIF(Estadísticas!I:I,'centraldecomunicacion.es'!H2450)&gt;0</f>
        <v>0</v>
      </c>
    </row>
    <row r="2451" spans="1:9" hidden="1">
      <c r="A2451" s="1" t="s">
        <v>9395</v>
      </c>
      <c r="B2451" s="1" t="s">
        <v>10</v>
      </c>
      <c r="C2451" s="1" t="s">
        <v>9396</v>
      </c>
      <c r="D2451" s="1" t="s">
        <v>836</v>
      </c>
      <c r="E2451" s="1" t="s">
        <v>836</v>
      </c>
      <c r="F2451" s="1" t="s">
        <v>30</v>
      </c>
      <c r="G2451" s="1" t="s">
        <v>30</v>
      </c>
      <c r="H2451" s="1" t="s">
        <v>1762</v>
      </c>
      <c r="I2451" t="b">
        <f>COUNTIF(Estadísticas!I:I,'centraldecomunicacion.es'!H2451)&gt;0</f>
        <v>0</v>
      </c>
    </row>
    <row r="2452" spans="1:9" hidden="1">
      <c r="A2452" s="1" t="s">
        <v>9397</v>
      </c>
      <c r="B2452" s="1" t="s">
        <v>10</v>
      </c>
      <c r="C2452" s="1" t="s">
        <v>9398</v>
      </c>
      <c r="D2452" s="1" t="s">
        <v>9399</v>
      </c>
      <c r="E2452" s="1" t="s">
        <v>836</v>
      </c>
      <c r="F2452" s="1" t="s">
        <v>30</v>
      </c>
      <c r="G2452" s="1" t="s">
        <v>9400</v>
      </c>
      <c r="H2452" s="1" t="s">
        <v>1762</v>
      </c>
      <c r="I2452" t="b">
        <f>COUNTIF(Estadísticas!I:I,'centraldecomunicacion.es'!H2452)&gt;0</f>
        <v>0</v>
      </c>
    </row>
    <row r="2453" spans="1:9" hidden="1">
      <c r="A2453" s="1" t="s">
        <v>9401</v>
      </c>
      <c r="B2453" s="1" t="s">
        <v>10</v>
      </c>
      <c r="C2453" s="1" t="s">
        <v>9402</v>
      </c>
      <c r="D2453" s="1" t="s">
        <v>836</v>
      </c>
      <c r="E2453" s="1" t="s">
        <v>836</v>
      </c>
      <c r="F2453" s="1" t="s">
        <v>30</v>
      </c>
      <c r="G2453" s="1" t="s">
        <v>9403</v>
      </c>
      <c r="H2453" s="1" t="s">
        <v>1762</v>
      </c>
      <c r="I2453" t="b">
        <f>COUNTIF(Estadísticas!I:I,'centraldecomunicacion.es'!H2453)&gt;0</f>
        <v>0</v>
      </c>
    </row>
    <row r="2454" spans="1:9" hidden="1">
      <c r="A2454" s="1" t="s">
        <v>9404</v>
      </c>
      <c r="B2454" s="1" t="s">
        <v>10</v>
      </c>
      <c r="C2454" s="1" t="s">
        <v>9405</v>
      </c>
      <c r="D2454" s="1" t="s">
        <v>836</v>
      </c>
      <c r="E2454" s="1" t="s">
        <v>836</v>
      </c>
      <c r="F2454" s="1" t="s">
        <v>30</v>
      </c>
      <c r="G2454" s="1" t="s">
        <v>9406</v>
      </c>
      <c r="H2454" s="1" t="s">
        <v>1762</v>
      </c>
      <c r="I2454" t="b">
        <f>COUNTIF(Estadísticas!I:I,'centraldecomunicacion.es'!H2454)&gt;0</f>
        <v>0</v>
      </c>
    </row>
    <row r="2455" spans="1:9" hidden="1">
      <c r="A2455" s="1" t="s">
        <v>9407</v>
      </c>
      <c r="B2455" s="1" t="s">
        <v>10</v>
      </c>
      <c r="C2455" s="1" t="s">
        <v>9408</v>
      </c>
      <c r="D2455" s="1" t="s">
        <v>836</v>
      </c>
      <c r="E2455" s="1" t="s">
        <v>836</v>
      </c>
      <c r="F2455" s="1" t="s">
        <v>30</v>
      </c>
      <c r="G2455" s="1" t="s">
        <v>30</v>
      </c>
      <c r="H2455" s="1" t="s">
        <v>1762</v>
      </c>
      <c r="I2455" t="b">
        <f>COUNTIF(Estadísticas!I:I,'centraldecomunicacion.es'!H2455)&gt;0</f>
        <v>0</v>
      </c>
    </row>
    <row r="2456" spans="1:9" hidden="1">
      <c r="A2456" s="1" t="s">
        <v>9409</v>
      </c>
      <c r="B2456" s="1" t="s">
        <v>10</v>
      </c>
      <c r="C2456" s="1" t="s">
        <v>9410</v>
      </c>
      <c r="D2456" s="1" t="s">
        <v>836</v>
      </c>
      <c r="E2456" s="1" t="s">
        <v>836</v>
      </c>
      <c r="F2456" s="1" t="s">
        <v>9411</v>
      </c>
      <c r="G2456" s="1" t="s">
        <v>9412</v>
      </c>
      <c r="H2456" s="1" t="s">
        <v>1762</v>
      </c>
      <c r="I2456" t="b">
        <f>COUNTIF(Estadísticas!I:I,'centraldecomunicacion.es'!H2456)&gt;0</f>
        <v>0</v>
      </c>
    </row>
    <row r="2457" spans="1:9" hidden="1">
      <c r="A2457" s="1" t="s">
        <v>9413</v>
      </c>
      <c r="B2457" s="1" t="s">
        <v>10</v>
      </c>
      <c r="C2457" s="1" t="s">
        <v>9414</v>
      </c>
      <c r="D2457" s="1" t="s">
        <v>836</v>
      </c>
      <c r="E2457" s="1" t="s">
        <v>836</v>
      </c>
      <c r="F2457" s="1" t="s">
        <v>30</v>
      </c>
      <c r="G2457" s="1" t="s">
        <v>9394</v>
      </c>
      <c r="H2457" s="1" t="s">
        <v>1762</v>
      </c>
      <c r="I2457" t="b">
        <f>COUNTIF(Estadísticas!I:I,'centraldecomunicacion.es'!H2457)&gt;0</f>
        <v>0</v>
      </c>
    </row>
    <row r="2458" spans="1:9" hidden="1">
      <c r="A2458" s="1" t="s">
        <v>9415</v>
      </c>
      <c r="B2458" s="1" t="s">
        <v>10</v>
      </c>
      <c r="C2458" s="1" t="s">
        <v>9416</v>
      </c>
      <c r="D2458" s="1" t="s">
        <v>836</v>
      </c>
      <c r="E2458" s="1" t="s">
        <v>836</v>
      </c>
      <c r="F2458" s="1" t="s">
        <v>9417</v>
      </c>
      <c r="G2458" s="1" t="s">
        <v>9418</v>
      </c>
      <c r="H2458" s="1" t="s">
        <v>9419</v>
      </c>
      <c r="I2458" t="b">
        <f>COUNTIF(Estadísticas!I:I,'centraldecomunicacion.es'!H2458)&gt;0</f>
        <v>0</v>
      </c>
    </row>
    <row r="2459" spans="1:9" hidden="1">
      <c r="A2459" s="1" t="s">
        <v>9420</v>
      </c>
      <c r="B2459" s="1" t="s">
        <v>18</v>
      </c>
      <c r="C2459" s="1" t="s">
        <v>9421</v>
      </c>
      <c r="D2459" s="1" t="s">
        <v>9422</v>
      </c>
      <c r="E2459" s="1" t="s">
        <v>836</v>
      </c>
      <c r="F2459" s="1" t="s">
        <v>30</v>
      </c>
      <c r="G2459" s="1" t="s">
        <v>9423</v>
      </c>
      <c r="H2459" s="1" t="s">
        <v>1762</v>
      </c>
      <c r="I2459" t="b">
        <f>COUNTIF(Estadísticas!I:I,'centraldecomunicacion.es'!H2459)&gt;0</f>
        <v>0</v>
      </c>
    </row>
    <row r="2460" spans="1:9" hidden="1">
      <c r="A2460" s="1" t="s">
        <v>9424</v>
      </c>
      <c r="B2460" s="1" t="s">
        <v>18</v>
      </c>
      <c r="C2460" s="1" t="s">
        <v>9425</v>
      </c>
      <c r="D2460" s="1" t="s">
        <v>836</v>
      </c>
      <c r="E2460" s="1" t="s">
        <v>836</v>
      </c>
      <c r="F2460" s="1" t="s">
        <v>9426</v>
      </c>
      <c r="G2460" s="1" t="s">
        <v>9427</v>
      </c>
      <c r="H2460" s="1" t="s">
        <v>1762</v>
      </c>
      <c r="I2460" t="b">
        <f>COUNTIF(Estadísticas!I:I,'centraldecomunicacion.es'!H2460)&gt;0</f>
        <v>0</v>
      </c>
    </row>
    <row r="2461" spans="1:9" hidden="1">
      <c r="A2461" s="1" t="s">
        <v>9428</v>
      </c>
      <c r="B2461" s="1" t="s">
        <v>10</v>
      </c>
      <c r="C2461" s="1" t="s">
        <v>9429</v>
      </c>
      <c r="D2461" s="1" t="s">
        <v>9399</v>
      </c>
      <c r="E2461" s="1" t="s">
        <v>836</v>
      </c>
      <c r="F2461" s="1" t="s">
        <v>30</v>
      </c>
      <c r="G2461" s="1" t="s">
        <v>30</v>
      </c>
      <c r="H2461" s="1" t="s">
        <v>1762</v>
      </c>
      <c r="I2461" t="b">
        <f>COUNTIF(Estadísticas!I:I,'centraldecomunicacion.es'!H2461)&gt;0</f>
        <v>0</v>
      </c>
    </row>
    <row r="2462" spans="1:9" hidden="1">
      <c r="A2462" s="1" t="s">
        <v>9430</v>
      </c>
      <c r="B2462" s="1" t="s">
        <v>10</v>
      </c>
      <c r="C2462" s="1" t="s">
        <v>9431</v>
      </c>
      <c r="D2462" s="1" t="s">
        <v>9422</v>
      </c>
      <c r="E2462" s="1" t="s">
        <v>836</v>
      </c>
      <c r="F2462" s="1" t="s">
        <v>30</v>
      </c>
      <c r="G2462" s="1" t="s">
        <v>9432</v>
      </c>
      <c r="H2462" s="1" t="s">
        <v>1762</v>
      </c>
      <c r="I2462" t="b">
        <f>COUNTIF(Estadísticas!I:I,'centraldecomunicacion.es'!H2462)&gt;0</f>
        <v>0</v>
      </c>
    </row>
    <row r="2463" spans="1:9" hidden="1">
      <c r="A2463" s="1" t="s">
        <v>9433</v>
      </c>
      <c r="B2463" s="1" t="s">
        <v>10</v>
      </c>
      <c r="C2463" s="1" t="s">
        <v>9434</v>
      </c>
      <c r="D2463" s="1" t="s">
        <v>9435</v>
      </c>
      <c r="E2463" s="1" t="s">
        <v>836</v>
      </c>
      <c r="F2463" s="1" t="s">
        <v>9436</v>
      </c>
      <c r="G2463" s="1" t="s">
        <v>9437</v>
      </c>
      <c r="H2463" s="1" t="s">
        <v>9438</v>
      </c>
      <c r="I2463" t="b">
        <f>COUNTIF(Estadísticas!I:I,'centraldecomunicacion.es'!H2463)&gt;0</f>
        <v>0</v>
      </c>
    </row>
    <row r="2464" spans="1:9" hidden="1">
      <c r="A2464" s="1" t="s">
        <v>9439</v>
      </c>
      <c r="B2464" s="1" t="s">
        <v>10</v>
      </c>
      <c r="C2464" s="1" t="s">
        <v>9440</v>
      </c>
      <c r="D2464" s="1" t="s">
        <v>9441</v>
      </c>
      <c r="E2464" s="1" t="s">
        <v>836</v>
      </c>
      <c r="F2464" s="1" t="s">
        <v>30</v>
      </c>
      <c r="G2464" s="1" t="s">
        <v>9442</v>
      </c>
      <c r="H2464" s="1" t="s">
        <v>1762</v>
      </c>
      <c r="I2464" t="b">
        <f>COUNTIF(Estadísticas!I:I,'centraldecomunicacion.es'!H2464)&gt;0</f>
        <v>0</v>
      </c>
    </row>
    <row r="2465" spans="1:9" hidden="1">
      <c r="A2465" s="1" t="s">
        <v>9443</v>
      </c>
      <c r="B2465" s="1" t="s">
        <v>10</v>
      </c>
      <c r="C2465" s="1" t="s">
        <v>9444</v>
      </c>
      <c r="D2465" s="1" t="s">
        <v>9445</v>
      </c>
      <c r="E2465" s="1" t="s">
        <v>836</v>
      </c>
      <c r="F2465" s="1" t="s">
        <v>30</v>
      </c>
      <c r="G2465" s="1" t="s">
        <v>9446</v>
      </c>
      <c r="H2465" s="1" t="s">
        <v>1762</v>
      </c>
      <c r="I2465" t="b">
        <f>COUNTIF(Estadísticas!I:I,'centraldecomunicacion.es'!H2465)&gt;0</f>
        <v>0</v>
      </c>
    </row>
    <row r="2466" spans="1:9" hidden="1">
      <c r="A2466" s="1" t="s">
        <v>9447</v>
      </c>
      <c r="B2466" s="1" t="s">
        <v>10</v>
      </c>
      <c r="C2466" s="1" t="s">
        <v>9448</v>
      </c>
      <c r="D2466" s="1" t="s">
        <v>9445</v>
      </c>
      <c r="E2466" s="1" t="s">
        <v>836</v>
      </c>
      <c r="F2466" s="1" t="s">
        <v>30</v>
      </c>
      <c r="G2466" s="1" t="s">
        <v>9449</v>
      </c>
      <c r="H2466" s="1" t="s">
        <v>1762</v>
      </c>
      <c r="I2466" t="b">
        <f>COUNTIF(Estadísticas!I:I,'centraldecomunicacion.es'!H2466)&gt;0</f>
        <v>0</v>
      </c>
    </row>
    <row r="2467" spans="1:9" hidden="1">
      <c r="A2467" s="1" t="s">
        <v>9450</v>
      </c>
      <c r="B2467" s="1" t="s">
        <v>10</v>
      </c>
      <c r="C2467" s="1" t="s">
        <v>9451</v>
      </c>
      <c r="D2467" s="1" t="s">
        <v>836</v>
      </c>
      <c r="E2467" s="1" t="s">
        <v>836</v>
      </c>
      <c r="F2467" s="1" t="s">
        <v>30</v>
      </c>
      <c r="G2467" s="1" t="s">
        <v>30</v>
      </c>
      <c r="H2467" s="1" t="s">
        <v>1762</v>
      </c>
      <c r="I2467" t="b">
        <f>COUNTIF(Estadísticas!I:I,'centraldecomunicacion.es'!H2467)&gt;0</f>
        <v>0</v>
      </c>
    </row>
    <row r="2468" spans="1:9" hidden="1">
      <c r="A2468" s="1" t="s">
        <v>9452</v>
      </c>
      <c r="B2468" s="1" t="s">
        <v>10</v>
      </c>
      <c r="C2468" s="1" t="s">
        <v>9453</v>
      </c>
      <c r="D2468" s="1" t="s">
        <v>9399</v>
      </c>
      <c r="E2468" s="1" t="s">
        <v>836</v>
      </c>
      <c r="F2468" s="1" t="s">
        <v>9454</v>
      </c>
      <c r="G2468" s="1" t="s">
        <v>9455</v>
      </c>
      <c r="H2468" s="1" t="s">
        <v>1762</v>
      </c>
      <c r="I2468" t="b">
        <f>COUNTIF(Estadísticas!I:I,'centraldecomunicacion.es'!H2468)&gt;0</f>
        <v>0</v>
      </c>
    </row>
    <row r="2469" spans="1:9" hidden="1">
      <c r="A2469" s="1" t="s">
        <v>9456</v>
      </c>
      <c r="B2469" s="1" t="s">
        <v>10</v>
      </c>
      <c r="C2469" s="1" t="s">
        <v>9457</v>
      </c>
      <c r="D2469" s="1" t="s">
        <v>9458</v>
      </c>
      <c r="E2469" s="1" t="s">
        <v>836</v>
      </c>
      <c r="F2469" s="1" t="s">
        <v>30</v>
      </c>
      <c r="G2469" s="1" t="s">
        <v>9459</v>
      </c>
      <c r="H2469" s="1" t="s">
        <v>1762</v>
      </c>
      <c r="I2469" t="b">
        <f>COUNTIF(Estadísticas!I:I,'centraldecomunicacion.es'!H2469)&gt;0</f>
        <v>0</v>
      </c>
    </row>
    <row r="2470" spans="1:9" hidden="1">
      <c r="A2470" s="1" t="s">
        <v>9460</v>
      </c>
      <c r="B2470" s="1" t="s">
        <v>18</v>
      </c>
      <c r="C2470" s="1" t="s">
        <v>9461</v>
      </c>
      <c r="D2470" s="1" t="s">
        <v>9462</v>
      </c>
      <c r="E2470" s="1" t="s">
        <v>836</v>
      </c>
      <c r="F2470" s="1" t="s">
        <v>30</v>
      </c>
      <c r="G2470" s="1" t="s">
        <v>9463</v>
      </c>
      <c r="H2470" s="1" t="s">
        <v>1762</v>
      </c>
      <c r="I2470" t="b">
        <f>COUNTIF(Estadísticas!I:I,'centraldecomunicacion.es'!H2470)&gt;0</f>
        <v>0</v>
      </c>
    </row>
    <row r="2471" spans="1:9" hidden="1">
      <c r="A2471" s="1" t="s">
        <v>9464</v>
      </c>
      <c r="B2471" s="1" t="s">
        <v>18</v>
      </c>
      <c r="C2471" s="1" t="s">
        <v>9465</v>
      </c>
      <c r="D2471" s="1" t="s">
        <v>9466</v>
      </c>
      <c r="E2471" s="1" t="s">
        <v>836</v>
      </c>
      <c r="F2471" s="1" t="s">
        <v>30</v>
      </c>
      <c r="G2471" s="1" t="s">
        <v>9467</v>
      </c>
      <c r="H2471" s="1" t="s">
        <v>1762</v>
      </c>
      <c r="I2471" t="b">
        <f>COUNTIF(Estadísticas!I:I,'centraldecomunicacion.es'!H2471)&gt;0</f>
        <v>0</v>
      </c>
    </row>
    <row r="2472" spans="1:9" hidden="1">
      <c r="A2472" s="1" t="s">
        <v>9468</v>
      </c>
      <c r="B2472" s="1" t="s">
        <v>18</v>
      </c>
      <c r="C2472" s="1" t="s">
        <v>9469</v>
      </c>
      <c r="D2472" s="1" t="s">
        <v>9422</v>
      </c>
      <c r="E2472" s="1" t="s">
        <v>836</v>
      </c>
      <c r="F2472" s="1" t="s">
        <v>9470</v>
      </c>
      <c r="G2472" s="1" t="s">
        <v>9471</v>
      </c>
      <c r="H2472" s="1" t="s">
        <v>1762</v>
      </c>
      <c r="I2472" t="b">
        <f>COUNTIF(Estadísticas!I:I,'centraldecomunicacion.es'!H2472)&gt;0</f>
        <v>0</v>
      </c>
    </row>
    <row r="2473" spans="1:9" hidden="1">
      <c r="A2473" s="1" t="s">
        <v>9472</v>
      </c>
      <c r="B2473" s="1" t="s">
        <v>18</v>
      </c>
      <c r="C2473" s="1" t="s">
        <v>9473</v>
      </c>
      <c r="D2473" s="1" t="s">
        <v>836</v>
      </c>
      <c r="E2473" s="1" t="s">
        <v>836</v>
      </c>
      <c r="F2473" s="1" t="s">
        <v>30</v>
      </c>
      <c r="G2473" s="1" t="s">
        <v>9474</v>
      </c>
      <c r="H2473" s="1" t="s">
        <v>1762</v>
      </c>
      <c r="I2473" t="b">
        <f>COUNTIF(Estadísticas!I:I,'centraldecomunicacion.es'!H2473)&gt;0</f>
        <v>0</v>
      </c>
    </row>
    <row r="2474" spans="1:9" hidden="1">
      <c r="A2474" s="1" t="s">
        <v>9475</v>
      </c>
      <c r="B2474" s="1" t="s">
        <v>10</v>
      </c>
      <c r="C2474" s="1" t="s">
        <v>9476</v>
      </c>
      <c r="D2474" s="1" t="s">
        <v>9445</v>
      </c>
      <c r="E2474" s="1" t="s">
        <v>836</v>
      </c>
      <c r="F2474" s="1" t="s">
        <v>30</v>
      </c>
      <c r="G2474" s="1" t="s">
        <v>9477</v>
      </c>
      <c r="H2474" s="1" t="s">
        <v>1762</v>
      </c>
      <c r="I2474" t="b">
        <f>COUNTIF(Estadísticas!I:I,'centraldecomunicacion.es'!H2474)&gt;0</f>
        <v>0</v>
      </c>
    </row>
    <row r="2475" spans="1:9" hidden="1">
      <c r="A2475" s="1" t="s">
        <v>9478</v>
      </c>
      <c r="B2475" s="1" t="s">
        <v>10</v>
      </c>
      <c r="C2475" s="1" t="s">
        <v>9479</v>
      </c>
      <c r="D2475" s="1" t="s">
        <v>835</v>
      </c>
      <c r="E2475" s="1" t="s">
        <v>836</v>
      </c>
      <c r="F2475" s="1" t="s">
        <v>9480</v>
      </c>
      <c r="G2475" s="1" t="s">
        <v>9481</v>
      </c>
      <c r="H2475" s="1" t="s">
        <v>1762</v>
      </c>
      <c r="I2475" t="b">
        <f>COUNTIF(Estadísticas!I:I,'centraldecomunicacion.es'!H2475)&gt;0</f>
        <v>0</v>
      </c>
    </row>
    <row r="2476" spans="1:9" hidden="1">
      <c r="A2476" s="1" t="s">
        <v>9482</v>
      </c>
      <c r="B2476" s="1" t="s">
        <v>10</v>
      </c>
      <c r="C2476" s="1" t="s">
        <v>9483</v>
      </c>
      <c r="D2476" s="1" t="s">
        <v>9484</v>
      </c>
      <c r="E2476" s="1" t="s">
        <v>836</v>
      </c>
      <c r="F2476" s="1" t="s">
        <v>30</v>
      </c>
      <c r="G2476" s="1" t="s">
        <v>9485</v>
      </c>
      <c r="H2476" s="1" t="s">
        <v>1762</v>
      </c>
      <c r="I2476" t="b">
        <f>COUNTIF(Estadísticas!I:I,'centraldecomunicacion.es'!H2476)&gt;0</f>
        <v>0</v>
      </c>
    </row>
    <row r="2477" spans="1:9" hidden="1">
      <c r="A2477" s="1" t="s">
        <v>9486</v>
      </c>
      <c r="B2477" s="1" t="s">
        <v>10</v>
      </c>
      <c r="C2477" s="1" t="s">
        <v>9487</v>
      </c>
      <c r="D2477" s="1" t="s">
        <v>9488</v>
      </c>
      <c r="E2477" s="1" t="s">
        <v>836</v>
      </c>
      <c r="F2477" s="1" t="s">
        <v>30</v>
      </c>
      <c r="G2477" s="1" t="s">
        <v>9489</v>
      </c>
      <c r="H2477" s="1" t="s">
        <v>1762</v>
      </c>
      <c r="I2477" t="b">
        <f>COUNTIF(Estadísticas!I:I,'centraldecomunicacion.es'!H2477)&gt;0</f>
        <v>0</v>
      </c>
    </row>
    <row r="2478" spans="1:9">
      <c r="A2478" s="1" t="s">
        <v>917</v>
      </c>
      <c r="B2478" s="1" t="s">
        <v>10</v>
      </c>
      <c r="C2478" s="1" t="s">
        <v>918</v>
      </c>
      <c r="D2478" s="1" t="s">
        <v>919</v>
      </c>
      <c r="E2478" s="1" t="s">
        <v>836</v>
      </c>
      <c r="F2478" s="1" t="s">
        <v>920</v>
      </c>
      <c r="G2478" s="1" t="s">
        <v>921</v>
      </c>
      <c r="H2478" s="1" t="s">
        <v>922</v>
      </c>
      <c r="I2478" t="b">
        <f>COUNTIF(Estadísticas!I:I,'centraldecomunicacion.es'!H2478)&gt;0</f>
        <v>1</v>
      </c>
    </row>
    <row r="2479" spans="1:9" hidden="1">
      <c r="A2479" s="1" t="s">
        <v>9490</v>
      </c>
      <c r="B2479" s="1" t="s">
        <v>10</v>
      </c>
      <c r="C2479" s="1" t="s">
        <v>9491</v>
      </c>
      <c r="D2479" s="1" t="s">
        <v>9435</v>
      </c>
      <c r="E2479" s="1" t="s">
        <v>836</v>
      </c>
      <c r="F2479" s="1" t="s">
        <v>30</v>
      </c>
      <c r="G2479" s="1" t="s">
        <v>30</v>
      </c>
      <c r="H2479" s="1" t="s">
        <v>1762</v>
      </c>
      <c r="I2479" t="b">
        <f>COUNTIF(Estadísticas!I:I,'centraldecomunicacion.es'!H2479)&gt;0</f>
        <v>0</v>
      </c>
    </row>
    <row r="2480" spans="1:9">
      <c r="A2480" s="1" t="s">
        <v>9492</v>
      </c>
      <c r="B2480" s="1" t="s">
        <v>10</v>
      </c>
      <c r="C2480" s="1" t="s">
        <v>9493</v>
      </c>
      <c r="D2480" s="1" t="s">
        <v>835</v>
      </c>
      <c r="E2480" s="1" t="s">
        <v>836</v>
      </c>
      <c r="F2480" s="1" t="s">
        <v>830</v>
      </c>
      <c r="G2480" s="1" t="s">
        <v>831</v>
      </c>
      <c r="H2480" s="1" t="s">
        <v>832</v>
      </c>
      <c r="I2480" t="b">
        <f>COUNTIF(Estadísticas!I:I,'centraldecomunicacion.es'!H2480)&gt;0</f>
        <v>1</v>
      </c>
    </row>
    <row r="2481" spans="1:9" hidden="1">
      <c r="A2481" s="1" t="s">
        <v>9494</v>
      </c>
      <c r="B2481" s="1" t="s">
        <v>10</v>
      </c>
      <c r="C2481" s="1" t="s">
        <v>9495</v>
      </c>
      <c r="D2481" s="1" t="s">
        <v>9496</v>
      </c>
      <c r="E2481" s="1" t="s">
        <v>926</v>
      </c>
      <c r="F2481" s="1" t="s">
        <v>30</v>
      </c>
      <c r="G2481" s="1" t="s">
        <v>9497</v>
      </c>
      <c r="H2481" s="1" t="s">
        <v>1762</v>
      </c>
      <c r="I2481" t="b">
        <f>COUNTIF(Estadísticas!I:I,'centraldecomunicacion.es'!H2481)&gt;0</f>
        <v>0</v>
      </c>
    </row>
    <row r="2482" spans="1:9" hidden="1">
      <c r="A2482" s="1" t="s">
        <v>9498</v>
      </c>
      <c r="B2482" s="1" t="s">
        <v>18</v>
      </c>
      <c r="C2482" s="1" t="s">
        <v>9499</v>
      </c>
      <c r="D2482" s="1" t="s">
        <v>9500</v>
      </c>
      <c r="E2482" s="1" t="s">
        <v>836</v>
      </c>
      <c r="F2482" s="1" t="s">
        <v>30</v>
      </c>
      <c r="G2482" s="1" t="s">
        <v>9501</v>
      </c>
      <c r="H2482" s="1" t="s">
        <v>1762</v>
      </c>
      <c r="I2482" t="b">
        <f>COUNTIF(Estadísticas!I:I,'centraldecomunicacion.es'!H2482)&gt;0</f>
        <v>0</v>
      </c>
    </row>
    <row r="2483" spans="1:9" hidden="1">
      <c r="A2483" s="1" t="s">
        <v>9502</v>
      </c>
      <c r="B2483" s="1" t="s">
        <v>10</v>
      </c>
      <c r="C2483" s="1" t="s">
        <v>9503</v>
      </c>
      <c r="D2483" s="1" t="s">
        <v>9504</v>
      </c>
      <c r="E2483" s="1" t="s">
        <v>836</v>
      </c>
      <c r="F2483" s="1" t="s">
        <v>30</v>
      </c>
      <c r="G2483" s="1" t="s">
        <v>9505</v>
      </c>
      <c r="H2483" s="1" t="s">
        <v>1762</v>
      </c>
      <c r="I2483" t="b">
        <f>COUNTIF(Estadísticas!I:I,'centraldecomunicacion.es'!H2483)&gt;0</f>
        <v>0</v>
      </c>
    </row>
    <row r="2484" spans="1:9" hidden="1">
      <c r="A2484" s="1" t="s">
        <v>9506</v>
      </c>
      <c r="B2484" s="1" t="s">
        <v>10</v>
      </c>
      <c r="C2484" s="1" t="s">
        <v>9507</v>
      </c>
      <c r="D2484" s="1" t="s">
        <v>9508</v>
      </c>
      <c r="E2484" s="1" t="s">
        <v>836</v>
      </c>
      <c r="F2484" s="1" t="s">
        <v>30</v>
      </c>
      <c r="G2484" s="1" t="s">
        <v>9509</v>
      </c>
      <c r="H2484" s="1" t="s">
        <v>1762</v>
      </c>
      <c r="I2484" t="b">
        <f>COUNTIF(Estadísticas!I:I,'centraldecomunicacion.es'!H2484)&gt;0</f>
        <v>0</v>
      </c>
    </row>
    <row r="2485" spans="1:9" hidden="1">
      <c r="A2485" s="1" t="s">
        <v>9510</v>
      </c>
      <c r="B2485" s="1" t="s">
        <v>10</v>
      </c>
      <c r="C2485" s="1" t="s">
        <v>9511</v>
      </c>
      <c r="D2485" s="1" t="s">
        <v>835</v>
      </c>
      <c r="E2485" s="1" t="s">
        <v>836</v>
      </c>
      <c r="F2485" s="1" t="s">
        <v>30</v>
      </c>
      <c r="G2485" s="1" t="s">
        <v>9512</v>
      </c>
      <c r="H2485" s="1" t="s">
        <v>1762</v>
      </c>
      <c r="I2485" t="b">
        <f>COUNTIF(Estadísticas!I:I,'centraldecomunicacion.es'!H2485)&gt;0</f>
        <v>0</v>
      </c>
    </row>
    <row r="2486" spans="1:9" hidden="1">
      <c r="A2486" s="1" t="s">
        <v>9513</v>
      </c>
      <c r="B2486" s="1" t="s">
        <v>10</v>
      </c>
      <c r="C2486" s="1" t="s">
        <v>9514</v>
      </c>
      <c r="D2486" s="1" t="s">
        <v>9515</v>
      </c>
      <c r="E2486" s="1" t="s">
        <v>836</v>
      </c>
      <c r="F2486" s="1" t="s">
        <v>30</v>
      </c>
      <c r="G2486" s="1" t="s">
        <v>30</v>
      </c>
      <c r="H2486" s="1" t="s">
        <v>1762</v>
      </c>
      <c r="I2486" t="b">
        <f>COUNTIF(Estadísticas!I:I,'centraldecomunicacion.es'!H2486)&gt;0</f>
        <v>0</v>
      </c>
    </row>
    <row r="2487" spans="1:9" hidden="1">
      <c r="A2487" s="1" t="s">
        <v>9516</v>
      </c>
      <c r="B2487" s="1" t="s">
        <v>10</v>
      </c>
      <c r="C2487" s="1" t="s">
        <v>9517</v>
      </c>
      <c r="D2487" s="1" t="s">
        <v>9488</v>
      </c>
      <c r="E2487" s="1" t="s">
        <v>836</v>
      </c>
      <c r="F2487" s="1" t="s">
        <v>9518</v>
      </c>
      <c r="G2487" s="1" t="s">
        <v>9519</v>
      </c>
      <c r="H2487" s="1" t="s">
        <v>1783</v>
      </c>
      <c r="I2487" t="b">
        <f>COUNTIF(Estadísticas!I:I,'centraldecomunicacion.es'!H2487)&gt;0</f>
        <v>0</v>
      </c>
    </row>
    <row r="2488" spans="1:9" hidden="1">
      <c r="A2488" s="1" t="s">
        <v>9520</v>
      </c>
      <c r="B2488" s="1" t="s">
        <v>10</v>
      </c>
      <c r="C2488" s="1" t="s">
        <v>9521</v>
      </c>
      <c r="D2488" s="1" t="s">
        <v>9522</v>
      </c>
      <c r="E2488" s="1" t="s">
        <v>926</v>
      </c>
      <c r="F2488" s="1" t="s">
        <v>9523</v>
      </c>
      <c r="G2488" s="1" t="s">
        <v>9524</v>
      </c>
      <c r="H2488" s="1" t="s">
        <v>1875</v>
      </c>
      <c r="I2488" t="b">
        <f>COUNTIF(Estadísticas!I:I,'centraldecomunicacion.es'!H2488)&gt;0</f>
        <v>0</v>
      </c>
    </row>
    <row r="2489" spans="1:9" hidden="1">
      <c r="A2489" s="1" t="s">
        <v>9525</v>
      </c>
      <c r="B2489" s="1" t="s">
        <v>18</v>
      </c>
      <c r="C2489" s="1" t="s">
        <v>9526</v>
      </c>
      <c r="D2489" s="1" t="s">
        <v>9527</v>
      </c>
      <c r="E2489" s="1" t="s">
        <v>836</v>
      </c>
      <c r="F2489" s="1" t="s">
        <v>30</v>
      </c>
      <c r="G2489" s="1" t="s">
        <v>9528</v>
      </c>
      <c r="H2489" s="1" t="s">
        <v>1762</v>
      </c>
      <c r="I2489" t="b">
        <f>COUNTIF(Estadísticas!I:I,'centraldecomunicacion.es'!H2489)&gt;0</f>
        <v>0</v>
      </c>
    </row>
    <row r="2490" spans="1:9">
      <c r="A2490" s="1" t="s">
        <v>9529</v>
      </c>
      <c r="B2490" s="1" t="s">
        <v>10</v>
      </c>
      <c r="C2490" s="1" t="s">
        <v>9530</v>
      </c>
      <c r="D2490" s="1" t="s">
        <v>9531</v>
      </c>
      <c r="E2490" s="1" t="s">
        <v>926</v>
      </c>
      <c r="F2490" s="1" t="s">
        <v>830</v>
      </c>
      <c r="G2490" s="1" t="s">
        <v>9532</v>
      </c>
      <c r="H2490" s="1" t="s">
        <v>832</v>
      </c>
      <c r="I2490" t="b">
        <f>COUNTIF(Estadísticas!I:I,'centraldecomunicacion.es'!H2490)&gt;0</f>
        <v>1</v>
      </c>
    </row>
    <row r="2491" spans="1:9" hidden="1">
      <c r="A2491" s="1" t="s">
        <v>9533</v>
      </c>
      <c r="B2491" s="1" t="s">
        <v>18</v>
      </c>
      <c r="C2491" s="1" t="s">
        <v>9534</v>
      </c>
      <c r="D2491" s="1" t="s">
        <v>9535</v>
      </c>
      <c r="E2491" s="1" t="s">
        <v>836</v>
      </c>
      <c r="F2491" s="1" t="s">
        <v>30</v>
      </c>
      <c r="G2491" s="1" t="s">
        <v>9536</v>
      </c>
      <c r="H2491" s="1" t="s">
        <v>1762</v>
      </c>
      <c r="I2491" t="b">
        <f>COUNTIF(Estadísticas!I:I,'centraldecomunicacion.es'!H2491)&gt;0</f>
        <v>0</v>
      </c>
    </row>
    <row r="2492" spans="1:9" hidden="1">
      <c r="A2492" s="1" t="s">
        <v>9537</v>
      </c>
      <c r="B2492" s="1" t="s">
        <v>10</v>
      </c>
      <c r="C2492" s="1" t="s">
        <v>9538</v>
      </c>
      <c r="D2492" s="1" t="s">
        <v>9539</v>
      </c>
      <c r="E2492" s="1" t="s">
        <v>836</v>
      </c>
      <c r="F2492" s="1" t="s">
        <v>30</v>
      </c>
      <c r="G2492" s="1" t="s">
        <v>30</v>
      </c>
      <c r="H2492" s="1" t="s">
        <v>1762</v>
      </c>
      <c r="I2492" t="b">
        <f>COUNTIF(Estadísticas!I:I,'centraldecomunicacion.es'!H2492)&gt;0</f>
        <v>0</v>
      </c>
    </row>
    <row r="2493" spans="1:9" hidden="1">
      <c r="A2493" s="1" t="s">
        <v>9540</v>
      </c>
      <c r="B2493" s="1" t="s">
        <v>10</v>
      </c>
      <c r="C2493" s="1" t="s">
        <v>9541</v>
      </c>
      <c r="D2493" s="1" t="s">
        <v>9542</v>
      </c>
      <c r="E2493" s="1" t="s">
        <v>836</v>
      </c>
      <c r="F2493" s="1" t="s">
        <v>30</v>
      </c>
      <c r="G2493" s="1" t="s">
        <v>9543</v>
      </c>
      <c r="H2493" s="1" t="s">
        <v>1762</v>
      </c>
      <c r="I2493" t="b">
        <f>COUNTIF(Estadísticas!I:I,'centraldecomunicacion.es'!H2493)&gt;0</f>
        <v>0</v>
      </c>
    </row>
    <row r="2494" spans="1:9" hidden="1">
      <c r="A2494" s="1" t="s">
        <v>9544</v>
      </c>
      <c r="B2494" s="1" t="s">
        <v>10</v>
      </c>
      <c r="C2494" s="1" t="s">
        <v>9545</v>
      </c>
      <c r="D2494" s="1" t="s">
        <v>835</v>
      </c>
      <c r="E2494" s="1" t="s">
        <v>836</v>
      </c>
      <c r="F2494" s="1" t="s">
        <v>30</v>
      </c>
      <c r="G2494" s="1" t="s">
        <v>30</v>
      </c>
      <c r="H2494" s="1" t="s">
        <v>1762</v>
      </c>
      <c r="I2494" t="b">
        <f>COUNTIF(Estadísticas!I:I,'centraldecomunicacion.es'!H2494)&gt;0</f>
        <v>0</v>
      </c>
    </row>
    <row r="2495" spans="1:9" hidden="1">
      <c r="A2495" s="1" t="s">
        <v>9546</v>
      </c>
      <c r="B2495" s="1" t="s">
        <v>10</v>
      </c>
      <c r="C2495" s="1" t="s">
        <v>9547</v>
      </c>
      <c r="D2495" s="1" t="s">
        <v>919</v>
      </c>
      <c r="E2495" s="1" t="s">
        <v>836</v>
      </c>
      <c r="F2495" s="1" t="s">
        <v>9548</v>
      </c>
      <c r="G2495" s="1" t="s">
        <v>9549</v>
      </c>
      <c r="H2495" s="1" t="s">
        <v>9550</v>
      </c>
      <c r="I2495" t="b">
        <f>COUNTIF(Estadísticas!I:I,'centraldecomunicacion.es'!H2495)&gt;0</f>
        <v>0</v>
      </c>
    </row>
    <row r="2496" spans="1:9" hidden="1">
      <c r="A2496" s="1" t="s">
        <v>9551</v>
      </c>
      <c r="B2496" s="1" t="s">
        <v>10</v>
      </c>
      <c r="C2496" s="1" t="s">
        <v>9552</v>
      </c>
      <c r="D2496" s="1" t="s">
        <v>9542</v>
      </c>
      <c r="E2496" s="1" t="s">
        <v>836</v>
      </c>
      <c r="F2496" s="1" t="s">
        <v>30</v>
      </c>
      <c r="G2496" s="1" t="s">
        <v>30</v>
      </c>
      <c r="H2496" s="1" t="s">
        <v>1762</v>
      </c>
      <c r="I2496" t="b">
        <f>COUNTIF(Estadísticas!I:I,'centraldecomunicacion.es'!H2496)&gt;0</f>
        <v>0</v>
      </c>
    </row>
    <row r="2497" spans="1:9">
      <c r="A2497" s="1" t="s">
        <v>923</v>
      </c>
      <c r="B2497" s="1" t="s">
        <v>10</v>
      </c>
      <c r="C2497" s="1" t="s">
        <v>924</v>
      </c>
      <c r="D2497" s="1" t="s">
        <v>925</v>
      </c>
      <c r="E2497" s="1" t="s">
        <v>926</v>
      </c>
      <c r="F2497" s="1" t="s">
        <v>927</v>
      </c>
      <c r="G2497" s="1" t="s">
        <v>928</v>
      </c>
      <c r="H2497" s="1" t="s">
        <v>929</v>
      </c>
      <c r="I2497" t="b">
        <f>COUNTIF(Estadísticas!I:I,'centraldecomunicacion.es'!H2497)&gt;0</f>
        <v>1</v>
      </c>
    </row>
    <row r="2498" spans="1:9" hidden="1">
      <c r="A2498" s="1" t="s">
        <v>9553</v>
      </c>
      <c r="B2498" s="1" t="s">
        <v>10</v>
      </c>
      <c r="C2498" s="1" t="s">
        <v>9554</v>
      </c>
      <c r="D2498" s="1" t="s">
        <v>9555</v>
      </c>
      <c r="E2498" s="1" t="s">
        <v>926</v>
      </c>
      <c r="F2498" s="1" t="s">
        <v>30</v>
      </c>
      <c r="G2498" s="1" t="s">
        <v>9556</v>
      </c>
      <c r="H2498" s="1" t="s">
        <v>1762</v>
      </c>
      <c r="I2498" t="b">
        <f>COUNTIF(Estadísticas!I:I,'centraldecomunicacion.es'!H2498)&gt;0</f>
        <v>0</v>
      </c>
    </row>
    <row r="2499" spans="1:9" hidden="1">
      <c r="A2499" s="1" t="s">
        <v>9557</v>
      </c>
      <c r="B2499" s="1" t="s">
        <v>10</v>
      </c>
      <c r="C2499" s="1" t="s">
        <v>9558</v>
      </c>
      <c r="D2499" s="1" t="s">
        <v>9559</v>
      </c>
      <c r="E2499" s="1" t="s">
        <v>836</v>
      </c>
      <c r="F2499" s="1" t="s">
        <v>30</v>
      </c>
      <c r="G2499" s="1" t="s">
        <v>30</v>
      </c>
      <c r="H2499" s="1" t="s">
        <v>1762</v>
      </c>
      <c r="I2499" t="b">
        <f>COUNTIF(Estadísticas!I:I,'centraldecomunicacion.es'!H2499)&gt;0</f>
        <v>0</v>
      </c>
    </row>
    <row r="2500" spans="1:9" hidden="1">
      <c r="A2500" s="1" t="s">
        <v>9560</v>
      </c>
      <c r="B2500" s="1" t="s">
        <v>10</v>
      </c>
      <c r="C2500" s="1" t="s">
        <v>9561</v>
      </c>
      <c r="D2500" s="1" t="s">
        <v>9488</v>
      </c>
      <c r="E2500" s="1" t="s">
        <v>836</v>
      </c>
      <c r="F2500" s="1" t="s">
        <v>9518</v>
      </c>
      <c r="G2500" s="1" t="s">
        <v>9519</v>
      </c>
      <c r="H2500" s="1" t="s">
        <v>1783</v>
      </c>
      <c r="I2500" t="b">
        <f>COUNTIF(Estadísticas!I:I,'centraldecomunicacion.es'!H2500)&gt;0</f>
        <v>0</v>
      </c>
    </row>
    <row r="2501" spans="1:9" hidden="1">
      <c r="A2501" s="1" t="s">
        <v>9562</v>
      </c>
      <c r="B2501" s="1" t="s">
        <v>10</v>
      </c>
      <c r="C2501" s="1" t="s">
        <v>9563</v>
      </c>
      <c r="D2501" s="1" t="s">
        <v>9564</v>
      </c>
      <c r="E2501" s="1" t="s">
        <v>836</v>
      </c>
      <c r="F2501" s="1" t="s">
        <v>30</v>
      </c>
      <c r="G2501" s="1" t="s">
        <v>9565</v>
      </c>
      <c r="H2501" s="1" t="s">
        <v>1762</v>
      </c>
      <c r="I2501" t="b">
        <f>COUNTIF(Estadísticas!I:I,'centraldecomunicacion.es'!H2501)&gt;0</f>
        <v>0</v>
      </c>
    </row>
    <row r="2502" spans="1:9" hidden="1">
      <c r="A2502" s="1" t="s">
        <v>9566</v>
      </c>
      <c r="B2502" s="1" t="s">
        <v>10</v>
      </c>
      <c r="C2502" s="1" t="s">
        <v>9567</v>
      </c>
      <c r="D2502" s="1" t="s">
        <v>9522</v>
      </c>
      <c r="E2502" s="1" t="s">
        <v>926</v>
      </c>
      <c r="F2502" s="1" t="s">
        <v>9568</v>
      </c>
      <c r="G2502" s="1" t="s">
        <v>9569</v>
      </c>
      <c r="H2502" s="1" t="s">
        <v>1762</v>
      </c>
      <c r="I2502" t="b">
        <f>COUNTIF(Estadísticas!I:I,'centraldecomunicacion.es'!H2502)&gt;0</f>
        <v>0</v>
      </c>
    </row>
    <row r="2503" spans="1:9" hidden="1">
      <c r="A2503" s="1" t="s">
        <v>9570</v>
      </c>
      <c r="B2503" s="1" t="s">
        <v>10</v>
      </c>
      <c r="C2503" s="1" t="s">
        <v>9571</v>
      </c>
      <c r="D2503" s="1" t="s">
        <v>9572</v>
      </c>
      <c r="E2503" s="1" t="s">
        <v>836</v>
      </c>
      <c r="F2503" s="1" t="s">
        <v>30</v>
      </c>
      <c r="G2503" s="1" t="s">
        <v>9573</v>
      </c>
      <c r="H2503" s="1" t="s">
        <v>1762</v>
      </c>
      <c r="I2503" t="b">
        <f>COUNTIF(Estadísticas!I:I,'centraldecomunicacion.es'!H2503)&gt;0</f>
        <v>0</v>
      </c>
    </row>
    <row r="2504" spans="1:9" hidden="1">
      <c r="A2504" s="1" t="s">
        <v>9574</v>
      </c>
      <c r="B2504" s="1" t="s">
        <v>10</v>
      </c>
      <c r="C2504" s="1" t="s">
        <v>9575</v>
      </c>
      <c r="D2504" s="1" t="s">
        <v>8563</v>
      </c>
      <c r="E2504" s="1" t="s">
        <v>926</v>
      </c>
      <c r="F2504" s="1" t="s">
        <v>9576</v>
      </c>
      <c r="G2504" s="1" t="s">
        <v>7761</v>
      </c>
      <c r="H2504" s="1" t="s">
        <v>1762</v>
      </c>
      <c r="I2504" t="b">
        <f>COUNTIF(Estadísticas!I:I,'centraldecomunicacion.es'!H2504)&gt;0</f>
        <v>0</v>
      </c>
    </row>
    <row r="2505" spans="1:9" hidden="1">
      <c r="A2505" s="1" t="s">
        <v>9577</v>
      </c>
      <c r="B2505" s="1" t="s">
        <v>10</v>
      </c>
      <c r="C2505" s="1" t="s">
        <v>9578</v>
      </c>
      <c r="D2505" s="1" t="s">
        <v>9579</v>
      </c>
      <c r="E2505" s="1" t="s">
        <v>926</v>
      </c>
      <c r="F2505" s="1" t="s">
        <v>30</v>
      </c>
      <c r="G2505" s="1" t="s">
        <v>9580</v>
      </c>
      <c r="H2505" s="1" t="s">
        <v>1762</v>
      </c>
      <c r="I2505" t="b">
        <f>COUNTIF(Estadísticas!I:I,'centraldecomunicacion.es'!H2505)&gt;0</f>
        <v>0</v>
      </c>
    </row>
    <row r="2506" spans="1:9" hidden="1">
      <c r="A2506" s="1" t="s">
        <v>9581</v>
      </c>
      <c r="B2506" s="1" t="s">
        <v>10</v>
      </c>
      <c r="C2506" s="1" t="s">
        <v>9582</v>
      </c>
      <c r="D2506" s="1" t="s">
        <v>9583</v>
      </c>
      <c r="E2506" s="1" t="s">
        <v>836</v>
      </c>
      <c r="F2506" s="1" t="s">
        <v>30</v>
      </c>
      <c r="G2506" s="1" t="s">
        <v>9584</v>
      </c>
      <c r="H2506" s="1" t="s">
        <v>1762</v>
      </c>
      <c r="I2506" t="b">
        <f>COUNTIF(Estadísticas!I:I,'centraldecomunicacion.es'!H2506)&gt;0</f>
        <v>0</v>
      </c>
    </row>
    <row r="2507" spans="1:9" hidden="1">
      <c r="A2507" s="1" t="s">
        <v>9585</v>
      </c>
      <c r="B2507" s="1" t="s">
        <v>18</v>
      </c>
      <c r="C2507" s="1" t="s">
        <v>30</v>
      </c>
      <c r="D2507" s="1" t="s">
        <v>9508</v>
      </c>
      <c r="E2507" s="1" t="s">
        <v>30</v>
      </c>
      <c r="F2507" s="1" t="s">
        <v>9586</v>
      </c>
      <c r="G2507" s="1" t="s">
        <v>9587</v>
      </c>
      <c r="H2507" s="1" t="s">
        <v>1762</v>
      </c>
      <c r="I2507" t="b">
        <f>COUNTIF(Estadísticas!I:I,'centraldecomunicacion.es'!H2507)&gt;0</f>
        <v>0</v>
      </c>
    </row>
    <row r="2508" spans="1:9" hidden="1">
      <c r="A2508" s="1" t="s">
        <v>9588</v>
      </c>
      <c r="B2508" s="1" t="s">
        <v>10</v>
      </c>
      <c r="C2508" s="1" t="s">
        <v>9589</v>
      </c>
      <c r="D2508" s="1" t="s">
        <v>9522</v>
      </c>
      <c r="E2508" s="1" t="s">
        <v>926</v>
      </c>
      <c r="F2508" s="1" t="s">
        <v>30</v>
      </c>
      <c r="G2508" s="1" t="s">
        <v>9590</v>
      </c>
      <c r="H2508" s="1" t="s">
        <v>1762</v>
      </c>
      <c r="I2508" t="b">
        <f>COUNTIF(Estadísticas!I:I,'centraldecomunicacion.es'!H2508)&gt;0</f>
        <v>0</v>
      </c>
    </row>
    <row r="2509" spans="1:9" hidden="1">
      <c r="A2509" s="1" t="s">
        <v>9591</v>
      </c>
      <c r="B2509" s="1" t="s">
        <v>10</v>
      </c>
      <c r="C2509" s="1" t="s">
        <v>9592</v>
      </c>
      <c r="D2509" s="1" t="s">
        <v>926</v>
      </c>
      <c r="E2509" s="1" t="s">
        <v>926</v>
      </c>
      <c r="F2509" s="1" t="s">
        <v>9281</v>
      </c>
      <c r="G2509" s="1" t="s">
        <v>9593</v>
      </c>
      <c r="H2509" s="1" t="s">
        <v>9283</v>
      </c>
      <c r="I2509" t="b">
        <f>COUNTIF(Estadísticas!I:I,'centraldecomunicacion.es'!H2509)&gt;0</f>
        <v>0</v>
      </c>
    </row>
    <row r="2510" spans="1:9" hidden="1">
      <c r="A2510" s="1" t="s">
        <v>9594</v>
      </c>
      <c r="B2510" s="1" t="s">
        <v>10</v>
      </c>
      <c r="C2510" s="1" t="s">
        <v>9595</v>
      </c>
      <c r="D2510" s="1" t="s">
        <v>8536</v>
      </c>
      <c r="E2510" s="1" t="s">
        <v>926</v>
      </c>
      <c r="F2510" s="1" t="s">
        <v>9596</v>
      </c>
      <c r="G2510" s="1" t="s">
        <v>9597</v>
      </c>
      <c r="H2510" s="1" t="s">
        <v>1762</v>
      </c>
      <c r="I2510" t="b">
        <f>COUNTIF(Estadísticas!I:I,'centraldecomunicacion.es'!H2510)&gt;0</f>
        <v>0</v>
      </c>
    </row>
    <row r="2511" spans="1:9" hidden="1">
      <c r="A2511" s="1" t="s">
        <v>9598</v>
      </c>
      <c r="B2511" s="1" t="s">
        <v>10</v>
      </c>
      <c r="C2511" s="1" t="s">
        <v>9599</v>
      </c>
      <c r="D2511" s="1" t="s">
        <v>9531</v>
      </c>
      <c r="E2511" s="1" t="s">
        <v>926</v>
      </c>
      <c r="F2511" s="1" t="s">
        <v>9600</v>
      </c>
      <c r="G2511" s="1" t="s">
        <v>9601</v>
      </c>
      <c r="H2511" s="1" t="s">
        <v>9602</v>
      </c>
      <c r="I2511" t="b">
        <f>COUNTIF(Estadísticas!I:I,'centraldecomunicacion.es'!H2511)&gt;0</f>
        <v>0</v>
      </c>
    </row>
    <row r="2512" spans="1:9" hidden="1">
      <c r="A2512" s="1" t="s">
        <v>9603</v>
      </c>
      <c r="B2512" s="1" t="s">
        <v>10</v>
      </c>
      <c r="C2512" s="1" t="s">
        <v>9604</v>
      </c>
      <c r="D2512" s="1" t="s">
        <v>9583</v>
      </c>
      <c r="E2512" s="1" t="s">
        <v>836</v>
      </c>
      <c r="F2512" s="1" t="s">
        <v>30</v>
      </c>
      <c r="G2512" s="1" t="s">
        <v>30</v>
      </c>
      <c r="H2512" s="1" t="s">
        <v>1762</v>
      </c>
      <c r="I2512" t="b">
        <f>COUNTIF(Estadísticas!I:I,'centraldecomunicacion.es'!H2512)&gt;0</f>
        <v>0</v>
      </c>
    </row>
    <row r="2513" spans="1:9" hidden="1">
      <c r="A2513" s="1" t="s">
        <v>9605</v>
      </c>
      <c r="B2513" s="1" t="s">
        <v>10</v>
      </c>
      <c r="C2513" s="1" t="s">
        <v>9606</v>
      </c>
      <c r="D2513" s="1" t="s">
        <v>9496</v>
      </c>
      <c r="E2513" s="1" t="s">
        <v>926</v>
      </c>
      <c r="F2513" s="1" t="s">
        <v>30</v>
      </c>
      <c r="G2513" s="1" t="s">
        <v>9607</v>
      </c>
      <c r="H2513" s="1" t="s">
        <v>1762</v>
      </c>
      <c r="I2513" t="b">
        <f>COUNTIF(Estadísticas!I:I,'centraldecomunicacion.es'!H2513)&gt;0</f>
        <v>0</v>
      </c>
    </row>
    <row r="2514" spans="1:9" hidden="1">
      <c r="A2514" s="1" t="s">
        <v>9608</v>
      </c>
      <c r="B2514" s="1" t="s">
        <v>10</v>
      </c>
      <c r="C2514" s="1" t="s">
        <v>9609</v>
      </c>
      <c r="D2514" s="1" t="s">
        <v>9610</v>
      </c>
      <c r="E2514" s="1" t="s">
        <v>836</v>
      </c>
      <c r="F2514" s="1" t="s">
        <v>30</v>
      </c>
      <c r="G2514" s="1" t="s">
        <v>9611</v>
      </c>
      <c r="H2514" s="1" t="s">
        <v>1762</v>
      </c>
      <c r="I2514" t="b">
        <f>COUNTIF(Estadísticas!I:I,'centraldecomunicacion.es'!H2514)&gt;0</f>
        <v>0</v>
      </c>
    </row>
    <row r="2515" spans="1:9" hidden="1">
      <c r="A2515" s="1" t="s">
        <v>9612</v>
      </c>
      <c r="B2515" s="1" t="s">
        <v>10</v>
      </c>
      <c r="C2515" s="1" t="s">
        <v>9613</v>
      </c>
      <c r="D2515" s="1" t="s">
        <v>9496</v>
      </c>
      <c r="E2515" s="1" t="s">
        <v>926</v>
      </c>
      <c r="F2515" s="1" t="s">
        <v>30</v>
      </c>
      <c r="G2515" s="1" t="s">
        <v>9614</v>
      </c>
      <c r="H2515" s="1" t="s">
        <v>1762</v>
      </c>
      <c r="I2515" t="b">
        <f>COUNTIF(Estadísticas!I:I,'centraldecomunicacion.es'!H2515)&gt;0</f>
        <v>0</v>
      </c>
    </row>
    <row r="2516" spans="1:9" hidden="1">
      <c r="A2516" s="1" t="s">
        <v>9615</v>
      </c>
      <c r="B2516" s="1" t="s">
        <v>10</v>
      </c>
      <c r="C2516" s="1" t="s">
        <v>9616</v>
      </c>
      <c r="D2516" s="1" t="s">
        <v>9617</v>
      </c>
      <c r="E2516" s="1" t="s">
        <v>836</v>
      </c>
      <c r="F2516" s="1" t="s">
        <v>30</v>
      </c>
      <c r="G2516" s="1" t="s">
        <v>30</v>
      </c>
      <c r="H2516" s="1" t="s">
        <v>1762</v>
      </c>
      <c r="I2516" t="b">
        <f>COUNTIF(Estadísticas!I:I,'centraldecomunicacion.es'!H2516)&gt;0</f>
        <v>0</v>
      </c>
    </row>
    <row r="2517" spans="1:9" hidden="1">
      <c r="A2517" s="1" t="s">
        <v>9618</v>
      </c>
      <c r="B2517" s="1" t="s">
        <v>10</v>
      </c>
      <c r="C2517" s="1" t="s">
        <v>9619</v>
      </c>
      <c r="D2517" s="1" t="s">
        <v>9579</v>
      </c>
      <c r="E2517" s="1" t="s">
        <v>926</v>
      </c>
      <c r="F2517" s="1" t="s">
        <v>30</v>
      </c>
      <c r="G2517" s="1" t="s">
        <v>9620</v>
      </c>
      <c r="H2517" s="1" t="s">
        <v>1762</v>
      </c>
      <c r="I2517" t="b">
        <f>COUNTIF(Estadísticas!I:I,'centraldecomunicacion.es'!H2517)&gt;0</f>
        <v>0</v>
      </c>
    </row>
    <row r="2518" spans="1:9" hidden="1">
      <c r="A2518" s="1" t="s">
        <v>9621</v>
      </c>
      <c r="B2518" s="1" t="s">
        <v>10</v>
      </c>
      <c r="C2518" s="1" t="s">
        <v>30</v>
      </c>
      <c r="D2518" s="1" t="s">
        <v>9508</v>
      </c>
      <c r="E2518" s="1" t="s">
        <v>30</v>
      </c>
      <c r="F2518" s="1" t="s">
        <v>30</v>
      </c>
      <c r="G2518" s="1" t="s">
        <v>9622</v>
      </c>
      <c r="H2518" s="1" t="s">
        <v>1762</v>
      </c>
      <c r="I2518" t="b">
        <f>COUNTIF(Estadísticas!I:I,'centraldecomunicacion.es'!H2518)&gt;0</f>
        <v>0</v>
      </c>
    </row>
    <row r="2519" spans="1:9" hidden="1">
      <c r="A2519" s="1" t="s">
        <v>9623</v>
      </c>
      <c r="B2519" s="1" t="s">
        <v>10</v>
      </c>
      <c r="C2519" s="1" t="s">
        <v>9624</v>
      </c>
      <c r="D2519" s="1" t="s">
        <v>925</v>
      </c>
      <c r="E2519" s="1" t="s">
        <v>926</v>
      </c>
      <c r="F2519" s="1" t="s">
        <v>30</v>
      </c>
      <c r="G2519" s="1" t="s">
        <v>9625</v>
      </c>
      <c r="H2519" s="1" t="s">
        <v>1762</v>
      </c>
      <c r="I2519" t="b">
        <f>COUNTIF(Estadísticas!I:I,'centraldecomunicacion.es'!H2519)&gt;0</f>
        <v>0</v>
      </c>
    </row>
    <row r="2520" spans="1:9" hidden="1">
      <c r="A2520" s="1" t="s">
        <v>9626</v>
      </c>
      <c r="B2520" s="1" t="s">
        <v>10</v>
      </c>
      <c r="C2520" s="1" t="s">
        <v>9627</v>
      </c>
      <c r="D2520" s="1" t="s">
        <v>9628</v>
      </c>
      <c r="E2520" s="1" t="s">
        <v>926</v>
      </c>
      <c r="F2520" s="1" t="s">
        <v>30</v>
      </c>
      <c r="G2520" s="1" t="s">
        <v>9629</v>
      </c>
      <c r="H2520" s="1" t="s">
        <v>1762</v>
      </c>
      <c r="I2520" t="b">
        <f>COUNTIF(Estadísticas!I:I,'centraldecomunicacion.es'!H2520)&gt;0</f>
        <v>0</v>
      </c>
    </row>
    <row r="2521" spans="1:9" hidden="1">
      <c r="A2521" s="1" t="s">
        <v>9630</v>
      </c>
      <c r="B2521" s="1" t="s">
        <v>10</v>
      </c>
      <c r="C2521" s="1" t="s">
        <v>9631</v>
      </c>
      <c r="D2521" s="1" t="s">
        <v>9583</v>
      </c>
      <c r="E2521" s="1" t="s">
        <v>836</v>
      </c>
      <c r="F2521" s="1" t="s">
        <v>30</v>
      </c>
      <c r="G2521" s="1" t="s">
        <v>30</v>
      </c>
      <c r="H2521" s="1" t="s">
        <v>1762</v>
      </c>
      <c r="I2521" t="b">
        <f>COUNTIF(Estadísticas!I:I,'centraldecomunicacion.es'!H2521)&gt;0</f>
        <v>0</v>
      </c>
    </row>
    <row r="2522" spans="1:9" hidden="1">
      <c r="A2522" s="1" t="s">
        <v>9632</v>
      </c>
      <c r="B2522" s="1" t="s">
        <v>10</v>
      </c>
      <c r="C2522" s="1" t="s">
        <v>9633</v>
      </c>
      <c r="D2522" s="1" t="s">
        <v>9634</v>
      </c>
      <c r="E2522" s="1" t="s">
        <v>836</v>
      </c>
      <c r="F2522" s="1" t="s">
        <v>30</v>
      </c>
      <c r="G2522" s="1" t="s">
        <v>9635</v>
      </c>
      <c r="H2522" s="1" t="s">
        <v>1762</v>
      </c>
      <c r="I2522" t="b">
        <f>COUNTIF(Estadísticas!I:I,'centraldecomunicacion.es'!H2522)&gt;0</f>
        <v>0</v>
      </c>
    </row>
    <row r="2523" spans="1:9" hidden="1">
      <c r="A2523" s="1" t="s">
        <v>9636</v>
      </c>
      <c r="B2523" s="1" t="s">
        <v>10</v>
      </c>
      <c r="C2523" s="1" t="s">
        <v>9637</v>
      </c>
      <c r="D2523" s="1" t="s">
        <v>9638</v>
      </c>
      <c r="E2523" s="1" t="s">
        <v>926</v>
      </c>
      <c r="F2523" s="1" t="s">
        <v>30</v>
      </c>
      <c r="G2523" s="1" t="s">
        <v>9639</v>
      </c>
      <c r="H2523" s="1" t="s">
        <v>1762</v>
      </c>
      <c r="I2523" t="b">
        <f>COUNTIF(Estadísticas!I:I,'centraldecomunicacion.es'!H2523)&gt;0</f>
        <v>0</v>
      </c>
    </row>
    <row r="2524" spans="1:9" hidden="1">
      <c r="A2524" s="1" t="s">
        <v>9640</v>
      </c>
      <c r="B2524" s="1" t="s">
        <v>10</v>
      </c>
      <c r="C2524" s="1" t="s">
        <v>9641</v>
      </c>
      <c r="D2524" s="1" t="s">
        <v>925</v>
      </c>
      <c r="E2524" s="1" t="s">
        <v>926</v>
      </c>
      <c r="F2524" s="1" t="s">
        <v>30</v>
      </c>
      <c r="G2524" s="1" t="s">
        <v>30</v>
      </c>
      <c r="H2524" s="1" t="s">
        <v>1762</v>
      </c>
      <c r="I2524" t="b">
        <f>COUNTIF(Estadísticas!I:I,'centraldecomunicacion.es'!H2524)&gt;0</f>
        <v>0</v>
      </c>
    </row>
    <row r="2525" spans="1:9" hidden="1">
      <c r="A2525" s="1" t="s">
        <v>9642</v>
      </c>
      <c r="B2525" s="1" t="s">
        <v>10</v>
      </c>
      <c r="C2525" s="1" t="s">
        <v>9643</v>
      </c>
      <c r="D2525" s="1" t="s">
        <v>9644</v>
      </c>
      <c r="E2525" s="1" t="s">
        <v>836</v>
      </c>
      <c r="F2525" s="1" t="s">
        <v>30</v>
      </c>
      <c r="G2525" s="1" t="s">
        <v>30</v>
      </c>
      <c r="H2525" s="1" t="s">
        <v>1762</v>
      </c>
      <c r="I2525" t="b">
        <f>COUNTIF(Estadísticas!I:I,'centraldecomunicacion.es'!H2525)&gt;0</f>
        <v>0</v>
      </c>
    </row>
    <row r="2526" spans="1:9" hidden="1">
      <c r="A2526" s="1" t="s">
        <v>9645</v>
      </c>
      <c r="B2526" s="1" t="s">
        <v>10</v>
      </c>
      <c r="C2526" s="1" t="s">
        <v>9646</v>
      </c>
      <c r="D2526" s="1" t="s">
        <v>9647</v>
      </c>
      <c r="E2526" s="1" t="s">
        <v>836</v>
      </c>
      <c r="F2526" s="1" t="s">
        <v>30</v>
      </c>
      <c r="G2526" s="1" t="s">
        <v>9648</v>
      </c>
      <c r="H2526" s="1" t="s">
        <v>1762</v>
      </c>
      <c r="I2526" t="b">
        <f>COUNTIF(Estadísticas!I:I,'centraldecomunicacion.es'!H2526)&gt;0</f>
        <v>0</v>
      </c>
    </row>
    <row r="2527" spans="1:9" hidden="1">
      <c r="A2527" s="1" t="s">
        <v>9649</v>
      </c>
      <c r="B2527" s="1" t="s">
        <v>10</v>
      </c>
      <c r="C2527" s="1" t="s">
        <v>9650</v>
      </c>
      <c r="D2527" s="1" t="s">
        <v>9531</v>
      </c>
      <c r="E2527" s="1" t="s">
        <v>926</v>
      </c>
      <c r="F2527" s="1" t="s">
        <v>30</v>
      </c>
      <c r="G2527" s="1" t="s">
        <v>30</v>
      </c>
      <c r="H2527" s="1" t="s">
        <v>1762</v>
      </c>
      <c r="I2527" t="b">
        <f>COUNTIF(Estadísticas!I:I,'centraldecomunicacion.es'!H2527)&gt;0</f>
        <v>0</v>
      </c>
    </row>
    <row r="2528" spans="1:9" hidden="1">
      <c r="A2528" s="1" t="s">
        <v>9651</v>
      </c>
      <c r="B2528" s="1" t="s">
        <v>10</v>
      </c>
      <c r="C2528" s="1" t="s">
        <v>9652</v>
      </c>
      <c r="D2528" s="1" t="s">
        <v>9653</v>
      </c>
      <c r="E2528" s="1" t="s">
        <v>836</v>
      </c>
      <c r="F2528" s="1" t="s">
        <v>30</v>
      </c>
      <c r="G2528" s="1" t="s">
        <v>9654</v>
      </c>
      <c r="H2528" s="1" t="s">
        <v>1762</v>
      </c>
      <c r="I2528" t="b">
        <f>COUNTIF(Estadísticas!I:I,'centraldecomunicacion.es'!H2528)&gt;0</f>
        <v>0</v>
      </c>
    </row>
    <row r="2529" spans="1:9" hidden="1">
      <c r="A2529" s="1" t="s">
        <v>9655</v>
      </c>
      <c r="B2529" s="1" t="s">
        <v>10</v>
      </c>
      <c r="C2529" s="1" t="s">
        <v>9656</v>
      </c>
      <c r="D2529" s="1" t="s">
        <v>8536</v>
      </c>
      <c r="E2529" s="1" t="s">
        <v>926</v>
      </c>
      <c r="F2529" s="1" t="s">
        <v>30</v>
      </c>
      <c r="G2529" s="1" t="s">
        <v>9657</v>
      </c>
      <c r="H2529" s="1" t="s">
        <v>1762</v>
      </c>
      <c r="I2529" t="b">
        <f>COUNTIF(Estadísticas!I:I,'centraldecomunicacion.es'!H2529)&gt;0</f>
        <v>0</v>
      </c>
    </row>
    <row r="2530" spans="1:9" hidden="1">
      <c r="A2530" s="1" t="s">
        <v>9658</v>
      </c>
      <c r="B2530" s="1" t="s">
        <v>10</v>
      </c>
      <c r="C2530" s="1" t="s">
        <v>9659</v>
      </c>
      <c r="D2530" s="1" t="s">
        <v>8536</v>
      </c>
      <c r="E2530" s="1" t="s">
        <v>926</v>
      </c>
      <c r="F2530" s="1" t="s">
        <v>30</v>
      </c>
      <c r="G2530" s="1" t="s">
        <v>9660</v>
      </c>
      <c r="H2530" s="1" t="s">
        <v>1762</v>
      </c>
      <c r="I2530" t="b">
        <f>COUNTIF(Estadísticas!I:I,'centraldecomunicacion.es'!H2530)&gt;0</f>
        <v>0</v>
      </c>
    </row>
    <row r="2531" spans="1:9" hidden="1">
      <c r="A2531" s="1" t="s">
        <v>9661</v>
      </c>
      <c r="B2531" s="1" t="s">
        <v>10</v>
      </c>
      <c r="C2531" s="1" t="s">
        <v>9662</v>
      </c>
      <c r="D2531" s="1" t="s">
        <v>8367</v>
      </c>
      <c r="E2531" s="1" t="s">
        <v>926</v>
      </c>
      <c r="F2531" s="1" t="s">
        <v>30</v>
      </c>
      <c r="G2531" s="1" t="s">
        <v>9663</v>
      </c>
      <c r="H2531" s="1" t="s">
        <v>1762</v>
      </c>
      <c r="I2531" t="b">
        <f>COUNTIF(Estadísticas!I:I,'centraldecomunicacion.es'!H2531)&gt;0</f>
        <v>0</v>
      </c>
    </row>
    <row r="2532" spans="1:9" hidden="1">
      <c r="A2532" s="1" t="s">
        <v>9664</v>
      </c>
      <c r="B2532" s="1" t="s">
        <v>18</v>
      </c>
      <c r="C2532" s="1" t="s">
        <v>9665</v>
      </c>
      <c r="D2532" s="1" t="s">
        <v>926</v>
      </c>
      <c r="E2532" s="1" t="s">
        <v>926</v>
      </c>
      <c r="F2532" s="1" t="s">
        <v>30</v>
      </c>
      <c r="G2532" s="1" t="s">
        <v>9666</v>
      </c>
      <c r="H2532" s="1" t="s">
        <v>1762</v>
      </c>
      <c r="I2532" t="b">
        <f>COUNTIF(Estadísticas!I:I,'centraldecomunicacion.es'!H2532)&gt;0</f>
        <v>0</v>
      </c>
    </row>
    <row r="2533" spans="1:9" hidden="1">
      <c r="A2533" s="1" t="s">
        <v>9667</v>
      </c>
      <c r="B2533" s="1" t="s">
        <v>10</v>
      </c>
      <c r="C2533" s="1" t="s">
        <v>9668</v>
      </c>
      <c r="D2533" s="1" t="s">
        <v>933</v>
      </c>
      <c r="E2533" s="1" t="s">
        <v>933</v>
      </c>
      <c r="F2533" s="1" t="s">
        <v>30</v>
      </c>
      <c r="G2533" s="1" t="s">
        <v>9669</v>
      </c>
      <c r="H2533" s="1" t="s">
        <v>1762</v>
      </c>
      <c r="I2533" t="b">
        <f>COUNTIF(Estadísticas!I:I,'centraldecomunicacion.es'!H2533)&gt;0</f>
        <v>0</v>
      </c>
    </row>
    <row r="2534" spans="1:9" hidden="1">
      <c r="A2534" s="1" t="s">
        <v>9670</v>
      </c>
      <c r="B2534" s="1" t="s">
        <v>10</v>
      </c>
      <c r="C2534" s="1" t="s">
        <v>9671</v>
      </c>
      <c r="D2534" s="1" t="s">
        <v>933</v>
      </c>
      <c r="E2534" s="1" t="s">
        <v>933</v>
      </c>
      <c r="F2534" s="1" t="s">
        <v>9672</v>
      </c>
      <c r="G2534" s="1" t="s">
        <v>9673</v>
      </c>
      <c r="H2534" s="1" t="s">
        <v>1762</v>
      </c>
      <c r="I2534" t="b">
        <f>COUNTIF(Estadísticas!I:I,'centraldecomunicacion.es'!H2534)&gt;0</f>
        <v>0</v>
      </c>
    </row>
    <row r="2535" spans="1:9" hidden="1">
      <c r="A2535" s="1" t="s">
        <v>9674</v>
      </c>
      <c r="B2535" s="1" t="s">
        <v>18</v>
      </c>
      <c r="C2535" s="1" t="s">
        <v>9675</v>
      </c>
      <c r="D2535" s="1" t="s">
        <v>933</v>
      </c>
      <c r="E2535" s="1" t="s">
        <v>933</v>
      </c>
      <c r="F2535" s="1" t="s">
        <v>4288</v>
      </c>
      <c r="G2535" s="1" t="s">
        <v>9676</v>
      </c>
      <c r="H2535" s="1" t="s">
        <v>4290</v>
      </c>
      <c r="I2535" t="b">
        <f>COUNTIF(Estadísticas!I:I,'centraldecomunicacion.es'!H2535)&gt;0</f>
        <v>0</v>
      </c>
    </row>
    <row r="2536" spans="1:9" hidden="1">
      <c r="A2536" s="1" t="s">
        <v>9677</v>
      </c>
      <c r="B2536" s="1" t="s">
        <v>10</v>
      </c>
      <c r="C2536" s="1" t="s">
        <v>9678</v>
      </c>
      <c r="D2536" s="1" t="s">
        <v>933</v>
      </c>
      <c r="E2536" s="1" t="s">
        <v>933</v>
      </c>
      <c r="F2536" s="1" t="s">
        <v>9679</v>
      </c>
      <c r="G2536" s="1" t="s">
        <v>9680</v>
      </c>
      <c r="H2536" s="1" t="s">
        <v>9681</v>
      </c>
      <c r="I2536" t="b">
        <f>COUNTIF(Estadísticas!I:I,'centraldecomunicacion.es'!H2536)&gt;0</f>
        <v>0</v>
      </c>
    </row>
    <row r="2537" spans="1:9" hidden="1">
      <c r="A2537" s="1" t="s">
        <v>9682</v>
      </c>
      <c r="B2537" s="1" t="s">
        <v>10</v>
      </c>
      <c r="C2537" s="1" t="s">
        <v>9683</v>
      </c>
      <c r="D2537" s="1" t="s">
        <v>933</v>
      </c>
      <c r="E2537" s="1" t="s">
        <v>933</v>
      </c>
      <c r="F2537" s="1" t="s">
        <v>9684</v>
      </c>
      <c r="G2537" s="1" t="s">
        <v>9685</v>
      </c>
      <c r="H2537" s="1" t="s">
        <v>1762</v>
      </c>
      <c r="I2537" t="b">
        <f>COUNTIF(Estadísticas!I:I,'centraldecomunicacion.es'!H2537)&gt;0</f>
        <v>0</v>
      </c>
    </row>
    <row r="2538" spans="1:9" hidden="1">
      <c r="A2538" s="1" t="s">
        <v>9686</v>
      </c>
      <c r="B2538" s="1" t="s">
        <v>10</v>
      </c>
      <c r="C2538" s="1" t="s">
        <v>9687</v>
      </c>
      <c r="D2538" s="1" t="s">
        <v>933</v>
      </c>
      <c r="E2538" s="1" t="s">
        <v>9688</v>
      </c>
      <c r="F2538" s="1" t="s">
        <v>30</v>
      </c>
      <c r="G2538" s="1" t="s">
        <v>9689</v>
      </c>
      <c r="H2538" s="1" t="s">
        <v>1762</v>
      </c>
      <c r="I2538" t="b">
        <f>COUNTIF(Estadísticas!I:I,'centraldecomunicacion.es'!H2538)&gt;0</f>
        <v>0</v>
      </c>
    </row>
    <row r="2539" spans="1:9" hidden="1">
      <c r="A2539" s="1" t="s">
        <v>9690</v>
      </c>
      <c r="B2539" s="1" t="s">
        <v>10</v>
      </c>
      <c r="C2539" s="1" t="s">
        <v>9691</v>
      </c>
      <c r="D2539" s="1" t="s">
        <v>933</v>
      </c>
      <c r="E2539" s="1" t="s">
        <v>933</v>
      </c>
      <c r="F2539" s="1" t="s">
        <v>9692</v>
      </c>
      <c r="G2539" s="1" t="s">
        <v>9693</v>
      </c>
      <c r="H2539" s="1" t="s">
        <v>1762</v>
      </c>
      <c r="I2539" t="b">
        <f>COUNTIF(Estadísticas!I:I,'centraldecomunicacion.es'!H2539)&gt;0</f>
        <v>0</v>
      </c>
    </row>
    <row r="2540" spans="1:9" hidden="1">
      <c r="A2540" s="1" t="s">
        <v>9694</v>
      </c>
      <c r="B2540" s="1" t="s">
        <v>10</v>
      </c>
      <c r="C2540" s="1" t="s">
        <v>9695</v>
      </c>
      <c r="D2540" s="1" t="s">
        <v>933</v>
      </c>
      <c r="E2540" s="1" t="s">
        <v>933</v>
      </c>
      <c r="F2540" s="1" t="s">
        <v>30</v>
      </c>
      <c r="G2540" s="1" t="s">
        <v>30</v>
      </c>
      <c r="H2540" s="1" t="s">
        <v>1762</v>
      </c>
      <c r="I2540" t="b">
        <f>COUNTIF(Estadísticas!I:I,'centraldecomunicacion.es'!H2540)&gt;0</f>
        <v>0</v>
      </c>
    </row>
    <row r="2541" spans="1:9" hidden="1">
      <c r="A2541" s="1" t="s">
        <v>9696</v>
      </c>
      <c r="B2541" s="1" t="s">
        <v>10</v>
      </c>
      <c r="C2541" s="1" t="s">
        <v>9697</v>
      </c>
      <c r="D2541" s="1" t="s">
        <v>933</v>
      </c>
      <c r="E2541" s="1" t="s">
        <v>933</v>
      </c>
      <c r="F2541" s="1" t="s">
        <v>30</v>
      </c>
      <c r="G2541" s="1" t="s">
        <v>9698</v>
      </c>
      <c r="H2541" s="1" t="s">
        <v>1762</v>
      </c>
      <c r="I2541" t="b">
        <f>COUNTIF(Estadísticas!I:I,'centraldecomunicacion.es'!H2541)&gt;0</f>
        <v>0</v>
      </c>
    </row>
    <row r="2542" spans="1:9" hidden="1">
      <c r="A2542" s="1" t="s">
        <v>9699</v>
      </c>
      <c r="B2542" s="1" t="s">
        <v>10</v>
      </c>
      <c r="C2542" s="1" t="s">
        <v>9700</v>
      </c>
      <c r="D2542" s="1" t="s">
        <v>933</v>
      </c>
      <c r="E2542" s="1" t="s">
        <v>933</v>
      </c>
      <c r="F2542" s="1" t="s">
        <v>30</v>
      </c>
      <c r="G2542" s="1" t="s">
        <v>9701</v>
      </c>
      <c r="H2542" s="1" t="s">
        <v>1762</v>
      </c>
      <c r="I2542" t="b">
        <f>COUNTIF(Estadísticas!I:I,'centraldecomunicacion.es'!H2542)&gt;0</f>
        <v>0</v>
      </c>
    </row>
    <row r="2543" spans="1:9" hidden="1">
      <c r="A2543" s="1" t="s">
        <v>9702</v>
      </c>
      <c r="B2543" s="1" t="s">
        <v>10</v>
      </c>
      <c r="C2543" s="1" t="s">
        <v>9703</v>
      </c>
      <c r="D2543" s="1" t="s">
        <v>933</v>
      </c>
      <c r="E2543" s="1" t="s">
        <v>933</v>
      </c>
      <c r="F2543" s="1" t="s">
        <v>30</v>
      </c>
      <c r="G2543" s="1" t="s">
        <v>9704</v>
      </c>
      <c r="H2543" s="1" t="s">
        <v>1762</v>
      </c>
      <c r="I2543" t="b">
        <f>COUNTIF(Estadísticas!I:I,'centraldecomunicacion.es'!H2543)&gt;0</f>
        <v>0</v>
      </c>
    </row>
    <row r="2544" spans="1:9" hidden="1">
      <c r="A2544" s="1" t="s">
        <v>9705</v>
      </c>
      <c r="B2544" s="1" t="s">
        <v>10</v>
      </c>
      <c r="C2544" s="1" t="s">
        <v>9706</v>
      </c>
      <c r="D2544" s="1" t="s">
        <v>933</v>
      </c>
      <c r="E2544" s="1" t="s">
        <v>933</v>
      </c>
      <c r="F2544" s="1" t="s">
        <v>30</v>
      </c>
      <c r="G2544" s="1" t="s">
        <v>9693</v>
      </c>
      <c r="H2544" s="1" t="s">
        <v>1762</v>
      </c>
      <c r="I2544" t="b">
        <f>COUNTIF(Estadísticas!I:I,'centraldecomunicacion.es'!H2544)&gt;0</f>
        <v>0</v>
      </c>
    </row>
    <row r="2545" spans="1:9" hidden="1">
      <c r="A2545" s="1" t="s">
        <v>9707</v>
      </c>
      <c r="B2545" s="1" t="s">
        <v>10</v>
      </c>
      <c r="C2545" s="1" t="s">
        <v>9708</v>
      </c>
      <c r="D2545" s="1" t="s">
        <v>933</v>
      </c>
      <c r="E2545" s="1" t="s">
        <v>933</v>
      </c>
      <c r="F2545" s="1" t="s">
        <v>30</v>
      </c>
      <c r="G2545" s="1" t="s">
        <v>9709</v>
      </c>
      <c r="H2545" s="1" t="s">
        <v>1762</v>
      </c>
      <c r="I2545" t="b">
        <f>COUNTIF(Estadísticas!I:I,'centraldecomunicacion.es'!H2545)&gt;0</f>
        <v>0</v>
      </c>
    </row>
    <row r="2546" spans="1:9" hidden="1">
      <c r="A2546" s="1" t="s">
        <v>9710</v>
      </c>
      <c r="B2546" s="1" t="s">
        <v>10</v>
      </c>
      <c r="C2546" s="1" t="s">
        <v>9711</v>
      </c>
      <c r="D2546" s="1" t="s">
        <v>933</v>
      </c>
      <c r="E2546" s="1" t="s">
        <v>933</v>
      </c>
      <c r="F2546" s="1" t="s">
        <v>30</v>
      </c>
      <c r="G2546" s="1" t="s">
        <v>30</v>
      </c>
      <c r="H2546" s="1" t="s">
        <v>1762</v>
      </c>
      <c r="I2546" t="b">
        <f>COUNTIF(Estadísticas!I:I,'centraldecomunicacion.es'!H2546)&gt;0</f>
        <v>0</v>
      </c>
    </row>
    <row r="2547" spans="1:9" hidden="1">
      <c r="A2547" s="1" t="s">
        <v>9712</v>
      </c>
      <c r="B2547" s="1" t="s">
        <v>10</v>
      </c>
      <c r="C2547" s="1" t="s">
        <v>9713</v>
      </c>
      <c r="D2547" s="1" t="s">
        <v>7408</v>
      </c>
      <c r="E2547" s="1" t="s">
        <v>7408</v>
      </c>
      <c r="F2547" s="1" t="s">
        <v>9714</v>
      </c>
      <c r="G2547" s="1" t="s">
        <v>9715</v>
      </c>
      <c r="H2547" s="1" t="s">
        <v>9716</v>
      </c>
      <c r="I2547" t="b">
        <f>COUNTIF(Estadísticas!I:I,'centraldecomunicacion.es'!H2547)&gt;0</f>
        <v>0</v>
      </c>
    </row>
    <row r="2548" spans="1:9" hidden="1">
      <c r="A2548" s="1" t="s">
        <v>9717</v>
      </c>
      <c r="B2548" s="1" t="s">
        <v>18</v>
      </c>
      <c r="C2548" s="1" t="s">
        <v>9718</v>
      </c>
      <c r="D2548" s="1" t="s">
        <v>933</v>
      </c>
      <c r="E2548" s="1" t="s">
        <v>933</v>
      </c>
      <c r="F2548" s="1" t="s">
        <v>30</v>
      </c>
      <c r="G2548" s="1" t="s">
        <v>9719</v>
      </c>
      <c r="H2548" s="1" t="s">
        <v>1762</v>
      </c>
      <c r="I2548" t="b">
        <f>COUNTIF(Estadísticas!I:I,'centraldecomunicacion.es'!H2548)&gt;0</f>
        <v>0</v>
      </c>
    </row>
    <row r="2549" spans="1:9" hidden="1">
      <c r="A2549" s="1" t="s">
        <v>9720</v>
      </c>
      <c r="B2549" s="1" t="s">
        <v>10</v>
      </c>
      <c r="C2549" s="1" t="s">
        <v>9721</v>
      </c>
      <c r="D2549" s="1" t="s">
        <v>933</v>
      </c>
      <c r="E2549" s="1" t="s">
        <v>933</v>
      </c>
      <c r="F2549" s="1" t="s">
        <v>30</v>
      </c>
      <c r="G2549" s="1" t="s">
        <v>30</v>
      </c>
      <c r="H2549" s="1" t="s">
        <v>1762</v>
      </c>
      <c r="I2549" t="b">
        <f>COUNTIF(Estadísticas!I:I,'centraldecomunicacion.es'!H2549)&gt;0</f>
        <v>0</v>
      </c>
    </row>
    <row r="2550" spans="1:9" hidden="1">
      <c r="A2550" s="1" t="s">
        <v>9722</v>
      </c>
      <c r="B2550" s="1" t="s">
        <v>10</v>
      </c>
      <c r="C2550" s="1" t="s">
        <v>9723</v>
      </c>
      <c r="D2550" s="1" t="s">
        <v>933</v>
      </c>
      <c r="E2550" s="1" t="s">
        <v>933</v>
      </c>
      <c r="F2550" s="1" t="s">
        <v>30</v>
      </c>
      <c r="G2550" s="1" t="s">
        <v>9724</v>
      </c>
      <c r="H2550" s="1" t="s">
        <v>1762</v>
      </c>
      <c r="I2550" t="b">
        <f>COUNTIF(Estadísticas!I:I,'centraldecomunicacion.es'!H2550)&gt;0</f>
        <v>0</v>
      </c>
    </row>
    <row r="2551" spans="1:9" hidden="1">
      <c r="A2551" s="1" t="s">
        <v>9725</v>
      </c>
      <c r="B2551" s="1" t="s">
        <v>10</v>
      </c>
      <c r="C2551" s="1" t="s">
        <v>9726</v>
      </c>
      <c r="D2551" s="1" t="s">
        <v>933</v>
      </c>
      <c r="E2551" s="1" t="s">
        <v>933</v>
      </c>
      <c r="F2551" s="1" t="s">
        <v>30</v>
      </c>
      <c r="G2551" s="1" t="s">
        <v>9727</v>
      </c>
      <c r="H2551" s="1" t="s">
        <v>1762</v>
      </c>
      <c r="I2551" t="b">
        <f>COUNTIF(Estadísticas!I:I,'centraldecomunicacion.es'!H2551)&gt;0</f>
        <v>0</v>
      </c>
    </row>
    <row r="2552" spans="1:9" hidden="1">
      <c r="A2552" s="1" t="s">
        <v>9728</v>
      </c>
      <c r="B2552" s="1" t="s">
        <v>10</v>
      </c>
      <c r="C2552" s="1" t="s">
        <v>9729</v>
      </c>
      <c r="D2552" s="1" t="s">
        <v>933</v>
      </c>
      <c r="E2552" s="1" t="s">
        <v>933</v>
      </c>
      <c r="F2552" s="1" t="s">
        <v>9714</v>
      </c>
      <c r="G2552" s="1" t="s">
        <v>9715</v>
      </c>
      <c r="H2552" s="1" t="s">
        <v>9716</v>
      </c>
      <c r="I2552" t="b">
        <f>COUNTIF(Estadísticas!I:I,'centraldecomunicacion.es'!H2552)&gt;0</f>
        <v>0</v>
      </c>
    </row>
    <row r="2553" spans="1:9" hidden="1">
      <c r="A2553" s="1" t="s">
        <v>9730</v>
      </c>
      <c r="B2553" s="1" t="s">
        <v>10</v>
      </c>
      <c r="C2553" s="1" t="s">
        <v>9731</v>
      </c>
      <c r="D2553" s="1" t="s">
        <v>933</v>
      </c>
      <c r="E2553" s="1" t="s">
        <v>933</v>
      </c>
      <c r="F2553" s="1" t="s">
        <v>30</v>
      </c>
      <c r="G2553" s="1" t="s">
        <v>9732</v>
      </c>
      <c r="H2553" s="1" t="s">
        <v>1762</v>
      </c>
      <c r="I2553" t="b">
        <f>COUNTIF(Estadísticas!I:I,'centraldecomunicacion.es'!H2553)&gt;0</f>
        <v>0</v>
      </c>
    </row>
    <row r="2554" spans="1:9" hidden="1">
      <c r="A2554" s="1" t="s">
        <v>9733</v>
      </c>
      <c r="B2554" s="1" t="s">
        <v>18</v>
      </c>
      <c r="C2554" s="1" t="s">
        <v>9734</v>
      </c>
      <c r="D2554" s="1" t="s">
        <v>7408</v>
      </c>
      <c r="E2554" s="1" t="s">
        <v>933</v>
      </c>
      <c r="F2554" s="1" t="s">
        <v>9735</v>
      </c>
      <c r="G2554" s="1" t="s">
        <v>9736</v>
      </c>
      <c r="H2554" s="1" t="s">
        <v>9737</v>
      </c>
      <c r="I2554" t="b">
        <f>COUNTIF(Estadísticas!I:I,'centraldecomunicacion.es'!H2554)&gt;0</f>
        <v>0</v>
      </c>
    </row>
    <row r="2555" spans="1:9" hidden="1">
      <c r="A2555" s="1" t="s">
        <v>9738</v>
      </c>
      <c r="B2555" s="1" t="s">
        <v>18</v>
      </c>
      <c r="C2555" s="1" t="s">
        <v>9739</v>
      </c>
      <c r="D2555" s="1" t="s">
        <v>933</v>
      </c>
      <c r="E2555" s="1" t="s">
        <v>933</v>
      </c>
      <c r="F2555" s="1" t="s">
        <v>30</v>
      </c>
      <c r="G2555" s="1" t="s">
        <v>30</v>
      </c>
      <c r="H2555" s="1" t="s">
        <v>1762</v>
      </c>
      <c r="I2555" t="b">
        <f>COUNTIF(Estadísticas!I:I,'centraldecomunicacion.es'!H2555)&gt;0</f>
        <v>0</v>
      </c>
    </row>
    <row r="2556" spans="1:9" hidden="1">
      <c r="A2556" s="1" t="s">
        <v>9740</v>
      </c>
      <c r="B2556" s="1" t="s">
        <v>18</v>
      </c>
      <c r="C2556" s="1" t="s">
        <v>9741</v>
      </c>
      <c r="D2556" s="1" t="s">
        <v>933</v>
      </c>
      <c r="E2556" s="1" t="s">
        <v>933</v>
      </c>
      <c r="F2556" s="1" t="s">
        <v>30</v>
      </c>
      <c r="G2556" s="1" t="s">
        <v>9742</v>
      </c>
      <c r="H2556" s="1" t="s">
        <v>1762</v>
      </c>
      <c r="I2556" t="b">
        <f>COUNTIF(Estadísticas!I:I,'centraldecomunicacion.es'!H2556)&gt;0</f>
        <v>0</v>
      </c>
    </row>
    <row r="2557" spans="1:9" hidden="1">
      <c r="A2557" s="1" t="s">
        <v>9728</v>
      </c>
      <c r="B2557" s="1" t="s">
        <v>10</v>
      </c>
      <c r="C2557" s="1" t="s">
        <v>9743</v>
      </c>
      <c r="D2557" s="1" t="s">
        <v>933</v>
      </c>
      <c r="E2557" s="1" t="s">
        <v>933</v>
      </c>
      <c r="F2557" s="1" t="s">
        <v>30</v>
      </c>
      <c r="G2557" s="1" t="s">
        <v>9715</v>
      </c>
      <c r="H2557" s="1" t="s">
        <v>1762</v>
      </c>
      <c r="I2557" t="b">
        <f>COUNTIF(Estadísticas!I:I,'centraldecomunicacion.es'!H2557)&gt;0</f>
        <v>0</v>
      </c>
    </row>
    <row r="2558" spans="1:9" hidden="1">
      <c r="A2558" s="1" t="s">
        <v>9744</v>
      </c>
      <c r="B2558" s="1" t="s">
        <v>10</v>
      </c>
      <c r="C2558" s="1" t="s">
        <v>9745</v>
      </c>
      <c r="D2558" s="1" t="s">
        <v>9746</v>
      </c>
      <c r="E2558" s="1" t="s">
        <v>933</v>
      </c>
      <c r="F2558" s="1" t="s">
        <v>9747</v>
      </c>
      <c r="G2558" s="1" t="s">
        <v>9748</v>
      </c>
      <c r="H2558" s="1" t="s">
        <v>1762</v>
      </c>
      <c r="I2558" t="b">
        <f>COUNTIF(Estadísticas!I:I,'centraldecomunicacion.es'!H2558)&gt;0</f>
        <v>0</v>
      </c>
    </row>
    <row r="2559" spans="1:9" hidden="1">
      <c r="A2559" s="1" t="s">
        <v>9749</v>
      </c>
      <c r="B2559" s="1" t="s">
        <v>10</v>
      </c>
      <c r="C2559" s="1" t="s">
        <v>9750</v>
      </c>
      <c r="D2559" s="1" t="s">
        <v>9746</v>
      </c>
      <c r="E2559" s="1" t="s">
        <v>933</v>
      </c>
      <c r="F2559" s="1" t="s">
        <v>9751</v>
      </c>
      <c r="G2559" s="1" t="s">
        <v>9752</v>
      </c>
      <c r="H2559" s="1" t="s">
        <v>9753</v>
      </c>
      <c r="I2559" t="b">
        <f>COUNTIF(Estadísticas!I:I,'centraldecomunicacion.es'!H2559)&gt;0</f>
        <v>0</v>
      </c>
    </row>
    <row r="2560" spans="1:9" hidden="1">
      <c r="A2560" s="1" t="s">
        <v>9754</v>
      </c>
      <c r="B2560" s="1" t="s">
        <v>10</v>
      </c>
      <c r="C2560" s="1" t="s">
        <v>9755</v>
      </c>
      <c r="D2560" s="1" t="s">
        <v>9746</v>
      </c>
      <c r="E2560" s="1" t="s">
        <v>933</v>
      </c>
      <c r="F2560" s="1" t="s">
        <v>9756</v>
      </c>
      <c r="G2560" s="1" t="s">
        <v>9757</v>
      </c>
      <c r="H2560" s="1" t="s">
        <v>9758</v>
      </c>
      <c r="I2560" t="b">
        <f>COUNTIF(Estadísticas!I:I,'centraldecomunicacion.es'!H2560)&gt;0</f>
        <v>0</v>
      </c>
    </row>
    <row r="2561" spans="1:9" hidden="1">
      <c r="A2561" s="1" t="s">
        <v>9759</v>
      </c>
      <c r="B2561" s="1" t="s">
        <v>10</v>
      </c>
      <c r="C2561" s="1" t="s">
        <v>9760</v>
      </c>
      <c r="D2561" s="1" t="s">
        <v>9761</v>
      </c>
      <c r="E2561" s="1" t="s">
        <v>933</v>
      </c>
      <c r="F2561" s="1" t="s">
        <v>30</v>
      </c>
      <c r="G2561" s="1" t="s">
        <v>9762</v>
      </c>
      <c r="H2561" s="1" t="s">
        <v>1762</v>
      </c>
      <c r="I2561" t="b">
        <f>COUNTIF(Estadísticas!I:I,'centraldecomunicacion.es'!H2561)&gt;0</f>
        <v>0</v>
      </c>
    </row>
    <row r="2562" spans="1:9" hidden="1">
      <c r="A2562" s="1" t="s">
        <v>9763</v>
      </c>
      <c r="B2562" s="1" t="s">
        <v>10</v>
      </c>
      <c r="C2562" s="1" t="s">
        <v>9764</v>
      </c>
      <c r="D2562" s="1" t="s">
        <v>9746</v>
      </c>
      <c r="E2562" s="1" t="s">
        <v>933</v>
      </c>
      <c r="F2562" s="1" t="s">
        <v>30</v>
      </c>
      <c r="G2562" s="1" t="s">
        <v>9765</v>
      </c>
      <c r="H2562" s="1" t="s">
        <v>1762</v>
      </c>
      <c r="I2562" t="b">
        <f>COUNTIF(Estadísticas!I:I,'centraldecomunicacion.es'!H2562)&gt;0</f>
        <v>0</v>
      </c>
    </row>
    <row r="2563" spans="1:9" hidden="1">
      <c r="A2563" s="1" t="s">
        <v>9766</v>
      </c>
      <c r="B2563" s="1" t="s">
        <v>10</v>
      </c>
      <c r="C2563" s="1" t="s">
        <v>9767</v>
      </c>
      <c r="D2563" s="1" t="s">
        <v>9746</v>
      </c>
      <c r="E2563" s="1" t="s">
        <v>933</v>
      </c>
      <c r="F2563" s="1" t="s">
        <v>30</v>
      </c>
      <c r="G2563" s="1" t="s">
        <v>9768</v>
      </c>
      <c r="H2563" s="1" t="s">
        <v>1762</v>
      </c>
      <c r="I2563" t="b">
        <f>COUNTIF(Estadísticas!I:I,'centraldecomunicacion.es'!H2563)&gt;0</f>
        <v>0</v>
      </c>
    </row>
    <row r="2564" spans="1:9" hidden="1">
      <c r="A2564" s="1" t="s">
        <v>9769</v>
      </c>
      <c r="B2564" s="1" t="s">
        <v>10</v>
      </c>
      <c r="C2564" s="1" t="s">
        <v>9770</v>
      </c>
      <c r="D2564" s="1" t="s">
        <v>9771</v>
      </c>
      <c r="E2564" s="1" t="s">
        <v>933</v>
      </c>
      <c r="F2564" s="1" t="s">
        <v>30</v>
      </c>
      <c r="G2564" s="1" t="s">
        <v>9772</v>
      </c>
      <c r="H2564" s="1" t="s">
        <v>1762</v>
      </c>
      <c r="I2564" t="b">
        <f>COUNTIF(Estadísticas!I:I,'centraldecomunicacion.es'!H2564)&gt;0</f>
        <v>0</v>
      </c>
    </row>
    <row r="2565" spans="1:9" hidden="1">
      <c r="A2565" s="1" t="s">
        <v>9773</v>
      </c>
      <c r="B2565" s="1" t="s">
        <v>10</v>
      </c>
      <c r="C2565" s="1" t="s">
        <v>9774</v>
      </c>
      <c r="D2565" s="1" t="s">
        <v>9775</v>
      </c>
      <c r="E2565" s="1" t="s">
        <v>933</v>
      </c>
      <c r="F2565" s="1" t="s">
        <v>30</v>
      </c>
      <c r="G2565" s="1" t="s">
        <v>9776</v>
      </c>
      <c r="H2565" s="1" t="s">
        <v>1762</v>
      </c>
      <c r="I2565" t="b">
        <f>COUNTIF(Estadísticas!I:I,'centraldecomunicacion.es'!H2565)&gt;0</f>
        <v>0</v>
      </c>
    </row>
    <row r="2566" spans="1:9" hidden="1">
      <c r="A2566" s="1" t="s">
        <v>9777</v>
      </c>
      <c r="B2566" s="1" t="s">
        <v>10</v>
      </c>
      <c r="C2566" s="1" t="s">
        <v>9778</v>
      </c>
      <c r="D2566" s="1" t="s">
        <v>9779</v>
      </c>
      <c r="E2566" s="1" t="s">
        <v>933</v>
      </c>
      <c r="F2566" s="1" t="s">
        <v>30</v>
      </c>
      <c r="G2566" s="1" t="s">
        <v>30</v>
      </c>
      <c r="H2566" s="1" t="s">
        <v>1762</v>
      </c>
      <c r="I2566" t="b">
        <f>COUNTIF(Estadísticas!I:I,'centraldecomunicacion.es'!H2566)&gt;0</f>
        <v>0</v>
      </c>
    </row>
    <row r="2567" spans="1:9" hidden="1">
      <c r="A2567" s="1" t="s">
        <v>9780</v>
      </c>
      <c r="B2567" s="1" t="s">
        <v>10</v>
      </c>
      <c r="C2567" s="1" t="s">
        <v>9781</v>
      </c>
      <c r="D2567" s="1" t="s">
        <v>9779</v>
      </c>
      <c r="E2567" s="1" t="s">
        <v>933</v>
      </c>
      <c r="F2567" s="1" t="s">
        <v>9782</v>
      </c>
      <c r="G2567" s="1" t="s">
        <v>9783</v>
      </c>
      <c r="H2567" s="1" t="s">
        <v>1783</v>
      </c>
      <c r="I2567" t="b">
        <f>COUNTIF(Estadísticas!I:I,'centraldecomunicacion.es'!H2567)&gt;0</f>
        <v>0</v>
      </c>
    </row>
    <row r="2568" spans="1:9" hidden="1">
      <c r="A2568" s="1" t="s">
        <v>9784</v>
      </c>
      <c r="B2568" s="1" t="s">
        <v>10</v>
      </c>
      <c r="C2568" s="1" t="s">
        <v>9785</v>
      </c>
      <c r="D2568" s="1" t="s">
        <v>9786</v>
      </c>
      <c r="E2568" s="1" t="s">
        <v>933</v>
      </c>
      <c r="F2568" s="1" t="s">
        <v>30</v>
      </c>
      <c r="G2568" s="1" t="s">
        <v>9787</v>
      </c>
      <c r="H2568" s="1" t="s">
        <v>1762</v>
      </c>
      <c r="I2568" t="b">
        <f>COUNTIF(Estadísticas!I:I,'centraldecomunicacion.es'!H2568)&gt;0</f>
        <v>0</v>
      </c>
    </row>
    <row r="2569" spans="1:9" hidden="1">
      <c r="A2569" s="1" t="s">
        <v>9788</v>
      </c>
      <c r="B2569" s="1" t="s">
        <v>10</v>
      </c>
      <c r="C2569" s="1" t="s">
        <v>9789</v>
      </c>
      <c r="D2569" s="1" t="s">
        <v>9790</v>
      </c>
      <c r="E2569" s="1" t="s">
        <v>933</v>
      </c>
      <c r="F2569" s="1" t="s">
        <v>30</v>
      </c>
      <c r="G2569" s="1" t="s">
        <v>9791</v>
      </c>
      <c r="H2569" s="1" t="s">
        <v>1762</v>
      </c>
      <c r="I2569" t="b">
        <f>COUNTIF(Estadísticas!I:I,'centraldecomunicacion.es'!H2569)&gt;0</f>
        <v>0</v>
      </c>
    </row>
    <row r="2570" spans="1:9" hidden="1">
      <c r="A2570" s="1" t="s">
        <v>9792</v>
      </c>
      <c r="B2570" s="1" t="s">
        <v>10</v>
      </c>
      <c r="C2570" s="1" t="s">
        <v>9793</v>
      </c>
      <c r="D2570" s="1" t="s">
        <v>9794</v>
      </c>
      <c r="E2570" s="1" t="s">
        <v>933</v>
      </c>
      <c r="F2570" s="1" t="s">
        <v>30</v>
      </c>
      <c r="G2570" s="1" t="s">
        <v>30</v>
      </c>
      <c r="H2570" s="1" t="s">
        <v>1762</v>
      </c>
      <c r="I2570" t="b">
        <f>COUNTIF(Estadísticas!I:I,'centraldecomunicacion.es'!H2570)&gt;0</f>
        <v>0</v>
      </c>
    </row>
    <row r="2571" spans="1:9">
      <c r="A2571" s="1" t="s">
        <v>930</v>
      </c>
      <c r="B2571" s="1" t="s">
        <v>10</v>
      </c>
      <c r="C2571" s="1" t="s">
        <v>931</v>
      </c>
      <c r="D2571" s="1" t="s">
        <v>932</v>
      </c>
      <c r="E2571" s="1" t="s">
        <v>933</v>
      </c>
      <c r="F2571" s="1" t="s">
        <v>934</v>
      </c>
      <c r="G2571" s="1" t="s">
        <v>935</v>
      </c>
      <c r="H2571" s="1" t="s">
        <v>936</v>
      </c>
      <c r="I2571" t="b">
        <f>COUNTIF(Estadísticas!I:I,'centraldecomunicacion.es'!H2571)&gt;0</f>
        <v>1</v>
      </c>
    </row>
    <row r="2572" spans="1:9" hidden="1">
      <c r="A2572" s="1" t="s">
        <v>9795</v>
      </c>
      <c r="B2572" s="1" t="s">
        <v>10</v>
      </c>
      <c r="C2572" s="1" t="s">
        <v>9796</v>
      </c>
      <c r="D2572" s="1" t="s">
        <v>9797</v>
      </c>
      <c r="E2572" s="1" t="s">
        <v>933</v>
      </c>
      <c r="F2572" s="1" t="s">
        <v>30</v>
      </c>
      <c r="G2572" s="1" t="s">
        <v>9798</v>
      </c>
      <c r="H2572" s="1" t="s">
        <v>1762</v>
      </c>
      <c r="I2572" t="b">
        <f>COUNTIF(Estadísticas!I:I,'centraldecomunicacion.es'!H2572)&gt;0</f>
        <v>0</v>
      </c>
    </row>
    <row r="2573" spans="1:9" hidden="1">
      <c r="A2573" s="1" t="s">
        <v>9799</v>
      </c>
      <c r="B2573" s="1" t="s">
        <v>10</v>
      </c>
      <c r="C2573" s="1" t="s">
        <v>9800</v>
      </c>
      <c r="D2573" s="1" t="s">
        <v>9746</v>
      </c>
      <c r="E2573" s="1" t="s">
        <v>933</v>
      </c>
      <c r="F2573" s="1" t="s">
        <v>30</v>
      </c>
      <c r="G2573" s="1" t="s">
        <v>9801</v>
      </c>
      <c r="H2573" s="1" t="s">
        <v>1762</v>
      </c>
      <c r="I2573" t="b">
        <f>COUNTIF(Estadísticas!I:I,'centraldecomunicacion.es'!H2573)&gt;0</f>
        <v>0</v>
      </c>
    </row>
    <row r="2574" spans="1:9" hidden="1">
      <c r="A2574" s="1" t="s">
        <v>9802</v>
      </c>
      <c r="B2574" s="1" t="s">
        <v>10</v>
      </c>
      <c r="C2574" s="1" t="s">
        <v>9803</v>
      </c>
      <c r="D2574" s="1" t="s">
        <v>5192</v>
      </c>
      <c r="E2574" s="1" t="s">
        <v>294</v>
      </c>
      <c r="F2574" s="1" t="s">
        <v>30</v>
      </c>
      <c r="G2574" s="1" t="s">
        <v>9804</v>
      </c>
      <c r="H2574" s="1" t="s">
        <v>1762</v>
      </c>
      <c r="I2574" t="b">
        <f>COUNTIF(Estadísticas!I:I,'centraldecomunicacion.es'!H2574)&gt;0</f>
        <v>0</v>
      </c>
    </row>
    <row r="2575" spans="1:9" hidden="1">
      <c r="A2575" s="1" t="s">
        <v>9805</v>
      </c>
      <c r="B2575" s="1" t="s">
        <v>10</v>
      </c>
      <c r="C2575" s="1" t="s">
        <v>9806</v>
      </c>
      <c r="D2575" s="1" t="s">
        <v>938</v>
      </c>
      <c r="E2575" s="1" t="s">
        <v>933</v>
      </c>
      <c r="F2575" s="1" t="s">
        <v>30</v>
      </c>
      <c r="G2575" s="1" t="s">
        <v>9807</v>
      </c>
      <c r="H2575" s="1" t="s">
        <v>1762</v>
      </c>
      <c r="I2575" t="b">
        <f>COUNTIF(Estadísticas!I:I,'centraldecomunicacion.es'!H2575)&gt;0</f>
        <v>0</v>
      </c>
    </row>
    <row r="2576" spans="1:9" hidden="1">
      <c r="A2576" s="1" t="s">
        <v>9808</v>
      </c>
      <c r="B2576" s="1" t="s">
        <v>10</v>
      </c>
      <c r="C2576" s="1" t="s">
        <v>9809</v>
      </c>
      <c r="D2576" s="1" t="s">
        <v>932</v>
      </c>
      <c r="E2576" s="1" t="s">
        <v>933</v>
      </c>
      <c r="F2576" s="1" t="s">
        <v>30</v>
      </c>
      <c r="G2576" s="1" t="s">
        <v>30</v>
      </c>
      <c r="H2576" s="1" t="s">
        <v>1762</v>
      </c>
      <c r="I2576" t="b">
        <f>COUNTIF(Estadísticas!I:I,'centraldecomunicacion.es'!H2576)&gt;0</f>
        <v>0</v>
      </c>
    </row>
    <row r="2577" spans="1:9" hidden="1">
      <c r="A2577" s="1" t="s">
        <v>9810</v>
      </c>
      <c r="B2577" s="1" t="s">
        <v>10</v>
      </c>
      <c r="C2577" s="1" t="s">
        <v>9811</v>
      </c>
      <c r="D2577" s="1" t="s">
        <v>9797</v>
      </c>
      <c r="E2577" s="1" t="s">
        <v>933</v>
      </c>
      <c r="F2577" s="1" t="s">
        <v>30</v>
      </c>
      <c r="G2577" s="1" t="s">
        <v>9812</v>
      </c>
      <c r="H2577" s="1" t="s">
        <v>1762</v>
      </c>
      <c r="I2577" t="b">
        <f>COUNTIF(Estadísticas!I:I,'centraldecomunicacion.es'!H2577)&gt;0</f>
        <v>0</v>
      </c>
    </row>
    <row r="2578" spans="1:9" hidden="1">
      <c r="A2578" s="1" t="s">
        <v>9813</v>
      </c>
      <c r="B2578" s="1" t="s">
        <v>10</v>
      </c>
      <c r="C2578" s="1" t="s">
        <v>9814</v>
      </c>
      <c r="D2578" s="1" t="s">
        <v>926</v>
      </c>
      <c r="E2578" s="1" t="s">
        <v>926</v>
      </c>
      <c r="F2578" s="1" t="s">
        <v>30</v>
      </c>
      <c r="G2578" s="1" t="s">
        <v>9815</v>
      </c>
      <c r="H2578" s="1" t="s">
        <v>1762</v>
      </c>
      <c r="I2578" t="b">
        <f>COUNTIF(Estadísticas!I:I,'centraldecomunicacion.es'!H2578)&gt;0</f>
        <v>0</v>
      </c>
    </row>
    <row r="2579" spans="1:9" hidden="1">
      <c r="A2579" s="1" t="s">
        <v>9816</v>
      </c>
      <c r="B2579" s="1" t="s">
        <v>10</v>
      </c>
      <c r="C2579" s="1" t="s">
        <v>9817</v>
      </c>
      <c r="D2579" s="1" t="s">
        <v>926</v>
      </c>
      <c r="E2579" s="1" t="s">
        <v>926</v>
      </c>
      <c r="F2579" s="1" t="s">
        <v>1984</v>
      </c>
      <c r="G2579" s="1" t="s">
        <v>9818</v>
      </c>
      <c r="H2579" s="1" t="s">
        <v>1762</v>
      </c>
      <c r="I2579" t="b">
        <f>COUNTIF(Estadísticas!I:I,'centraldecomunicacion.es'!H2579)&gt;0</f>
        <v>0</v>
      </c>
    </row>
    <row r="2580" spans="1:9" hidden="1">
      <c r="A2580" s="1" t="s">
        <v>9819</v>
      </c>
      <c r="B2580" s="1" t="s">
        <v>10</v>
      </c>
      <c r="C2580" s="1" t="s">
        <v>9820</v>
      </c>
      <c r="D2580" s="1" t="s">
        <v>9821</v>
      </c>
      <c r="E2580" s="1" t="s">
        <v>933</v>
      </c>
      <c r="F2580" s="1" t="s">
        <v>30</v>
      </c>
      <c r="G2580" s="1" t="s">
        <v>30</v>
      </c>
      <c r="H2580" s="1" t="s">
        <v>1762</v>
      </c>
      <c r="I2580" t="b">
        <f>COUNTIF(Estadísticas!I:I,'centraldecomunicacion.es'!H2580)&gt;0</f>
        <v>0</v>
      </c>
    </row>
    <row r="2581" spans="1:9" hidden="1">
      <c r="A2581" s="1" t="s">
        <v>9822</v>
      </c>
      <c r="B2581" s="1" t="s">
        <v>18</v>
      </c>
      <c r="C2581" s="1" t="s">
        <v>9823</v>
      </c>
      <c r="D2581" s="1" t="s">
        <v>1455</v>
      </c>
      <c r="E2581" s="1" t="s">
        <v>1456</v>
      </c>
      <c r="F2581" s="1" t="s">
        <v>4288</v>
      </c>
      <c r="G2581" s="1" t="s">
        <v>9824</v>
      </c>
      <c r="H2581" s="1" t="s">
        <v>4290</v>
      </c>
      <c r="I2581" t="b">
        <f>COUNTIF(Estadísticas!I:I,'centraldecomunicacion.es'!H2581)&gt;0</f>
        <v>0</v>
      </c>
    </row>
    <row r="2582" spans="1:9" hidden="1">
      <c r="A2582" s="1" t="s">
        <v>9825</v>
      </c>
      <c r="B2582" s="1" t="s">
        <v>18</v>
      </c>
      <c r="C2582" s="1" t="s">
        <v>9826</v>
      </c>
      <c r="D2582" s="1" t="s">
        <v>9827</v>
      </c>
      <c r="E2582" s="1" t="s">
        <v>945</v>
      </c>
      <c r="F2582" s="1" t="s">
        <v>4288</v>
      </c>
      <c r="G2582" s="1" t="s">
        <v>9828</v>
      </c>
      <c r="H2582" s="1" t="s">
        <v>4290</v>
      </c>
      <c r="I2582" t="b">
        <f>COUNTIF(Estadísticas!I:I,'centraldecomunicacion.es'!H2582)&gt;0</f>
        <v>0</v>
      </c>
    </row>
    <row r="2583" spans="1:9" hidden="1">
      <c r="A2583" s="1" t="s">
        <v>9829</v>
      </c>
      <c r="B2583" s="1" t="s">
        <v>10</v>
      </c>
      <c r="C2583" s="1" t="s">
        <v>9830</v>
      </c>
      <c r="D2583" s="1" t="s">
        <v>926</v>
      </c>
      <c r="E2583" s="1" t="s">
        <v>926</v>
      </c>
      <c r="F2583" s="1" t="s">
        <v>9831</v>
      </c>
      <c r="G2583" s="1" t="s">
        <v>9832</v>
      </c>
      <c r="H2583" s="1" t="s">
        <v>9833</v>
      </c>
      <c r="I2583" t="b">
        <f>COUNTIF(Estadísticas!I:I,'centraldecomunicacion.es'!H2583)&gt;0</f>
        <v>0</v>
      </c>
    </row>
    <row r="2584" spans="1:9" hidden="1">
      <c r="A2584" s="1" t="s">
        <v>9834</v>
      </c>
      <c r="B2584" s="1" t="s">
        <v>10</v>
      </c>
      <c r="C2584" s="1" t="s">
        <v>9835</v>
      </c>
      <c r="D2584" s="1" t="s">
        <v>926</v>
      </c>
      <c r="E2584" s="1" t="s">
        <v>926</v>
      </c>
      <c r="F2584" s="1" t="s">
        <v>9836</v>
      </c>
      <c r="G2584" s="1" t="s">
        <v>9837</v>
      </c>
      <c r="H2584" s="1" t="s">
        <v>1762</v>
      </c>
      <c r="I2584" t="b">
        <f>COUNTIF(Estadísticas!I:I,'centraldecomunicacion.es'!H2584)&gt;0</f>
        <v>0</v>
      </c>
    </row>
    <row r="2585" spans="1:9">
      <c r="A2585" s="1" t="s">
        <v>937</v>
      </c>
      <c r="B2585" s="1" t="s">
        <v>18</v>
      </c>
      <c r="C2585" s="1" t="s">
        <v>30</v>
      </c>
      <c r="D2585" s="1" t="s">
        <v>938</v>
      </c>
      <c r="E2585" s="1" t="s">
        <v>30</v>
      </c>
      <c r="F2585" s="1" t="s">
        <v>939</v>
      </c>
      <c r="G2585" s="1" t="s">
        <v>940</v>
      </c>
      <c r="H2585" s="1" t="s">
        <v>941</v>
      </c>
      <c r="I2585" t="b">
        <f>COUNTIF(Estadísticas!I:I,'centraldecomunicacion.es'!H2585)&gt;0</f>
        <v>1</v>
      </c>
    </row>
    <row r="2586" spans="1:9">
      <c r="A2586" s="1" t="s">
        <v>942</v>
      </c>
      <c r="B2586" s="1" t="s">
        <v>10</v>
      </c>
      <c r="C2586" s="1" t="s">
        <v>943</v>
      </c>
      <c r="D2586" s="1" t="s">
        <v>944</v>
      </c>
      <c r="E2586" s="1" t="s">
        <v>945</v>
      </c>
      <c r="F2586" s="1" t="s">
        <v>946</v>
      </c>
      <c r="G2586" s="1" t="s">
        <v>947</v>
      </c>
      <c r="H2586" s="1" t="s">
        <v>948</v>
      </c>
      <c r="I2586" t="b">
        <f>COUNTIF(Estadísticas!I:I,'centraldecomunicacion.es'!H2586)&gt;0</f>
        <v>1</v>
      </c>
    </row>
    <row r="2587" spans="1:9" hidden="1">
      <c r="A2587" s="1" t="s">
        <v>9838</v>
      </c>
      <c r="B2587" s="1" t="s">
        <v>10</v>
      </c>
      <c r="C2587" s="1" t="s">
        <v>9839</v>
      </c>
      <c r="D2587" s="1" t="s">
        <v>926</v>
      </c>
      <c r="E2587" s="1" t="s">
        <v>926</v>
      </c>
      <c r="F2587" s="1" t="s">
        <v>9840</v>
      </c>
      <c r="G2587" s="1" t="s">
        <v>9841</v>
      </c>
      <c r="H2587" s="1" t="s">
        <v>1762</v>
      </c>
      <c r="I2587" t="b">
        <f>COUNTIF(Estadísticas!I:I,'centraldecomunicacion.es'!H2587)&gt;0</f>
        <v>0</v>
      </c>
    </row>
    <row r="2588" spans="1:9" hidden="1">
      <c r="A2588" s="1" t="s">
        <v>9842</v>
      </c>
      <c r="B2588" s="1" t="s">
        <v>10</v>
      </c>
      <c r="C2588" s="1" t="s">
        <v>9843</v>
      </c>
      <c r="D2588" s="1" t="s">
        <v>6208</v>
      </c>
      <c r="E2588" s="1" t="s">
        <v>1237</v>
      </c>
      <c r="F2588" s="1" t="s">
        <v>9844</v>
      </c>
      <c r="G2588" s="1" t="s">
        <v>9845</v>
      </c>
      <c r="H2588" s="1" t="s">
        <v>9846</v>
      </c>
      <c r="I2588" t="b">
        <f>COUNTIF(Estadísticas!I:I,'centraldecomunicacion.es'!H2588)&gt;0</f>
        <v>0</v>
      </c>
    </row>
    <row r="2589" spans="1:9" hidden="1">
      <c r="A2589" s="1" t="s">
        <v>9847</v>
      </c>
      <c r="B2589" s="1" t="s">
        <v>10</v>
      </c>
      <c r="C2589" s="1" t="s">
        <v>9848</v>
      </c>
      <c r="D2589" s="1" t="s">
        <v>9849</v>
      </c>
      <c r="E2589" s="1" t="s">
        <v>933</v>
      </c>
      <c r="F2589" s="1" t="s">
        <v>30</v>
      </c>
      <c r="G2589" s="1" t="s">
        <v>30</v>
      </c>
      <c r="H2589" s="1" t="s">
        <v>1762</v>
      </c>
      <c r="I2589" t="b">
        <f>COUNTIF(Estadísticas!I:I,'centraldecomunicacion.es'!H2589)&gt;0</f>
        <v>0</v>
      </c>
    </row>
    <row r="2590" spans="1:9" hidden="1">
      <c r="A2590" s="1" t="s">
        <v>9850</v>
      </c>
      <c r="B2590" s="1" t="s">
        <v>18</v>
      </c>
      <c r="C2590" s="1" t="s">
        <v>9851</v>
      </c>
      <c r="D2590" s="1" t="s">
        <v>1525</v>
      </c>
      <c r="E2590" s="1" t="s">
        <v>1526</v>
      </c>
      <c r="F2590" s="1" t="s">
        <v>4288</v>
      </c>
      <c r="G2590" s="1" t="s">
        <v>9852</v>
      </c>
      <c r="H2590" s="1" t="s">
        <v>4290</v>
      </c>
      <c r="I2590" t="b">
        <f>COUNTIF(Estadísticas!I:I,'centraldecomunicacion.es'!H2590)&gt;0</f>
        <v>0</v>
      </c>
    </row>
    <row r="2591" spans="1:9" hidden="1">
      <c r="A2591" s="1" t="s">
        <v>9853</v>
      </c>
      <c r="B2591" s="1" t="s">
        <v>10</v>
      </c>
      <c r="C2591" s="1" t="s">
        <v>9854</v>
      </c>
      <c r="D2591" s="1" t="s">
        <v>1237</v>
      </c>
      <c r="E2591" s="1" t="s">
        <v>1237</v>
      </c>
      <c r="F2591" s="1" t="s">
        <v>30</v>
      </c>
      <c r="G2591" s="1" t="s">
        <v>9855</v>
      </c>
      <c r="H2591" s="1" t="s">
        <v>1762</v>
      </c>
      <c r="I2591" t="b">
        <f>COUNTIF(Estadísticas!I:I,'centraldecomunicacion.es'!H2591)&gt;0</f>
        <v>0</v>
      </c>
    </row>
    <row r="2592" spans="1:9" hidden="1">
      <c r="A2592" s="1" t="s">
        <v>9856</v>
      </c>
      <c r="B2592" s="1" t="s">
        <v>10</v>
      </c>
      <c r="C2592" s="1" t="s">
        <v>9857</v>
      </c>
      <c r="D2592" s="1" t="s">
        <v>9858</v>
      </c>
      <c r="E2592" s="1" t="s">
        <v>457</v>
      </c>
      <c r="F2592" s="1" t="s">
        <v>30</v>
      </c>
      <c r="G2592" s="1" t="s">
        <v>30</v>
      </c>
      <c r="H2592" s="1" t="s">
        <v>1762</v>
      </c>
      <c r="I2592" t="b">
        <f>COUNTIF(Estadísticas!I:I,'centraldecomunicacion.es'!H2592)&gt;0</f>
        <v>0</v>
      </c>
    </row>
    <row r="2593" spans="1:9" hidden="1">
      <c r="A2593" s="1" t="s">
        <v>9859</v>
      </c>
      <c r="B2593" s="1" t="s">
        <v>10</v>
      </c>
      <c r="C2593" s="1" t="s">
        <v>9860</v>
      </c>
      <c r="D2593" s="1" t="s">
        <v>457</v>
      </c>
      <c r="E2593" s="1" t="s">
        <v>457</v>
      </c>
      <c r="F2593" s="1" t="s">
        <v>9861</v>
      </c>
      <c r="G2593" s="1" t="s">
        <v>9862</v>
      </c>
      <c r="H2593" s="1" t="s">
        <v>1783</v>
      </c>
      <c r="I2593" t="b">
        <f>COUNTIF(Estadísticas!I:I,'centraldecomunicacion.es'!H2593)&gt;0</f>
        <v>0</v>
      </c>
    </row>
    <row r="2594" spans="1:9" hidden="1">
      <c r="A2594" s="1" t="s">
        <v>9863</v>
      </c>
      <c r="B2594" s="1" t="s">
        <v>10</v>
      </c>
      <c r="C2594" s="1" t="s">
        <v>9864</v>
      </c>
      <c r="D2594" s="1" t="s">
        <v>457</v>
      </c>
      <c r="E2594" s="1" t="s">
        <v>457</v>
      </c>
      <c r="F2594" s="1" t="s">
        <v>1830</v>
      </c>
      <c r="G2594" s="1" t="s">
        <v>9865</v>
      </c>
      <c r="H2594" s="1" t="s">
        <v>1762</v>
      </c>
      <c r="I2594" t="b">
        <f>COUNTIF(Estadísticas!I:I,'centraldecomunicacion.es'!H2594)&gt;0</f>
        <v>0</v>
      </c>
    </row>
    <row r="2595" spans="1:9">
      <c r="A2595" s="1" t="s">
        <v>949</v>
      </c>
      <c r="B2595" s="1" t="s">
        <v>10</v>
      </c>
      <c r="C2595" s="1" t="s">
        <v>950</v>
      </c>
      <c r="D2595" s="1" t="s">
        <v>457</v>
      </c>
      <c r="E2595" s="1" t="s">
        <v>457</v>
      </c>
      <c r="F2595" s="1" t="s">
        <v>951</v>
      </c>
      <c r="G2595" s="1" t="s">
        <v>952</v>
      </c>
      <c r="H2595" s="1" t="s">
        <v>953</v>
      </c>
      <c r="I2595" t="b">
        <f>COUNTIF(Estadísticas!I:I,'centraldecomunicacion.es'!H2595)&gt;0</f>
        <v>1</v>
      </c>
    </row>
    <row r="2596" spans="1:9" hidden="1">
      <c r="A2596" s="1" t="s">
        <v>9866</v>
      </c>
      <c r="B2596" s="1" t="s">
        <v>10</v>
      </c>
      <c r="C2596" s="1" t="s">
        <v>9867</v>
      </c>
      <c r="D2596" s="1" t="s">
        <v>457</v>
      </c>
      <c r="E2596" s="1" t="s">
        <v>457</v>
      </c>
      <c r="F2596" s="1" t="s">
        <v>8783</v>
      </c>
      <c r="G2596" s="1" t="s">
        <v>9868</v>
      </c>
      <c r="H2596" s="1" t="s">
        <v>8785</v>
      </c>
      <c r="I2596" t="b">
        <f>COUNTIF(Estadísticas!I:I,'centraldecomunicacion.es'!H2596)&gt;0</f>
        <v>0</v>
      </c>
    </row>
    <row r="2597" spans="1:9" hidden="1">
      <c r="A2597" s="1" t="s">
        <v>9869</v>
      </c>
      <c r="B2597" s="1" t="s">
        <v>10</v>
      </c>
      <c r="C2597" s="1" t="s">
        <v>9870</v>
      </c>
      <c r="D2597" s="1" t="s">
        <v>457</v>
      </c>
      <c r="E2597" s="1" t="s">
        <v>457</v>
      </c>
      <c r="F2597" s="1" t="s">
        <v>9871</v>
      </c>
      <c r="G2597" s="1" t="s">
        <v>9872</v>
      </c>
      <c r="H2597" s="1" t="s">
        <v>9873</v>
      </c>
      <c r="I2597" t="b">
        <f>COUNTIF(Estadísticas!I:I,'centraldecomunicacion.es'!H2597)&gt;0</f>
        <v>0</v>
      </c>
    </row>
    <row r="2598" spans="1:9" hidden="1">
      <c r="A2598" s="1" t="s">
        <v>9874</v>
      </c>
      <c r="B2598" s="1" t="s">
        <v>18</v>
      </c>
      <c r="C2598" s="1" t="s">
        <v>9875</v>
      </c>
      <c r="D2598" s="1" t="s">
        <v>457</v>
      </c>
      <c r="E2598" s="1" t="s">
        <v>457</v>
      </c>
      <c r="F2598" s="1" t="s">
        <v>8897</v>
      </c>
      <c r="G2598" s="1" t="s">
        <v>9876</v>
      </c>
      <c r="H2598" s="1" t="s">
        <v>8899</v>
      </c>
      <c r="I2598" t="b">
        <f>COUNTIF(Estadísticas!I:I,'centraldecomunicacion.es'!H2598)&gt;0</f>
        <v>0</v>
      </c>
    </row>
    <row r="2599" spans="1:9" hidden="1">
      <c r="A2599" s="1" t="s">
        <v>9877</v>
      </c>
      <c r="B2599" s="1" t="s">
        <v>10</v>
      </c>
      <c r="C2599" s="1" t="s">
        <v>9878</v>
      </c>
      <c r="D2599" s="1" t="s">
        <v>9879</v>
      </c>
      <c r="E2599" s="1" t="s">
        <v>457</v>
      </c>
      <c r="F2599" s="1" t="s">
        <v>9880</v>
      </c>
      <c r="G2599" s="1" t="s">
        <v>9881</v>
      </c>
      <c r="H2599" s="1" t="s">
        <v>9882</v>
      </c>
      <c r="I2599" t="b">
        <f>COUNTIF(Estadísticas!I:I,'centraldecomunicacion.es'!H2599)&gt;0</f>
        <v>0</v>
      </c>
    </row>
    <row r="2600" spans="1:9" hidden="1">
      <c r="A2600" s="1" t="s">
        <v>9883</v>
      </c>
      <c r="B2600" s="1" t="s">
        <v>18</v>
      </c>
      <c r="C2600" s="1" t="s">
        <v>9884</v>
      </c>
      <c r="D2600" s="1" t="s">
        <v>457</v>
      </c>
      <c r="E2600" s="1" t="s">
        <v>457</v>
      </c>
      <c r="F2600" s="1" t="s">
        <v>30</v>
      </c>
      <c r="G2600" s="1" t="s">
        <v>9885</v>
      </c>
      <c r="H2600" s="1" t="s">
        <v>1762</v>
      </c>
      <c r="I2600" t="b">
        <f>COUNTIF(Estadísticas!I:I,'centraldecomunicacion.es'!H2600)&gt;0</f>
        <v>0</v>
      </c>
    </row>
    <row r="2601" spans="1:9">
      <c r="A2601" s="1" t="s">
        <v>954</v>
      </c>
      <c r="B2601" s="1" t="s">
        <v>10</v>
      </c>
      <c r="C2601" s="1" t="s">
        <v>955</v>
      </c>
      <c r="D2601" s="1" t="s">
        <v>457</v>
      </c>
      <c r="E2601" s="1" t="s">
        <v>457</v>
      </c>
      <c r="F2601" s="1" t="s">
        <v>956</v>
      </c>
      <c r="G2601" s="1" t="s">
        <v>957</v>
      </c>
      <c r="H2601" s="1" t="s">
        <v>958</v>
      </c>
      <c r="I2601" t="b">
        <f>COUNTIF(Estadísticas!I:I,'centraldecomunicacion.es'!H2601)&gt;0</f>
        <v>1</v>
      </c>
    </row>
    <row r="2602" spans="1:9" hidden="1">
      <c r="A2602" s="1" t="s">
        <v>9886</v>
      </c>
      <c r="B2602" s="1" t="s">
        <v>18</v>
      </c>
      <c r="C2602" s="1" t="s">
        <v>9887</v>
      </c>
      <c r="D2602" s="1" t="s">
        <v>457</v>
      </c>
      <c r="E2602" s="1" t="s">
        <v>457</v>
      </c>
      <c r="F2602" s="1" t="s">
        <v>9888</v>
      </c>
      <c r="G2602" s="1" t="s">
        <v>9889</v>
      </c>
      <c r="H2602" s="1" t="s">
        <v>1762</v>
      </c>
      <c r="I2602" t="b">
        <f>COUNTIF(Estadísticas!I:I,'centraldecomunicacion.es'!H2602)&gt;0</f>
        <v>0</v>
      </c>
    </row>
    <row r="2603" spans="1:9" hidden="1">
      <c r="A2603" s="1" t="s">
        <v>9890</v>
      </c>
      <c r="B2603" s="1" t="s">
        <v>10</v>
      </c>
      <c r="C2603" s="1" t="s">
        <v>9891</v>
      </c>
      <c r="D2603" s="1" t="s">
        <v>457</v>
      </c>
      <c r="E2603" s="1" t="s">
        <v>457</v>
      </c>
      <c r="F2603" s="1" t="s">
        <v>30</v>
      </c>
      <c r="G2603" s="1" t="s">
        <v>9892</v>
      </c>
      <c r="H2603" s="1" t="s">
        <v>1762</v>
      </c>
      <c r="I2603" t="b">
        <f>COUNTIF(Estadísticas!I:I,'centraldecomunicacion.es'!H2603)&gt;0</f>
        <v>0</v>
      </c>
    </row>
    <row r="2604" spans="1:9" hidden="1">
      <c r="A2604" s="1" t="s">
        <v>9893</v>
      </c>
      <c r="B2604" s="1" t="s">
        <v>3050</v>
      </c>
      <c r="C2604" s="1" t="s">
        <v>9894</v>
      </c>
      <c r="D2604" s="1" t="s">
        <v>457</v>
      </c>
      <c r="E2604" s="1" t="s">
        <v>457</v>
      </c>
      <c r="F2604" s="1" t="s">
        <v>9895</v>
      </c>
      <c r="G2604" s="1" t="s">
        <v>9896</v>
      </c>
      <c r="H2604" s="1" t="s">
        <v>9897</v>
      </c>
      <c r="I2604" t="b">
        <f>COUNTIF(Estadísticas!I:I,'centraldecomunicacion.es'!H2604)&gt;0</f>
        <v>0</v>
      </c>
    </row>
    <row r="2605" spans="1:9">
      <c r="A2605" s="1" t="s">
        <v>959</v>
      </c>
      <c r="B2605" s="1" t="s">
        <v>18</v>
      </c>
      <c r="C2605" s="1" t="s">
        <v>960</v>
      </c>
      <c r="D2605" s="1" t="s">
        <v>457</v>
      </c>
      <c r="E2605" s="1" t="s">
        <v>457</v>
      </c>
      <c r="F2605" s="1" t="s">
        <v>961</v>
      </c>
      <c r="G2605" s="1" t="s">
        <v>962</v>
      </c>
      <c r="H2605" s="1" t="s">
        <v>963</v>
      </c>
      <c r="I2605" t="b">
        <f>COUNTIF(Estadísticas!I:I,'centraldecomunicacion.es'!H2605)&gt;0</f>
        <v>1</v>
      </c>
    </row>
    <row r="2606" spans="1:9" hidden="1">
      <c r="A2606" s="1" t="s">
        <v>9898</v>
      </c>
      <c r="B2606" s="1" t="s">
        <v>10</v>
      </c>
      <c r="C2606" s="1" t="s">
        <v>9899</v>
      </c>
      <c r="D2606" s="1" t="s">
        <v>457</v>
      </c>
      <c r="E2606" s="1" t="s">
        <v>457</v>
      </c>
      <c r="F2606" s="1" t="s">
        <v>9900</v>
      </c>
      <c r="G2606" s="1" t="s">
        <v>9901</v>
      </c>
      <c r="H2606" s="1" t="s">
        <v>9902</v>
      </c>
      <c r="I2606" t="b">
        <f>COUNTIF(Estadísticas!I:I,'centraldecomunicacion.es'!H2606)&gt;0</f>
        <v>0</v>
      </c>
    </row>
    <row r="2607" spans="1:9" hidden="1">
      <c r="A2607" s="1" t="s">
        <v>9903</v>
      </c>
      <c r="B2607" s="1" t="s">
        <v>10</v>
      </c>
      <c r="C2607" s="1" t="s">
        <v>9904</v>
      </c>
      <c r="D2607" s="1" t="s">
        <v>457</v>
      </c>
      <c r="E2607" s="1" t="s">
        <v>457</v>
      </c>
      <c r="F2607" s="1" t="s">
        <v>30</v>
      </c>
      <c r="G2607" s="1" t="s">
        <v>9901</v>
      </c>
      <c r="H2607" s="1" t="s">
        <v>1762</v>
      </c>
      <c r="I2607" t="b">
        <f>COUNTIF(Estadísticas!I:I,'centraldecomunicacion.es'!H2607)&gt;0</f>
        <v>0</v>
      </c>
    </row>
    <row r="2608" spans="1:9" hidden="1">
      <c r="A2608" s="1" t="s">
        <v>9905</v>
      </c>
      <c r="B2608" s="1" t="s">
        <v>10</v>
      </c>
      <c r="C2608" s="1" t="s">
        <v>9906</v>
      </c>
      <c r="D2608" s="1" t="s">
        <v>457</v>
      </c>
      <c r="E2608" s="1" t="s">
        <v>457</v>
      </c>
      <c r="F2608" s="1" t="s">
        <v>9907</v>
      </c>
      <c r="G2608" s="1" t="s">
        <v>9203</v>
      </c>
      <c r="H2608" s="1" t="s">
        <v>9908</v>
      </c>
      <c r="I2608" t="b">
        <f>COUNTIF(Estadísticas!I:I,'centraldecomunicacion.es'!H2608)&gt;0</f>
        <v>0</v>
      </c>
    </row>
    <row r="2609" spans="1:9" hidden="1">
      <c r="A2609" s="1" t="s">
        <v>9909</v>
      </c>
      <c r="B2609" s="1" t="s">
        <v>18</v>
      </c>
      <c r="C2609" s="1" t="s">
        <v>9910</v>
      </c>
      <c r="D2609" s="1" t="s">
        <v>457</v>
      </c>
      <c r="E2609" s="1" t="s">
        <v>457</v>
      </c>
      <c r="F2609" s="1" t="s">
        <v>30</v>
      </c>
      <c r="G2609" s="1" t="s">
        <v>9911</v>
      </c>
      <c r="H2609" s="1" t="s">
        <v>1762</v>
      </c>
      <c r="I2609" t="b">
        <f>COUNTIF(Estadísticas!I:I,'centraldecomunicacion.es'!H2609)&gt;0</f>
        <v>0</v>
      </c>
    </row>
    <row r="2610" spans="1:9" hidden="1">
      <c r="A2610" s="1" t="s">
        <v>9912</v>
      </c>
      <c r="B2610" s="1" t="s">
        <v>10</v>
      </c>
      <c r="C2610" s="1" t="s">
        <v>9913</v>
      </c>
      <c r="D2610" s="1" t="s">
        <v>457</v>
      </c>
      <c r="E2610" s="1" t="s">
        <v>457</v>
      </c>
      <c r="F2610" s="1" t="s">
        <v>9914</v>
      </c>
      <c r="G2610" s="1" t="s">
        <v>9915</v>
      </c>
      <c r="H2610" s="1" t="s">
        <v>1762</v>
      </c>
      <c r="I2610" t="b">
        <f>COUNTIF(Estadísticas!I:I,'centraldecomunicacion.es'!H2610)&gt;0</f>
        <v>0</v>
      </c>
    </row>
    <row r="2611" spans="1:9">
      <c r="A2611" s="1" t="s">
        <v>9916</v>
      </c>
      <c r="B2611" s="1" t="s">
        <v>10</v>
      </c>
      <c r="C2611" s="1" t="s">
        <v>9917</v>
      </c>
      <c r="D2611" s="1" t="s">
        <v>457</v>
      </c>
      <c r="E2611" s="1" t="s">
        <v>457</v>
      </c>
      <c r="F2611" s="1" t="s">
        <v>956</v>
      </c>
      <c r="G2611" s="1" t="s">
        <v>9918</v>
      </c>
      <c r="H2611" s="1" t="s">
        <v>958</v>
      </c>
      <c r="I2611" t="b">
        <f>COUNTIF(Estadísticas!I:I,'centraldecomunicacion.es'!H2611)&gt;0</f>
        <v>1</v>
      </c>
    </row>
    <row r="2612" spans="1:9" hidden="1">
      <c r="A2612" s="1" t="s">
        <v>9919</v>
      </c>
      <c r="B2612" s="1" t="s">
        <v>10</v>
      </c>
      <c r="C2612" s="1" t="s">
        <v>9920</v>
      </c>
      <c r="D2612" s="1" t="s">
        <v>457</v>
      </c>
      <c r="E2612" s="1" t="s">
        <v>457</v>
      </c>
      <c r="F2612" s="1" t="s">
        <v>9921</v>
      </c>
      <c r="G2612" s="1" t="s">
        <v>9922</v>
      </c>
      <c r="H2612" s="1" t="s">
        <v>9923</v>
      </c>
      <c r="I2612" t="b">
        <f>COUNTIF(Estadísticas!I:I,'centraldecomunicacion.es'!H2612)&gt;0</f>
        <v>0</v>
      </c>
    </row>
    <row r="2613" spans="1:9">
      <c r="A2613" s="1" t="s">
        <v>964</v>
      </c>
      <c r="B2613" s="1" t="s">
        <v>10</v>
      </c>
      <c r="C2613" s="1" t="s">
        <v>965</v>
      </c>
      <c r="D2613" s="1" t="s">
        <v>457</v>
      </c>
      <c r="E2613" s="1" t="s">
        <v>457</v>
      </c>
      <c r="F2613" s="1" t="s">
        <v>966</v>
      </c>
      <c r="G2613" s="1" t="s">
        <v>967</v>
      </c>
      <c r="H2613" s="1" t="s">
        <v>968</v>
      </c>
      <c r="I2613" t="b">
        <f>COUNTIF(Estadísticas!I:I,'centraldecomunicacion.es'!H2613)&gt;0</f>
        <v>1</v>
      </c>
    </row>
    <row r="2614" spans="1:9" hidden="1">
      <c r="A2614" s="1" t="s">
        <v>9924</v>
      </c>
      <c r="B2614" s="1" t="s">
        <v>10</v>
      </c>
      <c r="C2614" s="1" t="s">
        <v>9925</v>
      </c>
      <c r="D2614" s="1" t="s">
        <v>457</v>
      </c>
      <c r="E2614" s="1" t="s">
        <v>457</v>
      </c>
      <c r="F2614" s="1" t="s">
        <v>9900</v>
      </c>
      <c r="G2614" s="1" t="s">
        <v>9901</v>
      </c>
      <c r="H2614" s="1" t="s">
        <v>9902</v>
      </c>
      <c r="I2614" t="b">
        <f>COUNTIF(Estadísticas!I:I,'centraldecomunicacion.es'!H2614)&gt;0</f>
        <v>0</v>
      </c>
    </row>
    <row r="2615" spans="1:9" hidden="1">
      <c r="A2615" s="1" t="s">
        <v>9926</v>
      </c>
      <c r="B2615" s="1" t="s">
        <v>10</v>
      </c>
      <c r="C2615" s="1" t="s">
        <v>9927</v>
      </c>
      <c r="D2615" s="1" t="s">
        <v>9928</v>
      </c>
      <c r="E2615" s="1" t="s">
        <v>457</v>
      </c>
      <c r="F2615" s="1" t="s">
        <v>30</v>
      </c>
      <c r="G2615" s="1" t="s">
        <v>9929</v>
      </c>
      <c r="H2615" s="1" t="s">
        <v>1762</v>
      </c>
      <c r="I2615" t="b">
        <f>COUNTIF(Estadísticas!I:I,'centraldecomunicacion.es'!H2615)&gt;0</f>
        <v>0</v>
      </c>
    </row>
    <row r="2616" spans="1:9" hidden="1">
      <c r="A2616" s="1" t="s">
        <v>9930</v>
      </c>
      <c r="B2616" s="1" t="s">
        <v>10</v>
      </c>
      <c r="C2616" s="1" t="s">
        <v>9931</v>
      </c>
      <c r="D2616" s="1" t="s">
        <v>457</v>
      </c>
      <c r="E2616" s="1" t="s">
        <v>457</v>
      </c>
      <c r="F2616" s="1" t="s">
        <v>30</v>
      </c>
      <c r="G2616" s="1" t="s">
        <v>30</v>
      </c>
      <c r="H2616" s="1" t="s">
        <v>1762</v>
      </c>
      <c r="I2616" t="b">
        <f>COUNTIF(Estadísticas!I:I,'centraldecomunicacion.es'!H2616)&gt;0</f>
        <v>0</v>
      </c>
    </row>
    <row r="2617" spans="1:9" hidden="1">
      <c r="A2617" s="1" t="s">
        <v>9932</v>
      </c>
      <c r="B2617" s="1" t="s">
        <v>10</v>
      </c>
      <c r="C2617" s="1" t="s">
        <v>9933</v>
      </c>
      <c r="D2617" s="1" t="s">
        <v>457</v>
      </c>
      <c r="E2617" s="1" t="s">
        <v>457</v>
      </c>
      <c r="F2617" s="1" t="s">
        <v>9934</v>
      </c>
      <c r="G2617" s="1" t="s">
        <v>9935</v>
      </c>
      <c r="H2617" s="1" t="s">
        <v>1762</v>
      </c>
      <c r="I2617" t="b">
        <f>COUNTIF(Estadísticas!I:I,'centraldecomunicacion.es'!H2617)&gt;0</f>
        <v>0</v>
      </c>
    </row>
    <row r="2618" spans="1:9" hidden="1">
      <c r="A2618" s="1" t="s">
        <v>9936</v>
      </c>
      <c r="B2618" s="1" t="s">
        <v>10</v>
      </c>
      <c r="C2618" s="1" t="s">
        <v>9937</v>
      </c>
      <c r="D2618" s="1" t="s">
        <v>457</v>
      </c>
      <c r="E2618" s="1" t="s">
        <v>457</v>
      </c>
      <c r="F2618" s="1" t="s">
        <v>30</v>
      </c>
      <c r="G2618" s="1" t="s">
        <v>9938</v>
      </c>
      <c r="H2618" s="1" t="s">
        <v>1762</v>
      </c>
      <c r="I2618" t="b">
        <f>COUNTIF(Estadísticas!I:I,'centraldecomunicacion.es'!H2618)&gt;0</f>
        <v>0</v>
      </c>
    </row>
    <row r="2619" spans="1:9" hidden="1">
      <c r="A2619" s="1" t="s">
        <v>9939</v>
      </c>
      <c r="B2619" s="1" t="s">
        <v>10</v>
      </c>
      <c r="C2619" s="1" t="s">
        <v>9940</v>
      </c>
      <c r="D2619" s="1" t="s">
        <v>457</v>
      </c>
      <c r="E2619" s="1" t="s">
        <v>457</v>
      </c>
      <c r="F2619" s="1" t="s">
        <v>30</v>
      </c>
      <c r="G2619" s="1" t="s">
        <v>30</v>
      </c>
      <c r="H2619" s="1" t="s">
        <v>1762</v>
      </c>
      <c r="I2619" t="b">
        <f>COUNTIF(Estadísticas!I:I,'centraldecomunicacion.es'!H2619)&gt;0</f>
        <v>0</v>
      </c>
    </row>
    <row r="2620" spans="1:9" hidden="1">
      <c r="A2620" s="1" t="s">
        <v>9941</v>
      </c>
      <c r="B2620" s="1" t="s">
        <v>10</v>
      </c>
      <c r="C2620" s="1" t="s">
        <v>9104</v>
      </c>
      <c r="D2620" s="1" t="s">
        <v>457</v>
      </c>
      <c r="E2620" s="1" t="s">
        <v>457</v>
      </c>
      <c r="F2620" s="1" t="s">
        <v>30</v>
      </c>
      <c r="G2620" s="1" t="s">
        <v>9942</v>
      </c>
      <c r="H2620" s="1" t="s">
        <v>1762</v>
      </c>
      <c r="I2620" t="b">
        <f>COUNTIF(Estadísticas!I:I,'centraldecomunicacion.es'!H2620)&gt;0</f>
        <v>0</v>
      </c>
    </row>
    <row r="2621" spans="1:9" hidden="1">
      <c r="A2621" s="1" t="s">
        <v>9943</v>
      </c>
      <c r="B2621" s="1" t="s">
        <v>10</v>
      </c>
      <c r="C2621" s="1" t="s">
        <v>9944</v>
      </c>
      <c r="D2621" s="1" t="s">
        <v>9879</v>
      </c>
      <c r="E2621" s="1" t="s">
        <v>457</v>
      </c>
      <c r="F2621" s="1" t="s">
        <v>30</v>
      </c>
      <c r="G2621" s="1" t="s">
        <v>9945</v>
      </c>
      <c r="H2621" s="1" t="s">
        <v>1762</v>
      </c>
      <c r="I2621" t="b">
        <f>COUNTIF(Estadísticas!I:I,'centraldecomunicacion.es'!H2621)&gt;0</f>
        <v>0</v>
      </c>
    </row>
    <row r="2622" spans="1:9" hidden="1">
      <c r="A2622" s="1" t="s">
        <v>9946</v>
      </c>
      <c r="B2622" s="1" t="s">
        <v>10</v>
      </c>
      <c r="C2622" s="1" t="s">
        <v>9947</v>
      </c>
      <c r="D2622" s="1" t="s">
        <v>457</v>
      </c>
      <c r="E2622" s="1" t="s">
        <v>457</v>
      </c>
      <c r="F2622" s="1" t="s">
        <v>30</v>
      </c>
      <c r="G2622" s="1" t="s">
        <v>9948</v>
      </c>
      <c r="H2622" s="1" t="s">
        <v>1762</v>
      </c>
      <c r="I2622" t="b">
        <f>COUNTIF(Estadísticas!I:I,'centraldecomunicacion.es'!H2622)&gt;0</f>
        <v>0</v>
      </c>
    </row>
    <row r="2623" spans="1:9" hidden="1">
      <c r="A2623" s="1" t="s">
        <v>9949</v>
      </c>
      <c r="B2623" s="1" t="s">
        <v>10</v>
      </c>
      <c r="C2623" s="1" t="s">
        <v>9950</v>
      </c>
      <c r="D2623" s="1" t="s">
        <v>457</v>
      </c>
      <c r="E2623" s="1" t="s">
        <v>457</v>
      </c>
      <c r="F2623" s="1" t="s">
        <v>30</v>
      </c>
      <c r="G2623" s="1" t="s">
        <v>9951</v>
      </c>
      <c r="H2623" s="1" t="s">
        <v>1762</v>
      </c>
      <c r="I2623" t="b">
        <f>COUNTIF(Estadísticas!I:I,'centraldecomunicacion.es'!H2623)&gt;0</f>
        <v>0</v>
      </c>
    </row>
    <row r="2624" spans="1:9" hidden="1">
      <c r="A2624" s="1" t="s">
        <v>9952</v>
      </c>
      <c r="B2624" s="1" t="s">
        <v>10</v>
      </c>
      <c r="C2624" s="1" t="s">
        <v>9953</v>
      </c>
      <c r="D2624" s="1" t="s">
        <v>457</v>
      </c>
      <c r="E2624" s="1" t="s">
        <v>457</v>
      </c>
      <c r="F2624" s="1" t="s">
        <v>30</v>
      </c>
      <c r="G2624" s="1" t="s">
        <v>9954</v>
      </c>
      <c r="H2624" s="1" t="s">
        <v>1762</v>
      </c>
      <c r="I2624" t="b">
        <f>COUNTIF(Estadísticas!I:I,'centraldecomunicacion.es'!H2624)&gt;0</f>
        <v>0</v>
      </c>
    </row>
    <row r="2625" spans="1:9" hidden="1">
      <c r="A2625" s="1" t="s">
        <v>9955</v>
      </c>
      <c r="B2625" s="1" t="s">
        <v>10</v>
      </c>
      <c r="C2625" s="1" t="s">
        <v>9956</v>
      </c>
      <c r="D2625" s="1" t="s">
        <v>457</v>
      </c>
      <c r="E2625" s="1" t="s">
        <v>457</v>
      </c>
      <c r="F2625" s="1" t="s">
        <v>30</v>
      </c>
      <c r="G2625" s="1" t="s">
        <v>30</v>
      </c>
      <c r="H2625" s="1" t="s">
        <v>1762</v>
      </c>
      <c r="I2625" t="b">
        <f>COUNTIF(Estadísticas!I:I,'centraldecomunicacion.es'!H2625)&gt;0</f>
        <v>0</v>
      </c>
    </row>
    <row r="2626" spans="1:9" hidden="1">
      <c r="A2626" s="1" t="s">
        <v>9957</v>
      </c>
      <c r="B2626" s="1" t="s">
        <v>10</v>
      </c>
      <c r="C2626" s="1" t="s">
        <v>9958</v>
      </c>
      <c r="D2626" s="1" t="s">
        <v>457</v>
      </c>
      <c r="E2626" s="1" t="s">
        <v>457</v>
      </c>
      <c r="F2626" s="1" t="s">
        <v>9959</v>
      </c>
      <c r="G2626" s="1" t="s">
        <v>9960</v>
      </c>
      <c r="H2626" s="1" t="s">
        <v>9961</v>
      </c>
      <c r="I2626" t="b">
        <f>COUNTIF(Estadísticas!I:I,'centraldecomunicacion.es'!H2626)&gt;0</f>
        <v>0</v>
      </c>
    </row>
    <row r="2627" spans="1:9" hidden="1">
      <c r="A2627" s="1" t="s">
        <v>9877</v>
      </c>
      <c r="B2627" s="1" t="s">
        <v>10</v>
      </c>
      <c r="C2627" s="1" t="s">
        <v>9962</v>
      </c>
      <c r="D2627" s="1" t="s">
        <v>457</v>
      </c>
      <c r="E2627" s="1" t="s">
        <v>457</v>
      </c>
      <c r="F2627" s="1" t="s">
        <v>9880</v>
      </c>
      <c r="G2627" s="1" t="s">
        <v>9881</v>
      </c>
      <c r="H2627" s="1" t="s">
        <v>9882</v>
      </c>
      <c r="I2627" t="b">
        <f>COUNTIF(Estadísticas!I:I,'centraldecomunicacion.es'!H2627)&gt;0</f>
        <v>0</v>
      </c>
    </row>
    <row r="2628" spans="1:9" hidden="1">
      <c r="A2628" s="1" t="s">
        <v>9926</v>
      </c>
      <c r="B2628" s="1" t="s">
        <v>10</v>
      </c>
      <c r="C2628" s="1" t="s">
        <v>9963</v>
      </c>
      <c r="D2628" s="1" t="s">
        <v>457</v>
      </c>
      <c r="E2628" s="1" t="s">
        <v>457</v>
      </c>
      <c r="F2628" s="1" t="s">
        <v>30</v>
      </c>
      <c r="G2628" s="1" t="s">
        <v>9964</v>
      </c>
      <c r="H2628" s="1" t="s">
        <v>1762</v>
      </c>
      <c r="I2628" t="b">
        <f>COUNTIF(Estadísticas!I:I,'centraldecomunicacion.es'!H2628)&gt;0</f>
        <v>0</v>
      </c>
    </row>
    <row r="2629" spans="1:9" hidden="1">
      <c r="A2629" s="1" t="s">
        <v>9965</v>
      </c>
      <c r="B2629" s="1" t="s">
        <v>10</v>
      </c>
      <c r="C2629" s="1" t="s">
        <v>9966</v>
      </c>
      <c r="D2629" s="1" t="s">
        <v>457</v>
      </c>
      <c r="E2629" s="1" t="s">
        <v>457</v>
      </c>
      <c r="F2629" s="1" t="s">
        <v>30</v>
      </c>
      <c r="G2629" s="1" t="s">
        <v>9967</v>
      </c>
      <c r="H2629" s="1" t="s">
        <v>1762</v>
      </c>
      <c r="I2629" t="b">
        <f>COUNTIF(Estadísticas!I:I,'centraldecomunicacion.es'!H2629)&gt;0</f>
        <v>0</v>
      </c>
    </row>
    <row r="2630" spans="1:9" hidden="1">
      <c r="A2630" s="1" t="s">
        <v>9968</v>
      </c>
      <c r="B2630" s="1" t="s">
        <v>10</v>
      </c>
      <c r="C2630" s="1" t="s">
        <v>9969</v>
      </c>
      <c r="D2630" s="1" t="s">
        <v>457</v>
      </c>
      <c r="E2630" s="1" t="s">
        <v>457</v>
      </c>
      <c r="F2630" s="1" t="s">
        <v>30</v>
      </c>
      <c r="G2630" s="1" t="s">
        <v>30</v>
      </c>
      <c r="H2630" s="1" t="s">
        <v>1762</v>
      </c>
      <c r="I2630" t="b">
        <f>COUNTIF(Estadísticas!I:I,'centraldecomunicacion.es'!H2630)&gt;0</f>
        <v>0</v>
      </c>
    </row>
    <row r="2631" spans="1:9" hidden="1">
      <c r="A2631" s="1" t="s">
        <v>9970</v>
      </c>
      <c r="B2631" s="1" t="s">
        <v>10</v>
      </c>
      <c r="C2631" s="1" t="s">
        <v>9971</v>
      </c>
      <c r="D2631" s="1" t="s">
        <v>457</v>
      </c>
      <c r="E2631" s="1" t="s">
        <v>457</v>
      </c>
      <c r="F2631" s="1" t="s">
        <v>9972</v>
      </c>
      <c r="G2631" s="1" t="s">
        <v>9973</v>
      </c>
      <c r="H2631" s="1" t="s">
        <v>1762</v>
      </c>
      <c r="I2631" t="b">
        <f>COUNTIF(Estadísticas!I:I,'centraldecomunicacion.es'!H2631)&gt;0</f>
        <v>0</v>
      </c>
    </row>
    <row r="2632" spans="1:9" hidden="1">
      <c r="A2632" s="1" t="s">
        <v>9974</v>
      </c>
      <c r="B2632" s="1" t="s">
        <v>10</v>
      </c>
      <c r="C2632" s="1" t="s">
        <v>9975</v>
      </c>
      <c r="D2632" s="1" t="s">
        <v>457</v>
      </c>
      <c r="E2632" s="1" t="s">
        <v>457</v>
      </c>
      <c r="F2632" s="1" t="s">
        <v>30</v>
      </c>
      <c r="G2632" s="1" t="s">
        <v>30</v>
      </c>
      <c r="H2632" s="1" t="s">
        <v>1762</v>
      </c>
      <c r="I2632" t="b">
        <f>COUNTIF(Estadísticas!I:I,'centraldecomunicacion.es'!H2632)&gt;0</f>
        <v>0</v>
      </c>
    </row>
    <row r="2633" spans="1:9" hidden="1">
      <c r="A2633" s="1" t="s">
        <v>9976</v>
      </c>
      <c r="B2633" s="1" t="s">
        <v>10</v>
      </c>
      <c r="C2633" s="1" t="s">
        <v>9940</v>
      </c>
      <c r="D2633" s="1" t="s">
        <v>457</v>
      </c>
      <c r="E2633" s="1" t="s">
        <v>457</v>
      </c>
      <c r="F2633" s="1" t="s">
        <v>30</v>
      </c>
      <c r="G2633" s="1" t="s">
        <v>9977</v>
      </c>
      <c r="H2633" s="1" t="s">
        <v>1762</v>
      </c>
      <c r="I2633" t="b">
        <f>COUNTIF(Estadísticas!I:I,'centraldecomunicacion.es'!H2633)&gt;0</f>
        <v>0</v>
      </c>
    </row>
    <row r="2634" spans="1:9" hidden="1">
      <c r="A2634" s="1" t="s">
        <v>9978</v>
      </c>
      <c r="B2634" s="1" t="s">
        <v>18</v>
      </c>
      <c r="C2634" s="1" t="s">
        <v>9979</v>
      </c>
      <c r="D2634" s="1" t="s">
        <v>9879</v>
      </c>
      <c r="E2634" s="1" t="s">
        <v>457</v>
      </c>
      <c r="F2634" s="1" t="s">
        <v>9980</v>
      </c>
      <c r="G2634" s="1" t="s">
        <v>9981</v>
      </c>
      <c r="H2634" s="1" t="s">
        <v>1762</v>
      </c>
      <c r="I2634" t="b">
        <f>COUNTIF(Estadísticas!I:I,'centraldecomunicacion.es'!H2634)&gt;0</f>
        <v>0</v>
      </c>
    </row>
    <row r="2635" spans="1:9" hidden="1">
      <c r="A2635" s="1" t="s">
        <v>9982</v>
      </c>
      <c r="B2635" s="1" t="s">
        <v>10</v>
      </c>
      <c r="C2635" s="1" t="s">
        <v>9983</v>
      </c>
      <c r="D2635" s="1" t="s">
        <v>457</v>
      </c>
      <c r="E2635" s="1" t="s">
        <v>457</v>
      </c>
      <c r="F2635" s="1" t="s">
        <v>30</v>
      </c>
      <c r="G2635" s="1" t="s">
        <v>30</v>
      </c>
      <c r="H2635" s="1" t="s">
        <v>1762</v>
      </c>
      <c r="I2635" t="b">
        <f>COUNTIF(Estadísticas!I:I,'centraldecomunicacion.es'!H2635)&gt;0</f>
        <v>0</v>
      </c>
    </row>
    <row r="2636" spans="1:9" hidden="1">
      <c r="A2636" s="1" t="s">
        <v>9984</v>
      </c>
      <c r="B2636" s="1" t="s">
        <v>10</v>
      </c>
      <c r="C2636" s="1" t="s">
        <v>9985</v>
      </c>
      <c r="D2636" s="1" t="s">
        <v>457</v>
      </c>
      <c r="E2636" s="1" t="s">
        <v>457</v>
      </c>
      <c r="F2636" s="1" t="s">
        <v>30</v>
      </c>
      <c r="G2636" s="1" t="s">
        <v>9986</v>
      </c>
      <c r="H2636" s="1" t="s">
        <v>1762</v>
      </c>
      <c r="I2636" t="b">
        <f>COUNTIF(Estadísticas!I:I,'centraldecomunicacion.es'!H2636)&gt;0</f>
        <v>0</v>
      </c>
    </row>
    <row r="2637" spans="1:9" hidden="1">
      <c r="A2637" s="1" t="s">
        <v>9987</v>
      </c>
      <c r="B2637" s="1" t="s">
        <v>10</v>
      </c>
      <c r="C2637" s="1" t="s">
        <v>9988</v>
      </c>
      <c r="D2637" s="1" t="s">
        <v>9928</v>
      </c>
      <c r="E2637" s="1" t="s">
        <v>457</v>
      </c>
      <c r="F2637" s="1" t="s">
        <v>30</v>
      </c>
      <c r="G2637" s="1" t="s">
        <v>30</v>
      </c>
      <c r="H2637" s="1" t="s">
        <v>1762</v>
      </c>
      <c r="I2637" t="b">
        <f>COUNTIF(Estadísticas!I:I,'centraldecomunicacion.es'!H2637)&gt;0</f>
        <v>0</v>
      </c>
    </row>
    <row r="2638" spans="1:9" hidden="1">
      <c r="A2638" s="1" t="s">
        <v>9989</v>
      </c>
      <c r="B2638" s="1" t="s">
        <v>10</v>
      </c>
      <c r="C2638" s="1" t="s">
        <v>9990</v>
      </c>
      <c r="D2638" s="1" t="s">
        <v>457</v>
      </c>
      <c r="E2638" s="1" t="s">
        <v>457</v>
      </c>
      <c r="F2638" s="1" t="s">
        <v>30</v>
      </c>
      <c r="G2638" s="1" t="s">
        <v>9991</v>
      </c>
      <c r="H2638" s="1" t="s">
        <v>1762</v>
      </c>
      <c r="I2638" t="b">
        <f>COUNTIF(Estadísticas!I:I,'centraldecomunicacion.es'!H2638)&gt;0</f>
        <v>0</v>
      </c>
    </row>
    <row r="2639" spans="1:9" hidden="1">
      <c r="A2639" s="1" t="s">
        <v>9992</v>
      </c>
      <c r="B2639" s="1" t="s">
        <v>10</v>
      </c>
      <c r="C2639" s="1" t="s">
        <v>9993</v>
      </c>
      <c r="D2639" s="1" t="s">
        <v>457</v>
      </c>
      <c r="E2639" s="1" t="s">
        <v>457</v>
      </c>
      <c r="F2639" s="1" t="s">
        <v>30</v>
      </c>
      <c r="G2639" s="1" t="s">
        <v>9994</v>
      </c>
      <c r="H2639" s="1" t="s">
        <v>1762</v>
      </c>
      <c r="I2639" t="b">
        <f>COUNTIF(Estadísticas!I:I,'centraldecomunicacion.es'!H2639)&gt;0</f>
        <v>0</v>
      </c>
    </row>
    <row r="2640" spans="1:9">
      <c r="A2640" s="1" t="s">
        <v>969</v>
      </c>
      <c r="B2640" s="1" t="s">
        <v>18</v>
      </c>
      <c r="C2640" s="1" t="s">
        <v>970</v>
      </c>
      <c r="D2640" s="1" t="s">
        <v>457</v>
      </c>
      <c r="E2640" s="1" t="s">
        <v>457</v>
      </c>
      <c r="F2640" s="1" t="s">
        <v>971</v>
      </c>
      <c r="G2640" s="1" t="s">
        <v>972</v>
      </c>
      <c r="H2640" s="1" t="s">
        <v>973</v>
      </c>
      <c r="I2640" t="b">
        <f>COUNTIF(Estadísticas!I:I,'centraldecomunicacion.es'!H2640)&gt;0</f>
        <v>1</v>
      </c>
    </row>
    <row r="2641" spans="1:9" hidden="1">
      <c r="A2641" s="1" t="s">
        <v>9995</v>
      </c>
      <c r="B2641" s="1" t="s">
        <v>10</v>
      </c>
      <c r="C2641" s="1" t="s">
        <v>9996</v>
      </c>
      <c r="D2641" s="1" t="s">
        <v>457</v>
      </c>
      <c r="E2641" s="1" t="s">
        <v>457</v>
      </c>
      <c r="F2641" s="1" t="s">
        <v>30</v>
      </c>
      <c r="G2641" s="1" t="s">
        <v>30</v>
      </c>
      <c r="H2641" s="1" t="s">
        <v>1762</v>
      </c>
      <c r="I2641" t="b">
        <f>COUNTIF(Estadísticas!I:I,'centraldecomunicacion.es'!H2641)&gt;0</f>
        <v>0</v>
      </c>
    </row>
    <row r="2642" spans="1:9" hidden="1">
      <c r="A2642" s="1" t="s">
        <v>9997</v>
      </c>
      <c r="B2642" s="1" t="s">
        <v>10</v>
      </c>
      <c r="C2642" s="1" t="s">
        <v>9998</v>
      </c>
      <c r="D2642" s="1" t="s">
        <v>457</v>
      </c>
      <c r="E2642" s="1" t="s">
        <v>457</v>
      </c>
      <c r="F2642" s="1" t="s">
        <v>30</v>
      </c>
      <c r="G2642" s="1" t="s">
        <v>9999</v>
      </c>
      <c r="H2642" s="1" t="s">
        <v>1762</v>
      </c>
      <c r="I2642" t="b">
        <f>COUNTIF(Estadísticas!I:I,'centraldecomunicacion.es'!H2642)&gt;0</f>
        <v>0</v>
      </c>
    </row>
    <row r="2643" spans="1:9" hidden="1">
      <c r="A2643" s="1" t="s">
        <v>10000</v>
      </c>
      <c r="B2643" s="1" t="s">
        <v>10</v>
      </c>
      <c r="C2643" s="1" t="s">
        <v>30</v>
      </c>
      <c r="D2643" s="1" t="s">
        <v>10001</v>
      </c>
      <c r="E2643" s="1" t="s">
        <v>30</v>
      </c>
      <c r="F2643" s="1" t="s">
        <v>30</v>
      </c>
      <c r="G2643" s="1" t="s">
        <v>10002</v>
      </c>
      <c r="H2643" s="1" t="s">
        <v>1762</v>
      </c>
      <c r="I2643" t="b">
        <f>COUNTIF(Estadísticas!I:I,'centraldecomunicacion.es'!H2643)&gt;0</f>
        <v>0</v>
      </c>
    </row>
    <row r="2644" spans="1:9" hidden="1">
      <c r="A2644" s="1" t="s">
        <v>10003</v>
      </c>
      <c r="B2644" s="1" t="s">
        <v>18</v>
      </c>
      <c r="C2644" s="1" t="s">
        <v>10004</v>
      </c>
      <c r="D2644" s="1" t="s">
        <v>457</v>
      </c>
      <c r="E2644" s="1" t="s">
        <v>457</v>
      </c>
      <c r="F2644" s="1" t="s">
        <v>30</v>
      </c>
      <c r="G2644" s="1" t="s">
        <v>10005</v>
      </c>
      <c r="H2644" s="1" t="s">
        <v>1762</v>
      </c>
      <c r="I2644" t="b">
        <f>COUNTIF(Estadísticas!I:I,'centraldecomunicacion.es'!H2644)&gt;0</f>
        <v>0</v>
      </c>
    </row>
    <row r="2645" spans="1:9" hidden="1">
      <c r="A2645" s="1" t="s">
        <v>10006</v>
      </c>
      <c r="B2645" s="1" t="s">
        <v>10</v>
      </c>
      <c r="C2645" s="1" t="s">
        <v>10007</v>
      </c>
      <c r="D2645" s="1" t="s">
        <v>457</v>
      </c>
      <c r="E2645" s="1" t="s">
        <v>457</v>
      </c>
      <c r="F2645" s="1" t="s">
        <v>30</v>
      </c>
      <c r="G2645" s="1" t="s">
        <v>10008</v>
      </c>
      <c r="H2645" s="1" t="s">
        <v>1762</v>
      </c>
      <c r="I2645" t="b">
        <f>COUNTIF(Estadísticas!I:I,'centraldecomunicacion.es'!H2645)&gt;0</f>
        <v>0</v>
      </c>
    </row>
    <row r="2646" spans="1:9" hidden="1">
      <c r="A2646" s="1" t="s">
        <v>10009</v>
      </c>
      <c r="B2646" s="1" t="s">
        <v>10</v>
      </c>
      <c r="C2646" s="1" t="s">
        <v>10010</v>
      </c>
      <c r="D2646" s="1" t="s">
        <v>457</v>
      </c>
      <c r="E2646" s="1" t="s">
        <v>457</v>
      </c>
      <c r="F2646" s="1" t="s">
        <v>30</v>
      </c>
      <c r="G2646" s="1" t="s">
        <v>10011</v>
      </c>
      <c r="H2646" s="1" t="s">
        <v>1762</v>
      </c>
      <c r="I2646" t="b">
        <f>COUNTIF(Estadísticas!I:I,'centraldecomunicacion.es'!H2646)&gt;0</f>
        <v>0</v>
      </c>
    </row>
    <row r="2647" spans="1:9" hidden="1">
      <c r="A2647" s="1" t="s">
        <v>10012</v>
      </c>
      <c r="B2647" s="1" t="s">
        <v>10</v>
      </c>
      <c r="C2647" s="1" t="s">
        <v>10013</v>
      </c>
      <c r="D2647" s="1" t="s">
        <v>457</v>
      </c>
      <c r="E2647" s="1" t="s">
        <v>457</v>
      </c>
      <c r="F2647" s="1" t="s">
        <v>30</v>
      </c>
      <c r="G2647" s="1" t="s">
        <v>10014</v>
      </c>
      <c r="H2647" s="1" t="s">
        <v>1762</v>
      </c>
      <c r="I2647" t="b">
        <f>COUNTIF(Estadísticas!I:I,'centraldecomunicacion.es'!H2647)&gt;0</f>
        <v>0</v>
      </c>
    </row>
    <row r="2648" spans="1:9" hidden="1">
      <c r="A2648" s="1" t="s">
        <v>3050</v>
      </c>
      <c r="B2648" s="1" t="s">
        <v>10</v>
      </c>
      <c r="C2648" s="1" t="s">
        <v>10015</v>
      </c>
      <c r="D2648" s="1" t="s">
        <v>10016</v>
      </c>
      <c r="E2648" s="1" t="s">
        <v>457</v>
      </c>
      <c r="F2648" s="1" t="s">
        <v>30</v>
      </c>
      <c r="G2648" s="1" t="s">
        <v>10017</v>
      </c>
      <c r="H2648" s="1" t="s">
        <v>1762</v>
      </c>
      <c r="I2648" t="b">
        <f>COUNTIF(Estadísticas!I:I,'centraldecomunicacion.es'!H2648)&gt;0</f>
        <v>0</v>
      </c>
    </row>
    <row r="2649" spans="1:9" hidden="1">
      <c r="A2649" s="1" t="s">
        <v>10018</v>
      </c>
      <c r="B2649" s="1" t="s">
        <v>18</v>
      </c>
      <c r="C2649" s="1" t="s">
        <v>10019</v>
      </c>
      <c r="D2649" s="1" t="s">
        <v>457</v>
      </c>
      <c r="E2649" s="1" t="s">
        <v>457</v>
      </c>
      <c r="F2649" s="1" t="s">
        <v>10020</v>
      </c>
      <c r="G2649" s="1" t="s">
        <v>30</v>
      </c>
      <c r="H2649" s="1" t="s">
        <v>1762</v>
      </c>
      <c r="I2649" t="b">
        <f>COUNTIF(Estadísticas!I:I,'centraldecomunicacion.es'!H2649)&gt;0</f>
        <v>0</v>
      </c>
    </row>
    <row r="2650" spans="1:9" hidden="1">
      <c r="A2650" s="1" t="s">
        <v>10021</v>
      </c>
      <c r="B2650" s="1" t="s">
        <v>10</v>
      </c>
      <c r="C2650" s="1" t="s">
        <v>30</v>
      </c>
      <c r="D2650" s="1" t="s">
        <v>10001</v>
      </c>
      <c r="E2650" s="1" t="s">
        <v>30</v>
      </c>
      <c r="F2650" s="1" t="s">
        <v>30</v>
      </c>
      <c r="G2650" s="1" t="s">
        <v>10022</v>
      </c>
      <c r="H2650" s="1" t="s">
        <v>1762</v>
      </c>
      <c r="I2650" t="b">
        <f>COUNTIF(Estadísticas!I:I,'centraldecomunicacion.es'!H2650)&gt;0</f>
        <v>0</v>
      </c>
    </row>
    <row r="2651" spans="1:9" hidden="1">
      <c r="A2651" s="1" t="s">
        <v>10023</v>
      </c>
      <c r="B2651" s="1" t="s">
        <v>10</v>
      </c>
      <c r="C2651" s="1" t="s">
        <v>10024</v>
      </c>
      <c r="D2651" s="1" t="s">
        <v>457</v>
      </c>
      <c r="E2651" s="1" t="s">
        <v>457</v>
      </c>
      <c r="F2651" s="1" t="s">
        <v>30</v>
      </c>
      <c r="G2651" s="1" t="s">
        <v>10025</v>
      </c>
      <c r="H2651" s="1" t="s">
        <v>1762</v>
      </c>
      <c r="I2651" t="b">
        <f>COUNTIF(Estadísticas!I:I,'centraldecomunicacion.es'!H2651)&gt;0</f>
        <v>0</v>
      </c>
    </row>
    <row r="2652" spans="1:9" hidden="1">
      <c r="A2652" s="1" t="s">
        <v>10026</v>
      </c>
      <c r="B2652" s="1" t="s">
        <v>10</v>
      </c>
      <c r="C2652" s="1" t="s">
        <v>10027</v>
      </c>
      <c r="D2652" s="1" t="s">
        <v>457</v>
      </c>
      <c r="E2652" s="1" t="s">
        <v>457</v>
      </c>
      <c r="F2652" s="1" t="s">
        <v>30</v>
      </c>
      <c r="G2652" s="1" t="s">
        <v>10028</v>
      </c>
      <c r="H2652" s="1" t="s">
        <v>1762</v>
      </c>
      <c r="I2652" t="b">
        <f>COUNTIF(Estadísticas!I:I,'centraldecomunicacion.es'!H2652)&gt;0</f>
        <v>0</v>
      </c>
    </row>
    <row r="2653" spans="1:9" hidden="1">
      <c r="A2653" s="1" t="s">
        <v>10029</v>
      </c>
      <c r="B2653" s="1" t="s">
        <v>10</v>
      </c>
      <c r="C2653" s="1" t="s">
        <v>10030</v>
      </c>
      <c r="D2653" s="1" t="s">
        <v>457</v>
      </c>
      <c r="E2653" s="1" t="s">
        <v>457</v>
      </c>
      <c r="F2653" s="1" t="s">
        <v>10031</v>
      </c>
      <c r="G2653" s="1" t="s">
        <v>10032</v>
      </c>
      <c r="H2653" s="1" t="s">
        <v>10033</v>
      </c>
      <c r="I2653" t="b">
        <f>COUNTIF(Estadísticas!I:I,'centraldecomunicacion.es'!H2653)&gt;0</f>
        <v>0</v>
      </c>
    </row>
    <row r="2654" spans="1:9" hidden="1">
      <c r="A2654" s="1" t="s">
        <v>10034</v>
      </c>
      <c r="B2654" s="1" t="s">
        <v>10</v>
      </c>
      <c r="C2654" s="1" t="s">
        <v>9920</v>
      </c>
      <c r="D2654" s="1" t="s">
        <v>457</v>
      </c>
      <c r="E2654" s="1" t="s">
        <v>457</v>
      </c>
      <c r="F2654" s="1" t="s">
        <v>30</v>
      </c>
      <c r="G2654" s="1" t="s">
        <v>10035</v>
      </c>
      <c r="H2654" s="1" t="s">
        <v>1762</v>
      </c>
      <c r="I2654" t="b">
        <f>COUNTIF(Estadísticas!I:I,'centraldecomunicacion.es'!H2654)&gt;0</f>
        <v>0</v>
      </c>
    </row>
    <row r="2655" spans="1:9" hidden="1">
      <c r="A2655" s="1" t="s">
        <v>10036</v>
      </c>
      <c r="B2655" s="1" t="s">
        <v>18</v>
      </c>
      <c r="C2655" s="1" t="s">
        <v>10037</v>
      </c>
      <c r="D2655" s="1" t="s">
        <v>457</v>
      </c>
      <c r="E2655" s="1" t="s">
        <v>457</v>
      </c>
      <c r="F2655" s="1" t="s">
        <v>30</v>
      </c>
      <c r="G2655" s="1" t="s">
        <v>30</v>
      </c>
      <c r="H2655" s="1" t="s">
        <v>1762</v>
      </c>
      <c r="I2655" t="b">
        <f>COUNTIF(Estadísticas!I:I,'centraldecomunicacion.es'!H2655)&gt;0</f>
        <v>0</v>
      </c>
    </row>
    <row r="2656" spans="1:9" hidden="1">
      <c r="A2656" s="1" t="s">
        <v>9997</v>
      </c>
      <c r="B2656" s="1" t="s">
        <v>10</v>
      </c>
      <c r="C2656" s="1" t="s">
        <v>10038</v>
      </c>
      <c r="D2656" s="1" t="s">
        <v>457</v>
      </c>
      <c r="E2656" s="1" t="s">
        <v>457</v>
      </c>
      <c r="F2656" s="1" t="s">
        <v>30</v>
      </c>
      <c r="G2656" s="1" t="s">
        <v>10039</v>
      </c>
      <c r="H2656" s="1" t="s">
        <v>1762</v>
      </c>
      <c r="I2656" t="b">
        <f>COUNTIF(Estadísticas!I:I,'centraldecomunicacion.es'!H2656)&gt;0</f>
        <v>0</v>
      </c>
    </row>
    <row r="2657" spans="1:9" hidden="1">
      <c r="A2657" s="1" t="s">
        <v>10040</v>
      </c>
      <c r="B2657" s="1" t="s">
        <v>10</v>
      </c>
      <c r="C2657" s="1" t="s">
        <v>10041</v>
      </c>
      <c r="D2657" s="1" t="s">
        <v>10042</v>
      </c>
      <c r="E2657" s="1" t="s">
        <v>457</v>
      </c>
      <c r="F2657" s="1" t="s">
        <v>30</v>
      </c>
      <c r="G2657" s="1" t="s">
        <v>10043</v>
      </c>
      <c r="H2657" s="1" t="s">
        <v>1762</v>
      </c>
      <c r="I2657" t="b">
        <f>COUNTIF(Estadísticas!I:I,'centraldecomunicacion.es'!H2657)&gt;0</f>
        <v>0</v>
      </c>
    </row>
    <row r="2658" spans="1:9" hidden="1">
      <c r="A2658" s="1" t="s">
        <v>10044</v>
      </c>
      <c r="B2658" s="1" t="s">
        <v>10</v>
      </c>
      <c r="C2658" s="1" t="s">
        <v>10045</v>
      </c>
      <c r="D2658" s="1" t="s">
        <v>457</v>
      </c>
      <c r="E2658" s="1" t="s">
        <v>457</v>
      </c>
      <c r="F2658" s="1" t="s">
        <v>30</v>
      </c>
      <c r="G2658" s="1" t="s">
        <v>10046</v>
      </c>
      <c r="H2658" s="1" t="s">
        <v>1762</v>
      </c>
      <c r="I2658" t="b">
        <f>COUNTIF(Estadísticas!I:I,'centraldecomunicacion.es'!H2658)&gt;0</f>
        <v>0</v>
      </c>
    </row>
    <row r="2659" spans="1:9" hidden="1">
      <c r="A2659" s="1" t="s">
        <v>10047</v>
      </c>
      <c r="B2659" s="1" t="s">
        <v>10</v>
      </c>
      <c r="C2659" s="1" t="s">
        <v>10048</v>
      </c>
      <c r="D2659" s="1" t="s">
        <v>457</v>
      </c>
      <c r="E2659" s="1" t="s">
        <v>457</v>
      </c>
      <c r="F2659" s="1" t="s">
        <v>30</v>
      </c>
      <c r="G2659" s="1" t="s">
        <v>10049</v>
      </c>
      <c r="H2659" s="1" t="s">
        <v>1762</v>
      </c>
      <c r="I2659" t="b">
        <f>COUNTIF(Estadísticas!I:I,'centraldecomunicacion.es'!H2659)&gt;0</f>
        <v>0</v>
      </c>
    </row>
    <row r="2660" spans="1:9" hidden="1">
      <c r="A2660" s="1" t="s">
        <v>10050</v>
      </c>
      <c r="B2660" s="1" t="s">
        <v>10</v>
      </c>
      <c r="C2660" s="1" t="s">
        <v>10051</v>
      </c>
      <c r="D2660" s="1" t="s">
        <v>9928</v>
      </c>
      <c r="E2660" s="1" t="s">
        <v>457</v>
      </c>
      <c r="F2660" s="1" t="s">
        <v>10052</v>
      </c>
      <c r="G2660" s="1" t="s">
        <v>10053</v>
      </c>
      <c r="H2660" s="1" t="s">
        <v>10054</v>
      </c>
      <c r="I2660" t="b">
        <f>COUNTIF(Estadísticas!I:I,'centraldecomunicacion.es'!H2660)&gt;0</f>
        <v>0</v>
      </c>
    </row>
    <row r="2661" spans="1:9">
      <c r="A2661" s="1" t="s">
        <v>974</v>
      </c>
      <c r="B2661" s="1" t="s">
        <v>10</v>
      </c>
      <c r="C2661" s="1" t="s">
        <v>975</v>
      </c>
      <c r="D2661" s="1" t="s">
        <v>976</v>
      </c>
      <c r="E2661" s="1" t="s">
        <v>457</v>
      </c>
      <c r="F2661" s="1" t="s">
        <v>977</v>
      </c>
      <c r="G2661" s="1" t="s">
        <v>978</v>
      </c>
      <c r="H2661" s="1" t="s">
        <v>979</v>
      </c>
      <c r="I2661" t="b">
        <f>COUNTIF(Estadísticas!I:I,'centraldecomunicacion.es'!H2661)&gt;0</f>
        <v>1</v>
      </c>
    </row>
    <row r="2662" spans="1:9" hidden="1">
      <c r="A2662" s="1" t="s">
        <v>10055</v>
      </c>
      <c r="B2662" s="1" t="s">
        <v>10</v>
      </c>
      <c r="C2662" s="1" t="s">
        <v>10056</v>
      </c>
      <c r="D2662" s="1" t="s">
        <v>457</v>
      </c>
      <c r="E2662" s="1" t="s">
        <v>457</v>
      </c>
      <c r="F2662" s="1" t="s">
        <v>30</v>
      </c>
      <c r="G2662" s="1" t="s">
        <v>10057</v>
      </c>
      <c r="H2662" s="1" t="s">
        <v>1762</v>
      </c>
      <c r="I2662" t="b">
        <f>COUNTIF(Estadísticas!I:I,'centraldecomunicacion.es'!H2662)&gt;0</f>
        <v>0</v>
      </c>
    </row>
    <row r="2663" spans="1:9">
      <c r="A2663" s="1" t="s">
        <v>980</v>
      </c>
      <c r="B2663" s="1" t="s">
        <v>10</v>
      </c>
      <c r="C2663" s="1" t="s">
        <v>981</v>
      </c>
      <c r="D2663" s="1" t="s">
        <v>457</v>
      </c>
      <c r="E2663" s="1" t="s">
        <v>457</v>
      </c>
      <c r="F2663" s="1" t="s">
        <v>982</v>
      </c>
      <c r="G2663" s="1" t="s">
        <v>983</v>
      </c>
      <c r="H2663" s="1" t="s">
        <v>984</v>
      </c>
      <c r="I2663" t="b">
        <f>COUNTIF(Estadísticas!I:I,'centraldecomunicacion.es'!H2663)&gt;0</f>
        <v>1</v>
      </c>
    </row>
    <row r="2664" spans="1:9" hidden="1">
      <c r="A2664" s="1" t="s">
        <v>10058</v>
      </c>
      <c r="B2664" s="1" t="s">
        <v>10</v>
      </c>
      <c r="C2664" s="1" t="s">
        <v>10059</v>
      </c>
      <c r="D2664" s="1" t="s">
        <v>457</v>
      </c>
      <c r="E2664" s="1" t="s">
        <v>457</v>
      </c>
      <c r="F2664" s="1" t="s">
        <v>30</v>
      </c>
      <c r="G2664" s="1" t="s">
        <v>10060</v>
      </c>
      <c r="H2664" s="1" t="s">
        <v>1762</v>
      </c>
      <c r="I2664" t="b">
        <f>COUNTIF(Estadísticas!I:I,'centraldecomunicacion.es'!H2664)&gt;0</f>
        <v>0</v>
      </c>
    </row>
    <row r="2665" spans="1:9" hidden="1">
      <c r="A2665" s="1" t="s">
        <v>10061</v>
      </c>
      <c r="B2665" s="1" t="s">
        <v>10</v>
      </c>
      <c r="C2665" s="1" t="s">
        <v>10062</v>
      </c>
      <c r="D2665" s="1" t="s">
        <v>9928</v>
      </c>
      <c r="E2665" s="1" t="s">
        <v>457</v>
      </c>
      <c r="F2665" s="1" t="s">
        <v>30</v>
      </c>
      <c r="G2665" s="1" t="s">
        <v>10063</v>
      </c>
      <c r="H2665" s="1" t="s">
        <v>1762</v>
      </c>
      <c r="I2665" t="b">
        <f>COUNTIF(Estadísticas!I:I,'centraldecomunicacion.es'!H2665)&gt;0</f>
        <v>0</v>
      </c>
    </row>
    <row r="2666" spans="1:9" hidden="1">
      <c r="A2666" s="1" t="s">
        <v>10064</v>
      </c>
      <c r="B2666" s="1" t="s">
        <v>10</v>
      </c>
      <c r="C2666" s="1" t="s">
        <v>10065</v>
      </c>
      <c r="D2666" s="1" t="s">
        <v>9928</v>
      </c>
      <c r="E2666" s="1" t="s">
        <v>457</v>
      </c>
      <c r="F2666" s="1" t="s">
        <v>30</v>
      </c>
      <c r="G2666" s="1" t="s">
        <v>30</v>
      </c>
      <c r="H2666" s="1" t="s">
        <v>1762</v>
      </c>
      <c r="I2666" t="b">
        <f>COUNTIF(Estadísticas!I:I,'centraldecomunicacion.es'!H2666)&gt;0</f>
        <v>0</v>
      </c>
    </row>
    <row r="2667" spans="1:9" hidden="1">
      <c r="A2667" s="1" t="s">
        <v>10066</v>
      </c>
      <c r="B2667" s="1" t="s">
        <v>10</v>
      </c>
      <c r="C2667" s="1" t="s">
        <v>10067</v>
      </c>
      <c r="D2667" s="1" t="s">
        <v>10068</v>
      </c>
      <c r="E2667" s="1" t="s">
        <v>457</v>
      </c>
      <c r="F2667" s="1" t="s">
        <v>30</v>
      </c>
      <c r="G2667" s="1" t="s">
        <v>10069</v>
      </c>
      <c r="H2667" s="1" t="s">
        <v>1762</v>
      </c>
      <c r="I2667" t="b">
        <f>COUNTIF(Estadísticas!I:I,'centraldecomunicacion.es'!H2667)&gt;0</f>
        <v>0</v>
      </c>
    </row>
    <row r="2668" spans="1:9" hidden="1">
      <c r="A2668" s="1" t="s">
        <v>10070</v>
      </c>
      <c r="B2668" s="1" t="s">
        <v>18</v>
      </c>
      <c r="C2668" s="1" t="s">
        <v>10071</v>
      </c>
      <c r="D2668" s="1" t="s">
        <v>457</v>
      </c>
      <c r="E2668" s="1" t="s">
        <v>457</v>
      </c>
      <c r="F2668" s="1" t="s">
        <v>30</v>
      </c>
      <c r="G2668" s="1" t="s">
        <v>10072</v>
      </c>
      <c r="H2668" s="1" t="s">
        <v>1762</v>
      </c>
      <c r="I2668" t="b">
        <f>COUNTIF(Estadísticas!I:I,'centraldecomunicacion.es'!H2668)&gt;0</f>
        <v>0</v>
      </c>
    </row>
    <row r="2669" spans="1:9" hidden="1">
      <c r="A2669" s="1" t="s">
        <v>10073</v>
      </c>
      <c r="B2669" s="1" t="s">
        <v>10</v>
      </c>
      <c r="C2669" s="1" t="s">
        <v>10074</v>
      </c>
      <c r="D2669" s="1" t="s">
        <v>10016</v>
      </c>
      <c r="E2669" s="1" t="s">
        <v>457</v>
      </c>
      <c r="F2669" s="1" t="s">
        <v>30</v>
      </c>
      <c r="G2669" s="1" t="s">
        <v>30</v>
      </c>
      <c r="H2669" s="1" t="s">
        <v>1762</v>
      </c>
      <c r="I2669" t="b">
        <f>COUNTIF(Estadísticas!I:I,'centraldecomunicacion.es'!H2669)&gt;0</f>
        <v>0</v>
      </c>
    </row>
    <row r="2670" spans="1:9" hidden="1">
      <c r="A2670" s="1" t="s">
        <v>10075</v>
      </c>
      <c r="B2670" s="1" t="s">
        <v>18</v>
      </c>
      <c r="C2670" s="1" t="s">
        <v>10076</v>
      </c>
      <c r="D2670" s="1" t="s">
        <v>457</v>
      </c>
      <c r="E2670" s="1" t="s">
        <v>457</v>
      </c>
      <c r="F2670" s="1" t="s">
        <v>30</v>
      </c>
      <c r="G2670" s="1" t="s">
        <v>10077</v>
      </c>
      <c r="H2670" s="1" t="s">
        <v>1762</v>
      </c>
      <c r="I2670" t="b">
        <f>COUNTIF(Estadísticas!I:I,'centraldecomunicacion.es'!H2670)&gt;0</f>
        <v>0</v>
      </c>
    </row>
    <row r="2671" spans="1:9" hidden="1">
      <c r="A2671" s="1" t="s">
        <v>10078</v>
      </c>
      <c r="B2671" s="1" t="s">
        <v>10</v>
      </c>
      <c r="C2671" s="1" t="s">
        <v>10079</v>
      </c>
      <c r="D2671" s="1" t="s">
        <v>10080</v>
      </c>
      <c r="E2671" s="1" t="s">
        <v>457</v>
      </c>
      <c r="F2671" s="1" t="s">
        <v>10081</v>
      </c>
      <c r="G2671" s="1" t="s">
        <v>10082</v>
      </c>
      <c r="H2671" s="1" t="s">
        <v>1783</v>
      </c>
      <c r="I2671" t="b">
        <f>COUNTIF(Estadísticas!I:I,'centraldecomunicacion.es'!H2671)&gt;0</f>
        <v>0</v>
      </c>
    </row>
    <row r="2672" spans="1:9" hidden="1">
      <c r="A2672" s="1" t="s">
        <v>10083</v>
      </c>
      <c r="B2672" s="1" t="s">
        <v>10</v>
      </c>
      <c r="C2672" s="1" t="s">
        <v>10084</v>
      </c>
      <c r="D2672" s="1" t="s">
        <v>987</v>
      </c>
      <c r="E2672" s="1" t="s">
        <v>457</v>
      </c>
      <c r="F2672" s="1" t="s">
        <v>10085</v>
      </c>
      <c r="G2672" s="1" t="s">
        <v>10086</v>
      </c>
      <c r="H2672" s="1" t="s">
        <v>1762</v>
      </c>
      <c r="I2672" t="b">
        <f>COUNTIF(Estadísticas!I:I,'centraldecomunicacion.es'!H2672)&gt;0</f>
        <v>0</v>
      </c>
    </row>
    <row r="2673" spans="1:9" hidden="1">
      <c r="A2673" s="1" t="s">
        <v>10087</v>
      </c>
      <c r="B2673" s="1" t="s">
        <v>10</v>
      </c>
      <c r="C2673" s="1" t="s">
        <v>10088</v>
      </c>
      <c r="D2673" s="1" t="s">
        <v>10089</v>
      </c>
      <c r="E2673" s="1" t="s">
        <v>457</v>
      </c>
      <c r="F2673" s="1" t="s">
        <v>30</v>
      </c>
      <c r="G2673" s="1" t="s">
        <v>10090</v>
      </c>
      <c r="H2673" s="1" t="s">
        <v>1762</v>
      </c>
      <c r="I2673" t="b">
        <f>COUNTIF(Estadísticas!I:I,'centraldecomunicacion.es'!H2673)&gt;0</f>
        <v>0</v>
      </c>
    </row>
    <row r="2674" spans="1:9" hidden="1">
      <c r="A2674" s="1" t="s">
        <v>10091</v>
      </c>
      <c r="B2674" s="1" t="s">
        <v>10</v>
      </c>
      <c r="C2674" s="1" t="s">
        <v>10092</v>
      </c>
      <c r="D2674" s="1" t="s">
        <v>10080</v>
      </c>
      <c r="E2674" s="1" t="s">
        <v>457</v>
      </c>
      <c r="F2674" s="1" t="s">
        <v>10081</v>
      </c>
      <c r="G2674" s="1" t="s">
        <v>10082</v>
      </c>
      <c r="H2674" s="1" t="s">
        <v>1783</v>
      </c>
      <c r="I2674" t="b">
        <f>COUNTIF(Estadísticas!I:I,'centraldecomunicacion.es'!H2674)&gt;0</f>
        <v>0</v>
      </c>
    </row>
    <row r="2675" spans="1:9">
      <c r="A2675" s="1" t="s">
        <v>985</v>
      </c>
      <c r="B2675" s="1" t="s">
        <v>10</v>
      </c>
      <c r="C2675" s="1" t="s">
        <v>986</v>
      </c>
      <c r="D2675" s="1" t="s">
        <v>987</v>
      </c>
      <c r="E2675" s="1" t="s">
        <v>457</v>
      </c>
      <c r="F2675" s="1" t="s">
        <v>988</v>
      </c>
      <c r="G2675" s="1" t="s">
        <v>989</v>
      </c>
      <c r="H2675" s="1" t="s">
        <v>990</v>
      </c>
      <c r="I2675" t="b">
        <f>COUNTIF(Estadísticas!I:I,'centraldecomunicacion.es'!H2675)&gt;0</f>
        <v>1</v>
      </c>
    </row>
    <row r="2676" spans="1:9" hidden="1">
      <c r="A2676" s="1" t="s">
        <v>10093</v>
      </c>
      <c r="B2676" s="1" t="s">
        <v>10</v>
      </c>
      <c r="C2676" s="1" t="s">
        <v>10094</v>
      </c>
      <c r="D2676" s="1" t="s">
        <v>10095</v>
      </c>
      <c r="E2676" s="1" t="s">
        <v>457</v>
      </c>
      <c r="F2676" s="1" t="s">
        <v>1984</v>
      </c>
      <c r="G2676" s="1" t="s">
        <v>10096</v>
      </c>
      <c r="H2676" s="1" t="s">
        <v>1762</v>
      </c>
      <c r="I2676" t="b">
        <f>COUNTIF(Estadísticas!I:I,'centraldecomunicacion.es'!H2676)&gt;0</f>
        <v>0</v>
      </c>
    </row>
    <row r="2677" spans="1:9" hidden="1">
      <c r="A2677" s="1" t="s">
        <v>10097</v>
      </c>
      <c r="B2677" s="1" t="s">
        <v>10</v>
      </c>
      <c r="C2677" s="1" t="s">
        <v>10098</v>
      </c>
      <c r="D2677" s="1" t="s">
        <v>976</v>
      </c>
      <c r="E2677" s="1" t="s">
        <v>457</v>
      </c>
      <c r="F2677" s="1" t="s">
        <v>30</v>
      </c>
      <c r="G2677" s="1" t="s">
        <v>10099</v>
      </c>
      <c r="H2677" s="1" t="s">
        <v>1762</v>
      </c>
      <c r="I2677" t="b">
        <f>COUNTIF(Estadísticas!I:I,'centraldecomunicacion.es'!H2677)&gt;0</f>
        <v>0</v>
      </c>
    </row>
    <row r="2678" spans="1:9" hidden="1">
      <c r="A2678" s="1" t="s">
        <v>10100</v>
      </c>
      <c r="B2678" s="1" t="s">
        <v>10</v>
      </c>
      <c r="C2678" s="1" t="s">
        <v>10101</v>
      </c>
      <c r="D2678" s="1" t="s">
        <v>10102</v>
      </c>
      <c r="E2678" s="1" t="s">
        <v>457</v>
      </c>
      <c r="F2678" s="1" t="s">
        <v>30</v>
      </c>
      <c r="G2678" s="1" t="s">
        <v>10103</v>
      </c>
      <c r="H2678" s="1" t="s">
        <v>1762</v>
      </c>
      <c r="I2678" t="b">
        <f>COUNTIF(Estadísticas!I:I,'centraldecomunicacion.es'!H2678)&gt;0</f>
        <v>0</v>
      </c>
    </row>
    <row r="2679" spans="1:9" hidden="1">
      <c r="A2679" s="1" t="s">
        <v>10104</v>
      </c>
      <c r="B2679" s="1" t="s">
        <v>10</v>
      </c>
      <c r="C2679" s="1" t="s">
        <v>10105</v>
      </c>
      <c r="D2679" s="1" t="s">
        <v>987</v>
      </c>
      <c r="E2679" s="1" t="s">
        <v>457</v>
      </c>
      <c r="F2679" s="1" t="s">
        <v>30</v>
      </c>
      <c r="G2679" s="1" t="s">
        <v>10106</v>
      </c>
      <c r="H2679" s="1" t="s">
        <v>1762</v>
      </c>
      <c r="I2679" t="b">
        <f>COUNTIF(Estadísticas!I:I,'centraldecomunicacion.es'!H2679)&gt;0</f>
        <v>0</v>
      </c>
    </row>
    <row r="2680" spans="1:9" hidden="1">
      <c r="A2680" s="1" t="s">
        <v>10107</v>
      </c>
      <c r="B2680" s="1" t="s">
        <v>10</v>
      </c>
      <c r="C2680" s="1" t="s">
        <v>10108</v>
      </c>
      <c r="D2680" s="1" t="s">
        <v>10109</v>
      </c>
      <c r="E2680" s="1" t="s">
        <v>457</v>
      </c>
      <c r="F2680" s="1" t="s">
        <v>30</v>
      </c>
      <c r="G2680" s="1" t="s">
        <v>30</v>
      </c>
      <c r="H2680" s="1" t="s">
        <v>1762</v>
      </c>
      <c r="I2680" t="b">
        <f>COUNTIF(Estadísticas!I:I,'centraldecomunicacion.es'!H2680)&gt;0</f>
        <v>0</v>
      </c>
    </row>
    <row r="2681" spans="1:9">
      <c r="A2681" s="1" t="s">
        <v>991</v>
      </c>
      <c r="B2681" s="1" t="s">
        <v>18</v>
      </c>
      <c r="C2681" s="1" t="s">
        <v>992</v>
      </c>
      <c r="D2681" s="1" t="s">
        <v>993</v>
      </c>
      <c r="E2681" s="1" t="s">
        <v>457</v>
      </c>
      <c r="F2681" s="1" t="s">
        <v>994</v>
      </c>
      <c r="G2681" s="1" t="s">
        <v>995</v>
      </c>
      <c r="H2681" s="1" t="s">
        <v>996</v>
      </c>
      <c r="I2681" t="b">
        <f>COUNTIF(Estadísticas!I:I,'centraldecomunicacion.es'!H2681)&gt;0</f>
        <v>1</v>
      </c>
    </row>
    <row r="2682" spans="1:9" hidden="1">
      <c r="A2682" s="1" t="s">
        <v>10110</v>
      </c>
      <c r="B2682" s="1" t="s">
        <v>10</v>
      </c>
      <c r="C2682" s="1" t="s">
        <v>10111</v>
      </c>
      <c r="D2682" s="1" t="s">
        <v>1000</v>
      </c>
      <c r="E2682" s="1" t="s">
        <v>1000</v>
      </c>
      <c r="F2682" s="1" t="s">
        <v>10112</v>
      </c>
      <c r="G2682" s="1" t="s">
        <v>10113</v>
      </c>
      <c r="H2682" s="1" t="s">
        <v>1762</v>
      </c>
      <c r="I2682" t="b">
        <f>COUNTIF(Estadísticas!I:I,'centraldecomunicacion.es'!H2682)&gt;0</f>
        <v>0</v>
      </c>
    </row>
    <row r="2683" spans="1:9" hidden="1">
      <c r="A2683" s="1" t="s">
        <v>10114</v>
      </c>
      <c r="B2683" s="1" t="s">
        <v>10</v>
      </c>
      <c r="C2683" s="1" t="s">
        <v>10115</v>
      </c>
      <c r="D2683" s="1" t="s">
        <v>1000</v>
      </c>
      <c r="E2683" s="1" t="s">
        <v>1000</v>
      </c>
      <c r="F2683" s="1" t="s">
        <v>10116</v>
      </c>
      <c r="G2683" s="1" t="s">
        <v>10117</v>
      </c>
      <c r="H2683" s="1" t="s">
        <v>10118</v>
      </c>
      <c r="I2683" t="b">
        <f>COUNTIF(Estadísticas!I:I,'centraldecomunicacion.es'!H2683)&gt;0</f>
        <v>0</v>
      </c>
    </row>
    <row r="2684" spans="1:9" hidden="1">
      <c r="A2684" s="1" t="s">
        <v>10119</v>
      </c>
      <c r="B2684" s="1" t="s">
        <v>10</v>
      </c>
      <c r="C2684" s="1" t="s">
        <v>10120</v>
      </c>
      <c r="D2684" s="1" t="s">
        <v>1000</v>
      </c>
      <c r="E2684" s="1" t="s">
        <v>1000</v>
      </c>
      <c r="F2684" s="1" t="s">
        <v>10121</v>
      </c>
      <c r="G2684" s="1" t="s">
        <v>10122</v>
      </c>
      <c r="H2684" s="1" t="s">
        <v>10123</v>
      </c>
      <c r="I2684" t="b">
        <f>COUNTIF(Estadísticas!I:I,'centraldecomunicacion.es'!H2684)&gt;0</f>
        <v>0</v>
      </c>
    </row>
    <row r="2685" spans="1:9" hidden="1">
      <c r="A2685" s="1" t="s">
        <v>10124</v>
      </c>
      <c r="B2685" s="1" t="s">
        <v>10</v>
      </c>
      <c r="C2685" s="1" t="s">
        <v>30</v>
      </c>
      <c r="D2685" s="1" t="s">
        <v>1011</v>
      </c>
      <c r="E2685" s="1" t="s">
        <v>30</v>
      </c>
      <c r="F2685" s="1" t="s">
        <v>30</v>
      </c>
      <c r="G2685" s="1" t="s">
        <v>10125</v>
      </c>
      <c r="H2685" s="1" t="s">
        <v>1762</v>
      </c>
      <c r="I2685" t="b">
        <f>COUNTIF(Estadísticas!I:I,'centraldecomunicacion.es'!H2685)&gt;0</f>
        <v>0</v>
      </c>
    </row>
    <row r="2686" spans="1:9" hidden="1">
      <c r="A2686" s="1" t="s">
        <v>10126</v>
      </c>
      <c r="B2686" s="1" t="s">
        <v>18</v>
      </c>
      <c r="C2686" s="1" t="s">
        <v>10127</v>
      </c>
      <c r="D2686" s="1" t="s">
        <v>1000</v>
      </c>
      <c r="E2686" s="1" t="s">
        <v>1000</v>
      </c>
      <c r="F2686" s="1" t="s">
        <v>10128</v>
      </c>
      <c r="G2686" s="1" t="s">
        <v>10129</v>
      </c>
      <c r="H2686" s="1" t="s">
        <v>10130</v>
      </c>
      <c r="I2686" t="b">
        <f>COUNTIF(Estadísticas!I:I,'centraldecomunicacion.es'!H2686)&gt;0</f>
        <v>0</v>
      </c>
    </row>
    <row r="2687" spans="1:9" hidden="1">
      <c r="A2687" s="1" t="s">
        <v>10131</v>
      </c>
      <c r="B2687" s="1" t="s">
        <v>10</v>
      </c>
      <c r="C2687" s="1" t="s">
        <v>10132</v>
      </c>
      <c r="D2687" s="1" t="s">
        <v>1000</v>
      </c>
      <c r="E2687" s="1" t="s">
        <v>1000</v>
      </c>
      <c r="F2687" s="1" t="s">
        <v>30</v>
      </c>
      <c r="G2687" s="1" t="s">
        <v>10133</v>
      </c>
      <c r="H2687" s="1" t="s">
        <v>1762</v>
      </c>
      <c r="I2687" t="b">
        <f>COUNTIF(Estadísticas!I:I,'centraldecomunicacion.es'!H2687)&gt;0</f>
        <v>0</v>
      </c>
    </row>
    <row r="2688" spans="1:9" hidden="1">
      <c r="A2688" s="1" t="s">
        <v>10134</v>
      </c>
      <c r="B2688" s="1" t="s">
        <v>10</v>
      </c>
      <c r="C2688" s="1" t="s">
        <v>10135</v>
      </c>
      <c r="D2688" s="1" t="s">
        <v>1000</v>
      </c>
      <c r="E2688" s="1" t="s">
        <v>1000</v>
      </c>
      <c r="F2688" s="1" t="s">
        <v>30</v>
      </c>
      <c r="G2688" s="1" t="s">
        <v>10136</v>
      </c>
      <c r="H2688" s="1" t="s">
        <v>1762</v>
      </c>
      <c r="I2688" t="b">
        <f>COUNTIF(Estadísticas!I:I,'centraldecomunicacion.es'!H2688)&gt;0</f>
        <v>0</v>
      </c>
    </row>
    <row r="2689" spans="1:9" hidden="1">
      <c r="A2689" s="1" t="s">
        <v>10137</v>
      </c>
      <c r="B2689" s="1" t="s">
        <v>18</v>
      </c>
      <c r="C2689" s="1" t="s">
        <v>10138</v>
      </c>
      <c r="D2689" s="1" t="s">
        <v>1000</v>
      </c>
      <c r="E2689" s="1" t="s">
        <v>1000</v>
      </c>
      <c r="F2689" s="1" t="s">
        <v>30</v>
      </c>
      <c r="G2689" s="1" t="s">
        <v>10139</v>
      </c>
      <c r="H2689" s="1" t="s">
        <v>1762</v>
      </c>
      <c r="I2689" t="b">
        <f>COUNTIF(Estadísticas!I:I,'centraldecomunicacion.es'!H2689)&gt;0</f>
        <v>0</v>
      </c>
    </row>
    <row r="2690" spans="1:9" hidden="1">
      <c r="A2690" s="1" t="s">
        <v>10140</v>
      </c>
      <c r="B2690" s="1" t="s">
        <v>10</v>
      </c>
      <c r="C2690" s="1" t="s">
        <v>10141</v>
      </c>
      <c r="D2690" s="1" t="s">
        <v>1000</v>
      </c>
      <c r="E2690" s="1" t="s">
        <v>1000</v>
      </c>
      <c r="F2690" s="1" t="s">
        <v>30</v>
      </c>
      <c r="G2690" s="1" t="s">
        <v>10142</v>
      </c>
      <c r="H2690" s="1" t="s">
        <v>1762</v>
      </c>
      <c r="I2690" t="b">
        <f>COUNTIF(Estadísticas!I:I,'centraldecomunicacion.es'!H2690)&gt;0</f>
        <v>0</v>
      </c>
    </row>
    <row r="2691" spans="1:9" hidden="1">
      <c r="A2691" s="1" t="s">
        <v>10143</v>
      </c>
      <c r="B2691" s="1" t="s">
        <v>10</v>
      </c>
      <c r="C2691" s="1" t="s">
        <v>10144</v>
      </c>
      <c r="D2691" s="1" t="s">
        <v>1000</v>
      </c>
      <c r="E2691" s="1" t="s">
        <v>1000</v>
      </c>
      <c r="F2691" s="1" t="s">
        <v>30</v>
      </c>
      <c r="G2691" s="1" t="s">
        <v>30</v>
      </c>
      <c r="H2691" s="1" t="s">
        <v>1762</v>
      </c>
      <c r="I2691" t="b">
        <f>COUNTIF(Estadísticas!I:I,'centraldecomunicacion.es'!H2691)&gt;0</f>
        <v>0</v>
      </c>
    </row>
    <row r="2692" spans="1:9" hidden="1">
      <c r="A2692" s="1" t="s">
        <v>10145</v>
      </c>
      <c r="B2692" s="1" t="s">
        <v>10</v>
      </c>
      <c r="C2692" s="1" t="s">
        <v>10146</v>
      </c>
      <c r="D2692" s="1" t="s">
        <v>1000</v>
      </c>
      <c r="E2692" s="1" t="s">
        <v>1000</v>
      </c>
      <c r="F2692" s="1" t="s">
        <v>10147</v>
      </c>
      <c r="G2692" s="1" t="s">
        <v>10148</v>
      </c>
      <c r="H2692" s="1" t="s">
        <v>10149</v>
      </c>
      <c r="I2692" t="b">
        <f>COUNTIF(Estadísticas!I:I,'centraldecomunicacion.es'!H2692)&gt;0</f>
        <v>0</v>
      </c>
    </row>
    <row r="2693" spans="1:9" hidden="1">
      <c r="A2693" s="1" t="s">
        <v>10150</v>
      </c>
      <c r="B2693" s="1" t="s">
        <v>10</v>
      </c>
      <c r="C2693" s="1" t="s">
        <v>30</v>
      </c>
      <c r="D2693" s="1" t="s">
        <v>1011</v>
      </c>
      <c r="E2693" s="1" t="s">
        <v>30</v>
      </c>
      <c r="F2693" s="1" t="s">
        <v>4170</v>
      </c>
      <c r="G2693" s="1" t="s">
        <v>10125</v>
      </c>
      <c r="H2693" s="1" t="s">
        <v>1762</v>
      </c>
      <c r="I2693" t="b">
        <f>COUNTIF(Estadísticas!I:I,'centraldecomunicacion.es'!H2693)&gt;0</f>
        <v>0</v>
      </c>
    </row>
    <row r="2694" spans="1:9" hidden="1">
      <c r="A2694" s="1" t="s">
        <v>10151</v>
      </c>
      <c r="B2694" s="1" t="s">
        <v>10</v>
      </c>
      <c r="C2694" s="1" t="s">
        <v>10152</v>
      </c>
      <c r="D2694" s="1" t="s">
        <v>1000</v>
      </c>
      <c r="E2694" s="1" t="s">
        <v>1000</v>
      </c>
      <c r="F2694" s="1" t="s">
        <v>30</v>
      </c>
      <c r="G2694" s="1" t="s">
        <v>30</v>
      </c>
      <c r="H2694" s="1" t="s">
        <v>1762</v>
      </c>
      <c r="I2694" t="b">
        <f>COUNTIF(Estadísticas!I:I,'centraldecomunicacion.es'!H2694)&gt;0</f>
        <v>0</v>
      </c>
    </row>
    <row r="2695" spans="1:9" hidden="1">
      <c r="A2695" s="1" t="s">
        <v>10153</v>
      </c>
      <c r="B2695" s="1" t="s">
        <v>10</v>
      </c>
      <c r="C2695" s="1" t="s">
        <v>10154</v>
      </c>
      <c r="D2695" s="1" t="s">
        <v>1000</v>
      </c>
      <c r="E2695" s="1" t="s">
        <v>1000</v>
      </c>
      <c r="F2695" s="1" t="s">
        <v>30</v>
      </c>
      <c r="G2695" s="1" t="s">
        <v>30</v>
      </c>
      <c r="H2695" s="1" t="s">
        <v>1762</v>
      </c>
      <c r="I2695" t="b">
        <f>COUNTIF(Estadísticas!I:I,'centraldecomunicacion.es'!H2695)&gt;0</f>
        <v>0</v>
      </c>
    </row>
    <row r="2696" spans="1:9" hidden="1">
      <c r="A2696" s="1" t="s">
        <v>10155</v>
      </c>
      <c r="B2696" s="1" t="s">
        <v>10</v>
      </c>
      <c r="C2696" s="1" t="s">
        <v>10156</v>
      </c>
      <c r="D2696" s="1" t="s">
        <v>1000</v>
      </c>
      <c r="E2696" s="1" t="s">
        <v>1000</v>
      </c>
      <c r="F2696" s="1" t="s">
        <v>30</v>
      </c>
      <c r="G2696" s="1" t="s">
        <v>30</v>
      </c>
      <c r="H2696" s="1" t="s">
        <v>1762</v>
      </c>
      <c r="I2696" t="b">
        <f>COUNTIF(Estadísticas!I:I,'centraldecomunicacion.es'!H2696)&gt;0</f>
        <v>0</v>
      </c>
    </row>
    <row r="2697" spans="1:9" hidden="1">
      <c r="A2697" s="1" t="s">
        <v>10157</v>
      </c>
      <c r="B2697" s="1" t="s">
        <v>10</v>
      </c>
      <c r="C2697" s="1" t="s">
        <v>10158</v>
      </c>
      <c r="D2697" s="1" t="s">
        <v>1000</v>
      </c>
      <c r="E2697" s="1" t="s">
        <v>1000</v>
      </c>
      <c r="F2697" s="1" t="s">
        <v>30</v>
      </c>
      <c r="G2697" s="1" t="s">
        <v>10159</v>
      </c>
      <c r="H2697" s="1" t="s">
        <v>1762</v>
      </c>
      <c r="I2697" t="b">
        <f>COUNTIF(Estadísticas!I:I,'centraldecomunicacion.es'!H2697)&gt;0</f>
        <v>0</v>
      </c>
    </row>
    <row r="2698" spans="1:9" hidden="1">
      <c r="A2698" s="1" t="s">
        <v>10160</v>
      </c>
      <c r="B2698" s="1" t="s">
        <v>10</v>
      </c>
      <c r="C2698" s="1" t="s">
        <v>10161</v>
      </c>
      <c r="D2698" s="1" t="s">
        <v>1000</v>
      </c>
      <c r="E2698" s="1" t="s">
        <v>1000</v>
      </c>
      <c r="F2698" s="1" t="s">
        <v>30</v>
      </c>
      <c r="G2698" s="1" t="s">
        <v>10162</v>
      </c>
      <c r="H2698" s="1" t="s">
        <v>1762</v>
      </c>
      <c r="I2698" t="b">
        <f>COUNTIF(Estadísticas!I:I,'centraldecomunicacion.es'!H2698)&gt;0</f>
        <v>0</v>
      </c>
    </row>
    <row r="2699" spans="1:9" hidden="1">
      <c r="A2699" s="1" t="s">
        <v>10163</v>
      </c>
      <c r="B2699" s="1" t="s">
        <v>10</v>
      </c>
      <c r="C2699" s="1" t="s">
        <v>10164</v>
      </c>
      <c r="D2699" s="1" t="s">
        <v>1000</v>
      </c>
      <c r="E2699" s="1" t="s">
        <v>1000</v>
      </c>
      <c r="F2699" s="1" t="s">
        <v>30</v>
      </c>
      <c r="G2699" s="1" t="s">
        <v>10165</v>
      </c>
      <c r="H2699" s="1" t="s">
        <v>1762</v>
      </c>
      <c r="I2699" t="b">
        <f>COUNTIF(Estadísticas!I:I,'centraldecomunicacion.es'!H2699)&gt;0</f>
        <v>0</v>
      </c>
    </row>
    <row r="2700" spans="1:9" hidden="1">
      <c r="A2700" s="1" t="s">
        <v>10166</v>
      </c>
      <c r="B2700" s="1" t="s">
        <v>10</v>
      </c>
      <c r="C2700" s="1" t="s">
        <v>10167</v>
      </c>
      <c r="D2700" s="1" t="s">
        <v>1000</v>
      </c>
      <c r="E2700" s="1" t="s">
        <v>1000</v>
      </c>
      <c r="F2700" s="1" t="s">
        <v>30</v>
      </c>
      <c r="G2700" s="1" t="s">
        <v>30</v>
      </c>
      <c r="H2700" s="1" t="s">
        <v>1762</v>
      </c>
      <c r="I2700" t="b">
        <f>COUNTIF(Estadísticas!I:I,'centraldecomunicacion.es'!H2700)&gt;0</f>
        <v>0</v>
      </c>
    </row>
    <row r="2701" spans="1:9" hidden="1">
      <c r="A2701" s="1" t="s">
        <v>10168</v>
      </c>
      <c r="B2701" s="1" t="s">
        <v>10</v>
      </c>
      <c r="C2701" s="1" t="s">
        <v>30</v>
      </c>
      <c r="D2701" s="1" t="s">
        <v>1011</v>
      </c>
      <c r="E2701" s="1" t="s">
        <v>30</v>
      </c>
      <c r="F2701" s="1" t="s">
        <v>30</v>
      </c>
      <c r="G2701" s="1" t="s">
        <v>10169</v>
      </c>
      <c r="H2701" s="1" t="s">
        <v>1762</v>
      </c>
      <c r="I2701" t="b">
        <f>COUNTIF(Estadísticas!I:I,'centraldecomunicacion.es'!H2701)&gt;0</f>
        <v>0</v>
      </c>
    </row>
    <row r="2702" spans="1:9" hidden="1">
      <c r="A2702" s="1" t="s">
        <v>10170</v>
      </c>
      <c r="B2702" s="1" t="s">
        <v>10</v>
      </c>
      <c r="C2702" s="1" t="s">
        <v>10171</v>
      </c>
      <c r="D2702" s="1" t="s">
        <v>1000</v>
      </c>
      <c r="E2702" s="1" t="s">
        <v>1000</v>
      </c>
      <c r="F2702" s="1" t="s">
        <v>30</v>
      </c>
      <c r="G2702" s="1" t="s">
        <v>10172</v>
      </c>
      <c r="H2702" s="1" t="s">
        <v>1762</v>
      </c>
      <c r="I2702" t="b">
        <f>COUNTIF(Estadísticas!I:I,'centraldecomunicacion.es'!H2702)&gt;0</f>
        <v>0</v>
      </c>
    </row>
    <row r="2703" spans="1:9" hidden="1">
      <c r="A2703" s="1" t="s">
        <v>10173</v>
      </c>
      <c r="B2703" s="1" t="s">
        <v>10</v>
      </c>
      <c r="C2703" s="1" t="s">
        <v>10174</v>
      </c>
      <c r="D2703" s="1" t="s">
        <v>1000</v>
      </c>
      <c r="E2703" s="1" t="s">
        <v>1000</v>
      </c>
      <c r="F2703" s="1" t="s">
        <v>30</v>
      </c>
      <c r="G2703" s="1" t="s">
        <v>10175</v>
      </c>
      <c r="H2703" s="1" t="s">
        <v>1762</v>
      </c>
      <c r="I2703" t="b">
        <f>COUNTIF(Estadísticas!I:I,'centraldecomunicacion.es'!H2703)&gt;0</f>
        <v>0</v>
      </c>
    </row>
    <row r="2704" spans="1:9" hidden="1">
      <c r="A2704" s="1" t="s">
        <v>10176</v>
      </c>
      <c r="B2704" s="1" t="s">
        <v>18</v>
      </c>
      <c r="C2704" s="1" t="s">
        <v>10177</v>
      </c>
      <c r="D2704" s="1" t="s">
        <v>1000</v>
      </c>
      <c r="E2704" s="1" t="s">
        <v>1000</v>
      </c>
      <c r="F2704" s="1" t="s">
        <v>30</v>
      </c>
      <c r="G2704" s="1" t="s">
        <v>10178</v>
      </c>
      <c r="H2704" s="1" t="s">
        <v>1762</v>
      </c>
      <c r="I2704" t="b">
        <f>COUNTIF(Estadísticas!I:I,'centraldecomunicacion.es'!H2704)&gt;0</f>
        <v>0</v>
      </c>
    </row>
    <row r="2705" spans="1:9" hidden="1">
      <c r="A2705" s="1" t="s">
        <v>10179</v>
      </c>
      <c r="B2705" s="1" t="s">
        <v>10</v>
      </c>
      <c r="C2705" s="1" t="s">
        <v>10180</v>
      </c>
      <c r="D2705" s="1" t="s">
        <v>10181</v>
      </c>
      <c r="E2705" s="1" t="s">
        <v>1000</v>
      </c>
      <c r="F2705" s="1" t="s">
        <v>30</v>
      </c>
      <c r="G2705" s="1" t="s">
        <v>10182</v>
      </c>
      <c r="H2705" s="1" t="s">
        <v>1762</v>
      </c>
      <c r="I2705" t="b">
        <f>COUNTIF(Estadísticas!I:I,'centraldecomunicacion.es'!H2705)&gt;0</f>
        <v>0</v>
      </c>
    </row>
    <row r="2706" spans="1:9" hidden="1">
      <c r="A2706" s="1" t="s">
        <v>10183</v>
      </c>
      <c r="B2706" s="1" t="s">
        <v>10</v>
      </c>
      <c r="C2706" s="1" t="s">
        <v>10184</v>
      </c>
      <c r="D2706" s="1" t="s">
        <v>10185</v>
      </c>
      <c r="E2706" s="1" t="s">
        <v>1000</v>
      </c>
      <c r="F2706" s="1" t="s">
        <v>30</v>
      </c>
      <c r="G2706" s="1" t="s">
        <v>10186</v>
      </c>
      <c r="H2706" s="1" t="s">
        <v>1762</v>
      </c>
      <c r="I2706" t="b">
        <f>COUNTIF(Estadísticas!I:I,'centraldecomunicacion.es'!H2706)&gt;0</f>
        <v>0</v>
      </c>
    </row>
    <row r="2707" spans="1:9" hidden="1">
      <c r="A2707" s="1" t="s">
        <v>10187</v>
      </c>
      <c r="B2707" s="1" t="s">
        <v>10</v>
      </c>
      <c r="C2707" s="1" t="s">
        <v>10188</v>
      </c>
      <c r="D2707" s="1" t="s">
        <v>10189</v>
      </c>
      <c r="E2707" s="1" t="s">
        <v>1000</v>
      </c>
      <c r="F2707" s="1" t="s">
        <v>30</v>
      </c>
      <c r="G2707" s="1" t="s">
        <v>10190</v>
      </c>
      <c r="H2707" s="1" t="s">
        <v>1762</v>
      </c>
      <c r="I2707" t="b">
        <f>COUNTIF(Estadísticas!I:I,'centraldecomunicacion.es'!H2707)&gt;0</f>
        <v>0</v>
      </c>
    </row>
    <row r="2708" spans="1:9" hidden="1">
      <c r="A2708" s="1" t="s">
        <v>10191</v>
      </c>
      <c r="B2708" s="1" t="s">
        <v>18</v>
      </c>
      <c r="C2708" s="1" t="s">
        <v>10192</v>
      </c>
      <c r="D2708" s="1" t="s">
        <v>10193</v>
      </c>
      <c r="E2708" s="1" t="s">
        <v>1000</v>
      </c>
      <c r="F2708" s="1" t="s">
        <v>30</v>
      </c>
      <c r="G2708" s="1" t="s">
        <v>10194</v>
      </c>
      <c r="H2708" s="1" t="s">
        <v>1762</v>
      </c>
      <c r="I2708" t="b">
        <f>COUNTIF(Estadísticas!I:I,'centraldecomunicacion.es'!H2708)&gt;0</f>
        <v>0</v>
      </c>
    </row>
    <row r="2709" spans="1:9" hidden="1">
      <c r="A2709" s="1" t="s">
        <v>10195</v>
      </c>
      <c r="B2709" s="1" t="s">
        <v>10</v>
      </c>
      <c r="C2709" s="1" t="s">
        <v>10196</v>
      </c>
      <c r="D2709" s="1" t="s">
        <v>10197</v>
      </c>
      <c r="E2709" s="1" t="s">
        <v>1000</v>
      </c>
      <c r="F2709" s="1" t="s">
        <v>30</v>
      </c>
      <c r="G2709" s="1" t="s">
        <v>10198</v>
      </c>
      <c r="H2709" s="1" t="s">
        <v>1762</v>
      </c>
      <c r="I2709" t="b">
        <f>COUNTIF(Estadísticas!I:I,'centraldecomunicacion.es'!H2709)&gt;0</f>
        <v>0</v>
      </c>
    </row>
    <row r="2710" spans="1:9" hidden="1">
      <c r="A2710" s="1" t="s">
        <v>10199</v>
      </c>
      <c r="B2710" s="1" t="s">
        <v>18</v>
      </c>
      <c r="C2710" s="1" t="s">
        <v>10200</v>
      </c>
      <c r="D2710" s="1" t="s">
        <v>999</v>
      </c>
      <c r="E2710" s="1" t="s">
        <v>1000</v>
      </c>
      <c r="F2710" s="1" t="s">
        <v>10201</v>
      </c>
      <c r="G2710" s="1" t="s">
        <v>10202</v>
      </c>
      <c r="H2710" s="1" t="s">
        <v>1762</v>
      </c>
      <c r="I2710" t="b">
        <f>COUNTIF(Estadísticas!I:I,'centraldecomunicacion.es'!H2710)&gt;0</f>
        <v>0</v>
      </c>
    </row>
    <row r="2711" spans="1:9">
      <c r="A2711" s="1" t="s">
        <v>997</v>
      </c>
      <c r="B2711" s="1" t="s">
        <v>18</v>
      </c>
      <c r="C2711" s="1" t="s">
        <v>998</v>
      </c>
      <c r="D2711" s="1" t="s">
        <v>999</v>
      </c>
      <c r="E2711" s="1" t="s">
        <v>1000</v>
      </c>
      <c r="F2711" s="1" t="s">
        <v>1001</v>
      </c>
      <c r="G2711" s="1" t="s">
        <v>1002</v>
      </c>
      <c r="H2711" s="1" t="s">
        <v>1003</v>
      </c>
      <c r="I2711" t="b">
        <f>COUNTIF(Estadísticas!I:I,'centraldecomunicacion.es'!H2711)&gt;0</f>
        <v>1</v>
      </c>
    </row>
    <row r="2712" spans="1:9" hidden="1">
      <c r="A2712" s="1" t="s">
        <v>10203</v>
      </c>
      <c r="B2712" s="1" t="s">
        <v>10</v>
      </c>
      <c r="C2712" s="1" t="s">
        <v>10204</v>
      </c>
      <c r="D2712" s="1" t="s">
        <v>10205</v>
      </c>
      <c r="E2712" s="1" t="s">
        <v>1000</v>
      </c>
      <c r="F2712" s="1" t="s">
        <v>30</v>
      </c>
      <c r="G2712" s="1" t="s">
        <v>10206</v>
      </c>
      <c r="H2712" s="1" t="s">
        <v>1762</v>
      </c>
      <c r="I2712" t="b">
        <f>COUNTIF(Estadísticas!I:I,'centraldecomunicacion.es'!H2712)&gt;0</f>
        <v>0</v>
      </c>
    </row>
    <row r="2713" spans="1:9" hidden="1">
      <c r="A2713" s="1" t="s">
        <v>10207</v>
      </c>
      <c r="B2713" s="1" t="s">
        <v>10</v>
      </c>
      <c r="C2713" s="1" t="s">
        <v>10208</v>
      </c>
      <c r="D2713" s="1" t="s">
        <v>10209</v>
      </c>
      <c r="E2713" s="1" t="s">
        <v>1000</v>
      </c>
      <c r="F2713" s="1" t="s">
        <v>30</v>
      </c>
      <c r="G2713" s="1" t="s">
        <v>10210</v>
      </c>
      <c r="H2713" s="1" t="s">
        <v>1762</v>
      </c>
      <c r="I2713" t="b">
        <f>COUNTIF(Estadísticas!I:I,'centraldecomunicacion.es'!H2713)&gt;0</f>
        <v>0</v>
      </c>
    </row>
    <row r="2714" spans="1:9" hidden="1">
      <c r="A2714" s="1" t="s">
        <v>10211</v>
      </c>
      <c r="B2714" s="1" t="s">
        <v>10</v>
      </c>
      <c r="C2714" s="1" t="s">
        <v>10212</v>
      </c>
      <c r="D2714" s="1" t="s">
        <v>10213</v>
      </c>
      <c r="E2714" s="1" t="s">
        <v>1000</v>
      </c>
      <c r="F2714" s="1" t="s">
        <v>30</v>
      </c>
      <c r="G2714" s="1" t="s">
        <v>30</v>
      </c>
      <c r="H2714" s="1" t="s">
        <v>1762</v>
      </c>
      <c r="I2714" t="b">
        <f>COUNTIF(Estadísticas!I:I,'centraldecomunicacion.es'!H2714)&gt;0</f>
        <v>0</v>
      </c>
    </row>
    <row r="2715" spans="1:9">
      <c r="A2715" s="1" t="s">
        <v>1004</v>
      </c>
      <c r="B2715" s="1" t="s">
        <v>10</v>
      </c>
      <c r="C2715" s="1" t="s">
        <v>1005</v>
      </c>
      <c r="D2715" s="1" t="s">
        <v>1006</v>
      </c>
      <c r="E2715" s="1" t="s">
        <v>1000</v>
      </c>
      <c r="F2715" s="1" t="s">
        <v>1007</v>
      </c>
      <c r="G2715" s="1" t="s">
        <v>1008</v>
      </c>
      <c r="H2715" s="1" t="s">
        <v>1009</v>
      </c>
      <c r="I2715" t="b">
        <f>COUNTIF(Estadísticas!I:I,'centraldecomunicacion.es'!H2715)&gt;0</f>
        <v>1</v>
      </c>
    </row>
    <row r="2716" spans="1:9" hidden="1">
      <c r="A2716" s="1" t="s">
        <v>10214</v>
      </c>
      <c r="B2716" s="1" t="s">
        <v>10</v>
      </c>
      <c r="C2716" s="1" t="s">
        <v>10215</v>
      </c>
      <c r="D2716" s="1" t="s">
        <v>10216</v>
      </c>
      <c r="E2716" s="1" t="s">
        <v>457</v>
      </c>
      <c r="F2716" s="1" t="s">
        <v>30</v>
      </c>
      <c r="G2716" s="1" t="s">
        <v>10217</v>
      </c>
      <c r="H2716" s="1" t="s">
        <v>1762</v>
      </c>
      <c r="I2716" t="b">
        <f>COUNTIF(Estadísticas!I:I,'centraldecomunicacion.es'!H2716)&gt;0</f>
        <v>0</v>
      </c>
    </row>
    <row r="2717" spans="1:9" hidden="1">
      <c r="A2717" s="1" t="s">
        <v>10218</v>
      </c>
      <c r="B2717" s="1" t="s">
        <v>10</v>
      </c>
      <c r="C2717" s="1" t="s">
        <v>10219</v>
      </c>
      <c r="D2717" s="1" t="s">
        <v>999</v>
      </c>
      <c r="E2717" s="1" t="s">
        <v>1000</v>
      </c>
      <c r="F2717" s="1" t="s">
        <v>30</v>
      </c>
      <c r="G2717" s="1" t="s">
        <v>30</v>
      </c>
      <c r="H2717" s="1" t="s">
        <v>1762</v>
      </c>
      <c r="I2717" t="b">
        <f>COUNTIF(Estadísticas!I:I,'centraldecomunicacion.es'!H2717)&gt;0</f>
        <v>0</v>
      </c>
    </row>
    <row r="2718" spans="1:9" hidden="1">
      <c r="A2718" s="1" t="s">
        <v>10220</v>
      </c>
      <c r="B2718" s="1" t="s">
        <v>10</v>
      </c>
      <c r="C2718" s="1" t="s">
        <v>10221</v>
      </c>
      <c r="D2718" s="1" t="s">
        <v>10222</v>
      </c>
      <c r="E2718" s="1" t="s">
        <v>1000</v>
      </c>
      <c r="F2718" s="1" t="s">
        <v>30</v>
      </c>
      <c r="G2718" s="1" t="s">
        <v>10223</v>
      </c>
      <c r="H2718" s="1" t="s">
        <v>1762</v>
      </c>
      <c r="I2718" t="b">
        <f>COUNTIF(Estadísticas!I:I,'centraldecomunicacion.es'!H2718)&gt;0</f>
        <v>0</v>
      </c>
    </row>
    <row r="2719" spans="1:9" hidden="1">
      <c r="A2719" s="1" t="s">
        <v>10224</v>
      </c>
      <c r="B2719" s="1" t="s">
        <v>10</v>
      </c>
      <c r="C2719" s="1" t="s">
        <v>10225</v>
      </c>
      <c r="D2719" s="1" t="s">
        <v>999</v>
      </c>
      <c r="E2719" s="1" t="s">
        <v>1000</v>
      </c>
      <c r="F2719" s="1" t="s">
        <v>1984</v>
      </c>
      <c r="G2719" s="1" t="s">
        <v>10226</v>
      </c>
      <c r="H2719" s="1" t="s">
        <v>1762</v>
      </c>
      <c r="I2719" t="b">
        <f>COUNTIF(Estadísticas!I:I,'centraldecomunicacion.es'!H2719)&gt;0</f>
        <v>0</v>
      </c>
    </row>
    <row r="2720" spans="1:9" hidden="1">
      <c r="A2720" s="1" t="s">
        <v>10227</v>
      </c>
      <c r="B2720" s="1" t="s">
        <v>10</v>
      </c>
      <c r="C2720" s="1" t="s">
        <v>10228</v>
      </c>
      <c r="D2720" s="1" t="s">
        <v>10229</v>
      </c>
      <c r="E2720" s="1" t="s">
        <v>1000</v>
      </c>
      <c r="F2720" s="1" t="s">
        <v>30</v>
      </c>
      <c r="G2720" s="1" t="s">
        <v>10230</v>
      </c>
      <c r="H2720" s="1" t="s">
        <v>1762</v>
      </c>
      <c r="I2720" t="b">
        <f>COUNTIF(Estadísticas!I:I,'centraldecomunicacion.es'!H2720)&gt;0</f>
        <v>0</v>
      </c>
    </row>
    <row r="2721" spans="1:9" hidden="1">
      <c r="A2721" s="1" t="s">
        <v>10231</v>
      </c>
      <c r="B2721" s="1" t="s">
        <v>10</v>
      </c>
      <c r="C2721" s="1" t="s">
        <v>10232</v>
      </c>
      <c r="D2721" s="1" t="s">
        <v>10233</v>
      </c>
      <c r="E2721" s="1" t="s">
        <v>1000</v>
      </c>
      <c r="F2721" s="1" t="s">
        <v>30</v>
      </c>
      <c r="G2721" s="1" t="s">
        <v>30</v>
      </c>
      <c r="H2721" s="1" t="s">
        <v>1762</v>
      </c>
      <c r="I2721" t="b">
        <f>COUNTIF(Estadísticas!I:I,'centraldecomunicacion.es'!H2721)&gt;0</f>
        <v>0</v>
      </c>
    </row>
    <row r="2722" spans="1:9" hidden="1">
      <c r="A2722" s="1" t="s">
        <v>10234</v>
      </c>
      <c r="B2722" s="1" t="s">
        <v>10</v>
      </c>
      <c r="C2722" s="1" t="s">
        <v>10235</v>
      </c>
      <c r="D2722" s="1" t="s">
        <v>10213</v>
      </c>
      <c r="E2722" s="1" t="s">
        <v>1000</v>
      </c>
      <c r="F2722" s="1" t="s">
        <v>30</v>
      </c>
      <c r="G2722" s="1" t="s">
        <v>30</v>
      </c>
      <c r="H2722" s="1" t="s">
        <v>1762</v>
      </c>
      <c r="I2722" t="b">
        <f>COUNTIF(Estadísticas!I:I,'centraldecomunicacion.es'!H2722)&gt;0</f>
        <v>0</v>
      </c>
    </row>
    <row r="2723" spans="1:9" hidden="1">
      <c r="A2723" s="1" t="s">
        <v>10236</v>
      </c>
      <c r="B2723" s="1" t="s">
        <v>10</v>
      </c>
      <c r="C2723" s="1" t="s">
        <v>10237</v>
      </c>
      <c r="D2723" s="1" t="s">
        <v>10213</v>
      </c>
      <c r="E2723" s="1" t="s">
        <v>1000</v>
      </c>
      <c r="F2723" s="1" t="s">
        <v>30</v>
      </c>
      <c r="G2723" s="1" t="s">
        <v>30</v>
      </c>
      <c r="H2723" s="1" t="s">
        <v>1762</v>
      </c>
      <c r="I2723" t="b">
        <f>COUNTIF(Estadísticas!I:I,'centraldecomunicacion.es'!H2723)&gt;0</f>
        <v>0</v>
      </c>
    </row>
    <row r="2724" spans="1:9" hidden="1">
      <c r="A2724" s="1" t="s">
        <v>10238</v>
      </c>
      <c r="B2724" s="1" t="s">
        <v>10</v>
      </c>
      <c r="C2724" s="1" t="s">
        <v>10239</v>
      </c>
      <c r="D2724" s="1" t="s">
        <v>10240</v>
      </c>
      <c r="E2724" s="1" t="s">
        <v>1000</v>
      </c>
      <c r="F2724" s="1" t="s">
        <v>30</v>
      </c>
      <c r="G2724" s="1" t="s">
        <v>30</v>
      </c>
      <c r="H2724" s="1" t="s">
        <v>1762</v>
      </c>
      <c r="I2724" t="b">
        <f>COUNTIF(Estadísticas!I:I,'centraldecomunicacion.es'!H2724)&gt;0</f>
        <v>0</v>
      </c>
    </row>
    <row r="2725" spans="1:9" hidden="1">
      <c r="A2725" s="1" t="s">
        <v>10241</v>
      </c>
      <c r="B2725" s="1" t="s">
        <v>10</v>
      </c>
      <c r="C2725" s="1" t="s">
        <v>10242</v>
      </c>
      <c r="D2725" s="1" t="s">
        <v>10243</v>
      </c>
      <c r="E2725" s="1" t="s">
        <v>1000</v>
      </c>
      <c r="F2725" s="1" t="s">
        <v>30</v>
      </c>
      <c r="G2725" s="1" t="s">
        <v>10244</v>
      </c>
      <c r="H2725" s="1" t="s">
        <v>1762</v>
      </c>
      <c r="I2725" t="b">
        <f>COUNTIF(Estadísticas!I:I,'centraldecomunicacion.es'!H2725)&gt;0</f>
        <v>0</v>
      </c>
    </row>
    <row r="2726" spans="1:9" hidden="1">
      <c r="A2726" s="1" t="s">
        <v>10245</v>
      </c>
      <c r="B2726" s="1" t="s">
        <v>10</v>
      </c>
      <c r="C2726" s="1" t="s">
        <v>10246</v>
      </c>
      <c r="D2726" s="1" t="s">
        <v>10247</v>
      </c>
      <c r="E2726" s="1" t="s">
        <v>1000</v>
      </c>
      <c r="F2726" s="1" t="s">
        <v>30</v>
      </c>
      <c r="G2726" s="1" t="s">
        <v>30</v>
      </c>
      <c r="H2726" s="1" t="s">
        <v>1762</v>
      </c>
      <c r="I2726" t="b">
        <f>COUNTIF(Estadísticas!I:I,'centraldecomunicacion.es'!H2726)&gt;0</f>
        <v>0</v>
      </c>
    </row>
    <row r="2727" spans="1:9" hidden="1">
      <c r="A2727" s="1" t="s">
        <v>10248</v>
      </c>
      <c r="B2727" s="1" t="s">
        <v>10</v>
      </c>
      <c r="C2727" s="1" t="s">
        <v>10249</v>
      </c>
      <c r="D2727" s="1" t="s">
        <v>10250</v>
      </c>
      <c r="E2727" s="1" t="s">
        <v>1000</v>
      </c>
      <c r="F2727" s="1" t="s">
        <v>30</v>
      </c>
      <c r="G2727" s="1" t="s">
        <v>30</v>
      </c>
      <c r="H2727" s="1" t="s">
        <v>1762</v>
      </c>
      <c r="I2727" t="b">
        <f>COUNTIF(Estadísticas!I:I,'centraldecomunicacion.es'!H2727)&gt;0</f>
        <v>0</v>
      </c>
    </row>
    <row r="2728" spans="1:9" hidden="1">
      <c r="A2728" s="1" t="s">
        <v>10251</v>
      </c>
      <c r="B2728" s="1" t="s">
        <v>10</v>
      </c>
      <c r="C2728" s="1" t="s">
        <v>10252</v>
      </c>
      <c r="D2728" s="1" t="s">
        <v>1006</v>
      </c>
      <c r="E2728" s="1" t="s">
        <v>1000</v>
      </c>
      <c r="F2728" s="1" t="s">
        <v>30</v>
      </c>
      <c r="G2728" s="1" t="s">
        <v>30</v>
      </c>
      <c r="H2728" s="1" t="s">
        <v>1762</v>
      </c>
      <c r="I2728" t="b">
        <f>COUNTIF(Estadísticas!I:I,'centraldecomunicacion.es'!H2728)&gt;0</f>
        <v>0</v>
      </c>
    </row>
    <row r="2729" spans="1:9" hidden="1">
      <c r="A2729" s="1" t="s">
        <v>10253</v>
      </c>
      <c r="B2729" s="1" t="s">
        <v>10</v>
      </c>
      <c r="C2729" s="1" t="s">
        <v>10254</v>
      </c>
      <c r="D2729" s="1" t="s">
        <v>1006</v>
      </c>
      <c r="E2729" s="1" t="s">
        <v>1000</v>
      </c>
      <c r="F2729" s="1" t="s">
        <v>30</v>
      </c>
      <c r="G2729" s="1" t="s">
        <v>30</v>
      </c>
      <c r="H2729" s="1" t="s">
        <v>1762</v>
      </c>
      <c r="I2729" t="b">
        <f>COUNTIF(Estadísticas!I:I,'centraldecomunicacion.es'!H2729)&gt;0</f>
        <v>0</v>
      </c>
    </row>
    <row r="2730" spans="1:9" hidden="1">
      <c r="A2730" s="1" t="s">
        <v>10255</v>
      </c>
      <c r="B2730" s="1" t="s">
        <v>10</v>
      </c>
      <c r="C2730" s="1" t="s">
        <v>10256</v>
      </c>
      <c r="D2730" s="1" t="s">
        <v>10257</v>
      </c>
      <c r="E2730" s="1" t="s">
        <v>1000</v>
      </c>
      <c r="F2730" s="1" t="s">
        <v>30</v>
      </c>
      <c r="G2730" s="1" t="s">
        <v>30</v>
      </c>
      <c r="H2730" s="1" t="s">
        <v>1762</v>
      </c>
      <c r="I2730" t="b">
        <f>COUNTIF(Estadísticas!I:I,'centraldecomunicacion.es'!H2730)&gt;0</f>
        <v>0</v>
      </c>
    </row>
    <row r="2731" spans="1:9" hidden="1">
      <c r="A2731" s="1" t="s">
        <v>10258</v>
      </c>
      <c r="B2731" s="1" t="s">
        <v>10</v>
      </c>
      <c r="C2731" s="1" t="s">
        <v>10259</v>
      </c>
      <c r="D2731" s="1" t="s">
        <v>1006</v>
      </c>
      <c r="E2731" s="1" t="s">
        <v>1000</v>
      </c>
      <c r="F2731" s="1" t="s">
        <v>30</v>
      </c>
      <c r="G2731" s="1" t="s">
        <v>10260</v>
      </c>
      <c r="H2731" s="1" t="s">
        <v>1762</v>
      </c>
      <c r="I2731" t="b">
        <f>COUNTIF(Estadísticas!I:I,'centraldecomunicacion.es'!H2731)&gt;0</f>
        <v>0</v>
      </c>
    </row>
    <row r="2732" spans="1:9" hidden="1">
      <c r="A2732" s="1" t="s">
        <v>10261</v>
      </c>
      <c r="B2732" s="1" t="s">
        <v>10</v>
      </c>
      <c r="C2732" s="1" t="s">
        <v>10262</v>
      </c>
      <c r="D2732" s="1" t="s">
        <v>10263</v>
      </c>
      <c r="E2732" s="1" t="s">
        <v>1000</v>
      </c>
      <c r="F2732" s="1" t="s">
        <v>30</v>
      </c>
      <c r="G2732" s="1" t="s">
        <v>10264</v>
      </c>
      <c r="H2732" s="1" t="s">
        <v>1762</v>
      </c>
      <c r="I2732" t="b">
        <f>COUNTIF(Estadísticas!I:I,'centraldecomunicacion.es'!H2732)&gt;0</f>
        <v>0</v>
      </c>
    </row>
    <row r="2733" spans="1:9" hidden="1">
      <c r="A2733" s="1" t="s">
        <v>10265</v>
      </c>
      <c r="B2733" s="1" t="s">
        <v>10</v>
      </c>
      <c r="C2733" s="1" t="s">
        <v>10266</v>
      </c>
      <c r="D2733" s="1" t="s">
        <v>10267</v>
      </c>
      <c r="E2733" s="1" t="s">
        <v>1000</v>
      </c>
      <c r="F2733" s="1" t="s">
        <v>30</v>
      </c>
      <c r="G2733" s="1" t="s">
        <v>30</v>
      </c>
      <c r="H2733" s="1" t="s">
        <v>1762</v>
      </c>
      <c r="I2733" t="b">
        <f>COUNTIF(Estadísticas!I:I,'centraldecomunicacion.es'!H2733)&gt;0</f>
        <v>0</v>
      </c>
    </row>
    <row r="2734" spans="1:9" hidden="1">
      <c r="A2734" s="1" t="s">
        <v>10268</v>
      </c>
      <c r="B2734" s="1" t="s">
        <v>10</v>
      </c>
      <c r="C2734" s="1" t="s">
        <v>10269</v>
      </c>
      <c r="D2734" s="1" t="s">
        <v>1006</v>
      </c>
      <c r="E2734" s="1" t="s">
        <v>1000</v>
      </c>
      <c r="F2734" s="1" t="s">
        <v>30</v>
      </c>
      <c r="G2734" s="1" t="s">
        <v>10270</v>
      </c>
      <c r="H2734" s="1" t="s">
        <v>1762</v>
      </c>
      <c r="I2734" t="b">
        <f>COUNTIF(Estadísticas!I:I,'centraldecomunicacion.es'!H2734)&gt;0</f>
        <v>0</v>
      </c>
    </row>
    <row r="2735" spans="1:9" hidden="1">
      <c r="A2735" s="1" t="s">
        <v>10271</v>
      </c>
      <c r="B2735" s="1" t="s">
        <v>10</v>
      </c>
      <c r="C2735" s="1" t="s">
        <v>10272</v>
      </c>
      <c r="D2735" s="1" t="s">
        <v>1006</v>
      </c>
      <c r="E2735" s="1" t="s">
        <v>1000</v>
      </c>
      <c r="F2735" s="1" t="s">
        <v>10273</v>
      </c>
      <c r="G2735" s="1" t="s">
        <v>10274</v>
      </c>
      <c r="H2735" s="1" t="s">
        <v>10275</v>
      </c>
      <c r="I2735" t="b">
        <f>COUNTIF(Estadísticas!I:I,'centraldecomunicacion.es'!H2735)&gt;0</f>
        <v>0</v>
      </c>
    </row>
    <row r="2736" spans="1:9" hidden="1">
      <c r="A2736" s="1" t="s">
        <v>10276</v>
      </c>
      <c r="B2736" s="1" t="s">
        <v>10</v>
      </c>
      <c r="C2736" s="1" t="s">
        <v>10277</v>
      </c>
      <c r="D2736" s="1" t="s">
        <v>10263</v>
      </c>
      <c r="E2736" s="1" t="s">
        <v>1000</v>
      </c>
      <c r="F2736" s="1" t="s">
        <v>30</v>
      </c>
      <c r="G2736" s="1" t="s">
        <v>30</v>
      </c>
      <c r="H2736" s="1" t="s">
        <v>1762</v>
      </c>
      <c r="I2736" t="b">
        <f>COUNTIF(Estadísticas!I:I,'centraldecomunicacion.es'!H2736)&gt;0</f>
        <v>0</v>
      </c>
    </row>
    <row r="2737" spans="1:9" hidden="1">
      <c r="A2737" s="1" t="s">
        <v>10278</v>
      </c>
      <c r="B2737" s="1" t="s">
        <v>10</v>
      </c>
      <c r="C2737" s="1" t="s">
        <v>10279</v>
      </c>
      <c r="D2737" s="1" t="s">
        <v>10280</v>
      </c>
      <c r="E2737" s="1" t="s">
        <v>1000</v>
      </c>
      <c r="F2737" s="1" t="s">
        <v>30</v>
      </c>
      <c r="G2737" s="1" t="s">
        <v>30</v>
      </c>
      <c r="H2737" s="1" t="s">
        <v>1762</v>
      </c>
      <c r="I2737" t="b">
        <f>COUNTIF(Estadísticas!I:I,'centraldecomunicacion.es'!H2737)&gt;0</f>
        <v>0</v>
      </c>
    </row>
    <row r="2738" spans="1:9" hidden="1">
      <c r="A2738" s="1" t="s">
        <v>10281</v>
      </c>
      <c r="B2738" s="1" t="s">
        <v>10</v>
      </c>
      <c r="C2738" s="1" t="s">
        <v>30</v>
      </c>
      <c r="D2738" s="1" t="s">
        <v>1011</v>
      </c>
      <c r="E2738" s="1" t="s">
        <v>30</v>
      </c>
      <c r="F2738" s="1" t="s">
        <v>10282</v>
      </c>
      <c r="G2738" s="1" t="s">
        <v>10283</v>
      </c>
      <c r="H2738" s="1" t="s">
        <v>1783</v>
      </c>
      <c r="I2738" t="b">
        <f>COUNTIF(Estadísticas!I:I,'centraldecomunicacion.es'!H2738)&gt;0</f>
        <v>0</v>
      </c>
    </row>
    <row r="2739" spans="1:9">
      <c r="A2739" s="1" t="s">
        <v>1010</v>
      </c>
      <c r="B2739" s="1" t="s">
        <v>10</v>
      </c>
      <c r="C2739" s="1" t="s">
        <v>30</v>
      </c>
      <c r="D2739" s="1" t="s">
        <v>1011</v>
      </c>
      <c r="E2739" s="1" t="s">
        <v>30</v>
      </c>
      <c r="F2739" s="1" t="s">
        <v>1012</v>
      </c>
      <c r="G2739" s="1" t="s">
        <v>1013</v>
      </c>
      <c r="H2739" s="1" t="s">
        <v>1014</v>
      </c>
      <c r="I2739" t="b">
        <f>COUNTIF(Estadísticas!I:I,'centraldecomunicacion.es'!H2739)&gt;0</f>
        <v>1</v>
      </c>
    </row>
    <row r="2740" spans="1:9">
      <c r="A2740" s="1" t="s">
        <v>1015</v>
      </c>
      <c r="B2740" s="1" t="s">
        <v>10</v>
      </c>
      <c r="C2740" s="1" t="s">
        <v>1016</v>
      </c>
      <c r="D2740" s="1" t="s">
        <v>1017</v>
      </c>
      <c r="E2740" s="1" t="s">
        <v>667</v>
      </c>
      <c r="F2740" s="1" t="s">
        <v>1018</v>
      </c>
      <c r="G2740" s="1" t="s">
        <v>1019</v>
      </c>
      <c r="H2740" s="1" t="s">
        <v>1020</v>
      </c>
      <c r="I2740" t="b">
        <f>COUNTIF(Estadísticas!I:I,'centraldecomunicacion.es'!H2740)&gt;0</f>
        <v>1</v>
      </c>
    </row>
    <row r="2741" spans="1:9" hidden="1">
      <c r="A2741" s="1" t="s">
        <v>10284</v>
      </c>
      <c r="B2741" s="1" t="s">
        <v>10</v>
      </c>
      <c r="C2741" s="1" t="s">
        <v>10285</v>
      </c>
      <c r="D2741" s="1" t="s">
        <v>1423</v>
      </c>
      <c r="E2741" s="1" t="s">
        <v>1413</v>
      </c>
      <c r="F2741" s="1" t="s">
        <v>30</v>
      </c>
      <c r="G2741" s="1" t="s">
        <v>30</v>
      </c>
      <c r="H2741" s="1" t="s">
        <v>1762</v>
      </c>
      <c r="I2741" t="b">
        <f>COUNTIF(Estadísticas!I:I,'centraldecomunicacion.es'!H2741)&gt;0</f>
        <v>0</v>
      </c>
    </row>
    <row r="2742" spans="1:9" hidden="1">
      <c r="A2742" s="1" t="s">
        <v>10286</v>
      </c>
      <c r="B2742" s="1" t="s">
        <v>10</v>
      </c>
      <c r="C2742" s="1" t="s">
        <v>10287</v>
      </c>
      <c r="D2742" s="1" t="s">
        <v>2441</v>
      </c>
      <c r="E2742" s="1" t="s">
        <v>65</v>
      </c>
      <c r="F2742" s="1" t="s">
        <v>30</v>
      </c>
      <c r="G2742" s="1" t="s">
        <v>10288</v>
      </c>
      <c r="H2742" s="1" t="s">
        <v>1762</v>
      </c>
      <c r="I2742" t="b">
        <f>COUNTIF(Estadísticas!I:I,'centraldecomunicacion.es'!H2742)&gt;0</f>
        <v>0</v>
      </c>
    </row>
    <row r="2743" spans="1:9" hidden="1">
      <c r="A2743" s="1" t="s">
        <v>10289</v>
      </c>
      <c r="B2743" s="1" t="s">
        <v>10</v>
      </c>
      <c r="C2743" s="1" t="s">
        <v>10290</v>
      </c>
      <c r="D2743" s="1" t="s">
        <v>1023</v>
      </c>
      <c r="E2743" s="1" t="s">
        <v>1023</v>
      </c>
      <c r="F2743" s="1" t="s">
        <v>10291</v>
      </c>
      <c r="G2743" s="1" t="s">
        <v>10292</v>
      </c>
      <c r="H2743" s="1" t="s">
        <v>1762</v>
      </c>
      <c r="I2743" t="b">
        <f>COUNTIF(Estadísticas!I:I,'centraldecomunicacion.es'!H2743)&gt;0</f>
        <v>0</v>
      </c>
    </row>
    <row r="2744" spans="1:9" hidden="1">
      <c r="A2744" s="1" t="s">
        <v>10293</v>
      </c>
      <c r="B2744" s="1" t="s">
        <v>10</v>
      </c>
      <c r="C2744" s="1" t="s">
        <v>10294</v>
      </c>
      <c r="D2744" s="1" t="s">
        <v>1023</v>
      </c>
      <c r="E2744" s="1" t="s">
        <v>1023</v>
      </c>
      <c r="F2744" s="1" t="s">
        <v>10295</v>
      </c>
      <c r="G2744" s="1" t="s">
        <v>10296</v>
      </c>
      <c r="H2744" s="1" t="s">
        <v>1762</v>
      </c>
      <c r="I2744" t="b">
        <f>COUNTIF(Estadísticas!I:I,'centraldecomunicacion.es'!H2744)&gt;0</f>
        <v>0</v>
      </c>
    </row>
    <row r="2745" spans="1:9" hidden="1">
      <c r="A2745" s="1" t="s">
        <v>10297</v>
      </c>
      <c r="B2745" s="1" t="s">
        <v>10</v>
      </c>
      <c r="C2745" s="1" t="s">
        <v>10298</v>
      </c>
      <c r="D2745" s="1" t="s">
        <v>1023</v>
      </c>
      <c r="E2745" s="1" t="s">
        <v>1023</v>
      </c>
      <c r="F2745" s="1" t="s">
        <v>10299</v>
      </c>
      <c r="G2745" s="1" t="s">
        <v>10300</v>
      </c>
      <c r="H2745" s="1" t="s">
        <v>1875</v>
      </c>
      <c r="I2745" t="b">
        <f>COUNTIF(Estadísticas!I:I,'centraldecomunicacion.es'!H2745)&gt;0</f>
        <v>0</v>
      </c>
    </row>
    <row r="2746" spans="1:9" hidden="1">
      <c r="A2746" s="1" t="s">
        <v>10301</v>
      </c>
      <c r="B2746" s="1" t="s">
        <v>10</v>
      </c>
      <c r="C2746" s="1" t="s">
        <v>10302</v>
      </c>
      <c r="D2746" s="1" t="s">
        <v>1023</v>
      </c>
      <c r="E2746" s="1" t="s">
        <v>1023</v>
      </c>
      <c r="F2746" s="1" t="s">
        <v>10303</v>
      </c>
      <c r="G2746" s="1" t="s">
        <v>10304</v>
      </c>
      <c r="H2746" s="1" t="s">
        <v>10305</v>
      </c>
      <c r="I2746" t="b">
        <f>COUNTIF(Estadísticas!I:I,'centraldecomunicacion.es'!H2746)&gt;0</f>
        <v>0</v>
      </c>
    </row>
    <row r="2747" spans="1:9">
      <c r="A2747" s="1" t="s">
        <v>1021</v>
      </c>
      <c r="B2747" s="1" t="s">
        <v>10</v>
      </c>
      <c r="C2747" s="1" t="s">
        <v>1022</v>
      </c>
      <c r="D2747" s="1" t="s">
        <v>1023</v>
      </c>
      <c r="E2747" s="1" t="s">
        <v>1023</v>
      </c>
      <c r="F2747" s="1" t="s">
        <v>1024</v>
      </c>
      <c r="G2747" s="1" t="s">
        <v>1025</v>
      </c>
      <c r="H2747" s="1" t="s">
        <v>1026</v>
      </c>
      <c r="I2747" t="b">
        <f>COUNTIF(Estadísticas!I:I,'centraldecomunicacion.es'!H2747)&gt;0</f>
        <v>1</v>
      </c>
    </row>
    <row r="2748" spans="1:9" hidden="1">
      <c r="A2748" s="1" t="s">
        <v>10306</v>
      </c>
      <c r="B2748" s="1" t="s">
        <v>10</v>
      </c>
      <c r="C2748" s="1" t="s">
        <v>30</v>
      </c>
      <c r="D2748" s="1" t="s">
        <v>10307</v>
      </c>
      <c r="E2748" s="1" t="s">
        <v>30</v>
      </c>
      <c r="F2748" s="1" t="s">
        <v>1984</v>
      </c>
      <c r="G2748" s="1" t="s">
        <v>10308</v>
      </c>
      <c r="H2748" s="1" t="s">
        <v>1762</v>
      </c>
      <c r="I2748" t="b">
        <f>COUNTIF(Estadísticas!I:I,'centraldecomunicacion.es'!H2748)&gt;0</f>
        <v>0</v>
      </c>
    </row>
    <row r="2749" spans="1:9" hidden="1">
      <c r="A2749" s="1" t="s">
        <v>10309</v>
      </c>
      <c r="B2749" s="1" t="s">
        <v>10</v>
      </c>
      <c r="C2749" s="1" t="s">
        <v>10310</v>
      </c>
      <c r="D2749" s="1" t="s">
        <v>1023</v>
      </c>
      <c r="E2749" s="1" t="s">
        <v>1023</v>
      </c>
      <c r="F2749" s="1" t="s">
        <v>10311</v>
      </c>
      <c r="G2749" s="1" t="s">
        <v>10312</v>
      </c>
      <c r="H2749" s="1" t="s">
        <v>10313</v>
      </c>
      <c r="I2749" t="b">
        <f>COUNTIF(Estadísticas!I:I,'centraldecomunicacion.es'!H2749)&gt;0</f>
        <v>0</v>
      </c>
    </row>
    <row r="2750" spans="1:9">
      <c r="A2750" s="1" t="s">
        <v>1027</v>
      </c>
      <c r="B2750" s="1" t="s">
        <v>18</v>
      </c>
      <c r="C2750" s="1" t="s">
        <v>1028</v>
      </c>
      <c r="D2750" s="1" t="s">
        <v>1023</v>
      </c>
      <c r="E2750" s="1" t="s">
        <v>1023</v>
      </c>
      <c r="F2750" s="1" t="s">
        <v>1029</v>
      </c>
      <c r="G2750" s="1" t="s">
        <v>1030</v>
      </c>
      <c r="H2750" s="1" t="s">
        <v>1031</v>
      </c>
      <c r="I2750" t="b">
        <f>COUNTIF(Estadísticas!I:I,'centraldecomunicacion.es'!H2750)&gt;0</f>
        <v>1</v>
      </c>
    </row>
    <row r="2751" spans="1:9" hidden="1">
      <c r="A2751" s="1" t="s">
        <v>10314</v>
      </c>
      <c r="B2751" s="1" t="s">
        <v>10</v>
      </c>
      <c r="C2751" s="1" t="s">
        <v>10315</v>
      </c>
      <c r="D2751" s="1" t="s">
        <v>1023</v>
      </c>
      <c r="E2751" s="1" t="s">
        <v>1023</v>
      </c>
      <c r="F2751" s="1" t="s">
        <v>10316</v>
      </c>
      <c r="G2751" s="1" t="s">
        <v>10317</v>
      </c>
      <c r="H2751" s="1" t="s">
        <v>10318</v>
      </c>
      <c r="I2751" t="b">
        <f>COUNTIF(Estadísticas!I:I,'centraldecomunicacion.es'!H2751)&gt;0</f>
        <v>0</v>
      </c>
    </row>
    <row r="2752" spans="1:9" hidden="1">
      <c r="A2752" s="1" t="s">
        <v>10319</v>
      </c>
      <c r="B2752" s="1" t="s">
        <v>10</v>
      </c>
      <c r="C2752" s="1" t="s">
        <v>10320</v>
      </c>
      <c r="D2752" s="1" t="s">
        <v>1023</v>
      </c>
      <c r="E2752" s="1" t="s">
        <v>1023</v>
      </c>
      <c r="F2752" s="1" t="s">
        <v>30</v>
      </c>
      <c r="G2752" s="1" t="s">
        <v>10321</v>
      </c>
      <c r="H2752" s="1" t="s">
        <v>1762</v>
      </c>
      <c r="I2752" t="b">
        <f>COUNTIF(Estadísticas!I:I,'centraldecomunicacion.es'!H2752)&gt;0</f>
        <v>0</v>
      </c>
    </row>
    <row r="2753" spans="1:9" hidden="1">
      <c r="A2753" s="1" t="s">
        <v>10322</v>
      </c>
      <c r="B2753" s="1" t="s">
        <v>10</v>
      </c>
      <c r="C2753" s="1" t="s">
        <v>30</v>
      </c>
      <c r="D2753" s="1" t="s">
        <v>10307</v>
      </c>
      <c r="E2753" s="1" t="s">
        <v>30</v>
      </c>
      <c r="F2753" s="1" t="s">
        <v>10323</v>
      </c>
      <c r="G2753" s="1" t="s">
        <v>10324</v>
      </c>
      <c r="H2753" s="1" t="s">
        <v>1762</v>
      </c>
      <c r="I2753" t="b">
        <f>COUNTIF(Estadísticas!I:I,'centraldecomunicacion.es'!H2753)&gt;0</f>
        <v>0</v>
      </c>
    </row>
    <row r="2754" spans="1:9" hidden="1">
      <c r="A2754" s="1" t="s">
        <v>10325</v>
      </c>
      <c r="B2754" s="1" t="s">
        <v>10</v>
      </c>
      <c r="C2754" s="1" t="s">
        <v>10326</v>
      </c>
      <c r="D2754" s="1" t="s">
        <v>1023</v>
      </c>
      <c r="E2754" s="1" t="s">
        <v>1023</v>
      </c>
      <c r="F2754" s="1" t="s">
        <v>10327</v>
      </c>
      <c r="G2754" s="1" t="s">
        <v>10328</v>
      </c>
      <c r="H2754" s="1" t="s">
        <v>1762</v>
      </c>
      <c r="I2754" t="b">
        <f>COUNTIF(Estadísticas!I:I,'centraldecomunicacion.es'!H2754)&gt;0</f>
        <v>0</v>
      </c>
    </row>
    <row r="2755" spans="1:9" hidden="1">
      <c r="A2755" s="1" t="s">
        <v>10329</v>
      </c>
      <c r="B2755" s="1" t="s">
        <v>18</v>
      </c>
      <c r="C2755" s="1" t="s">
        <v>10330</v>
      </c>
      <c r="D2755" s="1" t="s">
        <v>1023</v>
      </c>
      <c r="E2755" s="1" t="s">
        <v>1023</v>
      </c>
      <c r="F2755" s="1" t="s">
        <v>30</v>
      </c>
      <c r="G2755" s="1" t="s">
        <v>10331</v>
      </c>
      <c r="H2755" s="1" t="s">
        <v>1762</v>
      </c>
      <c r="I2755" t="b">
        <f>COUNTIF(Estadísticas!I:I,'centraldecomunicacion.es'!H2755)&gt;0</f>
        <v>0</v>
      </c>
    </row>
    <row r="2756" spans="1:9" hidden="1">
      <c r="A2756" s="1" t="s">
        <v>10332</v>
      </c>
      <c r="B2756" s="1" t="s">
        <v>10</v>
      </c>
      <c r="C2756" s="1" t="s">
        <v>10333</v>
      </c>
      <c r="D2756" s="1" t="s">
        <v>1023</v>
      </c>
      <c r="E2756" s="1" t="s">
        <v>1023</v>
      </c>
      <c r="F2756" s="1" t="s">
        <v>1984</v>
      </c>
      <c r="G2756" s="1" t="s">
        <v>10334</v>
      </c>
      <c r="H2756" s="1" t="s">
        <v>1762</v>
      </c>
      <c r="I2756" t="b">
        <f>COUNTIF(Estadísticas!I:I,'centraldecomunicacion.es'!H2756)&gt;0</f>
        <v>0</v>
      </c>
    </row>
    <row r="2757" spans="1:9" hidden="1">
      <c r="A2757" s="1" t="s">
        <v>10335</v>
      </c>
      <c r="B2757" s="1" t="s">
        <v>10</v>
      </c>
      <c r="C2757" s="1" t="s">
        <v>10336</v>
      </c>
      <c r="D2757" s="1" t="s">
        <v>1023</v>
      </c>
      <c r="E2757" s="1" t="s">
        <v>1023</v>
      </c>
      <c r="F2757" s="1" t="s">
        <v>30</v>
      </c>
      <c r="G2757" s="1" t="s">
        <v>10337</v>
      </c>
      <c r="H2757" s="1" t="s">
        <v>1762</v>
      </c>
      <c r="I2757" t="b">
        <f>COUNTIF(Estadísticas!I:I,'centraldecomunicacion.es'!H2757)&gt;0</f>
        <v>0</v>
      </c>
    </row>
    <row r="2758" spans="1:9" hidden="1">
      <c r="A2758" s="1" t="s">
        <v>10338</v>
      </c>
      <c r="B2758" s="1" t="s">
        <v>10</v>
      </c>
      <c r="C2758" s="1" t="s">
        <v>10339</v>
      </c>
      <c r="D2758" s="1" t="s">
        <v>1023</v>
      </c>
      <c r="E2758" s="1" t="s">
        <v>1023</v>
      </c>
      <c r="F2758" s="1" t="s">
        <v>30</v>
      </c>
      <c r="G2758" s="1" t="s">
        <v>10340</v>
      </c>
      <c r="H2758" s="1" t="s">
        <v>1762</v>
      </c>
      <c r="I2758" t="b">
        <f>COUNTIF(Estadísticas!I:I,'centraldecomunicacion.es'!H2758)&gt;0</f>
        <v>0</v>
      </c>
    </row>
    <row r="2759" spans="1:9" hidden="1">
      <c r="A2759" s="1" t="s">
        <v>10341</v>
      </c>
      <c r="B2759" s="1" t="s">
        <v>18</v>
      </c>
      <c r="C2759" s="1" t="s">
        <v>10342</v>
      </c>
      <c r="D2759" s="1" t="s">
        <v>1023</v>
      </c>
      <c r="E2759" s="1" t="s">
        <v>1023</v>
      </c>
      <c r="F2759" s="1" t="s">
        <v>10343</v>
      </c>
      <c r="G2759" s="1" t="s">
        <v>10344</v>
      </c>
      <c r="H2759" s="1" t="s">
        <v>1762</v>
      </c>
      <c r="I2759" t="b">
        <f>COUNTIF(Estadísticas!I:I,'centraldecomunicacion.es'!H2759)&gt;0</f>
        <v>0</v>
      </c>
    </row>
    <row r="2760" spans="1:9" hidden="1">
      <c r="A2760" s="1" t="s">
        <v>10345</v>
      </c>
      <c r="B2760" s="1" t="s">
        <v>10</v>
      </c>
      <c r="C2760" s="1" t="s">
        <v>10346</v>
      </c>
      <c r="D2760" s="1" t="s">
        <v>1023</v>
      </c>
      <c r="E2760" s="1" t="s">
        <v>1023</v>
      </c>
      <c r="F2760" s="1" t="s">
        <v>10347</v>
      </c>
      <c r="G2760" s="1" t="s">
        <v>10348</v>
      </c>
      <c r="H2760" s="1" t="s">
        <v>1762</v>
      </c>
      <c r="I2760" t="b">
        <f>COUNTIF(Estadísticas!I:I,'centraldecomunicacion.es'!H2760)&gt;0</f>
        <v>0</v>
      </c>
    </row>
    <row r="2761" spans="1:9" hidden="1">
      <c r="A2761" s="1" t="s">
        <v>10349</v>
      </c>
      <c r="B2761" s="1" t="s">
        <v>10</v>
      </c>
      <c r="C2761" s="1" t="s">
        <v>10350</v>
      </c>
      <c r="D2761" s="1" t="s">
        <v>1023</v>
      </c>
      <c r="E2761" s="1" t="s">
        <v>1023</v>
      </c>
      <c r="F2761" s="1" t="s">
        <v>30</v>
      </c>
      <c r="G2761" s="1" t="s">
        <v>10351</v>
      </c>
      <c r="H2761" s="1" t="s">
        <v>1762</v>
      </c>
      <c r="I2761" t="b">
        <f>COUNTIF(Estadísticas!I:I,'centraldecomunicacion.es'!H2761)&gt;0</f>
        <v>0</v>
      </c>
    </row>
    <row r="2762" spans="1:9" hidden="1">
      <c r="A2762" s="1" t="s">
        <v>10352</v>
      </c>
      <c r="B2762" s="1" t="s">
        <v>10</v>
      </c>
      <c r="C2762" s="1" t="s">
        <v>10353</v>
      </c>
      <c r="D2762" s="1" t="s">
        <v>1023</v>
      </c>
      <c r="E2762" s="1" t="s">
        <v>1023</v>
      </c>
      <c r="F2762" s="1" t="s">
        <v>30</v>
      </c>
      <c r="G2762" s="1" t="s">
        <v>10354</v>
      </c>
      <c r="H2762" s="1" t="s">
        <v>1762</v>
      </c>
      <c r="I2762" t="b">
        <f>COUNTIF(Estadísticas!I:I,'centraldecomunicacion.es'!H2762)&gt;0</f>
        <v>0</v>
      </c>
    </row>
    <row r="2763" spans="1:9" hidden="1">
      <c r="A2763" s="1" t="s">
        <v>10355</v>
      </c>
      <c r="B2763" s="1" t="s">
        <v>10</v>
      </c>
      <c r="C2763" s="1" t="s">
        <v>10356</v>
      </c>
      <c r="D2763" s="1" t="s">
        <v>1023</v>
      </c>
      <c r="E2763" s="1" t="s">
        <v>1023</v>
      </c>
      <c r="F2763" s="1" t="s">
        <v>30</v>
      </c>
      <c r="G2763" s="1" t="s">
        <v>10357</v>
      </c>
      <c r="H2763" s="1" t="s">
        <v>1762</v>
      </c>
      <c r="I2763" t="b">
        <f>COUNTIF(Estadísticas!I:I,'centraldecomunicacion.es'!H2763)&gt;0</f>
        <v>0</v>
      </c>
    </row>
    <row r="2764" spans="1:9" hidden="1">
      <c r="A2764" s="1" t="s">
        <v>10358</v>
      </c>
      <c r="B2764" s="1" t="s">
        <v>10</v>
      </c>
      <c r="C2764" s="1" t="s">
        <v>10359</v>
      </c>
      <c r="D2764" s="1" t="s">
        <v>1023</v>
      </c>
      <c r="E2764" s="1" t="s">
        <v>1023</v>
      </c>
      <c r="F2764" s="1" t="s">
        <v>10360</v>
      </c>
      <c r="G2764" s="1" t="s">
        <v>10361</v>
      </c>
      <c r="H2764" s="1" t="s">
        <v>10362</v>
      </c>
      <c r="I2764" t="b">
        <f>COUNTIF(Estadísticas!I:I,'centraldecomunicacion.es'!H2764)&gt;0</f>
        <v>0</v>
      </c>
    </row>
    <row r="2765" spans="1:9" hidden="1">
      <c r="A2765" s="1" t="s">
        <v>10363</v>
      </c>
      <c r="B2765" s="1" t="s">
        <v>18</v>
      </c>
      <c r="C2765" s="1" t="s">
        <v>10364</v>
      </c>
      <c r="D2765" s="1" t="s">
        <v>1023</v>
      </c>
      <c r="E2765" s="1" t="s">
        <v>1023</v>
      </c>
      <c r="F2765" s="1" t="s">
        <v>10343</v>
      </c>
      <c r="G2765" s="1" t="s">
        <v>10365</v>
      </c>
      <c r="H2765" s="1" t="s">
        <v>1762</v>
      </c>
      <c r="I2765" t="b">
        <f>COUNTIF(Estadísticas!I:I,'centraldecomunicacion.es'!H2765)&gt;0</f>
        <v>0</v>
      </c>
    </row>
    <row r="2766" spans="1:9" hidden="1">
      <c r="A2766" s="1" t="s">
        <v>10366</v>
      </c>
      <c r="B2766" s="1" t="s">
        <v>10</v>
      </c>
      <c r="C2766" s="1" t="s">
        <v>10367</v>
      </c>
      <c r="D2766" s="1" t="s">
        <v>1023</v>
      </c>
      <c r="E2766" s="1" t="s">
        <v>1023</v>
      </c>
      <c r="F2766" s="1" t="s">
        <v>1984</v>
      </c>
      <c r="G2766" s="1" t="s">
        <v>10368</v>
      </c>
      <c r="H2766" s="1" t="s">
        <v>1762</v>
      </c>
      <c r="I2766" t="b">
        <f>COUNTIF(Estadísticas!I:I,'centraldecomunicacion.es'!H2766)&gt;0</f>
        <v>0</v>
      </c>
    </row>
    <row r="2767" spans="1:9" hidden="1">
      <c r="A2767" s="1" t="s">
        <v>10369</v>
      </c>
      <c r="B2767" s="1" t="s">
        <v>10</v>
      </c>
      <c r="C2767" s="1" t="s">
        <v>10370</v>
      </c>
      <c r="D2767" s="1" t="s">
        <v>1023</v>
      </c>
      <c r="E2767" s="1" t="s">
        <v>1023</v>
      </c>
      <c r="F2767" s="1" t="s">
        <v>30</v>
      </c>
      <c r="G2767" s="1" t="s">
        <v>10371</v>
      </c>
      <c r="H2767" s="1" t="s">
        <v>1762</v>
      </c>
      <c r="I2767" t="b">
        <f>COUNTIF(Estadísticas!I:I,'centraldecomunicacion.es'!H2767)&gt;0</f>
        <v>0</v>
      </c>
    </row>
    <row r="2768" spans="1:9" hidden="1">
      <c r="A2768" s="1" t="s">
        <v>10372</v>
      </c>
      <c r="B2768" s="1" t="s">
        <v>10</v>
      </c>
      <c r="C2768" s="1" t="s">
        <v>10373</v>
      </c>
      <c r="D2768" s="1" t="s">
        <v>1023</v>
      </c>
      <c r="E2768" s="1" t="s">
        <v>1023</v>
      </c>
      <c r="F2768" s="1" t="s">
        <v>1984</v>
      </c>
      <c r="G2768" s="1" t="s">
        <v>10374</v>
      </c>
      <c r="H2768" s="1" t="s">
        <v>1762</v>
      </c>
      <c r="I2768" t="b">
        <f>COUNTIF(Estadísticas!I:I,'centraldecomunicacion.es'!H2768)&gt;0</f>
        <v>0</v>
      </c>
    </row>
    <row r="2769" spans="1:9" hidden="1">
      <c r="A2769" s="1" t="s">
        <v>10375</v>
      </c>
      <c r="B2769" s="1" t="s">
        <v>10</v>
      </c>
      <c r="C2769" s="1" t="s">
        <v>10376</v>
      </c>
      <c r="D2769" s="1" t="s">
        <v>1023</v>
      </c>
      <c r="E2769" s="1" t="s">
        <v>1023</v>
      </c>
      <c r="F2769" s="1" t="s">
        <v>10377</v>
      </c>
      <c r="G2769" s="1" t="s">
        <v>10378</v>
      </c>
      <c r="H2769" s="1" t="s">
        <v>10379</v>
      </c>
      <c r="I2769" t="b">
        <f>COUNTIF(Estadísticas!I:I,'centraldecomunicacion.es'!H2769)&gt;0</f>
        <v>0</v>
      </c>
    </row>
    <row r="2770" spans="1:9" hidden="1">
      <c r="A2770" s="1" t="s">
        <v>10380</v>
      </c>
      <c r="B2770" s="1" t="s">
        <v>10</v>
      </c>
      <c r="C2770" s="1" t="s">
        <v>10381</v>
      </c>
      <c r="D2770" s="1" t="s">
        <v>1023</v>
      </c>
      <c r="E2770" s="1" t="s">
        <v>1023</v>
      </c>
      <c r="F2770" s="1" t="s">
        <v>2692</v>
      </c>
      <c r="G2770" s="1" t="s">
        <v>10382</v>
      </c>
      <c r="H2770" s="1" t="s">
        <v>1762</v>
      </c>
      <c r="I2770" t="b">
        <f>COUNTIF(Estadísticas!I:I,'centraldecomunicacion.es'!H2770)&gt;0</f>
        <v>0</v>
      </c>
    </row>
    <row r="2771" spans="1:9" hidden="1">
      <c r="A2771" s="1" t="s">
        <v>10383</v>
      </c>
      <c r="B2771" s="1" t="s">
        <v>10</v>
      </c>
      <c r="C2771" s="1" t="s">
        <v>10384</v>
      </c>
      <c r="D2771" s="1" t="s">
        <v>1023</v>
      </c>
      <c r="E2771" s="1" t="s">
        <v>1023</v>
      </c>
      <c r="F2771" s="1" t="s">
        <v>30</v>
      </c>
      <c r="G2771" s="1" t="s">
        <v>10385</v>
      </c>
      <c r="H2771" s="1" t="s">
        <v>1762</v>
      </c>
      <c r="I2771" t="b">
        <f>COUNTIF(Estadísticas!I:I,'centraldecomunicacion.es'!H2771)&gt;0</f>
        <v>0</v>
      </c>
    </row>
    <row r="2772" spans="1:9" hidden="1">
      <c r="A2772" s="1" t="s">
        <v>10386</v>
      </c>
      <c r="B2772" s="1" t="s">
        <v>10</v>
      </c>
      <c r="C2772" s="1" t="s">
        <v>10387</v>
      </c>
      <c r="D2772" s="1" t="s">
        <v>1023</v>
      </c>
      <c r="E2772" s="1" t="s">
        <v>1023</v>
      </c>
      <c r="F2772" s="1" t="s">
        <v>30</v>
      </c>
      <c r="G2772" s="1" t="s">
        <v>10388</v>
      </c>
      <c r="H2772" s="1" t="s">
        <v>1762</v>
      </c>
      <c r="I2772" t="b">
        <f>COUNTIF(Estadísticas!I:I,'centraldecomunicacion.es'!H2772)&gt;0</f>
        <v>0</v>
      </c>
    </row>
    <row r="2773" spans="1:9">
      <c r="A2773" s="1" t="s">
        <v>1032</v>
      </c>
      <c r="B2773" s="1" t="s">
        <v>10</v>
      </c>
      <c r="C2773" s="1" t="s">
        <v>1033</v>
      </c>
      <c r="D2773" s="1" t="s">
        <v>1023</v>
      </c>
      <c r="E2773" s="1" t="s">
        <v>1023</v>
      </c>
      <c r="F2773" s="1" t="s">
        <v>1034</v>
      </c>
      <c r="G2773" s="1" t="s">
        <v>1035</v>
      </c>
      <c r="H2773" s="1" t="s">
        <v>1036</v>
      </c>
      <c r="I2773" t="b">
        <f>COUNTIF(Estadísticas!I:I,'centraldecomunicacion.es'!H2773)&gt;0</f>
        <v>1</v>
      </c>
    </row>
    <row r="2774" spans="1:9">
      <c r="A2774" s="1" t="s">
        <v>10389</v>
      </c>
      <c r="B2774" s="1" t="s">
        <v>18</v>
      </c>
      <c r="C2774" s="1" t="s">
        <v>10390</v>
      </c>
      <c r="D2774" s="1" t="s">
        <v>1023</v>
      </c>
      <c r="E2774" s="1" t="s">
        <v>1023</v>
      </c>
      <c r="F2774" s="1" t="s">
        <v>1029</v>
      </c>
      <c r="G2774" s="1" t="s">
        <v>10391</v>
      </c>
      <c r="H2774" s="1" t="s">
        <v>1031</v>
      </c>
      <c r="I2774" t="b">
        <f>COUNTIF(Estadísticas!I:I,'centraldecomunicacion.es'!H2774)&gt;0</f>
        <v>1</v>
      </c>
    </row>
    <row r="2775" spans="1:9" hidden="1">
      <c r="A2775" s="1" t="s">
        <v>10392</v>
      </c>
      <c r="B2775" s="1" t="s">
        <v>10</v>
      </c>
      <c r="C2775" s="1" t="s">
        <v>10393</v>
      </c>
      <c r="D2775" s="1" t="s">
        <v>1023</v>
      </c>
      <c r="E2775" s="1" t="s">
        <v>1023</v>
      </c>
      <c r="F2775" s="1" t="s">
        <v>10394</v>
      </c>
      <c r="G2775" s="1" t="s">
        <v>10395</v>
      </c>
      <c r="H2775" s="1" t="s">
        <v>1762</v>
      </c>
      <c r="I2775" t="b">
        <f>COUNTIF(Estadísticas!I:I,'centraldecomunicacion.es'!H2775)&gt;0</f>
        <v>0</v>
      </c>
    </row>
    <row r="2776" spans="1:9" hidden="1">
      <c r="A2776" s="1" t="s">
        <v>10396</v>
      </c>
      <c r="B2776" s="1" t="s">
        <v>10</v>
      </c>
      <c r="C2776" s="1" t="s">
        <v>10397</v>
      </c>
      <c r="D2776" s="1" t="s">
        <v>1023</v>
      </c>
      <c r="E2776" s="1" t="s">
        <v>1023</v>
      </c>
      <c r="F2776" s="1" t="s">
        <v>30</v>
      </c>
      <c r="G2776" s="1" t="s">
        <v>10398</v>
      </c>
      <c r="H2776" s="1" t="s">
        <v>1762</v>
      </c>
      <c r="I2776" t="b">
        <f>COUNTIF(Estadísticas!I:I,'centraldecomunicacion.es'!H2776)&gt;0</f>
        <v>0</v>
      </c>
    </row>
    <row r="2777" spans="1:9">
      <c r="A2777" s="1" t="s">
        <v>1037</v>
      </c>
      <c r="B2777" s="1" t="s">
        <v>18</v>
      </c>
      <c r="C2777" s="1" t="s">
        <v>1038</v>
      </c>
      <c r="D2777" s="1" t="s">
        <v>1023</v>
      </c>
      <c r="E2777" s="1" t="s">
        <v>1023</v>
      </c>
      <c r="F2777" s="1" t="s">
        <v>1039</v>
      </c>
      <c r="G2777" s="1" t="s">
        <v>1040</v>
      </c>
      <c r="H2777" s="1" t="s">
        <v>1041</v>
      </c>
      <c r="I2777" t="b">
        <f>COUNTIF(Estadísticas!I:I,'centraldecomunicacion.es'!H2777)&gt;0</f>
        <v>1</v>
      </c>
    </row>
    <row r="2778" spans="1:9" hidden="1">
      <c r="A2778" s="1" t="s">
        <v>10399</v>
      </c>
      <c r="B2778" s="1" t="s">
        <v>10</v>
      </c>
      <c r="C2778" s="1" t="s">
        <v>10400</v>
      </c>
      <c r="D2778" s="1" t="s">
        <v>1023</v>
      </c>
      <c r="E2778" s="1" t="s">
        <v>1023</v>
      </c>
      <c r="F2778" s="1" t="s">
        <v>30</v>
      </c>
      <c r="G2778" s="1" t="s">
        <v>10401</v>
      </c>
      <c r="H2778" s="1" t="s">
        <v>1762</v>
      </c>
      <c r="I2778" t="b">
        <f>COUNTIF(Estadísticas!I:I,'centraldecomunicacion.es'!H2778)&gt;0</f>
        <v>0</v>
      </c>
    </row>
    <row r="2779" spans="1:9" hidden="1">
      <c r="A2779" s="1" t="s">
        <v>10402</v>
      </c>
      <c r="B2779" s="1" t="s">
        <v>18</v>
      </c>
      <c r="C2779" s="1" t="s">
        <v>10403</v>
      </c>
      <c r="D2779" s="1" t="s">
        <v>1023</v>
      </c>
      <c r="E2779" s="1" t="s">
        <v>1023</v>
      </c>
      <c r="F2779" s="1" t="s">
        <v>4288</v>
      </c>
      <c r="G2779" s="1" t="s">
        <v>10404</v>
      </c>
      <c r="H2779" s="1" t="s">
        <v>4290</v>
      </c>
      <c r="I2779" t="b">
        <f>COUNTIF(Estadísticas!I:I,'centraldecomunicacion.es'!H2779)&gt;0</f>
        <v>0</v>
      </c>
    </row>
    <row r="2780" spans="1:9" hidden="1">
      <c r="A2780" s="1" t="s">
        <v>10405</v>
      </c>
      <c r="B2780" s="1" t="s">
        <v>10</v>
      </c>
      <c r="C2780" s="1" t="s">
        <v>10406</v>
      </c>
      <c r="D2780" s="1" t="s">
        <v>1023</v>
      </c>
      <c r="E2780" s="1" t="s">
        <v>1023</v>
      </c>
      <c r="F2780" s="1" t="s">
        <v>1984</v>
      </c>
      <c r="G2780" s="1" t="s">
        <v>10407</v>
      </c>
      <c r="H2780" s="1" t="s">
        <v>1762</v>
      </c>
      <c r="I2780" t="b">
        <f>COUNTIF(Estadísticas!I:I,'centraldecomunicacion.es'!H2780)&gt;0</f>
        <v>0</v>
      </c>
    </row>
    <row r="2781" spans="1:9" hidden="1">
      <c r="A2781" s="1" t="s">
        <v>10408</v>
      </c>
      <c r="B2781" s="1" t="s">
        <v>10</v>
      </c>
      <c r="C2781" s="1" t="s">
        <v>10409</v>
      </c>
      <c r="D2781" s="1" t="s">
        <v>1023</v>
      </c>
      <c r="E2781" s="1" t="s">
        <v>1023</v>
      </c>
      <c r="F2781" s="1" t="s">
        <v>1984</v>
      </c>
      <c r="G2781" s="1" t="s">
        <v>10410</v>
      </c>
      <c r="H2781" s="1" t="s">
        <v>1762</v>
      </c>
      <c r="I2781" t="b">
        <f>COUNTIF(Estadísticas!I:I,'centraldecomunicacion.es'!H2781)&gt;0</f>
        <v>0</v>
      </c>
    </row>
    <row r="2782" spans="1:9" hidden="1">
      <c r="A2782" s="1" t="s">
        <v>10411</v>
      </c>
      <c r="B2782" s="1" t="s">
        <v>10</v>
      </c>
      <c r="C2782" s="1" t="s">
        <v>10412</v>
      </c>
      <c r="D2782" s="1" t="s">
        <v>1023</v>
      </c>
      <c r="E2782" s="1" t="s">
        <v>1023</v>
      </c>
      <c r="F2782" s="1" t="s">
        <v>10413</v>
      </c>
      <c r="G2782" s="1" t="s">
        <v>10414</v>
      </c>
      <c r="H2782" s="1" t="s">
        <v>1762</v>
      </c>
      <c r="I2782" t="b">
        <f>COUNTIF(Estadísticas!I:I,'centraldecomunicacion.es'!H2782)&gt;0</f>
        <v>0</v>
      </c>
    </row>
    <row r="2783" spans="1:9" hidden="1">
      <c r="A2783" s="1" t="s">
        <v>10415</v>
      </c>
      <c r="B2783" s="1" t="s">
        <v>10</v>
      </c>
      <c r="C2783" s="1" t="s">
        <v>10416</v>
      </c>
      <c r="D2783" s="1" t="s">
        <v>1023</v>
      </c>
      <c r="E2783" s="1" t="s">
        <v>1023</v>
      </c>
      <c r="F2783" s="1" t="s">
        <v>10417</v>
      </c>
      <c r="G2783" s="1" t="s">
        <v>10418</v>
      </c>
      <c r="H2783" s="1" t="s">
        <v>1762</v>
      </c>
      <c r="I2783" t="b">
        <f>COUNTIF(Estadísticas!I:I,'centraldecomunicacion.es'!H2783)&gt;0</f>
        <v>0</v>
      </c>
    </row>
    <row r="2784" spans="1:9" hidden="1">
      <c r="A2784" s="1" t="s">
        <v>10419</v>
      </c>
      <c r="B2784" s="1" t="s">
        <v>10</v>
      </c>
      <c r="C2784" s="1" t="s">
        <v>10420</v>
      </c>
      <c r="D2784" s="1" t="s">
        <v>1023</v>
      </c>
      <c r="E2784" s="1" t="s">
        <v>1023</v>
      </c>
      <c r="F2784" s="1" t="s">
        <v>30</v>
      </c>
      <c r="G2784" s="1" t="s">
        <v>10421</v>
      </c>
      <c r="H2784" s="1" t="s">
        <v>1762</v>
      </c>
      <c r="I2784" t="b">
        <f>COUNTIF(Estadísticas!I:I,'centraldecomunicacion.es'!H2784)&gt;0</f>
        <v>0</v>
      </c>
    </row>
    <row r="2785" spans="1:9" hidden="1">
      <c r="A2785" s="1" t="s">
        <v>10422</v>
      </c>
      <c r="B2785" s="1" t="s">
        <v>18</v>
      </c>
      <c r="C2785" s="1" t="s">
        <v>10423</v>
      </c>
      <c r="D2785" s="1" t="s">
        <v>1023</v>
      </c>
      <c r="E2785" s="1" t="s">
        <v>1023</v>
      </c>
      <c r="F2785" s="1" t="s">
        <v>10424</v>
      </c>
      <c r="G2785" s="1" t="s">
        <v>10425</v>
      </c>
      <c r="H2785" s="1" t="s">
        <v>10426</v>
      </c>
      <c r="I2785" t="b">
        <f>COUNTIF(Estadísticas!I:I,'centraldecomunicacion.es'!H2785)&gt;0</f>
        <v>0</v>
      </c>
    </row>
    <row r="2786" spans="1:9" hidden="1">
      <c r="A2786" s="1" t="s">
        <v>10427</v>
      </c>
      <c r="B2786" s="1" t="s">
        <v>10</v>
      </c>
      <c r="C2786" s="1" t="s">
        <v>10428</v>
      </c>
      <c r="D2786" s="1" t="s">
        <v>1023</v>
      </c>
      <c r="E2786" s="1" t="s">
        <v>1023</v>
      </c>
      <c r="F2786" s="1" t="s">
        <v>1984</v>
      </c>
      <c r="G2786" s="1" t="s">
        <v>10429</v>
      </c>
      <c r="H2786" s="1" t="s">
        <v>1762</v>
      </c>
      <c r="I2786" t="b">
        <f>COUNTIF(Estadísticas!I:I,'centraldecomunicacion.es'!H2786)&gt;0</f>
        <v>0</v>
      </c>
    </row>
    <row r="2787" spans="1:9" hidden="1">
      <c r="A2787" s="1" t="s">
        <v>10430</v>
      </c>
      <c r="B2787" s="1" t="s">
        <v>10</v>
      </c>
      <c r="C2787" s="1" t="s">
        <v>10431</v>
      </c>
      <c r="D2787" s="1" t="s">
        <v>1023</v>
      </c>
      <c r="E2787" s="1" t="s">
        <v>1023</v>
      </c>
      <c r="F2787" s="1" t="s">
        <v>30</v>
      </c>
      <c r="G2787" s="1" t="s">
        <v>10432</v>
      </c>
      <c r="H2787" s="1" t="s">
        <v>1762</v>
      </c>
      <c r="I2787" t="b">
        <f>COUNTIF(Estadísticas!I:I,'centraldecomunicacion.es'!H2787)&gt;0</f>
        <v>0</v>
      </c>
    </row>
    <row r="2788" spans="1:9" hidden="1">
      <c r="A2788" s="1" t="s">
        <v>10433</v>
      </c>
      <c r="B2788" s="1" t="s">
        <v>10</v>
      </c>
      <c r="C2788" s="1" t="s">
        <v>10434</v>
      </c>
      <c r="D2788" s="1" t="s">
        <v>1023</v>
      </c>
      <c r="E2788" s="1" t="s">
        <v>1023</v>
      </c>
      <c r="F2788" s="1" t="s">
        <v>1984</v>
      </c>
      <c r="G2788" s="1" t="s">
        <v>10435</v>
      </c>
      <c r="H2788" s="1" t="s">
        <v>1762</v>
      </c>
      <c r="I2788" t="b">
        <f>COUNTIF(Estadísticas!I:I,'centraldecomunicacion.es'!H2788)&gt;0</f>
        <v>0</v>
      </c>
    </row>
    <row r="2789" spans="1:9" hidden="1">
      <c r="A2789" s="1" t="s">
        <v>10436</v>
      </c>
      <c r="B2789" s="1" t="s">
        <v>10</v>
      </c>
      <c r="C2789" s="1" t="s">
        <v>30</v>
      </c>
      <c r="D2789" s="1" t="s">
        <v>10307</v>
      </c>
      <c r="E2789" s="1" t="s">
        <v>30</v>
      </c>
      <c r="F2789" s="1" t="s">
        <v>10437</v>
      </c>
      <c r="G2789" s="1" t="s">
        <v>10438</v>
      </c>
      <c r="H2789" s="1" t="s">
        <v>1762</v>
      </c>
      <c r="I2789" t="b">
        <f>COUNTIF(Estadísticas!I:I,'centraldecomunicacion.es'!H2789)&gt;0</f>
        <v>0</v>
      </c>
    </row>
    <row r="2790" spans="1:9" hidden="1">
      <c r="A2790" s="1" t="s">
        <v>10439</v>
      </c>
      <c r="B2790" s="1" t="s">
        <v>10</v>
      </c>
      <c r="C2790" s="1" t="s">
        <v>10440</v>
      </c>
      <c r="D2790" s="1" t="s">
        <v>1023</v>
      </c>
      <c r="E2790" s="1" t="s">
        <v>1023</v>
      </c>
      <c r="F2790" s="1" t="s">
        <v>30</v>
      </c>
      <c r="G2790" s="1" t="s">
        <v>10441</v>
      </c>
      <c r="H2790" s="1" t="s">
        <v>1762</v>
      </c>
      <c r="I2790" t="b">
        <f>COUNTIF(Estadísticas!I:I,'centraldecomunicacion.es'!H2790)&gt;0</f>
        <v>0</v>
      </c>
    </row>
    <row r="2791" spans="1:9" hidden="1">
      <c r="A2791" s="1" t="s">
        <v>10442</v>
      </c>
      <c r="B2791" s="1" t="s">
        <v>18</v>
      </c>
      <c r="C2791" s="1" t="s">
        <v>10443</v>
      </c>
      <c r="D2791" s="1" t="s">
        <v>1023</v>
      </c>
      <c r="E2791" s="1" t="s">
        <v>1023</v>
      </c>
      <c r="F2791" s="1" t="s">
        <v>10444</v>
      </c>
      <c r="G2791" s="1" t="s">
        <v>10445</v>
      </c>
      <c r="H2791" s="1" t="s">
        <v>10446</v>
      </c>
      <c r="I2791" t="b">
        <f>COUNTIF(Estadísticas!I:I,'centraldecomunicacion.es'!H2791)&gt;0</f>
        <v>0</v>
      </c>
    </row>
    <row r="2792" spans="1:9" hidden="1">
      <c r="A2792" s="1" t="s">
        <v>10447</v>
      </c>
      <c r="B2792" s="1" t="s">
        <v>10</v>
      </c>
      <c r="C2792" s="1" t="s">
        <v>10448</v>
      </c>
      <c r="D2792" s="1" t="s">
        <v>1023</v>
      </c>
      <c r="E2792" s="1" t="s">
        <v>1023</v>
      </c>
      <c r="F2792" s="1" t="s">
        <v>10449</v>
      </c>
      <c r="G2792" s="1" t="s">
        <v>10450</v>
      </c>
      <c r="H2792" s="1" t="s">
        <v>10451</v>
      </c>
      <c r="I2792" t="b">
        <f>COUNTIF(Estadísticas!I:I,'centraldecomunicacion.es'!H2792)&gt;0</f>
        <v>0</v>
      </c>
    </row>
    <row r="2793" spans="1:9" hidden="1">
      <c r="A2793" s="1" t="s">
        <v>10452</v>
      </c>
      <c r="B2793" s="1" t="s">
        <v>10</v>
      </c>
      <c r="C2793" s="1" t="s">
        <v>10453</v>
      </c>
      <c r="D2793" s="1" t="s">
        <v>1023</v>
      </c>
      <c r="E2793" s="1" t="s">
        <v>1023</v>
      </c>
      <c r="F2793" s="1" t="s">
        <v>2692</v>
      </c>
      <c r="G2793" s="1" t="s">
        <v>10454</v>
      </c>
      <c r="H2793" s="1" t="s">
        <v>1762</v>
      </c>
      <c r="I2793" t="b">
        <f>COUNTIF(Estadísticas!I:I,'centraldecomunicacion.es'!H2793)&gt;0</f>
        <v>0</v>
      </c>
    </row>
    <row r="2794" spans="1:9" hidden="1">
      <c r="A2794" s="1" t="s">
        <v>10455</v>
      </c>
      <c r="B2794" s="1" t="s">
        <v>10</v>
      </c>
      <c r="C2794" s="1" t="s">
        <v>10456</v>
      </c>
      <c r="D2794" s="1" t="s">
        <v>1023</v>
      </c>
      <c r="E2794" s="1" t="s">
        <v>1023</v>
      </c>
      <c r="F2794" s="1" t="s">
        <v>30</v>
      </c>
      <c r="G2794" s="1" t="s">
        <v>10457</v>
      </c>
      <c r="H2794" s="1" t="s">
        <v>1762</v>
      </c>
      <c r="I2794" t="b">
        <f>COUNTIF(Estadísticas!I:I,'centraldecomunicacion.es'!H2794)&gt;0</f>
        <v>0</v>
      </c>
    </row>
    <row r="2795" spans="1:9" hidden="1">
      <c r="A2795" s="1" t="s">
        <v>10458</v>
      </c>
      <c r="B2795" s="1" t="s">
        <v>10</v>
      </c>
      <c r="C2795" s="1" t="s">
        <v>10459</v>
      </c>
      <c r="D2795" s="1" t="s">
        <v>1023</v>
      </c>
      <c r="E2795" s="1" t="s">
        <v>1023</v>
      </c>
      <c r="F2795" s="1" t="s">
        <v>30</v>
      </c>
      <c r="G2795" s="1" t="s">
        <v>10460</v>
      </c>
      <c r="H2795" s="1" t="s">
        <v>1762</v>
      </c>
      <c r="I2795" t="b">
        <f>COUNTIF(Estadísticas!I:I,'centraldecomunicacion.es'!H2795)&gt;0</f>
        <v>0</v>
      </c>
    </row>
    <row r="2796" spans="1:9" hidden="1">
      <c r="A2796" s="1" t="s">
        <v>10461</v>
      </c>
      <c r="B2796" s="1" t="s">
        <v>10</v>
      </c>
      <c r="C2796" s="1" t="s">
        <v>10462</v>
      </c>
      <c r="D2796" s="1" t="s">
        <v>1023</v>
      </c>
      <c r="E2796" s="1" t="s">
        <v>1023</v>
      </c>
      <c r="F2796" s="1" t="s">
        <v>10463</v>
      </c>
      <c r="G2796" s="1" t="s">
        <v>10464</v>
      </c>
      <c r="H2796" s="1" t="s">
        <v>1762</v>
      </c>
      <c r="I2796" t="b">
        <f>COUNTIF(Estadísticas!I:I,'centraldecomunicacion.es'!H2796)&gt;0</f>
        <v>0</v>
      </c>
    </row>
    <row r="2797" spans="1:9" hidden="1">
      <c r="A2797" s="1" t="s">
        <v>10465</v>
      </c>
      <c r="B2797" s="1" t="s">
        <v>10</v>
      </c>
      <c r="C2797" s="1" t="s">
        <v>10466</v>
      </c>
      <c r="D2797" s="1" t="s">
        <v>10467</v>
      </c>
      <c r="E2797" s="1" t="s">
        <v>1023</v>
      </c>
      <c r="F2797" s="1" t="s">
        <v>10468</v>
      </c>
      <c r="G2797" s="1" t="s">
        <v>10469</v>
      </c>
      <c r="H2797" s="1" t="s">
        <v>1762</v>
      </c>
      <c r="I2797" t="b">
        <f>COUNTIF(Estadísticas!I:I,'centraldecomunicacion.es'!H2797)&gt;0</f>
        <v>0</v>
      </c>
    </row>
    <row r="2798" spans="1:9" hidden="1">
      <c r="A2798" s="1" t="s">
        <v>10470</v>
      </c>
      <c r="B2798" s="1" t="s">
        <v>10</v>
      </c>
      <c r="C2798" s="1" t="s">
        <v>10471</v>
      </c>
      <c r="D2798" s="1" t="s">
        <v>1023</v>
      </c>
      <c r="E2798" s="1" t="s">
        <v>1023</v>
      </c>
      <c r="F2798" s="1" t="s">
        <v>10472</v>
      </c>
      <c r="G2798" s="1" t="s">
        <v>10473</v>
      </c>
      <c r="H2798" s="1" t="s">
        <v>10474</v>
      </c>
      <c r="I2798" t="b">
        <f>COUNTIF(Estadísticas!I:I,'centraldecomunicacion.es'!H2798)&gt;0</f>
        <v>0</v>
      </c>
    </row>
    <row r="2799" spans="1:9">
      <c r="A2799" s="1" t="s">
        <v>1042</v>
      </c>
      <c r="B2799" s="1" t="s">
        <v>10</v>
      </c>
      <c r="C2799" s="1" t="s">
        <v>1043</v>
      </c>
      <c r="D2799" s="1" t="s">
        <v>1023</v>
      </c>
      <c r="E2799" s="1" t="s">
        <v>1023</v>
      </c>
      <c r="F2799" s="1" t="s">
        <v>1044</v>
      </c>
      <c r="G2799" s="1" t="s">
        <v>1045</v>
      </c>
      <c r="H2799" s="1" t="s">
        <v>1046</v>
      </c>
      <c r="I2799" t="b">
        <f>COUNTIF(Estadísticas!I:I,'centraldecomunicacion.es'!H2799)&gt;0</f>
        <v>1</v>
      </c>
    </row>
    <row r="2800" spans="1:9" hidden="1">
      <c r="A2800" s="1" t="s">
        <v>10475</v>
      </c>
      <c r="B2800" s="1" t="s">
        <v>10</v>
      </c>
      <c r="C2800" s="1" t="s">
        <v>10476</v>
      </c>
      <c r="D2800" s="1" t="s">
        <v>1023</v>
      </c>
      <c r="E2800" s="1" t="s">
        <v>1023</v>
      </c>
      <c r="F2800" s="1" t="s">
        <v>30</v>
      </c>
      <c r="G2800" s="1" t="s">
        <v>10477</v>
      </c>
      <c r="H2800" s="1" t="s">
        <v>1762</v>
      </c>
      <c r="I2800" t="b">
        <f>COUNTIF(Estadísticas!I:I,'centraldecomunicacion.es'!H2800)&gt;0</f>
        <v>0</v>
      </c>
    </row>
    <row r="2801" spans="1:9">
      <c r="A2801" s="1" t="s">
        <v>1047</v>
      </c>
      <c r="B2801" s="1" t="s">
        <v>10</v>
      </c>
      <c r="C2801" s="1" t="s">
        <v>1048</v>
      </c>
      <c r="D2801" s="1" t="s">
        <v>1023</v>
      </c>
      <c r="E2801" s="1" t="s">
        <v>1023</v>
      </c>
      <c r="F2801" s="1" t="s">
        <v>1049</v>
      </c>
      <c r="G2801" s="1" t="s">
        <v>1050</v>
      </c>
      <c r="H2801" s="1" t="s">
        <v>1051</v>
      </c>
      <c r="I2801" t="b">
        <f>COUNTIF(Estadísticas!I:I,'centraldecomunicacion.es'!H2801)&gt;0</f>
        <v>1</v>
      </c>
    </row>
    <row r="2802" spans="1:9" hidden="1">
      <c r="A2802" s="1" t="s">
        <v>10478</v>
      </c>
      <c r="B2802" s="1" t="s">
        <v>10</v>
      </c>
      <c r="C2802" s="1" t="s">
        <v>10479</v>
      </c>
      <c r="D2802" s="1" t="s">
        <v>1023</v>
      </c>
      <c r="E2802" s="1" t="s">
        <v>1023</v>
      </c>
      <c r="F2802" s="1" t="s">
        <v>10480</v>
      </c>
      <c r="G2802" s="1" t="s">
        <v>10481</v>
      </c>
      <c r="H2802" s="1" t="s">
        <v>1762</v>
      </c>
      <c r="I2802" t="b">
        <f>COUNTIF(Estadísticas!I:I,'centraldecomunicacion.es'!H2802)&gt;0</f>
        <v>0</v>
      </c>
    </row>
    <row r="2803" spans="1:9" hidden="1">
      <c r="A2803" s="1" t="s">
        <v>10482</v>
      </c>
      <c r="B2803" s="1" t="s">
        <v>10</v>
      </c>
      <c r="C2803" s="1" t="s">
        <v>10483</v>
      </c>
      <c r="D2803" s="1" t="s">
        <v>1023</v>
      </c>
      <c r="E2803" s="1" t="s">
        <v>1023</v>
      </c>
      <c r="F2803" s="1" t="s">
        <v>30</v>
      </c>
      <c r="G2803" s="1" t="s">
        <v>10484</v>
      </c>
      <c r="H2803" s="1" t="s">
        <v>1762</v>
      </c>
      <c r="I2803" t="b">
        <f>COUNTIF(Estadísticas!I:I,'centraldecomunicacion.es'!H2803)&gt;0</f>
        <v>0</v>
      </c>
    </row>
    <row r="2804" spans="1:9" hidden="1">
      <c r="A2804" s="1" t="s">
        <v>10485</v>
      </c>
      <c r="B2804" s="1" t="s">
        <v>10</v>
      </c>
      <c r="C2804" s="1" t="s">
        <v>10486</v>
      </c>
      <c r="D2804" s="1" t="s">
        <v>1023</v>
      </c>
      <c r="E2804" s="1" t="s">
        <v>1023</v>
      </c>
      <c r="F2804" s="1" t="s">
        <v>10487</v>
      </c>
      <c r="G2804" s="1" t="s">
        <v>10317</v>
      </c>
      <c r="H2804" s="1" t="s">
        <v>10488</v>
      </c>
      <c r="I2804" t="b">
        <f>COUNTIF(Estadísticas!I:I,'centraldecomunicacion.es'!H2804)&gt;0</f>
        <v>0</v>
      </c>
    </row>
    <row r="2805" spans="1:9" hidden="1">
      <c r="A2805" s="1" t="s">
        <v>10489</v>
      </c>
      <c r="B2805" s="1" t="s">
        <v>10</v>
      </c>
      <c r="C2805" s="1" t="s">
        <v>10490</v>
      </c>
      <c r="D2805" s="1" t="s">
        <v>1023</v>
      </c>
      <c r="E2805" s="1" t="s">
        <v>1023</v>
      </c>
      <c r="F2805" s="1" t="s">
        <v>10491</v>
      </c>
      <c r="G2805" s="1" t="s">
        <v>10492</v>
      </c>
      <c r="H2805" s="1" t="s">
        <v>1762</v>
      </c>
      <c r="I2805" t="b">
        <f>COUNTIF(Estadísticas!I:I,'centraldecomunicacion.es'!H2805)&gt;0</f>
        <v>0</v>
      </c>
    </row>
    <row r="2806" spans="1:9" hidden="1">
      <c r="A2806" s="1" t="s">
        <v>10493</v>
      </c>
      <c r="B2806" s="1" t="s">
        <v>10</v>
      </c>
      <c r="C2806" s="1" t="s">
        <v>10494</v>
      </c>
      <c r="D2806" s="1" t="s">
        <v>1023</v>
      </c>
      <c r="E2806" s="1" t="s">
        <v>1023</v>
      </c>
      <c r="F2806" s="1" t="s">
        <v>1984</v>
      </c>
      <c r="G2806" s="1" t="s">
        <v>10495</v>
      </c>
      <c r="H2806" s="1" t="s">
        <v>1762</v>
      </c>
      <c r="I2806" t="b">
        <f>COUNTIF(Estadísticas!I:I,'centraldecomunicacion.es'!H2806)&gt;0</f>
        <v>0</v>
      </c>
    </row>
    <row r="2807" spans="1:9" hidden="1">
      <c r="A2807" s="1" t="s">
        <v>10496</v>
      </c>
      <c r="B2807" s="1" t="s">
        <v>10</v>
      </c>
      <c r="C2807" s="1" t="s">
        <v>10497</v>
      </c>
      <c r="D2807" s="1" t="s">
        <v>10498</v>
      </c>
      <c r="E2807" s="1" t="s">
        <v>1023</v>
      </c>
      <c r="F2807" s="1" t="s">
        <v>30</v>
      </c>
      <c r="G2807" s="1" t="s">
        <v>30</v>
      </c>
      <c r="H2807" s="1" t="s">
        <v>1762</v>
      </c>
      <c r="I2807" t="b">
        <f>COUNTIF(Estadísticas!I:I,'centraldecomunicacion.es'!H2807)&gt;0</f>
        <v>0</v>
      </c>
    </row>
    <row r="2808" spans="1:9" hidden="1">
      <c r="A2808" s="1" t="s">
        <v>10499</v>
      </c>
      <c r="B2808" s="1" t="s">
        <v>10</v>
      </c>
      <c r="C2808" s="1" t="s">
        <v>10500</v>
      </c>
      <c r="D2808" s="1" t="s">
        <v>1023</v>
      </c>
      <c r="E2808" s="1" t="s">
        <v>1023</v>
      </c>
      <c r="F2808" s="1" t="s">
        <v>10299</v>
      </c>
      <c r="G2808" s="1" t="s">
        <v>10300</v>
      </c>
      <c r="H2808" s="1" t="s">
        <v>1875</v>
      </c>
      <c r="I2808" t="b">
        <f>COUNTIF(Estadísticas!I:I,'centraldecomunicacion.es'!H2808)&gt;0</f>
        <v>0</v>
      </c>
    </row>
    <row r="2809" spans="1:9" hidden="1">
      <c r="A2809" s="1" t="s">
        <v>10501</v>
      </c>
      <c r="B2809" s="1" t="s">
        <v>10</v>
      </c>
      <c r="C2809" s="1" t="s">
        <v>10502</v>
      </c>
      <c r="D2809" s="1" t="s">
        <v>1023</v>
      </c>
      <c r="E2809" s="1" t="s">
        <v>1023</v>
      </c>
      <c r="F2809" s="1" t="s">
        <v>10501</v>
      </c>
      <c r="G2809" s="1" t="s">
        <v>10503</v>
      </c>
      <c r="H2809" s="1" t="s">
        <v>1762</v>
      </c>
      <c r="I2809" t="b">
        <f>COUNTIF(Estadísticas!I:I,'centraldecomunicacion.es'!H2809)&gt;0</f>
        <v>0</v>
      </c>
    </row>
    <row r="2810" spans="1:9" hidden="1">
      <c r="A2810" s="1" t="s">
        <v>10504</v>
      </c>
      <c r="B2810" s="1" t="s">
        <v>10</v>
      </c>
      <c r="C2810" s="1" t="s">
        <v>10505</v>
      </c>
      <c r="D2810" s="1" t="s">
        <v>10506</v>
      </c>
      <c r="E2810" s="1" t="s">
        <v>1023</v>
      </c>
      <c r="F2810" s="1" t="s">
        <v>10507</v>
      </c>
      <c r="G2810" s="1" t="s">
        <v>10508</v>
      </c>
      <c r="H2810" s="1" t="s">
        <v>10509</v>
      </c>
      <c r="I2810" t="b">
        <f>COUNTIF(Estadísticas!I:I,'centraldecomunicacion.es'!H2810)&gt;0</f>
        <v>0</v>
      </c>
    </row>
    <row r="2811" spans="1:9" hidden="1">
      <c r="A2811" s="1" t="s">
        <v>10510</v>
      </c>
      <c r="B2811" s="1" t="s">
        <v>10</v>
      </c>
      <c r="C2811" s="1" t="s">
        <v>10511</v>
      </c>
      <c r="D2811" s="1" t="s">
        <v>1023</v>
      </c>
      <c r="E2811" s="1" t="s">
        <v>1023</v>
      </c>
      <c r="F2811" s="1" t="s">
        <v>30</v>
      </c>
      <c r="G2811" s="1" t="s">
        <v>10512</v>
      </c>
      <c r="H2811" s="1" t="s">
        <v>1762</v>
      </c>
      <c r="I2811" t="b">
        <f>COUNTIF(Estadísticas!I:I,'centraldecomunicacion.es'!H2811)&gt;0</f>
        <v>0</v>
      </c>
    </row>
    <row r="2812" spans="1:9">
      <c r="A2812" s="1" t="s">
        <v>10513</v>
      </c>
      <c r="B2812" s="1" t="s">
        <v>18</v>
      </c>
      <c r="C2812" s="1" t="s">
        <v>10390</v>
      </c>
      <c r="D2812" s="1" t="s">
        <v>1023</v>
      </c>
      <c r="E2812" s="1" t="s">
        <v>1023</v>
      </c>
      <c r="F2812" s="1" t="s">
        <v>1029</v>
      </c>
      <c r="G2812" s="1" t="s">
        <v>10391</v>
      </c>
      <c r="H2812" s="1" t="s">
        <v>1031</v>
      </c>
      <c r="I2812" t="b">
        <f>COUNTIF(Estadísticas!I:I,'centraldecomunicacion.es'!H2812)&gt;0</f>
        <v>1</v>
      </c>
    </row>
    <row r="2813" spans="1:9" hidden="1">
      <c r="A2813" s="1" t="s">
        <v>10514</v>
      </c>
      <c r="B2813" s="1" t="s">
        <v>10</v>
      </c>
      <c r="C2813" s="1" t="s">
        <v>10515</v>
      </c>
      <c r="D2813" s="1" t="s">
        <v>1023</v>
      </c>
      <c r="E2813" s="1" t="s">
        <v>1023</v>
      </c>
      <c r="F2813" s="1" t="s">
        <v>10516</v>
      </c>
      <c r="G2813" s="1" t="s">
        <v>10517</v>
      </c>
      <c r="H2813" s="1" t="s">
        <v>1762</v>
      </c>
      <c r="I2813" t="b">
        <f>COUNTIF(Estadísticas!I:I,'centraldecomunicacion.es'!H2813)&gt;0</f>
        <v>0</v>
      </c>
    </row>
    <row r="2814" spans="1:9" hidden="1">
      <c r="A2814" s="1" t="s">
        <v>10518</v>
      </c>
      <c r="B2814" s="1" t="s">
        <v>10</v>
      </c>
      <c r="C2814" s="1" t="s">
        <v>10519</v>
      </c>
      <c r="D2814" s="1" t="s">
        <v>1023</v>
      </c>
      <c r="E2814" s="1" t="s">
        <v>1023</v>
      </c>
      <c r="F2814" s="1" t="s">
        <v>10520</v>
      </c>
      <c r="G2814" s="1" t="s">
        <v>10521</v>
      </c>
      <c r="H2814" s="1" t="s">
        <v>1875</v>
      </c>
      <c r="I2814" t="b">
        <f>COUNTIF(Estadísticas!I:I,'centraldecomunicacion.es'!H2814)&gt;0</f>
        <v>0</v>
      </c>
    </row>
    <row r="2815" spans="1:9" hidden="1">
      <c r="A2815" s="1" t="s">
        <v>10522</v>
      </c>
      <c r="B2815" s="1" t="s">
        <v>10</v>
      </c>
      <c r="C2815" s="1" t="s">
        <v>10523</v>
      </c>
      <c r="D2815" s="1" t="s">
        <v>1023</v>
      </c>
      <c r="E2815" s="1" t="s">
        <v>1023</v>
      </c>
      <c r="F2815" s="1" t="s">
        <v>1984</v>
      </c>
      <c r="G2815" s="1" t="s">
        <v>10524</v>
      </c>
      <c r="H2815" s="1" t="s">
        <v>1762</v>
      </c>
      <c r="I2815" t="b">
        <f>COUNTIF(Estadísticas!I:I,'centraldecomunicacion.es'!H2815)&gt;0</f>
        <v>0</v>
      </c>
    </row>
    <row r="2816" spans="1:9" hidden="1">
      <c r="A2816" s="1" t="s">
        <v>10525</v>
      </c>
      <c r="B2816" s="1" t="s">
        <v>18</v>
      </c>
      <c r="C2816" s="1" t="s">
        <v>10526</v>
      </c>
      <c r="D2816" s="1" t="s">
        <v>10527</v>
      </c>
      <c r="E2816" s="1" t="s">
        <v>1023</v>
      </c>
      <c r="F2816" s="1" t="s">
        <v>30</v>
      </c>
      <c r="G2816" s="1" t="s">
        <v>10528</v>
      </c>
      <c r="H2816" s="1" t="s">
        <v>1762</v>
      </c>
      <c r="I2816" t="b">
        <f>COUNTIF(Estadísticas!I:I,'centraldecomunicacion.es'!H2816)&gt;0</f>
        <v>0</v>
      </c>
    </row>
    <row r="2817" spans="1:9" hidden="1">
      <c r="A2817" s="1" t="s">
        <v>10529</v>
      </c>
      <c r="B2817" s="1" t="s">
        <v>10</v>
      </c>
      <c r="C2817" s="1" t="s">
        <v>10530</v>
      </c>
      <c r="D2817" s="1" t="s">
        <v>1023</v>
      </c>
      <c r="E2817" s="1" t="s">
        <v>1023</v>
      </c>
      <c r="F2817" s="1" t="s">
        <v>30</v>
      </c>
      <c r="G2817" s="1" t="s">
        <v>10531</v>
      </c>
      <c r="H2817" s="1" t="s">
        <v>1762</v>
      </c>
      <c r="I2817" t="b">
        <f>COUNTIF(Estadísticas!I:I,'centraldecomunicacion.es'!H2817)&gt;0</f>
        <v>0</v>
      </c>
    </row>
    <row r="2818" spans="1:9" hidden="1">
      <c r="A2818" s="1" t="s">
        <v>10532</v>
      </c>
      <c r="B2818" s="1" t="s">
        <v>10</v>
      </c>
      <c r="C2818" s="1" t="s">
        <v>10533</v>
      </c>
      <c r="D2818" s="1" t="s">
        <v>1023</v>
      </c>
      <c r="E2818" s="1" t="s">
        <v>1023</v>
      </c>
      <c r="F2818" s="1" t="s">
        <v>30</v>
      </c>
      <c r="G2818" s="1" t="s">
        <v>10534</v>
      </c>
      <c r="H2818" s="1" t="s">
        <v>1762</v>
      </c>
      <c r="I2818" t="b">
        <f>COUNTIF(Estadísticas!I:I,'centraldecomunicacion.es'!H2818)&gt;0</f>
        <v>0</v>
      </c>
    </row>
    <row r="2819" spans="1:9" hidden="1">
      <c r="A2819" s="1" t="s">
        <v>10535</v>
      </c>
      <c r="B2819" s="1" t="s">
        <v>10</v>
      </c>
      <c r="C2819" s="1" t="s">
        <v>10536</v>
      </c>
      <c r="D2819" s="1" t="s">
        <v>1023</v>
      </c>
      <c r="E2819" s="1" t="s">
        <v>1023</v>
      </c>
      <c r="F2819" s="1" t="s">
        <v>30</v>
      </c>
      <c r="G2819" s="1" t="s">
        <v>10537</v>
      </c>
      <c r="H2819" s="1" t="s">
        <v>1762</v>
      </c>
      <c r="I2819" t="b">
        <f>COUNTIF(Estadísticas!I:I,'centraldecomunicacion.es'!H2819)&gt;0</f>
        <v>0</v>
      </c>
    </row>
    <row r="2820" spans="1:9" hidden="1">
      <c r="A2820" s="1" t="s">
        <v>10538</v>
      </c>
      <c r="B2820" s="1" t="s">
        <v>10</v>
      </c>
      <c r="C2820" s="1" t="s">
        <v>10539</v>
      </c>
      <c r="D2820" s="1" t="s">
        <v>1023</v>
      </c>
      <c r="E2820" s="1" t="s">
        <v>1023</v>
      </c>
      <c r="F2820" s="1" t="s">
        <v>30</v>
      </c>
      <c r="G2820" s="1" t="s">
        <v>10540</v>
      </c>
      <c r="H2820" s="1" t="s">
        <v>1762</v>
      </c>
      <c r="I2820" t="b">
        <f>COUNTIF(Estadísticas!I:I,'centraldecomunicacion.es'!H2820)&gt;0</f>
        <v>0</v>
      </c>
    </row>
    <row r="2821" spans="1:9" hidden="1">
      <c r="A2821" s="1" t="s">
        <v>10541</v>
      </c>
      <c r="B2821" s="1" t="s">
        <v>10</v>
      </c>
      <c r="C2821" s="1" t="s">
        <v>10542</v>
      </c>
      <c r="D2821" s="1" t="s">
        <v>1023</v>
      </c>
      <c r="E2821" s="1" t="s">
        <v>1023</v>
      </c>
      <c r="F2821" s="1" t="s">
        <v>1984</v>
      </c>
      <c r="G2821" s="1" t="s">
        <v>10543</v>
      </c>
      <c r="H2821" s="1" t="s">
        <v>1762</v>
      </c>
      <c r="I2821" t="b">
        <f>COUNTIF(Estadísticas!I:I,'centraldecomunicacion.es'!H2821)&gt;0</f>
        <v>0</v>
      </c>
    </row>
    <row r="2822" spans="1:9" hidden="1">
      <c r="A2822" s="1" t="s">
        <v>10544</v>
      </c>
      <c r="B2822" s="1" t="s">
        <v>10</v>
      </c>
      <c r="C2822" s="1" t="s">
        <v>10545</v>
      </c>
      <c r="D2822" s="1" t="s">
        <v>1023</v>
      </c>
      <c r="E2822" s="1" t="s">
        <v>1023</v>
      </c>
      <c r="F2822" s="1" t="s">
        <v>30</v>
      </c>
      <c r="G2822" s="1" t="s">
        <v>30</v>
      </c>
      <c r="H2822" s="1" t="s">
        <v>1762</v>
      </c>
      <c r="I2822" t="b">
        <f>COUNTIF(Estadísticas!I:I,'centraldecomunicacion.es'!H2822)&gt;0</f>
        <v>0</v>
      </c>
    </row>
    <row r="2823" spans="1:9" hidden="1">
      <c r="A2823" s="1" t="s">
        <v>10546</v>
      </c>
      <c r="B2823" s="1" t="s">
        <v>10</v>
      </c>
      <c r="C2823" s="1" t="s">
        <v>10547</v>
      </c>
      <c r="D2823" s="1" t="s">
        <v>10498</v>
      </c>
      <c r="E2823" s="1" t="s">
        <v>1023</v>
      </c>
      <c r="F2823" s="1" t="s">
        <v>30</v>
      </c>
      <c r="G2823" s="1" t="s">
        <v>10548</v>
      </c>
      <c r="H2823" s="1" t="s">
        <v>1762</v>
      </c>
      <c r="I2823" t="b">
        <f>COUNTIF(Estadísticas!I:I,'centraldecomunicacion.es'!H2823)&gt;0</f>
        <v>0</v>
      </c>
    </row>
    <row r="2824" spans="1:9" hidden="1">
      <c r="A2824" s="1" t="s">
        <v>10549</v>
      </c>
      <c r="B2824" s="1" t="s">
        <v>10</v>
      </c>
      <c r="C2824" s="1" t="s">
        <v>10550</v>
      </c>
      <c r="D2824" s="1" t="s">
        <v>1054</v>
      </c>
      <c r="E2824" s="1" t="s">
        <v>1023</v>
      </c>
      <c r="F2824" s="1" t="s">
        <v>10551</v>
      </c>
      <c r="G2824" s="1" t="s">
        <v>10552</v>
      </c>
      <c r="H2824" s="1" t="s">
        <v>10553</v>
      </c>
      <c r="I2824" t="b">
        <f>COUNTIF(Estadísticas!I:I,'centraldecomunicacion.es'!H2824)&gt;0</f>
        <v>0</v>
      </c>
    </row>
    <row r="2825" spans="1:9" hidden="1">
      <c r="A2825" s="1" t="s">
        <v>10554</v>
      </c>
      <c r="B2825" s="1" t="s">
        <v>10</v>
      </c>
      <c r="C2825" s="1" t="s">
        <v>10555</v>
      </c>
      <c r="D2825" s="1" t="s">
        <v>1023</v>
      </c>
      <c r="E2825" s="1" t="s">
        <v>1023</v>
      </c>
      <c r="F2825" s="1" t="s">
        <v>30</v>
      </c>
      <c r="G2825" s="1" t="s">
        <v>10556</v>
      </c>
      <c r="H2825" s="1" t="s">
        <v>1762</v>
      </c>
      <c r="I2825" t="b">
        <f>COUNTIF(Estadísticas!I:I,'centraldecomunicacion.es'!H2825)&gt;0</f>
        <v>0</v>
      </c>
    </row>
    <row r="2826" spans="1:9" hidden="1">
      <c r="A2826" s="1" t="s">
        <v>10557</v>
      </c>
      <c r="B2826" s="1" t="s">
        <v>10</v>
      </c>
      <c r="C2826" s="1" t="s">
        <v>10558</v>
      </c>
      <c r="D2826" s="1" t="s">
        <v>1023</v>
      </c>
      <c r="E2826" s="1" t="s">
        <v>1023</v>
      </c>
      <c r="F2826" s="1" t="s">
        <v>10559</v>
      </c>
      <c r="G2826" s="1" t="s">
        <v>10560</v>
      </c>
      <c r="H2826" s="1" t="s">
        <v>10561</v>
      </c>
      <c r="I2826" t="b">
        <f>COUNTIF(Estadísticas!I:I,'centraldecomunicacion.es'!H2826)&gt;0</f>
        <v>0</v>
      </c>
    </row>
    <row r="2827" spans="1:9" hidden="1">
      <c r="A2827" s="1" t="s">
        <v>10562</v>
      </c>
      <c r="B2827" s="1" t="s">
        <v>10</v>
      </c>
      <c r="C2827" s="1" t="s">
        <v>10563</v>
      </c>
      <c r="D2827" s="1" t="s">
        <v>1023</v>
      </c>
      <c r="E2827" s="1" t="s">
        <v>1023</v>
      </c>
      <c r="F2827" s="1" t="s">
        <v>30</v>
      </c>
      <c r="G2827" s="1" t="s">
        <v>10564</v>
      </c>
      <c r="H2827" s="1" t="s">
        <v>1762</v>
      </c>
      <c r="I2827" t="b">
        <f>COUNTIF(Estadísticas!I:I,'centraldecomunicacion.es'!H2827)&gt;0</f>
        <v>0</v>
      </c>
    </row>
    <row r="2828" spans="1:9" hidden="1">
      <c r="A2828" s="1" t="s">
        <v>10565</v>
      </c>
      <c r="B2828" s="1" t="s">
        <v>10</v>
      </c>
      <c r="C2828" s="1" t="s">
        <v>10566</v>
      </c>
      <c r="D2828" s="1" t="s">
        <v>1023</v>
      </c>
      <c r="E2828" s="1" t="s">
        <v>1023</v>
      </c>
      <c r="F2828" s="1" t="s">
        <v>30</v>
      </c>
      <c r="G2828" s="1" t="s">
        <v>10567</v>
      </c>
      <c r="H2828" s="1" t="s">
        <v>1762</v>
      </c>
      <c r="I2828" t="b">
        <f>COUNTIF(Estadísticas!I:I,'centraldecomunicacion.es'!H2828)&gt;0</f>
        <v>0</v>
      </c>
    </row>
    <row r="2829" spans="1:9" hidden="1">
      <c r="A2829" s="1" t="s">
        <v>10568</v>
      </c>
      <c r="B2829" s="1" t="s">
        <v>10</v>
      </c>
      <c r="C2829" s="1" t="s">
        <v>10569</v>
      </c>
      <c r="D2829" s="1" t="s">
        <v>1023</v>
      </c>
      <c r="E2829" s="1" t="s">
        <v>1023</v>
      </c>
      <c r="F2829" s="1" t="s">
        <v>30</v>
      </c>
      <c r="G2829" s="1" t="s">
        <v>10570</v>
      </c>
      <c r="H2829" s="1" t="s">
        <v>1762</v>
      </c>
      <c r="I2829" t="b">
        <f>COUNTIF(Estadísticas!I:I,'centraldecomunicacion.es'!H2829)&gt;0</f>
        <v>0</v>
      </c>
    </row>
    <row r="2830" spans="1:9" hidden="1">
      <c r="A2830" s="1" t="s">
        <v>10571</v>
      </c>
      <c r="B2830" s="1" t="s">
        <v>10</v>
      </c>
      <c r="C2830" s="1" t="s">
        <v>10572</v>
      </c>
      <c r="D2830" s="1" t="s">
        <v>1023</v>
      </c>
      <c r="E2830" s="1" t="s">
        <v>1023</v>
      </c>
      <c r="F2830" s="1" t="s">
        <v>30</v>
      </c>
      <c r="G2830" s="1" t="s">
        <v>10573</v>
      </c>
      <c r="H2830" s="1" t="s">
        <v>1762</v>
      </c>
      <c r="I2830" t="b">
        <f>COUNTIF(Estadísticas!I:I,'centraldecomunicacion.es'!H2830)&gt;0</f>
        <v>0</v>
      </c>
    </row>
    <row r="2831" spans="1:9" hidden="1">
      <c r="A2831" s="1" t="s">
        <v>10574</v>
      </c>
      <c r="B2831" s="1" t="s">
        <v>10</v>
      </c>
      <c r="C2831" s="1" t="s">
        <v>10575</v>
      </c>
      <c r="D2831" s="1" t="s">
        <v>1023</v>
      </c>
      <c r="E2831" s="1" t="s">
        <v>1023</v>
      </c>
      <c r="F2831" s="1" t="s">
        <v>30</v>
      </c>
      <c r="G2831" s="1" t="s">
        <v>10576</v>
      </c>
      <c r="H2831" s="1" t="s">
        <v>1762</v>
      </c>
      <c r="I2831" t="b">
        <f>COUNTIF(Estadísticas!I:I,'centraldecomunicacion.es'!H2831)&gt;0</f>
        <v>0</v>
      </c>
    </row>
    <row r="2832" spans="1:9" hidden="1">
      <c r="A2832" s="1" t="s">
        <v>10577</v>
      </c>
      <c r="B2832" s="1" t="s">
        <v>10</v>
      </c>
      <c r="C2832" s="1" t="s">
        <v>10578</v>
      </c>
      <c r="D2832" s="1" t="s">
        <v>1023</v>
      </c>
      <c r="E2832" s="1" t="s">
        <v>1023</v>
      </c>
      <c r="F2832" s="1" t="s">
        <v>30</v>
      </c>
      <c r="G2832" s="1" t="s">
        <v>30</v>
      </c>
      <c r="H2832" s="1" t="s">
        <v>1762</v>
      </c>
      <c r="I2832" t="b">
        <f>COUNTIF(Estadísticas!I:I,'centraldecomunicacion.es'!H2832)&gt;0</f>
        <v>0</v>
      </c>
    </row>
    <row r="2833" spans="1:9" hidden="1">
      <c r="A2833" s="1" t="s">
        <v>10579</v>
      </c>
      <c r="B2833" s="1" t="s">
        <v>10</v>
      </c>
      <c r="C2833" s="1" t="s">
        <v>10580</v>
      </c>
      <c r="D2833" s="1" t="s">
        <v>1023</v>
      </c>
      <c r="E2833" s="1" t="s">
        <v>1023</v>
      </c>
      <c r="F2833" s="1" t="s">
        <v>30</v>
      </c>
      <c r="G2833" s="1" t="s">
        <v>30</v>
      </c>
      <c r="H2833" s="1" t="s">
        <v>1762</v>
      </c>
      <c r="I2833" t="b">
        <f>COUNTIF(Estadísticas!I:I,'centraldecomunicacion.es'!H2833)&gt;0</f>
        <v>0</v>
      </c>
    </row>
    <row r="2834" spans="1:9" hidden="1">
      <c r="A2834" s="1" t="s">
        <v>10581</v>
      </c>
      <c r="B2834" s="1" t="s">
        <v>10</v>
      </c>
      <c r="C2834" s="1" t="s">
        <v>10582</v>
      </c>
      <c r="D2834" s="1" t="s">
        <v>1023</v>
      </c>
      <c r="E2834" s="1" t="s">
        <v>1023</v>
      </c>
      <c r="F2834" s="1" t="s">
        <v>30</v>
      </c>
      <c r="G2834" s="1" t="s">
        <v>10583</v>
      </c>
      <c r="H2834" s="1" t="s">
        <v>1762</v>
      </c>
      <c r="I2834" t="b">
        <f>COUNTIF(Estadísticas!I:I,'centraldecomunicacion.es'!H2834)&gt;0</f>
        <v>0</v>
      </c>
    </row>
    <row r="2835" spans="1:9" hidden="1">
      <c r="A2835" s="1" t="s">
        <v>10584</v>
      </c>
      <c r="B2835" s="1" t="s">
        <v>10</v>
      </c>
      <c r="C2835" s="1" t="s">
        <v>30</v>
      </c>
      <c r="D2835" s="1" t="s">
        <v>10307</v>
      </c>
      <c r="E2835" s="1" t="s">
        <v>30</v>
      </c>
      <c r="F2835" s="1" t="s">
        <v>10585</v>
      </c>
      <c r="G2835" s="1" t="s">
        <v>10586</v>
      </c>
      <c r="H2835" s="1" t="s">
        <v>1875</v>
      </c>
      <c r="I2835" t="b">
        <f>COUNTIF(Estadísticas!I:I,'centraldecomunicacion.es'!H2835)&gt;0</f>
        <v>0</v>
      </c>
    </row>
    <row r="2836" spans="1:9" hidden="1">
      <c r="A2836" s="1" t="s">
        <v>10587</v>
      </c>
      <c r="B2836" s="1" t="s">
        <v>10</v>
      </c>
      <c r="C2836" s="1" t="s">
        <v>10588</v>
      </c>
      <c r="D2836" s="1" t="s">
        <v>1023</v>
      </c>
      <c r="E2836" s="1" t="s">
        <v>1023</v>
      </c>
      <c r="F2836" s="1" t="s">
        <v>30</v>
      </c>
      <c r="G2836" s="1" t="s">
        <v>10589</v>
      </c>
      <c r="H2836" s="1" t="s">
        <v>1762</v>
      </c>
      <c r="I2836" t="b">
        <f>COUNTIF(Estadísticas!I:I,'centraldecomunicacion.es'!H2836)&gt;0</f>
        <v>0</v>
      </c>
    </row>
    <row r="2837" spans="1:9" hidden="1">
      <c r="A2837" s="1" t="s">
        <v>10590</v>
      </c>
      <c r="B2837" s="1" t="s">
        <v>10</v>
      </c>
      <c r="C2837" s="1" t="s">
        <v>10591</v>
      </c>
      <c r="D2837" s="1" t="s">
        <v>1023</v>
      </c>
      <c r="E2837" s="1" t="s">
        <v>1023</v>
      </c>
      <c r="F2837" s="1" t="s">
        <v>30</v>
      </c>
      <c r="G2837" s="1" t="s">
        <v>10592</v>
      </c>
      <c r="H2837" s="1" t="s">
        <v>1762</v>
      </c>
      <c r="I2837" t="b">
        <f>COUNTIF(Estadísticas!I:I,'centraldecomunicacion.es'!H2837)&gt;0</f>
        <v>0</v>
      </c>
    </row>
    <row r="2838" spans="1:9" hidden="1">
      <c r="A2838" s="1" t="s">
        <v>10593</v>
      </c>
      <c r="B2838" s="1" t="s">
        <v>10</v>
      </c>
      <c r="C2838" s="1" t="s">
        <v>10594</v>
      </c>
      <c r="D2838" s="1" t="s">
        <v>1023</v>
      </c>
      <c r="E2838" s="1" t="s">
        <v>1023</v>
      </c>
      <c r="F2838" s="1" t="s">
        <v>10595</v>
      </c>
      <c r="G2838" s="1" t="s">
        <v>10596</v>
      </c>
      <c r="H2838" s="1" t="s">
        <v>1762</v>
      </c>
      <c r="I2838" t="b">
        <f>COUNTIF(Estadísticas!I:I,'centraldecomunicacion.es'!H2838)&gt;0</f>
        <v>0</v>
      </c>
    </row>
    <row r="2839" spans="1:9" hidden="1">
      <c r="A2839" s="1" t="s">
        <v>10597</v>
      </c>
      <c r="B2839" s="1" t="s">
        <v>10</v>
      </c>
      <c r="C2839" s="1" t="s">
        <v>10598</v>
      </c>
      <c r="D2839" s="1" t="s">
        <v>1023</v>
      </c>
      <c r="E2839" s="1" t="s">
        <v>1023</v>
      </c>
      <c r="F2839" s="1" t="s">
        <v>30</v>
      </c>
      <c r="G2839" s="1" t="s">
        <v>30</v>
      </c>
      <c r="H2839" s="1" t="s">
        <v>1762</v>
      </c>
      <c r="I2839" t="b">
        <f>COUNTIF(Estadísticas!I:I,'centraldecomunicacion.es'!H2839)&gt;0</f>
        <v>0</v>
      </c>
    </row>
    <row r="2840" spans="1:9" hidden="1">
      <c r="A2840" s="1" t="s">
        <v>10599</v>
      </c>
      <c r="B2840" s="1" t="s">
        <v>10</v>
      </c>
      <c r="C2840" s="1" t="s">
        <v>30</v>
      </c>
      <c r="D2840" s="1" t="s">
        <v>10307</v>
      </c>
      <c r="E2840" s="1" t="s">
        <v>30</v>
      </c>
      <c r="F2840" s="1" t="s">
        <v>1984</v>
      </c>
      <c r="G2840" s="1" t="s">
        <v>10374</v>
      </c>
      <c r="H2840" s="1" t="s">
        <v>1762</v>
      </c>
      <c r="I2840" t="b">
        <f>COUNTIF(Estadísticas!I:I,'centraldecomunicacion.es'!H2840)&gt;0</f>
        <v>0</v>
      </c>
    </row>
    <row r="2841" spans="1:9" hidden="1">
      <c r="A2841" s="1" t="s">
        <v>10600</v>
      </c>
      <c r="B2841" s="1" t="s">
        <v>10</v>
      </c>
      <c r="C2841" s="1" t="s">
        <v>10601</v>
      </c>
      <c r="D2841" s="1" t="s">
        <v>1023</v>
      </c>
      <c r="E2841" s="1" t="s">
        <v>1023</v>
      </c>
      <c r="F2841" s="1" t="s">
        <v>10602</v>
      </c>
      <c r="G2841" s="1" t="s">
        <v>10603</v>
      </c>
      <c r="H2841" s="1" t="s">
        <v>1762</v>
      </c>
      <c r="I2841" t="b">
        <f>COUNTIF(Estadísticas!I:I,'centraldecomunicacion.es'!H2841)&gt;0</f>
        <v>0</v>
      </c>
    </row>
    <row r="2842" spans="1:9" hidden="1">
      <c r="A2842" s="1" t="s">
        <v>10604</v>
      </c>
      <c r="B2842" s="1" t="s">
        <v>10</v>
      </c>
      <c r="C2842" s="1" t="s">
        <v>10605</v>
      </c>
      <c r="D2842" s="1" t="s">
        <v>1023</v>
      </c>
      <c r="E2842" s="1" t="s">
        <v>1023</v>
      </c>
      <c r="F2842" s="1" t="s">
        <v>30</v>
      </c>
      <c r="G2842" s="1" t="s">
        <v>10606</v>
      </c>
      <c r="H2842" s="1" t="s">
        <v>1762</v>
      </c>
      <c r="I2842" t="b">
        <f>COUNTIF(Estadísticas!I:I,'centraldecomunicacion.es'!H2842)&gt;0</f>
        <v>0</v>
      </c>
    </row>
    <row r="2843" spans="1:9" hidden="1">
      <c r="A2843" s="1" t="s">
        <v>10607</v>
      </c>
      <c r="B2843" s="1" t="s">
        <v>10</v>
      </c>
      <c r="C2843" s="1" t="s">
        <v>10608</v>
      </c>
      <c r="D2843" s="1" t="s">
        <v>1023</v>
      </c>
      <c r="E2843" s="1" t="s">
        <v>1023</v>
      </c>
      <c r="F2843" s="1" t="s">
        <v>10609</v>
      </c>
      <c r="G2843" s="1" t="s">
        <v>10610</v>
      </c>
      <c r="H2843" s="1" t="s">
        <v>10611</v>
      </c>
      <c r="I2843" t="b">
        <f>COUNTIF(Estadísticas!I:I,'centraldecomunicacion.es'!H2843)&gt;0</f>
        <v>0</v>
      </c>
    </row>
    <row r="2844" spans="1:9" hidden="1">
      <c r="A2844" s="1" t="s">
        <v>10612</v>
      </c>
      <c r="B2844" s="1" t="s">
        <v>10</v>
      </c>
      <c r="C2844" s="1" t="s">
        <v>30</v>
      </c>
      <c r="D2844" s="1" t="s">
        <v>10307</v>
      </c>
      <c r="E2844" s="1" t="s">
        <v>30</v>
      </c>
      <c r="F2844" s="1" t="s">
        <v>30</v>
      </c>
      <c r="G2844" s="1" t="s">
        <v>10613</v>
      </c>
      <c r="H2844" s="1" t="s">
        <v>1762</v>
      </c>
      <c r="I2844" t="b">
        <f>COUNTIF(Estadísticas!I:I,'centraldecomunicacion.es'!H2844)&gt;0</f>
        <v>0</v>
      </c>
    </row>
    <row r="2845" spans="1:9" hidden="1">
      <c r="A2845" s="1" t="s">
        <v>10614</v>
      </c>
      <c r="B2845" s="1" t="s">
        <v>10</v>
      </c>
      <c r="C2845" s="1" t="s">
        <v>10615</v>
      </c>
      <c r="D2845" s="1" t="s">
        <v>1060</v>
      </c>
      <c r="E2845" s="1" t="s">
        <v>1023</v>
      </c>
      <c r="F2845" s="1" t="s">
        <v>10616</v>
      </c>
      <c r="G2845" s="1" t="s">
        <v>10617</v>
      </c>
      <c r="H2845" s="1" t="s">
        <v>1762</v>
      </c>
      <c r="I2845" t="b">
        <f>COUNTIF(Estadísticas!I:I,'centraldecomunicacion.es'!H2845)&gt;0</f>
        <v>0</v>
      </c>
    </row>
    <row r="2846" spans="1:9" hidden="1">
      <c r="A2846" s="1" t="s">
        <v>10618</v>
      </c>
      <c r="B2846" s="1" t="s">
        <v>18</v>
      </c>
      <c r="C2846" s="1" t="s">
        <v>10619</v>
      </c>
      <c r="D2846" s="1" t="s">
        <v>1023</v>
      </c>
      <c r="E2846" s="1" t="s">
        <v>1023</v>
      </c>
      <c r="F2846" s="1" t="s">
        <v>10620</v>
      </c>
      <c r="G2846" s="1" t="s">
        <v>10621</v>
      </c>
      <c r="H2846" s="1" t="s">
        <v>10622</v>
      </c>
      <c r="I2846" t="b">
        <f>COUNTIF(Estadísticas!I:I,'centraldecomunicacion.es'!H2846)&gt;0</f>
        <v>0</v>
      </c>
    </row>
    <row r="2847" spans="1:9" hidden="1">
      <c r="A2847" s="1" t="s">
        <v>10623</v>
      </c>
      <c r="B2847" s="1" t="s">
        <v>10</v>
      </c>
      <c r="C2847" s="1" t="s">
        <v>10624</v>
      </c>
      <c r="D2847" s="1" t="s">
        <v>1023</v>
      </c>
      <c r="E2847" s="1" t="s">
        <v>1023</v>
      </c>
      <c r="F2847" s="1" t="s">
        <v>30</v>
      </c>
      <c r="G2847" s="1" t="s">
        <v>30</v>
      </c>
      <c r="H2847" s="1" t="s">
        <v>1762</v>
      </c>
      <c r="I2847" t="b">
        <f>COUNTIF(Estadísticas!I:I,'centraldecomunicacion.es'!H2847)&gt;0</f>
        <v>0</v>
      </c>
    </row>
    <row r="2848" spans="1:9" hidden="1">
      <c r="A2848" s="1" t="s">
        <v>10625</v>
      </c>
      <c r="B2848" s="1" t="s">
        <v>10</v>
      </c>
      <c r="C2848" s="1" t="s">
        <v>10626</v>
      </c>
      <c r="D2848" s="1" t="s">
        <v>1023</v>
      </c>
      <c r="E2848" s="1" t="s">
        <v>1023</v>
      </c>
      <c r="F2848" s="1" t="s">
        <v>30</v>
      </c>
      <c r="G2848" s="1" t="s">
        <v>10627</v>
      </c>
      <c r="H2848" s="1" t="s">
        <v>1762</v>
      </c>
      <c r="I2848" t="b">
        <f>COUNTIF(Estadísticas!I:I,'centraldecomunicacion.es'!H2848)&gt;0</f>
        <v>0</v>
      </c>
    </row>
    <row r="2849" spans="1:9" hidden="1">
      <c r="A2849" s="1" t="s">
        <v>10628</v>
      </c>
      <c r="B2849" s="1" t="s">
        <v>10</v>
      </c>
      <c r="C2849" s="1" t="s">
        <v>10629</v>
      </c>
      <c r="D2849" s="1" t="s">
        <v>1023</v>
      </c>
      <c r="E2849" s="1" t="s">
        <v>1023</v>
      </c>
      <c r="F2849" s="1" t="s">
        <v>10628</v>
      </c>
      <c r="G2849" s="1" t="s">
        <v>10312</v>
      </c>
      <c r="H2849" s="1" t="s">
        <v>10630</v>
      </c>
      <c r="I2849" t="b">
        <f>COUNTIF(Estadísticas!I:I,'centraldecomunicacion.es'!H2849)&gt;0</f>
        <v>0</v>
      </c>
    </row>
    <row r="2850" spans="1:9" hidden="1">
      <c r="A2850" s="1" t="s">
        <v>10631</v>
      </c>
      <c r="B2850" s="1" t="s">
        <v>10</v>
      </c>
      <c r="C2850" s="1" t="s">
        <v>10632</v>
      </c>
      <c r="D2850" s="1" t="s">
        <v>10633</v>
      </c>
      <c r="E2850" s="1" t="s">
        <v>1023</v>
      </c>
      <c r="F2850" s="1" t="s">
        <v>30</v>
      </c>
      <c r="G2850" s="1" t="s">
        <v>10634</v>
      </c>
      <c r="H2850" s="1" t="s">
        <v>1762</v>
      </c>
      <c r="I2850" t="b">
        <f>COUNTIF(Estadísticas!I:I,'centraldecomunicacion.es'!H2850)&gt;0</f>
        <v>0</v>
      </c>
    </row>
    <row r="2851" spans="1:9">
      <c r="A2851" s="1" t="s">
        <v>1052</v>
      </c>
      <c r="B2851" s="1" t="s">
        <v>10</v>
      </c>
      <c r="C2851" s="1" t="s">
        <v>1053</v>
      </c>
      <c r="D2851" s="1" t="s">
        <v>1054</v>
      </c>
      <c r="E2851" s="1" t="s">
        <v>1023</v>
      </c>
      <c r="F2851" s="1" t="s">
        <v>1055</v>
      </c>
      <c r="G2851" s="1" t="s">
        <v>1056</v>
      </c>
      <c r="H2851" s="1" t="s">
        <v>1057</v>
      </c>
      <c r="I2851" t="b">
        <f>COUNTIF(Estadísticas!I:I,'centraldecomunicacion.es'!H2851)&gt;0</f>
        <v>1</v>
      </c>
    </row>
    <row r="2852" spans="1:9" hidden="1">
      <c r="A2852" s="1" t="s">
        <v>10465</v>
      </c>
      <c r="B2852" s="1" t="s">
        <v>10</v>
      </c>
      <c r="C2852" s="1" t="s">
        <v>10635</v>
      </c>
      <c r="D2852" s="1" t="s">
        <v>10636</v>
      </c>
      <c r="E2852" s="1" t="s">
        <v>1023</v>
      </c>
      <c r="F2852" s="1" t="s">
        <v>10468</v>
      </c>
      <c r="G2852" s="1" t="s">
        <v>10469</v>
      </c>
      <c r="H2852" s="1" t="s">
        <v>1762</v>
      </c>
      <c r="I2852" t="b">
        <f>COUNTIF(Estadísticas!I:I,'centraldecomunicacion.es'!H2852)&gt;0</f>
        <v>0</v>
      </c>
    </row>
    <row r="2853" spans="1:9" hidden="1">
      <c r="A2853" s="1" t="s">
        <v>10637</v>
      </c>
      <c r="B2853" s="1" t="s">
        <v>10</v>
      </c>
      <c r="C2853" s="1" t="s">
        <v>10638</v>
      </c>
      <c r="D2853" s="1" t="s">
        <v>1023</v>
      </c>
      <c r="E2853" s="1" t="s">
        <v>1023</v>
      </c>
      <c r="F2853" s="1" t="s">
        <v>30</v>
      </c>
      <c r="G2853" s="1" t="s">
        <v>10639</v>
      </c>
      <c r="H2853" s="1" t="s">
        <v>1762</v>
      </c>
      <c r="I2853" t="b">
        <f>COUNTIF(Estadísticas!I:I,'centraldecomunicacion.es'!H2853)&gt;0</f>
        <v>0</v>
      </c>
    </row>
    <row r="2854" spans="1:9" hidden="1">
      <c r="A2854" s="1" t="s">
        <v>10640</v>
      </c>
      <c r="B2854" s="1" t="s">
        <v>18</v>
      </c>
      <c r="C2854" s="1" t="s">
        <v>10641</v>
      </c>
      <c r="D2854" s="1" t="s">
        <v>10642</v>
      </c>
      <c r="E2854" s="1" t="s">
        <v>1023</v>
      </c>
      <c r="F2854" s="1" t="s">
        <v>10643</v>
      </c>
      <c r="G2854" s="1" t="s">
        <v>10644</v>
      </c>
      <c r="H2854" s="1" t="s">
        <v>1762</v>
      </c>
      <c r="I2854" t="b">
        <f>COUNTIF(Estadísticas!I:I,'centraldecomunicacion.es'!H2854)&gt;0</f>
        <v>0</v>
      </c>
    </row>
    <row r="2855" spans="1:9" hidden="1">
      <c r="A2855" s="1" t="s">
        <v>10645</v>
      </c>
      <c r="B2855" s="1" t="s">
        <v>18</v>
      </c>
      <c r="C2855" s="1" t="s">
        <v>10646</v>
      </c>
      <c r="D2855" s="1" t="s">
        <v>1023</v>
      </c>
      <c r="E2855" s="1" t="s">
        <v>1023</v>
      </c>
      <c r="F2855" s="1" t="s">
        <v>30</v>
      </c>
      <c r="G2855" s="1" t="s">
        <v>10647</v>
      </c>
      <c r="H2855" s="1" t="s">
        <v>1762</v>
      </c>
      <c r="I2855" t="b">
        <f>COUNTIF(Estadísticas!I:I,'centraldecomunicacion.es'!H2855)&gt;0</f>
        <v>0</v>
      </c>
    </row>
    <row r="2856" spans="1:9" hidden="1">
      <c r="A2856" s="1" t="s">
        <v>10648</v>
      </c>
      <c r="B2856" s="1" t="s">
        <v>10</v>
      </c>
      <c r="C2856" s="1" t="s">
        <v>10649</v>
      </c>
      <c r="D2856" s="1" t="s">
        <v>1023</v>
      </c>
      <c r="E2856" s="1" t="s">
        <v>1023</v>
      </c>
      <c r="F2856" s="1" t="s">
        <v>30</v>
      </c>
      <c r="G2856" s="1" t="s">
        <v>10650</v>
      </c>
      <c r="H2856" s="1" t="s">
        <v>1762</v>
      </c>
      <c r="I2856" t="b">
        <f>COUNTIF(Estadísticas!I:I,'centraldecomunicacion.es'!H2856)&gt;0</f>
        <v>0</v>
      </c>
    </row>
    <row r="2857" spans="1:9" hidden="1">
      <c r="A2857" s="1" t="s">
        <v>10332</v>
      </c>
      <c r="B2857" s="1" t="s">
        <v>10</v>
      </c>
      <c r="C2857" s="1" t="s">
        <v>10651</v>
      </c>
      <c r="D2857" s="1" t="s">
        <v>10652</v>
      </c>
      <c r="E2857" s="1" t="s">
        <v>1023</v>
      </c>
      <c r="F2857" s="1" t="s">
        <v>10653</v>
      </c>
      <c r="G2857" s="1" t="s">
        <v>10654</v>
      </c>
      <c r="H2857" s="1" t="s">
        <v>10655</v>
      </c>
      <c r="I2857" t="b">
        <f>COUNTIF(Estadísticas!I:I,'centraldecomunicacion.es'!H2857)&gt;0</f>
        <v>0</v>
      </c>
    </row>
    <row r="2858" spans="1:9" hidden="1">
      <c r="A2858" s="1" t="s">
        <v>10656</v>
      </c>
      <c r="B2858" s="1" t="s">
        <v>10</v>
      </c>
      <c r="C2858" s="1" t="s">
        <v>10657</v>
      </c>
      <c r="D2858" s="1" t="s">
        <v>1023</v>
      </c>
      <c r="E2858" s="1" t="s">
        <v>1023</v>
      </c>
      <c r="F2858" s="1" t="s">
        <v>30</v>
      </c>
      <c r="G2858" s="1" t="s">
        <v>10658</v>
      </c>
      <c r="H2858" s="1" t="s">
        <v>1762</v>
      </c>
      <c r="I2858" t="b">
        <f>COUNTIF(Estadísticas!I:I,'centraldecomunicacion.es'!H2858)&gt;0</f>
        <v>0</v>
      </c>
    </row>
    <row r="2859" spans="1:9" hidden="1">
      <c r="A2859" s="1" t="s">
        <v>10659</v>
      </c>
      <c r="B2859" s="1" t="s">
        <v>10</v>
      </c>
      <c r="C2859" s="1" t="s">
        <v>10660</v>
      </c>
      <c r="D2859" s="1" t="s">
        <v>1023</v>
      </c>
      <c r="E2859" s="1" t="s">
        <v>1023</v>
      </c>
      <c r="F2859" s="1" t="s">
        <v>30</v>
      </c>
      <c r="G2859" s="1" t="s">
        <v>10661</v>
      </c>
      <c r="H2859" s="1" t="s">
        <v>1762</v>
      </c>
      <c r="I2859" t="b">
        <f>COUNTIF(Estadísticas!I:I,'centraldecomunicacion.es'!H2859)&gt;0</f>
        <v>0</v>
      </c>
    </row>
    <row r="2860" spans="1:9" hidden="1">
      <c r="A2860" s="1" t="s">
        <v>10662</v>
      </c>
      <c r="B2860" s="1" t="s">
        <v>18</v>
      </c>
      <c r="C2860" s="1" t="s">
        <v>10663</v>
      </c>
      <c r="D2860" s="1" t="s">
        <v>1023</v>
      </c>
      <c r="E2860" s="1" t="s">
        <v>1023</v>
      </c>
      <c r="F2860" s="1" t="s">
        <v>30</v>
      </c>
      <c r="G2860" s="1" t="s">
        <v>30</v>
      </c>
      <c r="H2860" s="1" t="s">
        <v>1762</v>
      </c>
      <c r="I2860" t="b">
        <f>COUNTIF(Estadísticas!I:I,'centraldecomunicacion.es'!H2860)&gt;0</f>
        <v>0</v>
      </c>
    </row>
    <row r="2861" spans="1:9" hidden="1">
      <c r="A2861" s="1" t="s">
        <v>10664</v>
      </c>
      <c r="B2861" s="1" t="s">
        <v>10</v>
      </c>
      <c r="C2861" s="1" t="s">
        <v>10665</v>
      </c>
      <c r="D2861" s="1" t="s">
        <v>1023</v>
      </c>
      <c r="E2861" s="1" t="s">
        <v>1023</v>
      </c>
      <c r="F2861" s="1" t="s">
        <v>30</v>
      </c>
      <c r="G2861" s="1" t="s">
        <v>30</v>
      </c>
      <c r="H2861" s="1" t="s">
        <v>1762</v>
      </c>
      <c r="I2861" t="b">
        <f>COUNTIF(Estadísticas!I:I,'centraldecomunicacion.es'!H2861)&gt;0</f>
        <v>0</v>
      </c>
    </row>
    <row r="2862" spans="1:9" hidden="1">
      <c r="A2862" s="1" t="s">
        <v>10666</v>
      </c>
      <c r="B2862" s="1" t="s">
        <v>10</v>
      </c>
      <c r="C2862" s="1" t="s">
        <v>10667</v>
      </c>
      <c r="D2862" s="1" t="s">
        <v>1023</v>
      </c>
      <c r="E2862" s="1" t="s">
        <v>1023</v>
      </c>
      <c r="F2862" s="1" t="s">
        <v>10491</v>
      </c>
      <c r="G2862" s="1" t="s">
        <v>10492</v>
      </c>
      <c r="H2862" s="1" t="s">
        <v>1762</v>
      </c>
      <c r="I2862" t="b">
        <f>COUNTIF(Estadísticas!I:I,'centraldecomunicacion.es'!H2862)&gt;0</f>
        <v>0</v>
      </c>
    </row>
    <row r="2863" spans="1:9" hidden="1">
      <c r="A2863" s="1" t="s">
        <v>10668</v>
      </c>
      <c r="B2863" s="1" t="s">
        <v>18</v>
      </c>
      <c r="C2863" s="1" t="s">
        <v>10669</v>
      </c>
      <c r="D2863" s="1" t="s">
        <v>10467</v>
      </c>
      <c r="E2863" s="1" t="s">
        <v>1023</v>
      </c>
      <c r="F2863" s="1" t="s">
        <v>4288</v>
      </c>
      <c r="G2863" s="1" t="s">
        <v>10670</v>
      </c>
      <c r="H2863" s="1" t="s">
        <v>4290</v>
      </c>
      <c r="I2863" t="b">
        <f>COUNTIF(Estadísticas!I:I,'centraldecomunicacion.es'!H2863)&gt;0</f>
        <v>0</v>
      </c>
    </row>
    <row r="2864" spans="1:9" hidden="1">
      <c r="A2864" s="1" t="s">
        <v>10671</v>
      </c>
      <c r="B2864" s="1" t="s">
        <v>10</v>
      </c>
      <c r="C2864" s="1" t="s">
        <v>30</v>
      </c>
      <c r="D2864" s="1" t="s">
        <v>10307</v>
      </c>
      <c r="E2864" s="1" t="s">
        <v>30</v>
      </c>
      <c r="F2864" s="1" t="s">
        <v>30</v>
      </c>
      <c r="G2864" s="1" t="s">
        <v>10672</v>
      </c>
      <c r="H2864" s="1" t="s">
        <v>1762</v>
      </c>
      <c r="I2864" t="b">
        <f>COUNTIF(Estadísticas!I:I,'centraldecomunicacion.es'!H2864)&gt;0</f>
        <v>0</v>
      </c>
    </row>
    <row r="2865" spans="1:9" hidden="1">
      <c r="A2865" s="1" t="s">
        <v>10673</v>
      </c>
      <c r="B2865" s="1" t="s">
        <v>18</v>
      </c>
      <c r="C2865" s="1" t="s">
        <v>10674</v>
      </c>
      <c r="D2865" s="1" t="s">
        <v>1023</v>
      </c>
      <c r="E2865" s="1" t="s">
        <v>1023</v>
      </c>
      <c r="F2865" s="1" t="s">
        <v>30</v>
      </c>
      <c r="G2865" s="1" t="s">
        <v>10675</v>
      </c>
      <c r="H2865" s="1" t="s">
        <v>1762</v>
      </c>
      <c r="I2865" t="b">
        <f>COUNTIF(Estadísticas!I:I,'centraldecomunicacion.es'!H2865)&gt;0</f>
        <v>0</v>
      </c>
    </row>
    <row r="2866" spans="1:9" hidden="1">
      <c r="A2866" s="1" t="s">
        <v>10676</v>
      </c>
      <c r="B2866" s="1" t="s">
        <v>10</v>
      </c>
      <c r="C2866" s="1" t="s">
        <v>10677</v>
      </c>
      <c r="D2866" s="1" t="s">
        <v>1054</v>
      </c>
      <c r="E2866" s="1" t="s">
        <v>1023</v>
      </c>
      <c r="F2866" s="1" t="s">
        <v>30</v>
      </c>
      <c r="G2866" s="1" t="s">
        <v>10678</v>
      </c>
      <c r="H2866" s="1" t="s">
        <v>1762</v>
      </c>
      <c r="I2866" t="b">
        <f>COUNTIF(Estadísticas!I:I,'centraldecomunicacion.es'!H2866)&gt;0</f>
        <v>0</v>
      </c>
    </row>
    <row r="2867" spans="1:9" hidden="1">
      <c r="A2867" s="1" t="s">
        <v>10679</v>
      </c>
      <c r="B2867" s="1" t="s">
        <v>10</v>
      </c>
      <c r="C2867" s="1" t="s">
        <v>10680</v>
      </c>
      <c r="D2867" s="1" t="s">
        <v>1054</v>
      </c>
      <c r="E2867" s="1" t="s">
        <v>1023</v>
      </c>
      <c r="F2867" s="1" t="s">
        <v>6274</v>
      </c>
      <c r="G2867" s="1" t="s">
        <v>10681</v>
      </c>
      <c r="H2867" s="1" t="s">
        <v>1762</v>
      </c>
      <c r="I2867" t="b">
        <f>COUNTIF(Estadísticas!I:I,'centraldecomunicacion.es'!H2867)&gt;0</f>
        <v>0</v>
      </c>
    </row>
    <row r="2868" spans="1:9" hidden="1">
      <c r="A2868" s="1" t="s">
        <v>10682</v>
      </c>
      <c r="B2868" s="1" t="s">
        <v>18</v>
      </c>
      <c r="C2868" s="1" t="s">
        <v>10683</v>
      </c>
      <c r="D2868" s="1" t="s">
        <v>1054</v>
      </c>
      <c r="E2868" s="1" t="s">
        <v>1023</v>
      </c>
      <c r="F2868" s="1" t="s">
        <v>4288</v>
      </c>
      <c r="G2868" s="1" t="s">
        <v>10684</v>
      </c>
      <c r="H2868" s="1" t="s">
        <v>4290</v>
      </c>
      <c r="I2868" t="b">
        <f>COUNTIF(Estadísticas!I:I,'centraldecomunicacion.es'!H2868)&gt;0</f>
        <v>0</v>
      </c>
    </row>
    <row r="2869" spans="1:9" hidden="1">
      <c r="A2869" s="1" t="s">
        <v>10685</v>
      </c>
      <c r="B2869" s="1" t="s">
        <v>18</v>
      </c>
      <c r="C2869" s="1" t="s">
        <v>10686</v>
      </c>
      <c r="D2869" s="1" t="s">
        <v>10498</v>
      </c>
      <c r="E2869" s="1" t="s">
        <v>1023</v>
      </c>
      <c r="F2869" s="1" t="s">
        <v>30</v>
      </c>
      <c r="G2869" s="1" t="s">
        <v>30</v>
      </c>
      <c r="H2869" s="1" t="s">
        <v>1762</v>
      </c>
      <c r="I2869" t="b">
        <f>COUNTIF(Estadísticas!I:I,'centraldecomunicacion.es'!H2869)&gt;0</f>
        <v>0</v>
      </c>
    </row>
    <row r="2870" spans="1:9">
      <c r="A2870" s="1" t="s">
        <v>1058</v>
      </c>
      <c r="B2870" s="1" t="s">
        <v>18</v>
      </c>
      <c r="C2870" s="1" t="s">
        <v>1059</v>
      </c>
      <c r="D2870" s="1" t="s">
        <v>1060</v>
      </c>
      <c r="E2870" s="1" t="s">
        <v>1023</v>
      </c>
      <c r="F2870" s="1" t="s">
        <v>1061</v>
      </c>
      <c r="G2870" s="1" t="s">
        <v>1062</v>
      </c>
      <c r="H2870" s="1" t="s">
        <v>1063</v>
      </c>
      <c r="I2870" t="b">
        <f>COUNTIF(Estadísticas!I:I,'centraldecomunicacion.es'!H2870)&gt;0</f>
        <v>1</v>
      </c>
    </row>
    <row r="2871" spans="1:9" hidden="1">
      <c r="A2871" s="1" t="s">
        <v>10687</v>
      </c>
      <c r="B2871" s="1" t="s">
        <v>18</v>
      </c>
      <c r="C2871" s="1" t="s">
        <v>10688</v>
      </c>
      <c r="D2871" s="1" t="s">
        <v>1023</v>
      </c>
      <c r="E2871" s="1" t="s">
        <v>1023</v>
      </c>
      <c r="F2871" s="1" t="s">
        <v>30</v>
      </c>
      <c r="G2871" s="1" t="s">
        <v>30</v>
      </c>
      <c r="H2871" s="1" t="s">
        <v>1762</v>
      </c>
      <c r="I2871" t="b">
        <f>COUNTIF(Estadísticas!I:I,'centraldecomunicacion.es'!H2871)&gt;0</f>
        <v>0</v>
      </c>
    </row>
    <row r="2872" spans="1:9" hidden="1">
      <c r="A2872" s="1" t="s">
        <v>10689</v>
      </c>
      <c r="B2872" s="1" t="s">
        <v>10</v>
      </c>
      <c r="C2872" s="1" t="s">
        <v>10690</v>
      </c>
      <c r="D2872" s="1" t="s">
        <v>10691</v>
      </c>
      <c r="E2872" s="1" t="s">
        <v>1023</v>
      </c>
      <c r="F2872" s="1" t="s">
        <v>30</v>
      </c>
      <c r="G2872" s="1" t="s">
        <v>10692</v>
      </c>
      <c r="H2872" s="1" t="s">
        <v>1762</v>
      </c>
      <c r="I2872" t="b">
        <f>COUNTIF(Estadísticas!I:I,'centraldecomunicacion.es'!H2872)&gt;0</f>
        <v>0</v>
      </c>
    </row>
    <row r="2873" spans="1:9" hidden="1">
      <c r="A2873" s="1" t="s">
        <v>10693</v>
      </c>
      <c r="B2873" s="1" t="s">
        <v>18</v>
      </c>
      <c r="C2873" s="1" t="s">
        <v>10694</v>
      </c>
      <c r="D2873" s="1" t="s">
        <v>1023</v>
      </c>
      <c r="E2873" s="1" t="s">
        <v>1023</v>
      </c>
      <c r="F2873" s="1" t="s">
        <v>30</v>
      </c>
      <c r="G2873" s="1" t="s">
        <v>30</v>
      </c>
      <c r="H2873" s="1" t="s">
        <v>1762</v>
      </c>
      <c r="I2873" t="b">
        <f>COUNTIF(Estadísticas!I:I,'centraldecomunicacion.es'!H2873)&gt;0</f>
        <v>0</v>
      </c>
    </row>
    <row r="2874" spans="1:9" hidden="1">
      <c r="A2874" s="1" t="s">
        <v>10695</v>
      </c>
      <c r="B2874" s="1" t="s">
        <v>10</v>
      </c>
      <c r="C2874" s="1" t="s">
        <v>10696</v>
      </c>
      <c r="D2874" s="1" t="s">
        <v>1054</v>
      </c>
      <c r="E2874" s="1" t="s">
        <v>1023</v>
      </c>
      <c r="F2874" s="1" t="s">
        <v>30</v>
      </c>
      <c r="G2874" s="1" t="s">
        <v>10697</v>
      </c>
      <c r="H2874" s="1" t="s">
        <v>1762</v>
      </c>
      <c r="I2874" t="b">
        <f>COUNTIF(Estadísticas!I:I,'centraldecomunicacion.es'!H2874)&gt;0</f>
        <v>0</v>
      </c>
    </row>
    <row r="2875" spans="1:9">
      <c r="A2875" s="1" t="s">
        <v>10698</v>
      </c>
      <c r="B2875" s="1" t="s">
        <v>18</v>
      </c>
      <c r="C2875" s="1" t="s">
        <v>10699</v>
      </c>
      <c r="D2875" s="1" t="s">
        <v>10691</v>
      </c>
      <c r="E2875" s="1" t="s">
        <v>1023</v>
      </c>
      <c r="F2875" s="1" t="s">
        <v>395</v>
      </c>
      <c r="G2875" s="1" t="s">
        <v>396</v>
      </c>
      <c r="H2875" s="1" t="s">
        <v>397</v>
      </c>
      <c r="I2875" t="b">
        <f>COUNTIF(Estadísticas!I:I,'centraldecomunicacion.es'!H2875)&gt;0</f>
        <v>1</v>
      </c>
    </row>
    <row r="2876" spans="1:9" hidden="1">
      <c r="A2876" s="1" t="s">
        <v>10700</v>
      </c>
      <c r="B2876" s="1" t="s">
        <v>18</v>
      </c>
      <c r="C2876" s="1" t="s">
        <v>10701</v>
      </c>
      <c r="D2876" s="1" t="s">
        <v>4793</v>
      </c>
      <c r="E2876" s="1" t="s">
        <v>1023</v>
      </c>
      <c r="F2876" s="1" t="s">
        <v>30</v>
      </c>
      <c r="G2876" s="1" t="s">
        <v>10702</v>
      </c>
      <c r="H2876" s="1" t="s">
        <v>1762</v>
      </c>
      <c r="I2876" t="b">
        <f>COUNTIF(Estadísticas!I:I,'centraldecomunicacion.es'!H2876)&gt;0</f>
        <v>0</v>
      </c>
    </row>
    <row r="2877" spans="1:9" hidden="1">
      <c r="A2877" s="1" t="s">
        <v>10703</v>
      </c>
      <c r="B2877" s="1" t="s">
        <v>10</v>
      </c>
      <c r="C2877" s="1" t="s">
        <v>10704</v>
      </c>
      <c r="D2877" s="1" t="s">
        <v>10705</v>
      </c>
      <c r="E2877" s="1" t="s">
        <v>1023</v>
      </c>
      <c r="F2877" s="1" t="s">
        <v>30</v>
      </c>
      <c r="G2877" s="1" t="s">
        <v>10706</v>
      </c>
      <c r="H2877" s="1" t="s">
        <v>1762</v>
      </c>
      <c r="I2877" t="b">
        <f>COUNTIF(Estadísticas!I:I,'centraldecomunicacion.es'!H2877)&gt;0</f>
        <v>0</v>
      </c>
    </row>
    <row r="2878" spans="1:9">
      <c r="A2878" s="1" t="s">
        <v>10707</v>
      </c>
      <c r="B2878" s="1" t="s">
        <v>10</v>
      </c>
      <c r="C2878" s="1" t="s">
        <v>10708</v>
      </c>
      <c r="D2878" s="1" t="s">
        <v>10636</v>
      </c>
      <c r="E2878" s="1" t="s">
        <v>1023</v>
      </c>
      <c r="F2878" s="1" t="s">
        <v>1034</v>
      </c>
      <c r="G2878" s="1" t="s">
        <v>10709</v>
      </c>
      <c r="H2878" s="1" t="s">
        <v>1036</v>
      </c>
      <c r="I2878" t="b">
        <f>COUNTIF(Estadísticas!I:I,'centraldecomunicacion.es'!H2878)&gt;0</f>
        <v>1</v>
      </c>
    </row>
    <row r="2879" spans="1:9" hidden="1">
      <c r="A2879" s="1" t="s">
        <v>10710</v>
      </c>
      <c r="B2879" s="1" t="s">
        <v>18</v>
      </c>
      <c r="C2879" s="1" t="s">
        <v>10711</v>
      </c>
      <c r="D2879" s="1" t="s">
        <v>10712</v>
      </c>
      <c r="E2879" s="1" t="s">
        <v>1023</v>
      </c>
      <c r="F2879" s="1" t="s">
        <v>10713</v>
      </c>
      <c r="G2879" s="1" t="s">
        <v>10714</v>
      </c>
      <c r="H2879" s="1" t="s">
        <v>10715</v>
      </c>
      <c r="I2879" t="b">
        <f>COUNTIF(Estadísticas!I:I,'centraldecomunicacion.es'!H2879)&gt;0</f>
        <v>0</v>
      </c>
    </row>
    <row r="2880" spans="1:9" hidden="1">
      <c r="A2880" s="1" t="s">
        <v>10716</v>
      </c>
      <c r="B2880" s="1" t="s">
        <v>10</v>
      </c>
      <c r="C2880" s="1" t="s">
        <v>10717</v>
      </c>
      <c r="D2880" s="1" t="s">
        <v>10642</v>
      </c>
      <c r="E2880" s="1" t="s">
        <v>1023</v>
      </c>
      <c r="F2880" s="1" t="s">
        <v>30</v>
      </c>
      <c r="G2880" s="1" t="s">
        <v>30</v>
      </c>
      <c r="H2880" s="1" t="s">
        <v>1762</v>
      </c>
      <c r="I2880" t="b">
        <f>COUNTIF(Estadísticas!I:I,'centraldecomunicacion.es'!H2880)&gt;0</f>
        <v>0</v>
      </c>
    </row>
    <row r="2881" spans="1:9" hidden="1">
      <c r="A2881" s="1" t="s">
        <v>10718</v>
      </c>
      <c r="B2881" s="1" t="s">
        <v>18</v>
      </c>
      <c r="C2881" s="1" t="s">
        <v>10719</v>
      </c>
      <c r="D2881" s="1" t="s">
        <v>10720</v>
      </c>
      <c r="E2881" s="1" t="s">
        <v>1023</v>
      </c>
      <c r="F2881" s="1" t="s">
        <v>4288</v>
      </c>
      <c r="G2881" s="1" t="s">
        <v>10721</v>
      </c>
      <c r="H2881" s="1" t="s">
        <v>4290</v>
      </c>
      <c r="I2881" t="b">
        <f>COUNTIF(Estadísticas!I:I,'centraldecomunicacion.es'!H2881)&gt;0</f>
        <v>0</v>
      </c>
    </row>
    <row r="2882" spans="1:9">
      <c r="A2882" s="1" t="s">
        <v>10722</v>
      </c>
      <c r="B2882" s="1" t="s">
        <v>18</v>
      </c>
      <c r="C2882" s="1" t="s">
        <v>10723</v>
      </c>
      <c r="D2882" s="1" t="s">
        <v>10724</v>
      </c>
      <c r="E2882" s="1" t="s">
        <v>1023</v>
      </c>
      <c r="F2882" s="1" t="s">
        <v>1029</v>
      </c>
      <c r="G2882" s="1" t="s">
        <v>10725</v>
      </c>
      <c r="H2882" s="1" t="s">
        <v>1031</v>
      </c>
      <c r="I2882" t="b">
        <f>COUNTIF(Estadísticas!I:I,'centraldecomunicacion.es'!H2882)&gt;0</f>
        <v>1</v>
      </c>
    </row>
    <row r="2883" spans="1:9" hidden="1">
      <c r="A2883" s="1" t="s">
        <v>10726</v>
      </c>
      <c r="B2883" s="1" t="s">
        <v>10</v>
      </c>
      <c r="C2883" s="1" t="s">
        <v>30</v>
      </c>
      <c r="D2883" s="1" t="s">
        <v>10307</v>
      </c>
      <c r="E2883" s="1" t="s">
        <v>30</v>
      </c>
      <c r="F2883" s="1" t="s">
        <v>10727</v>
      </c>
      <c r="G2883" s="1" t="s">
        <v>10728</v>
      </c>
      <c r="H2883" s="1" t="s">
        <v>10729</v>
      </c>
      <c r="I2883" t="b">
        <f>COUNTIF(Estadísticas!I:I,'centraldecomunicacion.es'!H2883)&gt;0</f>
        <v>0</v>
      </c>
    </row>
    <row r="2884" spans="1:9" hidden="1">
      <c r="A2884" s="1" t="s">
        <v>10730</v>
      </c>
      <c r="B2884" s="1" t="s">
        <v>10</v>
      </c>
      <c r="C2884" s="1" t="s">
        <v>10731</v>
      </c>
      <c r="D2884" s="1" t="s">
        <v>1060</v>
      </c>
      <c r="E2884" s="1" t="s">
        <v>1023</v>
      </c>
      <c r="F2884" s="1" t="s">
        <v>30</v>
      </c>
      <c r="G2884" s="1" t="s">
        <v>30</v>
      </c>
      <c r="H2884" s="1" t="s">
        <v>1762</v>
      </c>
      <c r="I2884" t="b">
        <f>COUNTIF(Estadísticas!I:I,'centraldecomunicacion.es'!H2884)&gt;0</f>
        <v>0</v>
      </c>
    </row>
    <row r="2885" spans="1:9" hidden="1">
      <c r="A2885" s="1" t="s">
        <v>10732</v>
      </c>
      <c r="B2885" s="1" t="s">
        <v>10</v>
      </c>
      <c r="C2885" s="1" t="s">
        <v>10733</v>
      </c>
      <c r="D2885" s="1" t="s">
        <v>10734</v>
      </c>
      <c r="E2885" s="1" t="s">
        <v>1023</v>
      </c>
      <c r="F2885" s="1" t="s">
        <v>10735</v>
      </c>
      <c r="G2885" s="1" t="s">
        <v>10736</v>
      </c>
      <c r="H2885" s="1" t="s">
        <v>10737</v>
      </c>
      <c r="I2885" t="b">
        <f>COUNTIF(Estadísticas!I:I,'centraldecomunicacion.es'!H2885)&gt;0</f>
        <v>0</v>
      </c>
    </row>
    <row r="2886" spans="1:9" hidden="1">
      <c r="A2886" s="1" t="s">
        <v>10738</v>
      </c>
      <c r="B2886" s="1" t="s">
        <v>18</v>
      </c>
      <c r="C2886" s="1" t="s">
        <v>10739</v>
      </c>
      <c r="D2886" s="1" t="s">
        <v>10740</v>
      </c>
      <c r="E2886" s="1" t="s">
        <v>1023</v>
      </c>
      <c r="F2886" s="1" t="s">
        <v>30</v>
      </c>
      <c r="G2886" s="1" t="s">
        <v>10741</v>
      </c>
      <c r="H2886" s="1" t="s">
        <v>1762</v>
      </c>
      <c r="I2886" t="b">
        <f>COUNTIF(Estadísticas!I:I,'centraldecomunicacion.es'!H2886)&gt;0</f>
        <v>0</v>
      </c>
    </row>
    <row r="2887" spans="1:9">
      <c r="A2887" s="1" t="s">
        <v>10742</v>
      </c>
      <c r="B2887" s="1" t="s">
        <v>18</v>
      </c>
      <c r="C2887" s="1" t="s">
        <v>10743</v>
      </c>
      <c r="D2887" s="1" t="s">
        <v>10744</v>
      </c>
      <c r="E2887" s="1" t="s">
        <v>1023</v>
      </c>
      <c r="F2887" s="1" t="s">
        <v>1029</v>
      </c>
      <c r="G2887" s="1" t="s">
        <v>10745</v>
      </c>
      <c r="H2887" s="1" t="s">
        <v>1031</v>
      </c>
      <c r="I2887" t="b">
        <f>COUNTIF(Estadísticas!I:I,'centraldecomunicacion.es'!H2887)&gt;0</f>
        <v>1</v>
      </c>
    </row>
    <row r="2888" spans="1:9" hidden="1">
      <c r="A2888" s="1" t="s">
        <v>10746</v>
      </c>
      <c r="B2888" s="1" t="s">
        <v>10</v>
      </c>
      <c r="C2888" s="1" t="s">
        <v>10747</v>
      </c>
      <c r="D2888" s="1" t="s">
        <v>10734</v>
      </c>
      <c r="E2888" s="1" t="s">
        <v>1023</v>
      </c>
      <c r="F2888" s="1" t="s">
        <v>30</v>
      </c>
      <c r="G2888" s="1" t="s">
        <v>10748</v>
      </c>
      <c r="H2888" s="1" t="s">
        <v>1762</v>
      </c>
      <c r="I2888" t="b">
        <f>COUNTIF(Estadísticas!I:I,'centraldecomunicacion.es'!H2888)&gt;0</f>
        <v>0</v>
      </c>
    </row>
    <row r="2889" spans="1:9" hidden="1">
      <c r="A2889" s="1" t="s">
        <v>10749</v>
      </c>
      <c r="B2889" s="1" t="s">
        <v>10</v>
      </c>
      <c r="C2889" s="1" t="s">
        <v>10750</v>
      </c>
      <c r="D2889" s="1" t="s">
        <v>10751</v>
      </c>
      <c r="E2889" s="1" t="s">
        <v>1023</v>
      </c>
      <c r="F2889" s="1" t="s">
        <v>30</v>
      </c>
      <c r="G2889" s="1" t="s">
        <v>10752</v>
      </c>
      <c r="H2889" s="1" t="s">
        <v>1762</v>
      </c>
      <c r="I2889" t="b">
        <f>COUNTIF(Estadísticas!I:I,'centraldecomunicacion.es'!H2889)&gt;0</f>
        <v>0</v>
      </c>
    </row>
    <row r="2890" spans="1:9" hidden="1">
      <c r="A2890" s="1" t="s">
        <v>10753</v>
      </c>
      <c r="B2890" s="1" t="s">
        <v>18</v>
      </c>
      <c r="C2890" s="1" t="s">
        <v>10754</v>
      </c>
      <c r="D2890" s="1" t="s">
        <v>10636</v>
      </c>
      <c r="E2890" s="1" t="s">
        <v>1023</v>
      </c>
      <c r="F2890" s="1" t="s">
        <v>30</v>
      </c>
      <c r="G2890" s="1" t="s">
        <v>30</v>
      </c>
      <c r="H2890" s="1" t="s">
        <v>1762</v>
      </c>
      <c r="I2890" t="b">
        <f>COUNTIF(Estadísticas!I:I,'centraldecomunicacion.es'!H2890)&gt;0</f>
        <v>0</v>
      </c>
    </row>
    <row r="2891" spans="1:9" hidden="1">
      <c r="A2891" s="1" t="s">
        <v>10755</v>
      </c>
      <c r="B2891" s="1" t="s">
        <v>10</v>
      </c>
      <c r="C2891" s="1" t="s">
        <v>10756</v>
      </c>
      <c r="D2891" s="1" t="s">
        <v>10757</v>
      </c>
      <c r="E2891" s="1" t="s">
        <v>1023</v>
      </c>
      <c r="F2891" s="1" t="s">
        <v>1830</v>
      </c>
      <c r="G2891" s="1" t="s">
        <v>10758</v>
      </c>
      <c r="H2891" s="1" t="s">
        <v>1762</v>
      </c>
      <c r="I2891" t="b">
        <f>COUNTIF(Estadísticas!I:I,'centraldecomunicacion.es'!H2891)&gt;0</f>
        <v>0</v>
      </c>
    </row>
    <row r="2892" spans="1:9" hidden="1">
      <c r="A2892" s="1" t="s">
        <v>10759</v>
      </c>
      <c r="B2892" s="1" t="s">
        <v>10</v>
      </c>
      <c r="C2892" s="1" t="s">
        <v>10760</v>
      </c>
      <c r="D2892" s="1" t="s">
        <v>10761</v>
      </c>
      <c r="E2892" s="1" t="s">
        <v>1023</v>
      </c>
      <c r="F2892" s="1" t="s">
        <v>10762</v>
      </c>
      <c r="G2892" s="1" t="s">
        <v>10763</v>
      </c>
      <c r="H2892" s="1" t="s">
        <v>1762</v>
      </c>
      <c r="I2892" t="b">
        <f>COUNTIF(Estadísticas!I:I,'centraldecomunicacion.es'!H2892)&gt;0</f>
        <v>0</v>
      </c>
    </row>
    <row r="2893" spans="1:9" hidden="1">
      <c r="A2893" s="1" t="s">
        <v>10764</v>
      </c>
      <c r="B2893" s="1" t="s">
        <v>18</v>
      </c>
      <c r="C2893" s="1" t="s">
        <v>10765</v>
      </c>
      <c r="D2893" s="1" t="s">
        <v>10766</v>
      </c>
      <c r="E2893" s="1" t="s">
        <v>1023</v>
      </c>
      <c r="F2893" s="1" t="s">
        <v>10767</v>
      </c>
      <c r="G2893" s="1" t="s">
        <v>10768</v>
      </c>
      <c r="H2893" s="1" t="s">
        <v>10769</v>
      </c>
      <c r="I2893" t="b">
        <f>COUNTIF(Estadísticas!I:I,'centraldecomunicacion.es'!H2893)&gt;0</f>
        <v>0</v>
      </c>
    </row>
    <row r="2894" spans="1:9" hidden="1">
      <c r="A2894" s="1" t="s">
        <v>10770</v>
      </c>
      <c r="B2894" s="1" t="s">
        <v>10</v>
      </c>
      <c r="C2894" s="1" t="s">
        <v>10771</v>
      </c>
      <c r="D2894" s="1" t="s">
        <v>10772</v>
      </c>
      <c r="E2894" s="1" t="s">
        <v>1023</v>
      </c>
      <c r="F2894" s="1" t="s">
        <v>30</v>
      </c>
      <c r="G2894" s="1" t="s">
        <v>10773</v>
      </c>
      <c r="H2894" s="1" t="s">
        <v>1762</v>
      </c>
      <c r="I2894" t="b">
        <f>COUNTIF(Estadísticas!I:I,'centraldecomunicacion.es'!H2894)&gt;0</f>
        <v>0</v>
      </c>
    </row>
    <row r="2895" spans="1:9" hidden="1">
      <c r="A2895" s="1" t="s">
        <v>10774</v>
      </c>
      <c r="B2895" s="1" t="s">
        <v>10</v>
      </c>
      <c r="C2895" s="1" t="s">
        <v>30</v>
      </c>
      <c r="D2895" s="1" t="s">
        <v>10307</v>
      </c>
      <c r="E2895" s="1" t="s">
        <v>30</v>
      </c>
      <c r="F2895" s="1" t="s">
        <v>10775</v>
      </c>
      <c r="G2895" s="1" t="s">
        <v>10776</v>
      </c>
      <c r="H2895" s="1" t="s">
        <v>10777</v>
      </c>
      <c r="I2895" t="b">
        <f>COUNTIF(Estadísticas!I:I,'centraldecomunicacion.es'!H2895)&gt;0</f>
        <v>0</v>
      </c>
    </row>
    <row r="2896" spans="1:9" hidden="1">
      <c r="A2896" s="1" t="s">
        <v>10778</v>
      </c>
      <c r="B2896" s="1" t="s">
        <v>10</v>
      </c>
      <c r="C2896" s="1" t="s">
        <v>10779</v>
      </c>
      <c r="D2896" s="1" t="s">
        <v>10761</v>
      </c>
      <c r="E2896" s="1" t="s">
        <v>1023</v>
      </c>
      <c r="F2896" s="1" t="s">
        <v>30</v>
      </c>
      <c r="G2896" s="1" t="s">
        <v>30</v>
      </c>
      <c r="H2896" s="1" t="s">
        <v>1762</v>
      </c>
      <c r="I2896" t="b">
        <f>COUNTIF(Estadísticas!I:I,'centraldecomunicacion.es'!H2896)&gt;0</f>
        <v>0</v>
      </c>
    </row>
    <row r="2897" spans="1:9" hidden="1">
      <c r="A2897" s="1" t="s">
        <v>10780</v>
      </c>
      <c r="B2897" s="1" t="s">
        <v>10</v>
      </c>
      <c r="C2897" s="1" t="s">
        <v>10781</v>
      </c>
      <c r="D2897" s="1" t="s">
        <v>1066</v>
      </c>
      <c r="E2897" s="1" t="s">
        <v>1067</v>
      </c>
      <c r="F2897" s="1" t="s">
        <v>1830</v>
      </c>
      <c r="G2897" s="1" t="s">
        <v>10782</v>
      </c>
      <c r="H2897" s="1" t="s">
        <v>1762</v>
      </c>
      <c r="I2897" t="b">
        <f>COUNTIF(Estadísticas!I:I,'centraldecomunicacion.es'!H2897)&gt;0</f>
        <v>0</v>
      </c>
    </row>
    <row r="2898" spans="1:9" hidden="1">
      <c r="A2898" s="1" t="s">
        <v>10783</v>
      </c>
      <c r="B2898" s="1" t="s">
        <v>10</v>
      </c>
      <c r="C2898" s="1" t="s">
        <v>10784</v>
      </c>
      <c r="D2898" s="1" t="s">
        <v>1066</v>
      </c>
      <c r="E2898" s="1" t="s">
        <v>1067</v>
      </c>
      <c r="F2898" s="1" t="s">
        <v>10785</v>
      </c>
      <c r="G2898" s="1" t="s">
        <v>10786</v>
      </c>
      <c r="H2898" s="1" t="s">
        <v>10787</v>
      </c>
      <c r="I2898" t="b">
        <f>COUNTIF(Estadísticas!I:I,'centraldecomunicacion.es'!H2898)&gt;0</f>
        <v>0</v>
      </c>
    </row>
    <row r="2899" spans="1:9" hidden="1">
      <c r="A2899" s="1" t="s">
        <v>10788</v>
      </c>
      <c r="B2899" s="1" t="s">
        <v>18</v>
      </c>
      <c r="C2899" s="1" t="s">
        <v>10789</v>
      </c>
      <c r="D2899" s="1" t="s">
        <v>1066</v>
      </c>
      <c r="E2899" s="1" t="s">
        <v>1067</v>
      </c>
      <c r="F2899" s="1" t="s">
        <v>4288</v>
      </c>
      <c r="G2899" s="1" t="s">
        <v>10790</v>
      </c>
      <c r="H2899" s="1" t="s">
        <v>4290</v>
      </c>
      <c r="I2899" t="b">
        <f>COUNTIF(Estadísticas!I:I,'centraldecomunicacion.es'!H2899)&gt;0</f>
        <v>0</v>
      </c>
    </row>
    <row r="2900" spans="1:9">
      <c r="A2900" s="1" t="s">
        <v>1064</v>
      </c>
      <c r="B2900" s="1" t="s">
        <v>18</v>
      </c>
      <c r="C2900" s="1" t="s">
        <v>1065</v>
      </c>
      <c r="D2900" s="1" t="s">
        <v>1066</v>
      </c>
      <c r="E2900" s="1" t="s">
        <v>1067</v>
      </c>
      <c r="F2900" s="1" t="s">
        <v>1068</v>
      </c>
      <c r="G2900" s="1" t="s">
        <v>1069</v>
      </c>
      <c r="H2900" s="1" t="s">
        <v>1070</v>
      </c>
      <c r="I2900" t="b">
        <f>COUNTIF(Estadísticas!I:I,'centraldecomunicacion.es'!H2900)&gt;0</f>
        <v>1</v>
      </c>
    </row>
    <row r="2901" spans="1:9" hidden="1">
      <c r="A2901" s="1" t="s">
        <v>10791</v>
      </c>
      <c r="B2901" s="1" t="s">
        <v>18</v>
      </c>
      <c r="C2901" s="1" t="s">
        <v>10792</v>
      </c>
      <c r="D2901" s="1" t="s">
        <v>1066</v>
      </c>
      <c r="E2901" s="1" t="s">
        <v>1067</v>
      </c>
      <c r="F2901" s="1" t="s">
        <v>10793</v>
      </c>
      <c r="G2901" s="1" t="s">
        <v>10794</v>
      </c>
      <c r="H2901" s="1" t="s">
        <v>10795</v>
      </c>
      <c r="I2901" t="b">
        <f>COUNTIF(Estadísticas!I:I,'centraldecomunicacion.es'!H2901)&gt;0</f>
        <v>0</v>
      </c>
    </row>
    <row r="2902" spans="1:9" hidden="1">
      <c r="A2902" s="1" t="s">
        <v>10796</v>
      </c>
      <c r="B2902" s="1" t="s">
        <v>10</v>
      </c>
      <c r="C2902" s="1" t="s">
        <v>10797</v>
      </c>
      <c r="D2902" s="1" t="s">
        <v>1066</v>
      </c>
      <c r="E2902" s="1" t="s">
        <v>1067</v>
      </c>
      <c r="F2902" s="1" t="s">
        <v>10798</v>
      </c>
      <c r="G2902" s="1" t="s">
        <v>10799</v>
      </c>
      <c r="H2902" s="1" t="s">
        <v>1762</v>
      </c>
      <c r="I2902" t="b">
        <f>COUNTIF(Estadísticas!I:I,'centraldecomunicacion.es'!H2902)&gt;0</f>
        <v>0</v>
      </c>
    </row>
    <row r="2903" spans="1:9" hidden="1">
      <c r="A2903" s="1" t="s">
        <v>10800</v>
      </c>
      <c r="B2903" s="1" t="s">
        <v>10</v>
      </c>
      <c r="C2903" s="1" t="s">
        <v>10801</v>
      </c>
      <c r="D2903" s="1" t="s">
        <v>1066</v>
      </c>
      <c r="E2903" s="1" t="s">
        <v>1067</v>
      </c>
      <c r="F2903" s="1" t="s">
        <v>10802</v>
      </c>
      <c r="G2903" s="1" t="s">
        <v>10803</v>
      </c>
      <c r="H2903" s="1" t="s">
        <v>10804</v>
      </c>
      <c r="I2903" t="b">
        <f>COUNTIF(Estadísticas!I:I,'centraldecomunicacion.es'!H2903)&gt;0</f>
        <v>0</v>
      </c>
    </row>
    <row r="2904" spans="1:9" hidden="1">
      <c r="A2904" s="1" t="s">
        <v>10805</v>
      </c>
      <c r="B2904" s="1" t="s">
        <v>10</v>
      </c>
      <c r="C2904" s="1" t="s">
        <v>10806</v>
      </c>
      <c r="D2904" s="1" t="s">
        <v>1066</v>
      </c>
      <c r="E2904" s="1" t="s">
        <v>1067</v>
      </c>
      <c r="F2904" s="1" t="s">
        <v>30</v>
      </c>
      <c r="G2904" s="1" t="s">
        <v>10807</v>
      </c>
      <c r="H2904" s="1" t="s">
        <v>1762</v>
      </c>
      <c r="I2904" t="b">
        <f>COUNTIF(Estadísticas!I:I,'centraldecomunicacion.es'!H2904)&gt;0</f>
        <v>0</v>
      </c>
    </row>
    <row r="2905" spans="1:9" hidden="1">
      <c r="A2905" s="1" t="s">
        <v>10808</v>
      </c>
      <c r="B2905" s="1" t="s">
        <v>10</v>
      </c>
      <c r="C2905" s="1" t="s">
        <v>10809</v>
      </c>
      <c r="D2905" s="1" t="s">
        <v>1066</v>
      </c>
      <c r="E2905" s="1" t="s">
        <v>1067</v>
      </c>
      <c r="F2905" s="1" t="s">
        <v>30</v>
      </c>
      <c r="G2905" s="1" t="s">
        <v>10810</v>
      </c>
      <c r="H2905" s="1" t="s">
        <v>1762</v>
      </c>
      <c r="I2905" t="b">
        <f>COUNTIF(Estadísticas!I:I,'centraldecomunicacion.es'!H2905)&gt;0</f>
        <v>0</v>
      </c>
    </row>
    <row r="2906" spans="1:9" hidden="1">
      <c r="A2906" s="1" t="s">
        <v>10811</v>
      </c>
      <c r="B2906" s="1" t="s">
        <v>10</v>
      </c>
      <c r="C2906" s="1" t="s">
        <v>10812</v>
      </c>
      <c r="D2906" s="1" t="s">
        <v>1066</v>
      </c>
      <c r="E2906" s="1" t="s">
        <v>1067</v>
      </c>
      <c r="F2906" s="1" t="s">
        <v>30</v>
      </c>
      <c r="G2906" s="1" t="s">
        <v>10813</v>
      </c>
      <c r="H2906" s="1" t="s">
        <v>1762</v>
      </c>
      <c r="I2906" t="b">
        <f>COUNTIF(Estadísticas!I:I,'centraldecomunicacion.es'!H2906)&gt;0</f>
        <v>0</v>
      </c>
    </row>
    <row r="2907" spans="1:9" hidden="1">
      <c r="A2907" s="1" t="s">
        <v>10814</v>
      </c>
      <c r="B2907" s="1" t="s">
        <v>10</v>
      </c>
      <c r="C2907" s="1" t="s">
        <v>10815</v>
      </c>
      <c r="D2907" s="1" t="s">
        <v>1066</v>
      </c>
      <c r="E2907" s="1" t="s">
        <v>1067</v>
      </c>
      <c r="F2907" s="1" t="s">
        <v>30</v>
      </c>
      <c r="G2907" s="1" t="s">
        <v>10816</v>
      </c>
      <c r="H2907" s="1" t="s">
        <v>1762</v>
      </c>
      <c r="I2907" t="b">
        <f>COUNTIF(Estadísticas!I:I,'centraldecomunicacion.es'!H2907)&gt;0</f>
        <v>0</v>
      </c>
    </row>
    <row r="2908" spans="1:9" hidden="1">
      <c r="A2908" s="1" t="s">
        <v>10817</v>
      </c>
      <c r="B2908" s="1" t="s">
        <v>10</v>
      </c>
      <c r="C2908" s="1" t="s">
        <v>10818</v>
      </c>
      <c r="D2908" s="1" t="s">
        <v>1066</v>
      </c>
      <c r="E2908" s="1" t="s">
        <v>1067</v>
      </c>
      <c r="F2908" s="1" t="s">
        <v>30</v>
      </c>
      <c r="G2908" s="1" t="s">
        <v>30</v>
      </c>
      <c r="H2908" s="1" t="s">
        <v>1762</v>
      </c>
      <c r="I2908" t="b">
        <f>COUNTIF(Estadísticas!I:I,'centraldecomunicacion.es'!H2908)&gt;0</f>
        <v>0</v>
      </c>
    </row>
    <row r="2909" spans="1:9" hidden="1">
      <c r="A2909" s="1" t="s">
        <v>10819</v>
      </c>
      <c r="B2909" s="1" t="s">
        <v>10</v>
      </c>
      <c r="C2909" s="1" t="s">
        <v>10820</v>
      </c>
      <c r="D2909" s="1" t="s">
        <v>1066</v>
      </c>
      <c r="E2909" s="1" t="s">
        <v>1067</v>
      </c>
      <c r="F2909" s="1" t="s">
        <v>30</v>
      </c>
      <c r="G2909" s="1" t="s">
        <v>10821</v>
      </c>
      <c r="H2909" s="1" t="s">
        <v>1762</v>
      </c>
      <c r="I2909" t="b">
        <f>COUNTIF(Estadísticas!I:I,'centraldecomunicacion.es'!H2909)&gt;0</f>
        <v>0</v>
      </c>
    </row>
    <row r="2910" spans="1:9" hidden="1">
      <c r="A2910" s="1" t="s">
        <v>10822</v>
      </c>
      <c r="B2910" s="1" t="s">
        <v>10</v>
      </c>
      <c r="C2910" s="1" t="s">
        <v>10823</v>
      </c>
      <c r="D2910" s="1" t="s">
        <v>10824</v>
      </c>
      <c r="E2910" s="1" t="s">
        <v>1067</v>
      </c>
      <c r="F2910" s="1" t="s">
        <v>30</v>
      </c>
      <c r="G2910" s="1" t="s">
        <v>30</v>
      </c>
      <c r="H2910" s="1" t="s">
        <v>1762</v>
      </c>
      <c r="I2910" t="b">
        <f>COUNTIF(Estadísticas!I:I,'centraldecomunicacion.es'!H2910)&gt;0</f>
        <v>0</v>
      </c>
    </row>
    <row r="2911" spans="1:9" hidden="1">
      <c r="A2911" s="1" t="s">
        <v>10825</v>
      </c>
      <c r="B2911" s="1" t="s">
        <v>10</v>
      </c>
      <c r="C2911" s="1" t="s">
        <v>10826</v>
      </c>
      <c r="D2911" s="1" t="s">
        <v>1066</v>
      </c>
      <c r="E2911" s="1" t="s">
        <v>1067</v>
      </c>
      <c r="F2911" s="1" t="s">
        <v>30</v>
      </c>
      <c r="G2911" s="1" t="s">
        <v>10827</v>
      </c>
      <c r="H2911" s="1" t="s">
        <v>1762</v>
      </c>
      <c r="I2911" t="b">
        <f>COUNTIF(Estadísticas!I:I,'centraldecomunicacion.es'!H2911)&gt;0</f>
        <v>0</v>
      </c>
    </row>
    <row r="2912" spans="1:9" hidden="1">
      <c r="A2912" s="1" t="s">
        <v>10828</v>
      </c>
      <c r="B2912" s="1" t="s">
        <v>10</v>
      </c>
      <c r="C2912" s="1" t="s">
        <v>10829</v>
      </c>
      <c r="D2912" s="1" t="s">
        <v>10824</v>
      </c>
      <c r="E2912" s="1" t="s">
        <v>1067</v>
      </c>
      <c r="F2912" s="1" t="s">
        <v>30</v>
      </c>
      <c r="G2912" s="1" t="s">
        <v>10830</v>
      </c>
      <c r="H2912" s="1" t="s">
        <v>1762</v>
      </c>
      <c r="I2912" t="b">
        <f>COUNTIF(Estadísticas!I:I,'centraldecomunicacion.es'!H2912)&gt;0</f>
        <v>0</v>
      </c>
    </row>
    <row r="2913" spans="1:9" hidden="1">
      <c r="A2913" s="1" t="s">
        <v>10831</v>
      </c>
      <c r="B2913" s="1" t="s">
        <v>10</v>
      </c>
      <c r="C2913" s="1" t="s">
        <v>10832</v>
      </c>
      <c r="D2913" s="1" t="s">
        <v>10824</v>
      </c>
      <c r="E2913" s="1" t="s">
        <v>1067</v>
      </c>
      <c r="F2913" s="1" t="s">
        <v>30</v>
      </c>
      <c r="G2913" s="1" t="s">
        <v>10833</v>
      </c>
      <c r="H2913" s="1" t="s">
        <v>1762</v>
      </c>
      <c r="I2913" t="b">
        <f>COUNTIF(Estadísticas!I:I,'centraldecomunicacion.es'!H2913)&gt;0</f>
        <v>0</v>
      </c>
    </row>
    <row r="2914" spans="1:9" hidden="1">
      <c r="A2914" s="1" t="s">
        <v>10834</v>
      </c>
      <c r="B2914" s="1" t="s">
        <v>10</v>
      </c>
      <c r="C2914" s="1" t="s">
        <v>10835</v>
      </c>
      <c r="D2914" s="1" t="s">
        <v>10824</v>
      </c>
      <c r="E2914" s="1" t="s">
        <v>1067</v>
      </c>
      <c r="F2914" s="1" t="s">
        <v>30</v>
      </c>
      <c r="G2914" s="1" t="s">
        <v>30</v>
      </c>
      <c r="H2914" s="1" t="s">
        <v>1762</v>
      </c>
      <c r="I2914" t="b">
        <f>COUNTIF(Estadísticas!I:I,'centraldecomunicacion.es'!H2914)&gt;0</f>
        <v>0</v>
      </c>
    </row>
    <row r="2915" spans="1:9" hidden="1">
      <c r="A2915" s="1" t="s">
        <v>10836</v>
      </c>
      <c r="B2915" s="1" t="s">
        <v>10</v>
      </c>
      <c r="C2915" s="1" t="s">
        <v>10837</v>
      </c>
      <c r="D2915" s="1" t="s">
        <v>1066</v>
      </c>
      <c r="E2915" s="1" t="s">
        <v>1067</v>
      </c>
      <c r="F2915" s="1" t="s">
        <v>30</v>
      </c>
      <c r="G2915" s="1" t="s">
        <v>10838</v>
      </c>
      <c r="H2915" s="1" t="s">
        <v>1762</v>
      </c>
      <c r="I2915" t="b">
        <f>COUNTIF(Estadísticas!I:I,'centraldecomunicacion.es'!H2915)&gt;0</f>
        <v>0</v>
      </c>
    </row>
    <row r="2916" spans="1:9" hidden="1">
      <c r="A2916" s="1" t="s">
        <v>10839</v>
      </c>
      <c r="B2916" s="1" t="s">
        <v>10</v>
      </c>
      <c r="C2916" s="1" t="s">
        <v>10840</v>
      </c>
      <c r="D2916" s="1" t="s">
        <v>1066</v>
      </c>
      <c r="E2916" s="1" t="s">
        <v>1067</v>
      </c>
      <c r="F2916" s="1" t="s">
        <v>30</v>
      </c>
      <c r="G2916" s="1" t="s">
        <v>10841</v>
      </c>
      <c r="H2916" s="1" t="s">
        <v>1762</v>
      </c>
      <c r="I2916" t="b">
        <f>COUNTIF(Estadísticas!I:I,'centraldecomunicacion.es'!H2916)&gt;0</f>
        <v>0</v>
      </c>
    </row>
    <row r="2917" spans="1:9" hidden="1">
      <c r="A2917" s="1" t="s">
        <v>10842</v>
      </c>
      <c r="B2917" s="1" t="s">
        <v>10</v>
      </c>
      <c r="C2917" s="1" t="s">
        <v>10843</v>
      </c>
      <c r="D2917" s="1" t="s">
        <v>1066</v>
      </c>
      <c r="E2917" s="1" t="s">
        <v>1067</v>
      </c>
      <c r="F2917" s="1" t="s">
        <v>30</v>
      </c>
      <c r="G2917" s="1" t="s">
        <v>30</v>
      </c>
      <c r="H2917" s="1" t="s">
        <v>1762</v>
      </c>
      <c r="I2917" t="b">
        <f>COUNTIF(Estadísticas!I:I,'centraldecomunicacion.es'!H2917)&gt;0</f>
        <v>0</v>
      </c>
    </row>
    <row r="2918" spans="1:9" hidden="1">
      <c r="A2918" s="1" t="s">
        <v>10844</v>
      </c>
      <c r="B2918" s="1" t="s">
        <v>10</v>
      </c>
      <c r="C2918" s="1" t="s">
        <v>10845</v>
      </c>
      <c r="D2918" s="1" t="s">
        <v>10846</v>
      </c>
      <c r="E2918" s="1" t="s">
        <v>1067</v>
      </c>
      <c r="F2918" s="1" t="s">
        <v>30</v>
      </c>
      <c r="G2918" s="1" t="s">
        <v>10847</v>
      </c>
      <c r="H2918" s="1" t="s">
        <v>1762</v>
      </c>
      <c r="I2918" t="b">
        <f>COUNTIF(Estadísticas!I:I,'centraldecomunicacion.es'!H2918)&gt;0</f>
        <v>0</v>
      </c>
    </row>
    <row r="2919" spans="1:9" hidden="1">
      <c r="A2919" s="1" t="s">
        <v>10848</v>
      </c>
      <c r="B2919" s="1" t="s">
        <v>10</v>
      </c>
      <c r="C2919" s="1" t="s">
        <v>10849</v>
      </c>
      <c r="D2919" s="1" t="s">
        <v>10850</v>
      </c>
      <c r="E2919" s="1" t="s">
        <v>1067</v>
      </c>
      <c r="F2919" s="1" t="s">
        <v>30</v>
      </c>
      <c r="G2919" s="1" t="s">
        <v>10851</v>
      </c>
      <c r="H2919" s="1" t="s">
        <v>1762</v>
      </c>
      <c r="I2919" t="b">
        <f>COUNTIF(Estadísticas!I:I,'centraldecomunicacion.es'!H2919)&gt;0</f>
        <v>0</v>
      </c>
    </row>
    <row r="2920" spans="1:9" hidden="1">
      <c r="A2920" s="1" t="s">
        <v>10852</v>
      </c>
      <c r="B2920" s="1" t="s">
        <v>10</v>
      </c>
      <c r="C2920" s="1" t="s">
        <v>10853</v>
      </c>
      <c r="D2920" s="1" t="s">
        <v>10824</v>
      </c>
      <c r="E2920" s="1" t="s">
        <v>1067</v>
      </c>
      <c r="F2920" s="1" t="s">
        <v>10854</v>
      </c>
      <c r="G2920" s="1" t="s">
        <v>10855</v>
      </c>
      <c r="H2920" s="1" t="s">
        <v>1762</v>
      </c>
      <c r="I2920" t="b">
        <f>COUNTIF(Estadísticas!I:I,'centraldecomunicacion.es'!H2920)&gt;0</f>
        <v>0</v>
      </c>
    </row>
    <row r="2921" spans="1:9" hidden="1">
      <c r="A2921" s="1" t="s">
        <v>10856</v>
      </c>
      <c r="B2921" s="1" t="s">
        <v>10</v>
      </c>
      <c r="C2921" s="1" t="s">
        <v>10857</v>
      </c>
      <c r="D2921" s="1" t="s">
        <v>1066</v>
      </c>
      <c r="E2921" s="1" t="s">
        <v>1067</v>
      </c>
      <c r="F2921" s="1" t="s">
        <v>30</v>
      </c>
      <c r="G2921" s="1" t="s">
        <v>30</v>
      </c>
      <c r="H2921" s="1" t="s">
        <v>1762</v>
      </c>
      <c r="I2921" t="b">
        <f>COUNTIF(Estadísticas!I:I,'centraldecomunicacion.es'!H2921)&gt;0</f>
        <v>0</v>
      </c>
    </row>
    <row r="2922" spans="1:9" hidden="1">
      <c r="A2922" s="1" t="s">
        <v>10858</v>
      </c>
      <c r="B2922" s="1" t="s">
        <v>10</v>
      </c>
      <c r="C2922" s="1" t="s">
        <v>10859</v>
      </c>
      <c r="D2922" s="1" t="s">
        <v>1066</v>
      </c>
      <c r="E2922" s="1" t="s">
        <v>1067</v>
      </c>
      <c r="F2922" s="1" t="s">
        <v>30</v>
      </c>
      <c r="G2922" s="1" t="s">
        <v>30</v>
      </c>
      <c r="H2922" s="1" t="s">
        <v>1762</v>
      </c>
      <c r="I2922" t="b">
        <f>COUNTIF(Estadísticas!I:I,'centraldecomunicacion.es'!H2922)&gt;0</f>
        <v>0</v>
      </c>
    </row>
    <row r="2923" spans="1:9" hidden="1">
      <c r="A2923" s="1" t="s">
        <v>10860</v>
      </c>
      <c r="B2923" s="1" t="s">
        <v>10</v>
      </c>
      <c r="C2923" s="1" t="s">
        <v>10861</v>
      </c>
      <c r="D2923" s="1" t="s">
        <v>10862</v>
      </c>
      <c r="E2923" s="1" t="s">
        <v>1067</v>
      </c>
      <c r="F2923" s="1" t="s">
        <v>30</v>
      </c>
      <c r="G2923" s="1" t="s">
        <v>30</v>
      </c>
      <c r="H2923" s="1" t="s">
        <v>1762</v>
      </c>
      <c r="I2923" t="b">
        <f>COUNTIF(Estadísticas!I:I,'centraldecomunicacion.es'!H2923)&gt;0</f>
        <v>0</v>
      </c>
    </row>
    <row r="2924" spans="1:9" hidden="1">
      <c r="A2924" s="1" t="s">
        <v>10863</v>
      </c>
      <c r="B2924" s="1" t="s">
        <v>10</v>
      </c>
      <c r="C2924" s="1" t="s">
        <v>10864</v>
      </c>
      <c r="D2924" s="1" t="s">
        <v>10850</v>
      </c>
      <c r="E2924" s="1" t="s">
        <v>1067</v>
      </c>
      <c r="F2924" s="1" t="s">
        <v>30</v>
      </c>
      <c r="G2924" s="1" t="s">
        <v>10865</v>
      </c>
      <c r="H2924" s="1" t="s">
        <v>1762</v>
      </c>
      <c r="I2924" t="b">
        <f>COUNTIF(Estadísticas!I:I,'centraldecomunicacion.es'!H2924)&gt;0</f>
        <v>0</v>
      </c>
    </row>
    <row r="2925" spans="1:9" hidden="1">
      <c r="A2925" s="1" t="s">
        <v>10866</v>
      </c>
      <c r="B2925" s="1" t="s">
        <v>10</v>
      </c>
      <c r="C2925" s="1" t="s">
        <v>10867</v>
      </c>
      <c r="D2925" s="1" t="s">
        <v>10850</v>
      </c>
      <c r="E2925" s="1" t="s">
        <v>1067</v>
      </c>
      <c r="F2925" s="1" t="s">
        <v>30</v>
      </c>
      <c r="G2925" s="1" t="s">
        <v>30</v>
      </c>
      <c r="H2925" s="1" t="s">
        <v>1762</v>
      </c>
      <c r="I2925" t="b">
        <f>COUNTIF(Estadísticas!I:I,'centraldecomunicacion.es'!H2925)&gt;0</f>
        <v>0</v>
      </c>
    </row>
    <row r="2926" spans="1:9" hidden="1">
      <c r="A2926" s="1" t="s">
        <v>10868</v>
      </c>
      <c r="B2926" s="1" t="s">
        <v>10</v>
      </c>
      <c r="C2926" s="1" t="s">
        <v>10869</v>
      </c>
      <c r="D2926" s="1" t="s">
        <v>1066</v>
      </c>
      <c r="E2926" s="1" t="s">
        <v>1067</v>
      </c>
      <c r="F2926" s="1" t="s">
        <v>30</v>
      </c>
      <c r="G2926" s="1" t="s">
        <v>30</v>
      </c>
      <c r="H2926" s="1" t="s">
        <v>1762</v>
      </c>
      <c r="I2926" t="b">
        <f>COUNTIF(Estadísticas!I:I,'centraldecomunicacion.es'!H2926)&gt;0</f>
        <v>0</v>
      </c>
    </row>
    <row r="2927" spans="1:9">
      <c r="A2927" s="1" t="s">
        <v>1071</v>
      </c>
      <c r="B2927" s="1" t="s">
        <v>10</v>
      </c>
      <c r="C2927" s="1" t="s">
        <v>1072</v>
      </c>
      <c r="D2927" s="1" t="s">
        <v>1073</v>
      </c>
      <c r="E2927" s="1" t="s">
        <v>1067</v>
      </c>
      <c r="F2927" s="1" t="s">
        <v>1074</v>
      </c>
      <c r="G2927" s="1" t="s">
        <v>1075</v>
      </c>
      <c r="H2927" s="1" t="s">
        <v>1076</v>
      </c>
      <c r="I2927" t="b">
        <f>COUNTIF(Estadísticas!I:I,'centraldecomunicacion.es'!H2927)&gt;0</f>
        <v>1</v>
      </c>
    </row>
    <row r="2928" spans="1:9" hidden="1">
      <c r="A2928" s="1" t="s">
        <v>10870</v>
      </c>
      <c r="B2928" s="1" t="s">
        <v>10</v>
      </c>
      <c r="C2928" s="1" t="s">
        <v>10871</v>
      </c>
      <c r="D2928" s="1" t="s">
        <v>10824</v>
      </c>
      <c r="E2928" s="1" t="s">
        <v>1067</v>
      </c>
      <c r="F2928" s="1" t="s">
        <v>30</v>
      </c>
      <c r="G2928" s="1" t="s">
        <v>30</v>
      </c>
      <c r="H2928" s="1" t="s">
        <v>1762</v>
      </c>
      <c r="I2928" t="b">
        <f>COUNTIF(Estadísticas!I:I,'centraldecomunicacion.es'!H2928)&gt;0</f>
        <v>0</v>
      </c>
    </row>
    <row r="2929" spans="1:9" hidden="1">
      <c r="A2929" s="1" t="s">
        <v>10872</v>
      </c>
      <c r="B2929" s="1" t="s">
        <v>10</v>
      </c>
      <c r="C2929" s="1" t="s">
        <v>10873</v>
      </c>
      <c r="D2929" s="1" t="s">
        <v>1066</v>
      </c>
      <c r="E2929" s="1" t="s">
        <v>1067</v>
      </c>
      <c r="F2929" s="1" t="s">
        <v>30</v>
      </c>
      <c r="G2929" s="1" t="s">
        <v>10874</v>
      </c>
      <c r="H2929" s="1" t="s">
        <v>1762</v>
      </c>
      <c r="I2929" t="b">
        <f>COUNTIF(Estadísticas!I:I,'centraldecomunicacion.es'!H2929)&gt;0</f>
        <v>0</v>
      </c>
    </row>
    <row r="2930" spans="1:9" hidden="1">
      <c r="A2930" s="1" t="s">
        <v>10875</v>
      </c>
      <c r="B2930" s="1" t="s">
        <v>10</v>
      </c>
      <c r="C2930" s="1" t="s">
        <v>10876</v>
      </c>
      <c r="D2930" s="1" t="s">
        <v>10824</v>
      </c>
      <c r="E2930" s="1" t="s">
        <v>1067</v>
      </c>
      <c r="F2930" s="1" t="s">
        <v>30</v>
      </c>
      <c r="G2930" s="1" t="s">
        <v>10877</v>
      </c>
      <c r="H2930" s="1" t="s">
        <v>1762</v>
      </c>
      <c r="I2930" t="b">
        <f>COUNTIF(Estadísticas!I:I,'centraldecomunicacion.es'!H2930)&gt;0</f>
        <v>0</v>
      </c>
    </row>
    <row r="2931" spans="1:9">
      <c r="A2931" s="1" t="s">
        <v>1077</v>
      </c>
      <c r="B2931" s="1" t="s">
        <v>10</v>
      </c>
      <c r="C2931" s="1" t="s">
        <v>1078</v>
      </c>
      <c r="D2931" s="1" t="s">
        <v>1079</v>
      </c>
      <c r="E2931" s="1" t="s">
        <v>1067</v>
      </c>
      <c r="F2931" s="1" t="s">
        <v>1080</v>
      </c>
      <c r="G2931" s="1" t="s">
        <v>1081</v>
      </c>
      <c r="H2931" s="1" t="s">
        <v>1082</v>
      </c>
      <c r="I2931" t="b">
        <f>COUNTIF(Estadísticas!I:I,'centraldecomunicacion.es'!H2931)&gt;0</f>
        <v>1</v>
      </c>
    </row>
    <row r="2932" spans="1:9" hidden="1">
      <c r="A2932" s="1" t="s">
        <v>10878</v>
      </c>
      <c r="B2932" s="1" t="s">
        <v>10</v>
      </c>
      <c r="C2932" s="1" t="s">
        <v>10879</v>
      </c>
      <c r="D2932" s="1" t="s">
        <v>10846</v>
      </c>
      <c r="E2932" s="1" t="s">
        <v>1067</v>
      </c>
      <c r="F2932" s="1" t="s">
        <v>30</v>
      </c>
      <c r="G2932" s="1" t="s">
        <v>30</v>
      </c>
      <c r="H2932" s="1" t="s">
        <v>1762</v>
      </c>
      <c r="I2932" t="b">
        <f>COUNTIF(Estadísticas!I:I,'centraldecomunicacion.es'!H2932)&gt;0</f>
        <v>0</v>
      </c>
    </row>
    <row r="2933" spans="1:9" hidden="1">
      <c r="A2933" s="1" t="s">
        <v>10880</v>
      </c>
      <c r="B2933" s="1" t="s">
        <v>10</v>
      </c>
      <c r="C2933" s="1" t="s">
        <v>10881</v>
      </c>
      <c r="D2933" s="1" t="s">
        <v>10882</v>
      </c>
      <c r="E2933" s="1" t="s">
        <v>1067</v>
      </c>
      <c r="F2933" s="1" t="s">
        <v>30</v>
      </c>
      <c r="G2933" s="1" t="s">
        <v>30</v>
      </c>
      <c r="H2933" s="1" t="s">
        <v>1762</v>
      </c>
      <c r="I2933" t="b">
        <f>COUNTIF(Estadísticas!I:I,'centraldecomunicacion.es'!H2933)&gt;0</f>
        <v>0</v>
      </c>
    </row>
    <row r="2934" spans="1:9" hidden="1">
      <c r="A2934" s="1" t="s">
        <v>10883</v>
      </c>
      <c r="B2934" s="1" t="s">
        <v>10</v>
      </c>
      <c r="C2934" s="1" t="s">
        <v>10884</v>
      </c>
      <c r="D2934" s="1" t="s">
        <v>10885</v>
      </c>
      <c r="E2934" s="1" t="s">
        <v>1067</v>
      </c>
      <c r="F2934" s="1" t="s">
        <v>30</v>
      </c>
      <c r="G2934" s="1" t="s">
        <v>10886</v>
      </c>
      <c r="H2934" s="1" t="s">
        <v>1762</v>
      </c>
      <c r="I2934" t="b">
        <f>COUNTIF(Estadísticas!I:I,'centraldecomunicacion.es'!H2934)&gt;0</f>
        <v>0</v>
      </c>
    </row>
    <row r="2935" spans="1:9" hidden="1">
      <c r="A2935" s="1" t="s">
        <v>10887</v>
      </c>
      <c r="B2935" s="1" t="s">
        <v>10</v>
      </c>
      <c r="C2935" s="1" t="s">
        <v>10888</v>
      </c>
      <c r="D2935" s="1" t="s">
        <v>10889</v>
      </c>
      <c r="E2935" s="1" t="s">
        <v>1067</v>
      </c>
      <c r="F2935" s="1" t="s">
        <v>10890</v>
      </c>
      <c r="G2935" s="1" t="s">
        <v>10891</v>
      </c>
      <c r="H2935" s="1" t="s">
        <v>10892</v>
      </c>
      <c r="I2935" t="b">
        <f>COUNTIF(Estadísticas!I:I,'centraldecomunicacion.es'!H2935)&gt;0</f>
        <v>0</v>
      </c>
    </row>
    <row r="2936" spans="1:9" hidden="1">
      <c r="A2936" s="1" t="s">
        <v>10893</v>
      </c>
      <c r="B2936" s="1" t="s">
        <v>10</v>
      </c>
      <c r="C2936" s="1" t="s">
        <v>10894</v>
      </c>
      <c r="D2936" s="1" t="s">
        <v>1073</v>
      </c>
      <c r="E2936" s="1" t="s">
        <v>1067</v>
      </c>
      <c r="F2936" s="1" t="s">
        <v>10895</v>
      </c>
      <c r="G2936" s="1" t="s">
        <v>10896</v>
      </c>
      <c r="H2936" s="1" t="s">
        <v>1783</v>
      </c>
      <c r="I2936" t="b">
        <f>COUNTIF(Estadísticas!I:I,'centraldecomunicacion.es'!H2936)&gt;0</f>
        <v>0</v>
      </c>
    </row>
    <row r="2937" spans="1:9" hidden="1">
      <c r="A2937" s="1" t="s">
        <v>10897</v>
      </c>
      <c r="B2937" s="1" t="s">
        <v>10</v>
      </c>
      <c r="C2937" s="1" t="s">
        <v>10898</v>
      </c>
      <c r="D2937" s="1" t="s">
        <v>1073</v>
      </c>
      <c r="E2937" s="1" t="s">
        <v>1067</v>
      </c>
      <c r="F2937" s="1" t="s">
        <v>30</v>
      </c>
      <c r="G2937" s="1" t="s">
        <v>10899</v>
      </c>
      <c r="H2937" s="1" t="s">
        <v>1762</v>
      </c>
      <c r="I2937" t="b">
        <f>COUNTIF(Estadísticas!I:I,'centraldecomunicacion.es'!H2937)&gt;0</f>
        <v>0</v>
      </c>
    </row>
    <row r="2938" spans="1:9" hidden="1">
      <c r="A2938" s="1" t="s">
        <v>10900</v>
      </c>
      <c r="B2938" s="1" t="s">
        <v>10</v>
      </c>
      <c r="C2938" s="1" t="s">
        <v>10901</v>
      </c>
      <c r="D2938" s="1" t="s">
        <v>10902</v>
      </c>
      <c r="E2938" s="1" t="s">
        <v>1067</v>
      </c>
      <c r="F2938" s="1" t="s">
        <v>10903</v>
      </c>
      <c r="G2938" s="1" t="s">
        <v>10904</v>
      </c>
      <c r="H2938" s="1" t="s">
        <v>10905</v>
      </c>
      <c r="I2938" t="b">
        <f>COUNTIF(Estadísticas!I:I,'centraldecomunicacion.es'!H2938)&gt;0</f>
        <v>0</v>
      </c>
    </row>
    <row r="2939" spans="1:9" hidden="1">
      <c r="A2939" s="1" t="s">
        <v>10906</v>
      </c>
      <c r="B2939" s="1" t="s">
        <v>10</v>
      </c>
      <c r="C2939" s="1" t="s">
        <v>10907</v>
      </c>
      <c r="D2939" s="1" t="s">
        <v>10908</v>
      </c>
      <c r="E2939" s="1" t="s">
        <v>1067</v>
      </c>
      <c r="F2939" s="1" t="s">
        <v>10909</v>
      </c>
      <c r="G2939" s="1" t="s">
        <v>10910</v>
      </c>
      <c r="H2939" s="1" t="s">
        <v>10911</v>
      </c>
      <c r="I2939" t="b">
        <f>COUNTIF(Estadísticas!I:I,'centraldecomunicacion.es'!H2939)&gt;0</f>
        <v>0</v>
      </c>
    </row>
    <row r="2940" spans="1:9" hidden="1">
      <c r="A2940" s="1" t="s">
        <v>10912</v>
      </c>
      <c r="B2940" s="1" t="s">
        <v>10</v>
      </c>
      <c r="C2940" s="1" t="s">
        <v>10913</v>
      </c>
      <c r="D2940" s="1" t="s">
        <v>10914</v>
      </c>
      <c r="E2940" s="1" t="s">
        <v>1067</v>
      </c>
      <c r="F2940" s="1" t="s">
        <v>3349</v>
      </c>
      <c r="G2940" s="1" t="s">
        <v>10915</v>
      </c>
      <c r="H2940" s="1" t="s">
        <v>3351</v>
      </c>
      <c r="I2940" t="b">
        <f>COUNTIF(Estadísticas!I:I,'centraldecomunicacion.es'!H2940)&gt;0</f>
        <v>0</v>
      </c>
    </row>
    <row r="2941" spans="1:9" hidden="1">
      <c r="A2941" s="1" t="s">
        <v>10916</v>
      </c>
      <c r="B2941" s="1" t="s">
        <v>10</v>
      </c>
      <c r="C2941" s="1" t="s">
        <v>10917</v>
      </c>
      <c r="D2941" s="1" t="s">
        <v>10918</v>
      </c>
      <c r="E2941" s="1" t="s">
        <v>1067</v>
      </c>
      <c r="F2941" s="1" t="s">
        <v>30</v>
      </c>
      <c r="G2941" s="1" t="s">
        <v>30</v>
      </c>
      <c r="H2941" s="1" t="s">
        <v>1762</v>
      </c>
      <c r="I2941" t="b">
        <f>COUNTIF(Estadísticas!I:I,'centraldecomunicacion.es'!H2941)&gt;0</f>
        <v>0</v>
      </c>
    </row>
    <row r="2942" spans="1:9">
      <c r="A2942" s="1" t="s">
        <v>10919</v>
      </c>
      <c r="B2942" s="1" t="s">
        <v>18</v>
      </c>
      <c r="C2942" s="1" t="s">
        <v>10920</v>
      </c>
      <c r="D2942" s="1" t="s">
        <v>10921</v>
      </c>
      <c r="E2942" s="1" t="s">
        <v>1067</v>
      </c>
      <c r="F2942" s="1" t="s">
        <v>1068</v>
      </c>
      <c r="G2942" s="1" t="s">
        <v>10922</v>
      </c>
      <c r="H2942" s="1" t="s">
        <v>1070</v>
      </c>
      <c r="I2942" t="b">
        <f>COUNTIF(Estadísticas!I:I,'centraldecomunicacion.es'!H2942)&gt;0</f>
        <v>1</v>
      </c>
    </row>
    <row r="2943" spans="1:9" hidden="1">
      <c r="A2943" s="1" t="s">
        <v>10923</v>
      </c>
      <c r="B2943" s="1" t="s">
        <v>10</v>
      </c>
      <c r="C2943" s="1" t="s">
        <v>10924</v>
      </c>
      <c r="D2943" s="1" t="s">
        <v>1066</v>
      </c>
      <c r="E2943" s="1" t="s">
        <v>1067</v>
      </c>
      <c r="F2943" s="1" t="s">
        <v>10925</v>
      </c>
      <c r="G2943" s="1" t="s">
        <v>10926</v>
      </c>
      <c r="H2943" s="1" t="s">
        <v>10927</v>
      </c>
      <c r="I2943" t="b">
        <f>COUNTIF(Estadísticas!I:I,'centraldecomunicacion.es'!H2943)&gt;0</f>
        <v>0</v>
      </c>
    </row>
    <row r="2944" spans="1:9" hidden="1">
      <c r="A2944" s="1" t="s">
        <v>10928</v>
      </c>
      <c r="B2944" s="1" t="s">
        <v>10</v>
      </c>
      <c r="C2944" s="1" t="s">
        <v>10929</v>
      </c>
      <c r="D2944" s="1" t="s">
        <v>10930</v>
      </c>
      <c r="E2944" s="1" t="s">
        <v>1067</v>
      </c>
      <c r="F2944" s="1" t="s">
        <v>30</v>
      </c>
      <c r="G2944" s="1" t="s">
        <v>10931</v>
      </c>
      <c r="H2944" s="1" t="s">
        <v>1762</v>
      </c>
      <c r="I2944" t="b">
        <f>COUNTIF(Estadísticas!I:I,'centraldecomunicacion.es'!H2944)&gt;0</f>
        <v>0</v>
      </c>
    </row>
    <row r="2945" spans="1:9" hidden="1">
      <c r="A2945" s="1" t="s">
        <v>10932</v>
      </c>
      <c r="B2945" s="1" t="s">
        <v>18</v>
      </c>
      <c r="C2945" s="1" t="s">
        <v>10933</v>
      </c>
      <c r="D2945" s="1" t="s">
        <v>10889</v>
      </c>
      <c r="E2945" s="1" t="s">
        <v>1067</v>
      </c>
      <c r="F2945" s="1" t="s">
        <v>10934</v>
      </c>
      <c r="G2945" s="1" t="s">
        <v>10935</v>
      </c>
      <c r="H2945" s="1" t="s">
        <v>10936</v>
      </c>
      <c r="I2945" t="b">
        <f>COUNTIF(Estadísticas!I:I,'centraldecomunicacion.es'!H2945)&gt;0</f>
        <v>0</v>
      </c>
    </row>
    <row r="2946" spans="1:9" hidden="1">
      <c r="A2946" s="1" t="s">
        <v>10937</v>
      </c>
      <c r="B2946" s="1" t="s">
        <v>10</v>
      </c>
      <c r="C2946" s="1" t="s">
        <v>10938</v>
      </c>
      <c r="D2946" s="1" t="s">
        <v>10939</v>
      </c>
      <c r="E2946" s="1" t="s">
        <v>1067</v>
      </c>
      <c r="F2946" s="1" t="s">
        <v>30</v>
      </c>
      <c r="G2946" s="1" t="s">
        <v>10940</v>
      </c>
      <c r="H2946" s="1" t="s">
        <v>1762</v>
      </c>
      <c r="I2946" t="b">
        <f>COUNTIF(Estadísticas!I:I,'centraldecomunicacion.es'!H2946)&gt;0</f>
        <v>0</v>
      </c>
    </row>
    <row r="2947" spans="1:9" hidden="1">
      <c r="A2947" s="1" t="s">
        <v>10941</v>
      </c>
      <c r="B2947" s="1" t="s">
        <v>10</v>
      </c>
      <c r="C2947" s="1" t="s">
        <v>10942</v>
      </c>
      <c r="D2947" s="1" t="s">
        <v>1085</v>
      </c>
      <c r="E2947" s="1" t="s">
        <v>1067</v>
      </c>
      <c r="F2947" s="1" t="s">
        <v>30</v>
      </c>
      <c r="G2947" s="1" t="s">
        <v>10943</v>
      </c>
      <c r="H2947" s="1" t="s">
        <v>1762</v>
      </c>
      <c r="I2947" t="b">
        <f>COUNTIF(Estadísticas!I:I,'centraldecomunicacion.es'!H2947)&gt;0</f>
        <v>0</v>
      </c>
    </row>
    <row r="2948" spans="1:9" hidden="1">
      <c r="A2948" s="1" t="s">
        <v>10944</v>
      </c>
      <c r="B2948" s="1" t="s">
        <v>10</v>
      </c>
      <c r="C2948" s="1" t="s">
        <v>10945</v>
      </c>
      <c r="D2948" s="1" t="s">
        <v>10946</v>
      </c>
      <c r="E2948" s="1" t="s">
        <v>1067</v>
      </c>
      <c r="F2948" s="1" t="s">
        <v>30</v>
      </c>
      <c r="G2948" s="1" t="s">
        <v>10947</v>
      </c>
      <c r="H2948" s="1" t="s">
        <v>1762</v>
      </c>
      <c r="I2948" t="b">
        <f>COUNTIF(Estadísticas!I:I,'centraldecomunicacion.es'!H2948)&gt;0</f>
        <v>0</v>
      </c>
    </row>
    <row r="2949" spans="1:9" hidden="1">
      <c r="A2949" s="1" t="s">
        <v>10948</v>
      </c>
      <c r="B2949" s="1" t="s">
        <v>10</v>
      </c>
      <c r="C2949" s="1" t="s">
        <v>10949</v>
      </c>
      <c r="D2949" s="1" t="s">
        <v>10950</v>
      </c>
      <c r="E2949" s="1" t="s">
        <v>1067</v>
      </c>
      <c r="F2949" s="1" t="s">
        <v>30</v>
      </c>
      <c r="G2949" s="1" t="s">
        <v>10951</v>
      </c>
      <c r="H2949" s="1" t="s">
        <v>1762</v>
      </c>
      <c r="I2949" t="b">
        <f>COUNTIF(Estadísticas!I:I,'centraldecomunicacion.es'!H2949)&gt;0</f>
        <v>0</v>
      </c>
    </row>
    <row r="2950" spans="1:9" hidden="1">
      <c r="A2950" s="1" t="s">
        <v>10952</v>
      </c>
      <c r="B2950" s="1" t="s">
        <v>10</v>
      </c>
      <c r="C2950" s="1" t="s">
        <v>10953</v>
      </c>
      <c r="D2950" s="1" t="s">
        <v>10954</v>
      </c>
      <c r="E2950" s="1" t="s">
        <v>1067</v>
      </c>
      <c r="F2950" s="1" t="s">
        <v>30</v>
      </c>
      <c r="G2950" s="1" t="s">
        <v>10955</v>
      </c>
      <c r="H2950" s="1" t="s">
        <v>1762</v>
      </c>
      <c r="I2950" t="b">
        <f>COUNTIF(Estadísticas!I:I,'centraldecomunicacion.es'!H2950)&gt;0</f>
        <v>0</v>
      </c>
    </row>
    <row r="2951" spans="1:9" hidden="1">
      <c r="A2951" s="1" t="s">
        <v>10956</v>
      </c>
      <c r="B2951" s="1" t="s">
        <v>10</v>
      </c>
      <c r="C2951" s="1" t="s">
        <v>10957</v>
      </c>
      <c r="D2951" s="1" t="s">
        <v>10958</v>
      </c>
      <c r="E2951" s="1" t="s">
        <v>1067</v>
      </c>
      <c r="F2951" s="1" t="s">
        <v>30</v>
      </c>
      <c r="G2951" s="1" t="s">
        <v>10959</v>
      </c>
      <c r="H2951" s="1" t="s">
        <v>1762</v>
      </c>
      <c r="I2951" t="b">
        <f>COUNTIF(Estadísticas!I:I,'centraldecomunicacion.es'!H2951)&gt;0</f>
        <v>0</v>
      </c>
    </row>
    <row r="2952" spans="1:9" hidden="1">
      <c r="A2952" s="1" t="s">
        <v>10960</v>
      </c>
      <c r="B2952" s="1" t="s">
        <v>10</v>
      </c>
      <c r="C2952" s="1" t="s">
        <v>10961</v>
      </c>
      <c r="D2952" s="1" t="s">
        <v>10962</v>
      </c>
      <c r="E2952" s="1" t="s">
        <v>1067</v>
      </c>
      <c r="F2952" s="1" t="s">
        <v>10963</v>
      </c>
      <c r="G2952" s="1" t="s">
        <v>10964</v>
      </c>
      <c r="H2952" s="1" t="s">
        <v>1762</v>
      </c>
      <c r="I2952" t="b">
        <f>COUNTIF(Estadísticas!I:I,'centraldecomunicacion.es'!H2952)&gt;0</f>
        <v>0</v>
      </c>
    </row>
    <row r="2953" spans="1:9" hidden="1">
      <c r="A2953" s="1" t="s">
        <v>10965</v>
      </c>
      <c r="B2953" s="1" t="s">
        <v>10</v>
      </c>
      <c r="C2953" s="1" t="s">
        <v>10966</v>
      </c>
      <c r="D2953" s="1" t="s">
        <v>10967</v>
      </c>
      <c r="E2953" s="1" t="s">
        <v>1067</v>
      </c>
      <c r="F2953" s="1" t="s">
        <v>30</v>
      </c>
      <c r="G2953" s="1" t="s">
        <v>30</v>
      </c>
      <c r="H2953" s="1" t="s">
        <v>1762</v>
      </c>
      <c r="I2953" t="b">
        <f>COUNTIF(Estadísticas!I:I,'centraldecomunicacion.es'!H2953)&gt;0</f>
        <v>0</v>
      </c>
    </row>
    <row r="2954" spans="1:9" hidden="1">
      <c r="A2954" s="1" t="s">
        <v>10932</v>
      </c>
      <c r="B2954" s="1" t="s">
        <v>18</v>
      </c>
      <c r="C2954" s="1" t="s">
        <v>10968</v>
      </c>
      <c r="D2954" s="1" t="s">
        <v>10950</v>
      </c>
      <c r="E2954" s="1" t="s">
        <v>1067</v>
      </c>
      <c r="F2954" s="1" t="s">
        <v>10934</v>
      </c>
      <c r="G2954" s="1" t="s">
        <v>10969</v>
      </c>
      <c r="H2954" s="1" t="s">
        <v>10936</v>
      </c>
      <c r="I2954" t="b">
        <f>COUNTIF(Estadísticas!I:I,'centraldecomunicacion.es'!H2954)&gt;0</f>
        <v>0</v>
      </c>
    </row>
    <row r="2955" spans="1:9" hidden="1">
      <c r="A2955" s="1" t="s">
        <v>10970</v>
      </c>
      <c r="B2955" s="1" t="s">
        <v>10</v>
      </c>
      <c r="C2955" s="1" t="s">
        <v>10971</v>
      </c>
      <c r="D2955" s="1" t="s">
        <v>1073</v>
      </c>
      <c r="E2955" s="1" t="s">
        <v>1067</v>
      </c>
      <c r="F2955" s="1" t="s">
        <v>10972</v>
      </c>
      <c r="G2955" s="1" t="s">
        <v>10973</v>
      </c>
      <c r="H2955" s="1" t="s">
        <v>10974</v>
      </c>
      <c r="I2955" t="b">
        <f>COUNTIF(Estadísticas!I:I,'centraldecomunicacion.es'!H2955)&gt;0</f>
        <v>0</v>
      </c>
    </row>
    <row r="2956" spans="1:9" hidden="1">
      <c r="A2956" s="1" t="s">
        <v>10975</v>
      </c>
      <c r="B2956" s="1" t="s">
        <v>10</v>
      </c>
      <c r="C2956" s="1" t="s">
        <v>10976</v>
      </c>
      <c r="D2956" s="1" t="s">
        <v>10967</v>
      </c>
      <c r="E2956" s="1" t="s">
        <v>1067</v>
      </c>
      <c r="F2956" s="1" t="s">
        <v>30</v>
      </c>
      <c r="G2956" s="1" t="s">
        <v>30</v>
      </c>
      <c r="H2956" s="1" t="s">
        <v>1762</v>
      </c>
      <c r="I2956" t="b">
        <f>COUNTIF(Estadísticas!I:I,'centraldecomunicacion.es'!H2956)&gt;0</f>
        <v>0</v>
      </c>
    </row>
    <row r="2957" spans="1:9" hidden="1">
      <c r="A2957" s="1" t="s">
        <v>10932</v>
      </c>
      <c r="B2957" s="1" t="s">
        <v>18</v>
      </c>
      <c r="C2957" s="1" t="s">
        <v>10977</v>
      </c>
      <c r="D2957" s="1" t="s">
        <v>10978</v>
      </c>
      <c r="E2957" s="1" t="s">
        <v>1067</v>
      </c>
      <c r="F2957" s="1" t="s">
        <v>10934</v>
      </c>
      <c r="G2957" s="1" t="s">
        <v>10979</v>
      </c>
      <c r="H2957" s="1" t="s">
        <v>10936</v>
      </c>
      <c r="I2957" t="b">
        <f>COUNTIF(Estadísticas!I:I,'centraldecomunicacion.es'!H2957)&gt;0</f>
        <v>0</v>
      </c>
    </row>
    <row r="2958" spans="1:9" hidden="1">
      <c r="A2958" s="1" t="s">
        <v>10980</v>
      </c>
      <c r="B2958" s="1" t="s">
        <v>10</v>
      </c>
      <c r="C2958" s="1" t="s">
        <v>10981</v>
      </c>
      <c r="D2958" s="1" t="s">
        <v>10982</v>
      </c>
      <c r="E2958" s="1" t="s">
        <v>1067</v>
      </c>
      <c r="F2958" s="1" t="s">
        <v>30</v>
      </c>
      <c r="G2958" s="1" t="s">
        <v>30</v>
      </c>
      <c r="H2958" s="1" t="s">
        <v>1762</v>
      </c>
      <c r="I2958" t="b">
        <f>COUNTIF(Estadísticas!I:I,'centraldecomunicacion.es'!H2958)&gt;0</f>
        <v>0</v>
      </c>
    </row>
    <row r="2959" spans="1:9" hidden="1">
      <c r="A2959" s="1" t="s">
        <v>10983</v>
      </c>
      <c r="B2959" s="1" t="s">
        <v>10</v>
      </c>
      <c r="C2959" s="1" t="s">
        <v>10984</v>
      </c>
      <c r="D2959" s="1" t="s">
        <v>10985</v>
      </c>
      <c r="E2959" s="1" t="s">
        <v>1067</v>
      </c>
      <c r="F2959" s="1" t="s">
        <v>10986</v>
      </c>
      <c r="G2959" s="1" t="s">
        <v>10987</v>
      </c>
      <c r="H2959" s="1" t="s">
        <v>1762</v>
      </c>
      <c r="I2959" t="b">
        <f>COUNTIF(Estadísticas!I:I,'centraldecomunicacion.es'!H2959)&gt;0</f>
        <v>0</v>
      </c>
    </row>
    <row r="2960" spans="1:9" hidden="1">
      <c r="A2960" s="1" t="s">
        <v>10988</v>
      </c>
      <c r="B2960" s="1" t="s">
        <v>10</v>
      </c>
      <c r="C2960" s="1" t="s">
        <v>10989</v>
      </c>
      <c r="D2960" s="1" t="s">
        <v>10990</v>
      </c>
      <c r="E2960" s="1" t="s">
        <v>1067</v>
      </c>
      <c r="F2960" s="1" t="s">
        <v>30</v>
      </c>
      <c r="G2960" s="1" t="s">
        <v>10991</v>
      </c>
      <c r="H2960" s="1" t="s">
        <v>1762</v>
      </c>
      <c r="I2960" t="b">
        <f>COUNTIF(Estadísticas!I:I,'centraldecomunicacion.es'!H2960)&gt;0</f>
        <v>0</v>
      </c>
    </row>
    <row r="2961" spans="1:9" hidden="1">
      <c r="A2961" s="1" t="s">
        <v>10992</v>
      </c>
      <c r="B2961" s="1" t="s">
        <v>10</v>
      </c>
      <c r="C2961" s="1" t="s">
        <v>10993</v>
      </c>
      <c r="D2961" s="1" t="s">
        <v>10954</v>
      </c>
      <c r="E2961" s="1" t="s">
        <v>1067</v>
      </c>
      <c r="F2961" s="1" t="s">
        <v>30</v>
      </c>
      <c r="G2961" s="1" t="s">
        <v>30</v>
      </c>
      <c r="H2961" s="1" t="s">
        <v>1762</v>
      </c>
      <c r="I2961" t="b">
        <f>COUNTIF(Estadísticas!I:I,'centraldecomunicacion.es'!H2961)&gt;0</f>
        <v>0</v>
      </c>
    </row>
    <row r="2962" spans="1:9">
      <c r="A2962" s="1" t="s">
        <v>1083</v>
      </c>
      <c r="B2962" s="1" t="s">
        <v>10</v>
      </c>
      <c r="C2962" s="1" t="s">
        <v>1084</v>
      </c>
      <c r="D2962" s="1" t="s">
        <v>1085</v>
      </c>
      <c r="E2962" s="1" t="s">
        <v>1067</v>
      </c>
      <c r="F2962" s="1" t="s">
        <v>1086</v>
      </c>
      <c r="G2962" s="1" t="s">
        <v>1087</v>
      </c>
      <c r="H2962" s="1" t="s">
        <v>1088</v>
      </c>
      <c r="I2962" t="b">
        <f>COUNTIF(Estadísticas!I:I,'centraldecomunicacion.es'!H2962)&gt;0</f>
        <v>1</v>
      </c>
    </row>
    <row r="2963" spans="1:9">
      <c r="A2963" s="1" t="s">
        <v>1089</v>
      </c>
      <c r="B2963" s="1" t="s">
        <v>18</v>
      </c>
      <c r="C2963" s="1" t="s">
        <v>1090</v>
      </c>
      <c r="D2963" s="1" t="s">
        <v>1091</v>
      </c>
      <c r="E2963" s="1" t="s">
        <v>1067</v>
      </c>
      <c r="F2963" s="1" t="s">
        <v>1092</v>
      </c>
      <c r="G2963" s="1" t="s">
        <v>1093</v>
      </c>
      <c r="H2963" s="1" t="s">
        <v>1094</v>
      </c>
      <c r="I2963" t="b">
        <f>COUNTIF(Estadísticas!I:I,'centraldecomunicacion.es'!H2963)&gt;0</f>
        <v>1</v>
      </c>
    </row>
    <row r="2964" spans="1:9" hidden="1">
      <c r="A2964" s="1" t="s">
        <v>10994</v>
      </c>
      <c r="B2964" s="1" t="s">
        <v>10</v>
      </c>
      <c r="C2964" s="1" t="s">
        <v>10995</v>
      </c>
      <c r="D2964" s="1" t="s">
        <v>10996</v>
      </c>
      <c r="E2964" s="1" t="s">
        <v>1067</v>
      </c>
      <c r="F2964" s="1" t="s">
        <v>30</v>
      </c>
      <c r="G2964" s="1" t="s">
        <v>30</v>
      </c>
      <c r="H2964" s="1" t="s">
        <v>1762</v>
      </c>
      <c r="I2964" t="b">
        <f>COUNTIF(Estadísticas!I:I,'centraldecomunicacion.es'!H2964)&gt;0</f>
        <v>0</v>
      </c>
    </row>
    <row r="2965" spans="1:9" hidden="1">
      <c r="A2965" s="1" t="s">
        <v>10997</v>
      </c>
      <c r="B2965" s="1" t="s">
        <v>10</v>
      </c>
      <c r="C2965" s="1" t="s">
        <v>10998</v>
      </c>
      <c r="D2965" s="1" t="s">
        <v>10908</v>
      </c>
      <c r="E2965" s="1" t="s">
        <v>1067</v>
      </c>
      <c r="F2965" s="1" t="s">
        <v>30</v>
      </c>
      <c r="G2965" s="1" t="s">
        <v>10999</v>
      </c>
      <c r="H2965" s="1" t="s">
        <v>1762</v>
      </c>
      <c r="I2965" t="b">
        <f>COUNTIF(Estadísticas!I:I,'centraldecomunicacion.es'!H2965)&gt;0</f>
        <v>0</v>
      </c>
    </row>
    <row r="2966" spans="1:9" hidden="1">
      <c r="A2966" s="1" t="s">
        <v>11000</v>
      </c>
      <c r="B2966" s="1" t="s">
        <v>10</v>
      </c>
      <c r="C2966" s="1" t="s">
        <v>11001</v>
      </c>
      <c r="D2966" s="1" t="s">
        <v>11002</v>
      </c>
      <c r="E2966" s="1" t="s">
        <v>1067</v>
      </c>
      <c r="F2966" s="1" t="s">
        <v>30</v>
      </c>
      <c r="G2966" s="1" t="s">
        <v>30</v>
      </c>
      <c r="H2966" s="1" t="s">
        <v>1762</v>
      </c>
      <c r="I2966" t="b">
        <f>COUNTIF(Estadísticas!I:I,'centraldecomunicacion.es'!H2966)&gt;0</f>
        <v>0</v>
      </c>
    </row>
    <row r="2967" spans="1:9" hidden="1">
      <c r="A2967" s="1" t="s">
        <v>11003</v>
      </c>
      <c r="B2967" s="1" t="s">
        <v>10</v>
      </c>
      <c r="C2967" s="1" t="s">
        <v>11004</v>
      </c>
      <c r="D2967" s="1" t="s">
        <v>10962</v>
      </c>
      <c r="E2967" s="1" t="s">
        <v>1067</v>
      </c>
      <c r="F2967" s="1" t="s">
        <v>11005</v>
      </c>
      <c r="G2967" s="1" t="s">
        <v>11006</v>
      </c>
      <c r="H2967" s="1" t="s">
        <v>11007</v>
      </c>
      <c r="I2967" t="b">
        <f>COUNTIF(Estadísticas!I:I,'centraldecomunicacion.es'!H2967)&gt;0</f>
        <v>0</v>
      </c>
    </row>
    <row r="2968" spans="1:9" hidden="1">
      <c r="A2968" s="1" t="s">
        <v>10932</v>
      </c>
      <c r="B2968" s="1" t="s">
        <v>18</v>
      </c>
      <c r="C2968" s="1" t="s">
        <v>11008</v>
      </c>
      <c r="D2968" s="1" t="s">
        <v>1085</v>
      </c>
      <c r="E2968" s="1" t="s">
        <v>1067</v>
      </c>
      <c r="F2968" s="1" t="s">
        <v>10934</v>
      </c>
      <c r="G2968" s="1" t="s">
        <v>11009</v>
      </c>
      <c r="H2968" s="1" t="s">
        <v>10936</v>
      </c>
      <c r="I2968" t="b">
        <f>COUNTIF(Estadísticas!I:I,'centraldecomunicacion.es'!H2968)&gt;0</f>
        <v>0</v>
      </c>
    </row>
    <row r="2969" spans="1:9" hidden="1">
      <c r="A2969" s="1" t="s">
        <v>11010</v>
      </c>
      <c r="B2969" s="1" t="s">
        <v>10</v>
      </c>
      <c r="C2969" s="1" t="s">
        <v>11011</v>
      </c>
      <c r="D2969" s="1" t="s">
        <v>11012</v>
      </c>
      <c r="E2969" s="1" t="s">
        <v>1067</v>
      </c>
      <c r="F2969" s="1" t="s">
        <v>11013</v>
      </c>
      <c r="G2969" s="1" t="s">
        <v>11014</v>
      </c>
      <c r="H2969" s="1" t="s">
        <v>1762</v>
      </c>
      <c r="I2969" t="b">
        <f>COUNTIF(Estadísticas!I:I,'centraldecomunicacion.es'!H2969)&gt;0</f>
        <v>0</v>
      </c>
    </row>
    <row r="2970" spans="1:9">
      <c r="A2970" s="1" t="s">
        <v>10919</v>
      </c>
      <c r="B2970" s="1" t="s">
        <v>18</v>
      </c>
      <c r="C2970" s="1" t="s">
        <v>11015</v>
      </c>
      <c r="D2970" s="1" t="s">
        <v>10939</v>
      </c>
      <c r="E2970" s="1" t="s">
        <v>1067</v>
      </c>
      <c r="F2970" s="1" t="s">
        <v>1068</v>
      </c>
      <c r="G2970" s="1" t="s">
        <v>11016</v>
      </c>
      <c r="H2970" s="1" t="s">
        <v>1070</v>
      </c>
      <c r="I2970" t="b">
        <f>COUNTIF(Estadísticas!I:I,'centraldecomunicacion.es'!H2970)&gt;0</f>
        <v>1</v>
      </c>
    </row>
    <row r="2971" spans="1:9" hidden="1">
      <c r="A2971" s="1" t="s">
        <v>11017</v>
      </c>
      <c r="B2971" s="1" t="s">
        <v>10</v>
      </c>
      <c r="C2971" s="1" t="s">
        <v>11018</v>
      </c>
      <c r="D2971" s="1" t="s">
        <v>10954</v>
      </c>
      <c r="E2971" s="1" t="s">
        <v>1067</v>
      </c>
      <c r="F2971" s="1" t="s">
        <v>30</v>
      </c>
      <c r="G2971" s="1" t="s">
        <v>11019</v>
      </c>
      <c r="H2971" s="1" t="s">
        <v>1762</v>
      </c>
      <c r="I2971" t="b">
        <f>COUNTIF(Estadísticas!I:I,'centraldecomunicacion.es'!H2971)&gt;0</f>
        <v>0</v>
      </c>
    </row>
    <row r="2972" spans="1:9" hidden="1">
      <c r="A2972" s="1" t="s">
        <v>3050</v>
      </c>
      <c r="B2972" s="1" t="s">
        <v>10</v>
      </c>
      <c r="C2972" s="1" t="s">
        <v>11020</v>
      </c>
      <c r="D2972" s="1" t="s">
        <v>10939</v>
      </c>
      <c r="E2972" s="1" t="s">
        <v>1067</v>
      </c>
      <c r="F2972" s="1" t="s">
        <v>11021</v>
      </c>
      <c r="G2972" s="1" t="s">
        <v>11022</v>
      </c>
      <c r="H2972" s="1" t="s">
        <v>11023</v>
      </c>
      <c r="I2972" t="b">
        <f>COUNTIF(Estadísticas!I:I,'centraldecomunicacion.es'!H2972)&gt;0</f>
        <v>0</v>
      </c>
    </row>
    <row r="2973" spans="1:9" hidden="1">
      <c r="A2973" s="1" t="s">
        <v>11024</v>
      </c>
      <c r="B2973" s="1" t="s">
        <v>18</v>
      </c>
      <c r="C2973" s="1" t="s">
        <v>11025</v>
      </c>
      <c r="D2973" s="1" t="s">
        <v>1085</v>
      </c>
      <c r="E2973" s="1" t="s">
        <v>1067</v>
      </c>
      <c r="F2973" s="1" t="s">
        <v>1830</v>
      </c>
      <c r="G2973" s="1" t="s">
        <v>11026</v>
      </c>
      <c r="H2973" s="1" t="s">
        <v>1762</v>
      </c>
      <c r="I2973" t="b">
        <f>COUNTIF(Estadísticas!I:I,'centraldecomunicacion.es'!H2973)&gt;0</f>
        <v>0</v>
      </c>
    </row>
    <row r="2974" spans="1:9" hidden="1">
      <c r="A2974" s="1" t="s">
        <v>11027</v>
      </c>
      <c r="B2974" s="1" t="s">
        <v>10</v>
      </c>
      <c r="C2974" s="1" t="s">
        <v>11028</v>
      </c>
      <c r="D2974" s="1" t="s">
        <v>10914</v>
      </c>
      <c r="E2974" s="1" t="s">
        <v>1067</v>
      </c>
      <c r="F2974" s="1" t="s">
        <v>30</v>
      </c>
      <c r="G2974" s="1" t="s">
        <v>30</v>
      </c>
      <c r="H2974" s="1" t="s">
        <v>1762</v>
      </c>
      <c r="I2974" t="b">
        <f>COUNTIF(Estadísticas!I:I,'centraldecomunicacion.es'!H2974)&gt;0</f>
        <v>0</v>
      </c>
    </row>
    <row r="2975" spans="1:9" hidden="1">
      <c r="A2975" s="1" t="s">
        <v>11029</v>
      </c>
      <c r="B2975" s="1" t="s">
        <v>18</v>
      </c>
      <c r="C2975" s="1" t="s">
        <v>11030</v>
      </c>
      <c r="D2975" s="1" t="s">
        <v>10958</v>
      </c>
      <c r="E2975" s="1" t="s">
        <v>1067</v>
      </c>
      <c r="F2975" s="1" t="s">
        <v>11031</v>
      </c>
      <c r="G2975" s="1" t="s">
        <v>11032</v>
      </c>
      <c r="H2975" s="1" t="s">
        <v>11033</v>
      </c>
      <c r="I2975" t="b">
        <f>COUNTIF(Estadísticas!I:I,'centraldecomunicacion.es'!H2975)&gt;0</f>
        <v>0</v>
      </c>
    </row>
    <row r="2976" spans="1:9" hidden="1">
      <c r="A2976" s="1" t="s">
        <v>11034</v>
      </c>
      <c r="B2976" s="1" t="s">
        <v>18</v>
      </c>
      <c r="C2976" s="1" t="s">
        <v>11035</v>
      </c>
      <c r="D2976" s="1" t="s">
        <v>10962</v>
      </c>
      <c r="E2976" s="1" t="s">
        <v>1067</v>
      </c>
      <c r="F2976" s="1" t="s">
        <v>4288</v>
      </c>
      <c r="G2976" s="1" t="s">
        <v>11036</v>
      </c>
      <c r="H2976" s="1" t="s">
        <v>4290</v>
      </c>
      <c r="I2976" t="b">
        <f>COUNTIF(Estadísticas!I:I,'centraldecomunicacion.es'!H2976)&gt;0</f>
        <v>0</v>
      </c>
    </row>
    <row r="2977" spans="1:9" hidden="1">
      <c r="A2977" s="1" t="s">
        <v>11037</v>
      </c>
      <c r="B2977" s="1" t="s">
        <v>10</v>
      </c>
      <c r="C2977" s="1" t="s">
        <v>11038</v>
      </c>
      <c r="D2977" s="1" t="s">
        <v>11039</v>
      </c>
      <c r="E2977" s="1" t="s">
        <v>1067</v>
      </c>
      <c r="F2977" s="1" t="s">
        <v>11040</v>
      </c>
      <c r="G2977" s="1" t="s">
        <v>11041</v>
      </c>
      <c r="H2977" s="1" t="s">
        <v>11042</v>
      </c>
      <c r="I2977" t="b">
        <f>COUNTIF(Estadísticas!I:I,'centraldecomunicacion.es'!H2977)&gt;0</f>
        <v>0</v>
      </c>
    </row>
    <row r="2978" spans="1:9" hidden="1">
      <c r="A2978" s="1" t="s">
        <v>11043</v>
      </c>
      <c r="B2978" s="1" t="s">
        <v>10</v>
      </c>
      <c r="C2978" s="1" t="s">
        <v>11044</v>
      </c>
      <c r="D2978" s="1" t="s">
        <v>10930</v>
      </c>
      <c r="E2978" s="1" t="s">
        <v>1067</v>
      </c>
      <c r="F2978" s="1" t="s">
        <v>30</v>
      </c>
      <c r="G2978" s="1" t="s">
        <v>11045</v>
      </c>
      <c r="H2978" s="1" t="s">
        <v>1762</v>
      </c>
      <c r="I2978" t="b">
        <f>COUNTIF(Estadísticas!I:I,'centraldecomunicacion.es'!H2978)&gt;0</f>
        <v>0</v>
      </c>
    </row>
    <row r="2979" spans="1:9" hidden="1">
      <c r="A2979" s="1" t="s">
        <v>11046</v>
      </c>
      <c r="B2979" s="1" t="s">
        <v>10</v>
      </c>
      <c r="C2979" s="1" t="s">
        <v>11047</v>
      </c>
      <c r="D2979" s="1" t="s">
        <v>11048</v>
      </c>
      <c r="E2979" s="1" t="s">
        <v>1067</v>
      </c>
      <c r="F2979" s="1" t="s">
        <v>1830</v>
      </c>
      <c r="G2979" s="1" t="s">
        <v>11049</v>
      </c>
      <c r="H2979" s="1" t="s">
        <v>1762</v>
      </c>
      <c r="I2979" t="b">
        <f>COUNTIF(Estadísticas!I:I,'centraldecomunicacion.es'!H2979)&gt;0</f>
        <v>0</v>
      </c>
    </row>
    <row r="2980" spans="1:9" hidden="1">
      <c r="A2980" s="1" t="s">
        <v>11050</v>
      </c>
      <c r="B2980" s="1" t="s">
        <v>10</v>
      </c>
      <c r="C2980" s="1" t="s">
        <v>11051</v>
      </c>
      <c r="D2980" s="1" t="s">
        <v>10982</v>
      </c>
      <c r="E2980" s="1" t="s">
        <v>1067</v>
      </c>
      <c r="F2980" s="1" t="s">
        <v>30</v>
      </c>
      <c r="G2980" s="1" t="s">
        <v>11052</v>
      </c>
      <c r="H2980" s="1" t="s">
        <v>1762</v>
      </c>
      <c r="I2980" t="b">
        <f>COUNTIF(Estadísticas!I:I,'centraldecomunicacion.es'!H2980)&gt;0</f>
        <v>0</v>
      </c>
    </row>
    <row r="2981" spans="1:9" hidden="1">
      <c r="A2981" s="1" t="s">
        <v>11053</v>
      </c>
      <c r="B2981" s="1" t="s">
        <v>10</v>
      </c>
      <c r="C2981" s="1" t="s">
        <v>11054</v>
      </c>
      <c r="D2981" s="1" t="s">
        <v>11055</v>
      </c>
      <c r="E2981" s="1" t="s">
        <v>1067</v>
      </c>
      <c r="F2981" s="1" t="s">
        <v>30</v>
      </c>
      <c r="G2981" s="1" t="s">
        <v>11056</v>
      </c>
      <c r="H2981" s="1" t="s">
        <v>1762</v>
      </c>
      <c r="I2981" t="b">
        <f>COUNTIF(Estadísticas!I:I,'centraldecomunicacion.es'!H2981)&gt;0</f>
        <v>0</v>
      </c>
    </row>
    <row r="2982" spans="1:9" hidden="1">
      <c r="A2982" s="1" t="s">
        <v>11057</v>
      </c>
      <c r="B2982" s="1" t="s">
        <v>10</v>
      </c>
      <c r="C2982" s="1" t="s">
        <v>11058</v>
      </c>
      <c r="D2982" s="1" t="s">
        <v>10914</v>
      </c>
      <c r="E2982" s="1" t="s">
        <v>1067</v>
      </c>
      <c r="F2982" s="1" t="s">
        <v>30</v>
      </c>
      <c r="G2982" s="1" t="s">
        <v>30</v>
      </c>
      <c r="H2982" s="1" t="s">
        <v>1762</v>
      </c>
      <c r="I2982" t="b">
        <f>COUNTIF(Estadísticas!I:I,'centraldecomunicacion.es'!H2982)&gt;0</f>
        <v>0</v>
      </c>
    </row>
    <row r="2983" spans="1:9" hidden="1">
      <c r="A2983" s="1" t="s">
        <v>11059</v>
      </c>
      <c r="B2983" s="1" t="s">
        <v>10</v>
      </c>
      <c r="C2983" s="1" t="s">
        <v>11060</v>
      </c>
      <c r="D2983" s="1" t="s">
        <v>1085</v>
      </c>
      <c r="E2983" s="1" t="s">
        <v>1067</v>
      </c>
      <c r="F2983" s="1" t="s">
        <v>30</v>
      </c>
      <c r="G2983" s="1" t="s">
        <v>30</v>
      </c>
      <c r="H2983" s="1" t="s">
        <v>1762</v>
      </c>
      <c r="I2983" t="b">
        <f>COUNTIF(Estadísticas!I:I,'centraldecomunicacion.es'!H2983)&gt;0</f>
        <v>0</v>
      </c>
    </row>
    <row r="2984" spans="1:9" hidden="1">
      <c r="A2984" s="1" t="s">
        <v>11061</v>
      </c>
      <c r="B2984" s="1" t="s">
        <v>10</v>
      </c>
      <c r="C2984" s="1" t="s">
        <v>11062</v>
      </c>
      <c r="D2984" s="1" t="s">
        <v>10921</v>
      </c>
      <c r="E2984" s="1" t="s">
        <v>1067</v>
      </c>
      <c r="F2984" s="1" t="s">
        <v>30</v>
      </c>
      <c r="G2984" s="1" t="s">
        <v>30</v>
      </c>
      <c r="H2984" s="1" t="s">
        <v>1762</v>
      </c>
      <c r="I2984" t="b">
        <f>COUNTIF(Estadísticas!I:I,'centraldecomunicacion.es'!H2984)&gt;0</f>
        <v>0</v>
      </c>
    </row>
    <row r="2985" spans="1:9" hidden="1">
      <c r="A2985" s="1" t="s">
        <v>11063</v>
      </c>
      <c r="B2985" s="1" t="s">
        <v>10</v>
      </c>
      <c r="C2985" s="1" t="s">
        <v>11064</v>
      </c>
      <c r="D2985" s="1" t="s">
        <v>1091</v>
      </c>
      <c r="E2985" s="1" t="s">
        <v>1067</v>
      </c>
      <c r="F2985" s="1" t="s">
        <v>30</v>
      </c>
      <c r="G2985" s="1" t="s">
        <v>10922</v>
      </c>
      <c r="H2985" s="1" t="s">
        <v>1762</v>
      </c>
      <c r="I2985" t="b">
        <f>COUNTIF(Estadísticas!I:I,'centraldecomunicacion.es'!H2985)&gt;0</f>
        <v>0</v>
      </c>
    </row>
    <row r="2986" spans="1:9" hidden="1">
      <c r="A2986" s="1" t="s">
        <v>11065</v>
      </c>
      <c r="B2986" s="1" t="s">
        <v>10</v>
      </c>
      <c r="C2986" s="1" t="s">
        <v>11066</v>
      </c>
      <c r="D2986" s="1" t="s">
        <v>10939</v>
      </c>
      <c r="E2986" s="1" t="s">
        <v>1067</v>
      </c>
      <c r="F2986" s="1" t="s">
        <v>30</v>
      </c>
      <c r="G2986" s="1" t="s">
        <v>30</v>
      </c>
      <c r="H2986" s="1" t="s">
        <v>1762</v>
      </c>
      <c r="I2986" t="b">
        <f>COUNTIF(Estadísticas!I:I,'centraldecomunicacion.es'!H2986)&gt;0</f>
        <v>0</v>
      </c>
    </row>
    <row r="2987" spans="1:9" hidden="1">
      <c r="A2987" s="1" t="s">
        <v>11067</v>
      </c>
      <c r="B2987" s="1" t="s">
        <v>10</v>
      </c>
      <c r="C2987" s="1" t="s">
        <v>11068</v>
      </c>
      <c r="D2987" s="1" t="s">
        <v>11069</v>
      </c>
      <c r="E2987" s="1" t="s">
        <v>1067</v>
      </c>
      <c r="F2987" s="1" t="s">
        <v>30</v>
      </c>
      <c r="G2987" s="1" t="s">
        <v>30</v>
      </c>
      <c r="H2987" s="1" t="s">
        <v>1762</v>
      </c>
      <c r="I2987" t="b">
        <f>COUNTIF(Estadísticas!I:I,'centraldecomunicacion.es'!H2987)&gt;0</f>
        <v>0</v>
      </c>
    </row>
    <row r="2988" spans="1:9" hidden="1">
      <c r="A2988" s="1" t="s">
        <v>11070</v>
      </c>
      <c r="B2988" s="1" t="s">
        <v>10</v>
      </c>
      <c r="C2988" s="1" t="s">
        <v>11071</v>
      </c>
      <c r="D2988" s="1" t="s">
        <v>11048</v>
      </c>
      <c r="E2988" s="1" t="s">
        <v>1067</v>
      </c>
      <c r="F2988" s="1" t="s">
        <v>30</v>
      </c>
      <c r="G2988" s="1" t="s">
        <v>11072</v>
      </c>
      <c r="H2988" s="1" t="s">
        <v>1762</v>
      </c>
      <c r="I2988" t="b">
        <f>COUNTIF(Estadísticas!I:I,'centraldecomunicacion.es'!H2988)&gt;0</f>
        <v>0</v>
      </c>
    </row>
    <row r="2989" spans="1:9" hidden="1">
      <c r="A2989" s="1" t="s">
        <v>11073</v>
      </c>
      <c r="B2989" s="1" t="s">
        <v>10</v>
      </c>
      <c r="C2989" s="1" t="s">
        <v>11074</v>
      </c>
      <c r="D2989" s="1" t="s">
        <v>10930</v>
      </c>
      <c r="E2989" s="1" t="s">
        <v>1067</v>
      </c>
      <c r="F2989" s="1" t="s">
        <v>30</v>
      </c>
      <c r="G2989" s="1" t="s">
        <v>30</v>
      </c>
      <c r="H2989" s="1" t="s">
        <v>1762</v>
      </c>
      <c r="I2989" t="b">
        <f>COUNTIF(Estadísticas!I:I,'centraldecomunicacion.es'!H2989)&gt;0</f>
        <v>0</v>
      </c>
    </row>
    <row r="2990" spans="1:9" hidden="1">
      <c r="A2990" s="1" t="s">
        <v>11075</v>
      </c>
      <c r="B2990" s="1" t="s">
        <v>10</v>
      </c>
      <c r="C2990" s="1" t="s">
        <v>11076</v>
      </c>
      <c r="D2990" s="1" t="s">
        <v>11077</v>
      </c>
      <c r="E2990" s="1" t="s">
        <v>1067</v>
      </c>
      <c r="F2990" s="1" t="s">
        <v>30</v>
      </c>
      <c r="G2990" s="1" t="s">
        <v>11078</v>
      </c>
      <c r="H2990" s="1" t="s">
        <v>1762</v>
      </c>
      <c r="I2990" t="b">
        <f>COUNTIF(Estadísticas!I:I,'centraldecomunicacion.es'!H2990)&gt;0</f>
        <v>0</v>
      </c>
    </row>
    <row r="2991" spans="1:9" hidden="1">
      <c r="A2991" s="1" t="s">
        <v>11079</v>
      </c>
      <c r="B2991" s="1" t="s">
        <v>10</v>
      </c>
      <c r="C2991" s="1" t="s">
        <v>11080</v>
      </c>
      <c r="D2991" s="1" t="s">
        <v>11081</v>
      </c>
      <c r="E2991" s="1" t="s">
        <v>1067</v>
      </c>
      <c r="F2991" s="1" t="s">
        <v>30</v>
      </c>
      <c r="G2991" s="1" t="s">
        <v>30</v>
      </c>
      <c r="H2991" s="1" t="s">
        <v>1762</v>
      </c>
      <c r="I2991" t="b">
        <f>COUNTIF(Estadísticas!I:I,'centraldecomunicacion.es'!H2991)&gt;0</f>
        <v>0</v>
      </c>
    </row>
    <row r="2992" spans="1:9" hidden="1">
      <c r="A2992" s="1" t="s">
        <v>11082</v>
      </c>
      <c r="B2992" s="1" t="s">
        <v>10</v>
      </c>
      <c r="C2992" s="1" t="s">
        <v>30</v>
      </c>
      <c r="D2992" s="1" t="s">
        <v>11077</v>
      </c>
      <c r="E2992" s="1" t="s">
        <v>30</v>
      </c>
      <c r="F2992" s="1" t="s">
        <v>11083</v>
      </c>
      <c r="G2992" s="1" t="s">
        <v>11084</v>
      </c>
      <c r="H2992" s="1" t="s">
        <v>1762</v>
      </c>
      <c r="I2992" t="b">
        <f>COUNTIF(Estadísticas!I:I,'centraldecomunicacion.es'!H2992)&gt;0</f>
        <v>0</v>
      </c>
    </row>
    <row r="2993" spans="1:9" hidden="1">
      <c r="A2993" s="1" t="s">
        <v>11085</v>
      </c>
      <c r="B2993" s="1" t="s">
        <v>10</v>
      </c>
      <c r="C2993" s="1" t="s">
        <v>11086</v>
      </c>
      <c r="D2993" s="1" t="s">
        <v>11087</v>
      </c>
      <c r="E2993" s="1" t="s">
        <v>1067</v>
      </c>
      <c r="F2993" s="1" t="s">
        <v>30</v>
      </c>
      <c r="G2993" s="1" t="s">
        <v>30</v>
      </c>
      <c r="H2993" s="1" t="s">
        <v>1762</v>
      </c>
      <c r="I2993" t="b">
        <f>COUNTIF(Estadísticas!I:I,'centraldecomunicacion.es'!H2993)&gt;0</f>
        <v>0</v>
      </c>
    </row>
    <row r="2994" spans="1:9" hidden="1">
      <c r="A2994" s="1" t="s">
        <v>11088</v>
      </c>
      <c r="B2994" s="1" t="s">
        <v>10</v>
      </c>
      <c r="C2994" s="1" t="s">
        <v>11089</v>
      </c>
      <c r="D2994" s="1" t="s">
        <v>10954</v>
      </c>
      <c r="E2994" s="1" t="s">
        <v>1067</v>
      </c>
      <c r="F2994" s="1" t="s">
        <v>11090</v>
      </c>
      <c r="G2994" s="1" t="s">
        <v>11091</v>
      </c>
      <c r="H2994" s="1" t="s">
        <v>1762</v>
      </c>
      <c r="I2994" t="b">
        <f>COUNTIF(Estadísticas!I:I,'centraldecomunicacion.es'!H2994)&gt;0</f>
        <v>0</v>
      </c>
    </row>
    <row r="2995" spans="1:9" hidden="1">
      <c r="A2995" s="1" t="s">
        <v>3050</v>
      </c>
      <c r="B2995" s="1" t="s">
        <v>10</v>
      </c>
      <c r="C2995" s="1" t="s">
        <v>11092</v>
      </c>
      <c r="D2995" s="1" t="s">
        <v>11055</v>
      </c>
      <c r="E2995" s="1" t="s">
        <v>1067</v>
      </c>
      <c r="F2995" s="1" t="s">
        <v>30</v>
      </c>
      <c r="G2995" s="1" t="s">
        <v>11093</v>
      </c>
      <c r="H2995" s="1" t="s">
        <v>1762</v>
      </c>
      <c r="I2995" t="b">
        <f>COUNTIF(Estadísticas!I:I,'centraldecomunicacion.es'!H2995)&gt;0</f>
        <v>0</v>
      </c>
    </row>
    <row r="2996" spans="1:9" hidden="1">
      <c r="A2996" s="1" t="s">
        <v>11094</v>
      </c>
      <c r="B2996" s="1" t="s">
        <v>10</v>
      </c>
      <c r="C2996" s="1" t="s">
        <v>11095</v>
      </c>
      <c r="D2996" s="1" t="s">
        <v>1091</v>
      </c>
      <c r="E2996" s="1" t="s">
        <v>1067</v>
      </c>
      <c r="F2996" s="1" t="s">
        <v>30</v>
      </c>
      <c r="G2996" s="1" t="s">
        <v>30</v>
      </c>
      <c r="H2996" s="1" t="s">
        <v>1762</v>
      </c>
      <c r="I2996" t="b">
        <f>COUNTIF(Estadísticas!I:I,'centraldecomunicacion.es'!H2996)&gt;0</f>
        <v>0</v>
      </c>
    </row>
    <row r="2997" spans="1:9" hidden="1">
      <c r="A2997" s="1" t="s">
        <v>11096</v>
      </c>
      <c r="B2997" s="1" t="s">
        <v>10</v>
      </c>
      <c r="C2997" s="1" t="s">
        <v>11097</v>
      </c>
      <c r="D2997" s="1" t="s">
        <v>10889</v>
      </c>
      <c r="E2997" s="1" t="s">
        <v>1067</v>
      </c>
      <c r="F2997" s="1" t="s">
        <v>30</v>
      </c>
      <c r="G2997" s="1" t="s">
        <v>11098</v>
      </c>
      <c r="H2997" s="1" t="s">
        <v>1762</v>
      </c>
      <c r="I2997" t="b">
        <f>COUNTIF(Estadísticas!I:I,'centraldecomunicacion.es'!H2997)&gt;0</f>
        <v>0</v>
      </c>
    </row>
    <row r="2998" spans="1:9" hidden="1">
      <c r="A2998" s="1" t="s">
        <v>11099</v>
      </c>
      <c r="B2998" s="1" t="s">
        <v>10</v>
      </c>
      <c r="C2998" s="1" t="s">
        <v>11100</v>
      </c>
      <c r="D2998" s="1" t="s">
        <v>11101</v>
      </c>
      <c r="E2998" s="1" t="s">
        <v>1067</v>
      </c>
      <c r="F2998" s="1" t="s">
        <v>30</v>
      </c>
      <c r="G2998" s="1" t="s">
        <v>11102</v>
      </c>
      <c r="H2998" s="1" t="s">
        <v>1762</v>
      </c>
      <c r="I2998" t="b">
        <f>COUNTIF(Estadísticas!I:I,'centraldecomunicacion.es'!H2998)&gt;0</f>
        <v>0</v>
      </c>
    </row>
    <row r="2999" spans="1:9" hidden="1">
      <c r="A2999" s="1" t="s">
        <v>11103</v>
      </c>
      <c r="B2999" s="1" t="s">
        <v>10</v>
      </c>
      <c r="C2999" s="1" t="s">
        <v>30</v>
      </c>
      <c r="D2999" s="1" t="s">
        <v>11077</v>
      </c>
      <c r="E2999" s="1" t="s">
        <v>30</v>
      </c>
      <c r="F2999" s="1" t="s">
        <v>11104</v>
      </c>
      <c r="G2999" s="1" t="s">
        <v>11105</v>
      </c>
      <c r="H2999" s="1" t="s">
        <v>1762</v>
      </c>
      <c r="I2999" t="b">
        <f>COUNTIF(Estadísticas!I:I,'centraldecomunicacion.es'!H2999)&gt;0</f>
        <v>0</v>
      </c>
    </row>
    <row r="3000" spans="1:9" hidden="1">
      <c r="A3000" s="1" t="s">
        <v>11106</v>
      </c>
      <c r="B3000" s="1" t="s">
        <v>10</v>
      </c>
      <c r="C3000" s="1" t="s">
        <v>11107</v>
      </c>
      <c r="D3000" s="1" t="s">
        <v>11055</v>
      </c>
      <c r="E3000" s="1" t="s">
        <v>1067</v>
      </c>
      <c r="F3000" s="1" t="s">
        <v>30</v>
      </c>
      <c r="G3000" s="1" t="s">
        <v>30</v>
      </c>
      <c r="H3000" s="1" t="s">
        <v>1762</v>
      </c>
      <c r="I3000" t="b">
        <f>COUNTIF(Estadísticas!I:I,'centraldecomunicacion.es'!H3000)&gt;0</f>
        <v>0</v>
      </c>
    </row>
    <row r="3001" spans="1:9" hidden="1">
      <c r="A3001" s="1" t="s">
        <v>11108</v>
      </c>
      <c r="B3001" s="1" t="s">
        <v>18</v>
      </c>
      <c r="C3001" s="1" t="s">
        <v>11109</v>
      </c>
      <c r="D3001" s="1" t="s">
        <v>11110</v>
      </c>
      <c r="E3001" s="1" t="s">
        <v>1023</v>
      </c>
      <c r="F3001" s="1" t="s">
        <v>4288</v>
      </c>
      <c r="G3001" s="1" t="s">
        <v>11111</v>
      </c>
      <c r="H3001" s="1" t="s">
        <v>4290</v>
      </c>
      <c r="I3001" t="b">
        <f>COUNTIF(Estadísticas!I:I,'centraldecomunicacion.es'!H3001)&gt;0</f>
        <v>0</v>
      </c>
    </row>
    <row r="3002" spans="1:9" hidden="1">
      <c r="A3002" s="1" t="s">
        <v>11112</v>
      </c>
      <c r="B3002" s="1" t="s">
        <v>10</v>
      </c>
      <c r="C3002" s="1" t="s">
        <v>11113</v>
      </c>
      <c r="D3002" s="1" t="s">
        <v>10958</v>
      </c>
      <c r="E3002" s="1" t="s">
        <v>1067</v>
      </c>
      <c r="F3002" s="1" t="s">
        <v>30</v>
      </c>
      <c r="G3002" s="1" t="s">
        <v>11114</v>
      </c>
      <c r="H3002" s="1" t="s">
        <v>1762</v>
      </c>
      <c r="I3002" t="b">
        <f>COUNTIF(Estadísticas!I:I,'centraldecomunicacion.es'!H3002)&gt;0</f>
        <v>0</v>
      </c>
    </row>
    <row r="3003" spans="1:9" hidden="1">
      <c r="A3003" s="1" t="s">
        <v>11115</v>
      </c>
      <c r="B3003" s="1" t="s">
        <v>10</v>
      </c>
      <c r="C3003" s="1" t="s">
        <v>11116</v>
      </c>
      <c r="D3003" s="1" t="s">
        <v>11117</v>
      </c>
      <c r="E3003" s="1" t="s">
        <v>1067</v>
      </c>
      <c r="F3003" s="1" t="s">
        <v>30</v>
      </c>
      <c r="G3003" s="1" t="s">
        <v>11118</v>
      </c>
      <c r="H3003" s="1" t="s">
        <v>1762</v>
      </c>
      <c r="I3003" t="b">
        <f>COUNTIF(Estadísticas!I:I,'centraldecomunicacion.es'!H3003)&gt;0</f>
        <v>0</v>
      </c>
    </row>
    <row r="3004" spans="1:9" hidden="1">
      <c r="A3004" s="1" t="s">
        <v>11119</v>
      </c>
      <c r="B3004" s="1" t="s">
        <v>10</v>
      </c>
      <c r="C3004" s="1" t="s">
        <v>11120</v>
      </c>
      <c r="D3004" s="1" t="s">
        <v>11121</v>
      </c>
      <c r="E3004" s="1" t="s">
        <v>1067</v>
      </c>
      <c r="F3004" s="1" t="s">
        <v>30</v>
      </c>
      <c r="G3004" s="1" t="s">
        <v>11122</v>
      </c>
      <c r="H3004" s="1" t="s">
        <v>1762</v>
      </c>
      <c r="I3004" t="b">
        <f>COUNTIF(Estadísticas!I:I,'centraldecomunicacion.es'!H3004)&gt;0</f>
        <v>0</v>
      </c>
    </row>
    <row r="3005" spans="1:9" hidden="1">
      <c r="A3005" s="1" t="s">
        <v>11123</v>
      </c>
      <c r="B3005" s="1" t="s">
        <v>18</v>
      </c>
      <c r="C3005" s="1" t="s">
        <v>11124</v>
      </c>
      <c r="D3005" s="1" t="s">
        <v>11125</v>
      </c>
      <c r="E3005" s="1" t="s">
        <v>1023</v>
      </c>
      <c r="F3005" s="1" t="s">
        <v>4288</v>
      </c>
      <c r="G3005" s="1" t="s">
        <v>11126</v>
      </c>
      <c r="H3005" s="1" t="s">
        <v>4290</v>
      </c>
      <c r="I3005" t="b">
        <f>COUNTIF(Estadísticas!I:I,'centraldecomunicacion.es'!H3005)&gt;0</f>
        <v>0</v>
      </c>
    </row>
    <row r="3006" spans="1:9" hidden="1">
      <c r="A3006" s="1" t="s">
        <v>11127</v>
      </c>
      <c r="B3006" s="1" t="s">
        <v>18</v>
      </c>
      <c r="C3006" s="1" t="s">
        <v>11128</v>
      </c>
      <c r="D3006" s="1" t="s">
        <v>10958</v>
      </c>
      <c r="E3006" s="1" t="s">
        <v>1067</v>
      </c>
      <c r="F3006" s="1" t="s">
        <v>11129</v>
      </c>
      <c r="G3006" s="1" t="s">
        <v>11130</v>
      </c>
      <c r="H3006" s="1" t="s">
        <v>11131</v>
      </c>
      <c r="I3006" t="b">
        <f>COUNTIF(Estadísticas!I:I,'centraldecomunicacion.es'!H3006)&gt;0</f>
        <v>0</v>
      </c>
    </row>
    <row r="3007" spans="1:9" hidden="1">
      <c r="A3007" s="1" t="s">
        <v>11132</v>
      </c>
      <c r="B3007" s="1" t="s">
        <v>10</v>
      </c>
      <c r="C3007" s="1" t="s">
        <v>11133</v>
      </c>
      <c r="D3007" s="1" t="s">
        <v>11134</v>
      </c>
      <c r="E3007" s="1" t="s">
        <v>1067</v>
      </c>
      <c r="F3007" s="1" t="s">
        <v>30</v>
      </c>
      <c r="G3007" s="1" t="s">
        <v>30</v>
      </c>
      <c r="H3007" s="1" t="s">
        <v>1762</v>
      </c>
      <c r="I3007" t="b">
        <f>COUNTIF(Estadísticas!I:I,'centraldecomunicacion.es'!H3007)&gt;0</f>
        <v>0</v>
      </c>
    </row>
    <row r="3008" spans="1:9">
      <c r="A3008" s="1" t="s">
        <v>11135</v>
      </c>
      <c r="B3008" s="1" t="s">
        <v>18</v>
      </c>
      <c r="C3008" s="1" t="s">
        <v>11136</v>
      </c>
      <c r="D3008" s="1" t="s">
        <v>11055</v>
      </c>
      <c r="E3008" s="1" t="s">
        <v>1067</v>
      </c>
      <c r="F3008" s="1" t="s">
        <v>1039</v>
      </c>
      <c r="G3008" s="1" t="s">
        <v>11137</v>
      </c>
      <c r="H3008" s="1" t="s">
        <v>1041</v>
      </c>
      <c r="I3008" t="b">
        <f>COUNTIF(Estadísticas!I:I,'centraldecomunicacion.es'!H3008)&gt;0</f>
        <v>1</v>
      </c>
    </row>
    <row r="3009" spans="1:9" hidden="1">
      <c r="A3009" s="1" t="s">
        <v>11138</v>
      </c>
      <c r="B3009" s="1" t="s">
        <v>10</v>
      </c>
      <c r="C3009" s="1" t="s">
        <v>11139</v>
      </c>
      <c r="D3009" s="1" t="s">
        <v>11140</v>
      </c>
      <c r="E3009" s="1" t="s">
        <v>1067</v>
      </c>
      <c r="F3009" s="1" t="s">
        <v>30</v>
      </c>
      <c r="G3009" s="1" t="s">
        <v>30</v>
      </c>
      <c r="H3009" s="1" t="s">
        <v>1762</v>
      </c>
      <c r="I3009" t="b">
        <f>COUNTIF(Estadísticas!I:I,'centraldecomunicacion.es'!H3009)&gt;0</f>
        <v>0</v>
      </c>
    </row>
    <row r="3010" spans="1:9" hidden="1">
      <c r="A3010" s="1" t="s">
        <v>11141</v>
      </c>
      <c r="B3010" s="1" t="s">
        <v>10</v>
      </c>
      <c r="C3010" s="1" t="s">
        <v>11142</v>
      </c>
      <c r="D3010" s="1" t="s">
        <v>11143</v>
      </c>
      <c r="E3010" s="1" t="s">
        <v>1067</v>
      </c>
      <c r="F3010" s="1" t="s">
        <v>30</v>
      </c>
      <c r="G3010" s="1" t="s">
        <v>30</v>
      </c>
      <c r="H3010" s="1" t="s">
        <v>1762</v>
      </c>
      <c r="I3010" t="b">
        <f>COUNTIF(Estadísticas!I:I,'centraldecomunicacion.es'!H3010)&gt;0</f>
        <v>0</v>
      </c>
    </row>
    <row r="3011" spans="1:9" hidden="1">
      <c r="A3011" s="1" t="s">
        <v>11144</v>
      </c>
      <c r="B3011" s="1" t="s">
        <v>18</v>
      </c>
      <c r="C3011" s="1" t="s">
        <v>11145</v>
      </c>
      <c r="D3011" s="1" t="s">
        <v>11146</v>
      </c>
      <c r="E3011" s="1" t="s">
        <v>1023</v>
      </c>
      <c r="F3011" s="1" t="s">
        <v>4288</v>
      </c>
      <c r="G3011" s="1" t="s">
        <v>11147</v>
      </c>
      <c r="H3011" s="1" t="s">
        <v>4290</v>
      </c>
      <c r="I3011" t="b">
        <f>COUNTIF(Estadísticas!I:I,'centraldecomunicacion.es'!H3011)&gt;0</f>
        <v>0</v>
      </c>
    </row>
    <row r="3012" spans="1:9" hidden="1">
      <c r="A3012" s="1" t="s">
        <v>11148</v>
      </c>
      <c r="B3012" s="1" t="s">
        <v>18</v>
      </c>
      <c r="C3012" s="1" t="s">
        <v>11149</v>
      </c>
      <c r="D3012" s="1" t="s">
        <v>11125</v>
      </c>
      <c r="E3012" s="1" t="s">
        <v>1023</v>
      </c>
      <c r="F3012" s="1" t="s">
        <v>10767</v>
      </c>
      <c r="G3012" s="1" t="s">
        <v>11150</v>
      </c>
      <c r="H3012" s="1" t="s">
        <v>10769</v>
      </c>
      <c r="I3012" t="b">
        <f>COUNTIF(Estadísticas!I:I,'centraldecomunicacion.es'!H3012)&gt;0</f>
        <v>0</v>
      </c>
    </row>
    <row r="3013" spans="1:9" hidden="1">
      <c r="A3013" s="1" t="s">
        <v>11151</v>
      </c>
      <c r="B3013" s="1" t="s">
        <v>10</v>
      </c>
      <c r="C3013" s="1" t="s">
        <v>11152</v>
      </c>
      <c r="D3013" s="1" t="s">
        <v>11153</v>
      </c>
      <c r="E3013" s="1" t="s">
        <v>1067</v>
      </c>
      <c r="F3013" s="1" t="s">
        <v>30</v>
      </c>
      <c r="G3013" s="1" t="s">
        <v>11154</v>
      </c>
      <c r="H3013" s="1" t="s">
        <v>1762</v>
      </c>
      <c r="I3013" t="b">
        <f>COUNTIF(Estadísticas!I:I,'centraldecomunicacion.es'!H3013)&gt;0</f>
        <v>0</v>
      </c>
    </row>
    <row r="3014" spans="1:9" hidden="1">
      <c r="A3014" s="1" t="s">
        <v>11155</v>
      </c>
      <c r="B3014" s="1" t="s">
        <v>10</v>
      </c>
      <c r="C3014" s="1" t="s">
        <v>11156</v>
      </c>
      <c r="D3014" s="1" t="s">
        <v>1097</v>
      </c>
      <c r="E3014" s="1" t="s">
        <v>1098</v>
      </c>
      <c r="F3014" s="1" t="s">
        <v>11157</v>
      </c>
      <c r="G3014" s="1" t="s">
        <v>11158</v>
      </c>
      <c r="H3014" s="1" t="s">
        <v>1762</v>
      </c>
      <c r="I3014" t="b">
        <f>COUNTIF(Estadísticas!I:I,'centraldecomunicacion.es'!H3014)&gt;0</f>
        <v>0</v>
      </c>
    </row>
    <row r="3015" spans="1:9" hidden="1">
      <c r="A3015" s="1" t="s">
        <v>11159</v>
      </c>
      <c r="B3015" s="1" t="s">
        <v>10</v>
      </c>
      <c r="C3015" s="1" t="s">
        <v>11160</v>
      </c>
      <c r="D3015" s="1" t="s">
        <v>1097</v>
      </c>
      <c r="E3015" s="1" t="s">
        <v>1098</v>
      </c>
      <c r="F3015" s="1" t="s">
        <v>11161</v>
      </c>
      <c r="G3015" s="1" t="s">
        <v>11162</v>
      </c>
      <c r="H3015" s="1" t="s">
        <v>11163</v>
      </c>
      <c r="I3015" t="b">
        <f>COUNTIF(Estadísticas!I:I,'centraldecomunicacion.es'!H3015)&gt;0</f>
        <v>0</v>
      </c>
    </row>
    <row r="3016" spans="1:9" hidden="1">
      <c r="A3016" s="1" t="s">
        <v>11164</v>
      </c>
      <c r="B3016" s="1" t="s">
        <v>10</v>
      </c>
      <c r="C3016" s="1" t="s">
        <v>11165</v>
      </c>
      <c r="D3016" s="1" t="s">
        <v>1097</v>
      </c>
      <c r="E3016" s="1" t="s">
        <v>1098</v>
      </c>
      <c r="F3016" s="1" t="s">
        <v>30</v>
      </c>
      <c r="G3016" s="1" t="s">
        <v>11166</v>
      </c>
      <c r="H3016" s="1" t="s">
        <v>1762</v>
      </c>
      <c r="I3016" t="b">
        <f>COUNTIF(Estadísticas!I:I,'centraldecomunicacion.es'!H3016)&gt;0</f>
        <v>0</v>
      </c>
    </row>
    <row r="3017" spans="1:9" hidden="1">
      <c r="A3017" s="1" t="s">
        <v>11167</v>
      </c>
      <c r="B3017" s="1" t="s">
        <v>10</v>
      </c>
      <c r="C3017" s="1" t="s">
        <v>11168</v>
      </c>
      <c r="D3017" s="1" t="s">
        <v>1097</v>
      </c>
      <c r="E3017" s="1" t="s">
        <v>1098</v>
      </c>
      <c r="F3017" s="1" t="s">
        <v>11169</v>
      </c>
      <c r="G3017" s="1" t="s">
        <v>11170</v>
      </c>
      <c r="H3017" s="1" t="s">
        <v>1762</v>
      </c>
      <c r="I3017" t="b">
        <f>COUNTIF(Estadísticas!I:I,'centraldecomunicacion.es'!H3017)&gt;0</f>
        <v>0</v>
      </c>
    </row>
    <row r="3018" spans="1:9">
      <c r="A3018" s="1" t="s">
        <v>1095</v>
      </c>
      <c r="B3018" s="1" t="s">
        <v>10</v>
      </c>
      <c r="C3018" s="1" t="s">
        <v>1096</v>
      </c>
      <c r="D3018" s="1" t="s">
        <v>1097</v>
      </c>
      <c r="E3018" s="1" t="s">
        <v>1098</v>
      </c>
      <c r="F3018" s="1" t="s">
        <v>1099</v>
      </c>
      <c r="G3018" s="1" t="s">
        <v>1100</v>
      </c>
      <c r="H3018" s="1" t="s">
        <v>1101</v>
      </c>
      <c r="I3018" t="b">
        <f>COUNTIF(Estadísticas!I:I,'centraldecomunicacion.es'!H3018)&gt;0</f>
        <v>1</v>
      </c>
    </row>
    <row r="3019" spans="1:9" hidden="1">
      <c r="A3019" s="1" t="s">
        <v>11171</v>
      </c>
      <c r="B3019" s="1" t="s">
        <v>10</v>
      </c>
      <c r="C3019" s="1" t="s">
        <v>11172</v>
      </c>
      <c r="D3019" s="1" t="s">
        <v>1097</v>
      </c>
      <c r="E3019" s="1" t="s">
        <v>1098</v>
      </c>
      <c r="F3019" s="1" t="s">
        <v>11173</v>
      </c>
      <c r="G3019" s="1" t="s">
        <v>11174</v>
      </c>
      <c r="H3019" s="1" t="s">
        <v>1762</v>
      </c>
      <c r="I3019" t="b">
        <f>COUNTIF(Estadísticas!I:I,'centraldecomunicacion.es'!H3019)&gt;0</f>
        <v>0</v>
      </c>
    </row>
    <row r="3020" spans="1:9" hidden="1">
      <c r="A3020" s="1" t="s">
        <v>11175</v>
      </c>
      <c r="B3020" s="1" t="s">
        <v>10</v>
      </c>
      <c r="C3020" s="1" t="s">
        <v>11176</v>
      </c>
      <c r="D3020" s="1" t="s">
        <v>1097</v>
      </c>
      <c r="E3020" s="1" t="s">
        <v>1098</v>
      </c>
      <c r="F3020" s="1" t="s">
        <v>1984</v>
      </c>
      <c r="G3020" s="1" t="s">
        <v>11177</v>
      </c>
      <c r="H3020" s="1" t="s">
        <v>1762</v>
      </c>
      <c r="I3020" t="b">
        <f>COUNTIF(Estadísticas!I:I,'centraldecomunicacion.es'!H3020)&gt;0</f>
        <v>0</v>
      </c>
    </row>
    <row r="3021" spans="1:9" hidden="1">
      <c r="A3021" s="1" t="s">
        <v>11178</v>
      </c>
      <c r="B3021" s="1" t="s">
        <v>10</v>
      </c>
      <c r="C3021" s="1" t="s">
        <v>30</v>
      </c>
      <c r="D3021" s="1" t="s">
        <v>11179</v>
      </c>
      <c r="E3021" s="1" t="s">
        <v>30</v>
      </c>
      <c r="F3021" s="1" t="s">
        <v>11180</v>
      </c>
      <c r="G3021" s="1" t="s">
        <v>11181</v>
      </c>
      <c r="H3021" s="1" t="s">
        <v>1762</v>
      </c>
      <c r="I3021" t="b">
        <f>COUNTIF(Estadísticas!I:I,'centraldecomunicacion.es'!H3021)&gt;0</f>
        <v>0</v>
      </c>
    </row>
    <row r="3022" spans="1:9">
      <c r="A3022" s="1" t="s">
        <v>1102</v>
      </c>
      <c r="B3022" s="1" t="s">
        <v>18</v>
      </c>
      <c r="C3022" s="1" t="s">
        <v>1103</v>
      </c>
      <c r="D3022" s="1" t="s">
        <v>1097</v>
      </c>
      <c r="E3022" s="1" t="s">
        <v>1098</v>
      </c>
      <c r="F3022" s="1" t="s">
        <v>1104</v>
      </c>
      <c r="G3022" s="1" t="s">
        <v>1105</v>
      </c>
      <c r="H3022" s="1" t="s">
        <v>1106</v>
      </c>
      <c r="I3022" t="b">
        <f>COUNTIF(Estadísticas!I:I,'centraldecomunicacion.es'!H3022)&gt;0</f>
        <v>1</v>
      </c>
    </row>
    <row r="3023" spans="1:9" hidden="1">
      <c r="A3023" s="1" t="s">
        <v>11182</v>
      </c>
      <c r="B3023" s="1" t="s">
        <v>10</v>
      </c>
      <c r="C3023" s="1" t="s">
        <v>11183</v>
      </c>
      <c r="D3023" s="1" t="s">
        <v>1097</v>
      </c>
      <c r="E3023" s="1" t="s">
        <v>1098</v>
      </c>
      <c r="F3023" s="1" t="s">
        <v>11184</v>
      </c>
      <c r="G3023" s="1" t="s">
        <v>11185</v>
      </c>
      <c r="H3023" s="1" t="s">
        <v>11186</v>
      </c>
      <c r="I3023" t="b">
        <f>COUNTIF(Estadísticas!I:I,'centraldecomunicacion.es'!H3023)&gt;0</f>
        <v>0</v>
      </c>
    </row>
    <row r="3024" spans="1:9" hidden="1">
      <c r="A3024" s="1" t="s">
        <v>11187</v>
      </c>
      <c r="B3024" s="1" t="s">
        <v>10</v>
      </c>
      <c r="C3024" s="1" t="s">
        <v>11188</v>
      </c>
      <c r="D3024" s="1" t="s">
        <v>1097</v>
      </c>
      <c r="E3024" s="1" t="s">
        <v>1098</v>
      </c>
      <c r="F3024" s="1" t="s">
        <v>30</v>
      </c>
      <c r="G3024" s="1" t="s">
        <v>11189</v>
      </c>
      <c r="H3024" s="1" t="s">
        <v>1762</v>
      </c>
      <c r="I3024" t="b">
        <f>COUNTIF(Estadísticas!I:I,'centraldecomunicacion.es'!H3024)&gt;0</f>
        <v>0</v>
      </c>
    </row>
    <row r="3025" spans="1:9" hidden="1">
      <c r="A3025" s="1" t="s">
        <v>11190</v>
      </c>
      <c r="B3025" s="1" t="s">
        <v>10</v>
      </c>
      <c r="C3025" s="1" t="s">
        <v>11191</v>
      </c>
      <c r="D3025" s="1" t="s">
        <v>1097</v>
      </c>
      <c r="E3025" s="1" t="s">
        <v>1098</v>
      </c>
      <c r="F3025" s="1" t="s">
        <v>11192</v>
      </c>
      <c r="G3025" s="1" t="s">
        <v>11193</v>
      </c>
      <c r="H3025" s="1" t="s">
        <v>1762</v>
      </c>
      <c r="I3025" t="b">
        <f>COUNTIF(Estadísticas!I:I,'centraldecomunicacion.es'!H3025)&gt;0</f>
        <v>0</v>
      </c>
    </row>
    <row r="3026" spans="1:9" hidden="1">
      <c r="A3026" s="1" t="s">
        <v>11194</v>
      </c>
      <c r="B3026" s="1" t="s">
        <v>10</v>
      </c>
      <c r="C3026" s="1" t="s">
        <v>11195</v>
      </c>
      <c r="D3026" s="1" t="s">
        <v>1097</v>
      </c>
      <c r="E3026" s="1" t="s">
        <v>1098</v>
      </c>
      <c r="F3026" s="1" t="s">
        <v>11196</v>
      </c>
      <c r="G3026" s="1" t="s">
        <v>11197</v>
      </c>
      <c r="H3026" s="1" t="s">
        <v>11198</v>
      </c>
      <c r="I3026" t="b">
        <f>COUNTIF(Estadísticas!I:I,'centraldecomunicacion.es'!H3026)&gt;0</f>
        <v>0</v>
      </c>
    </row>
    <row r="3027" spans="1:9" hidden="1">
      <c r="A3027" s="1" t="s">
        <v>11199</v>
      </c>
      <c r="B3027" s="1" t="s">
        <v>10</v>
      </c>
      <c r="C3027" s="1" t="s">
        <v>11200</v>
      </c>
      <c r="D3027" s="1" t="s">
        <v>1097</v>
      </c>
      <c r="E3027" s="1" t="s">
        <v>1097</v>
      </c>
      <c r="F3027" s="1" t="s">
        <v>11201</v>
      </c>
      <c r="G3027" s="1" t="s">
        <v>11202</v>
      </c>
      <c r="H3027" s="1" t="s">
        <v>11203</v>
      </c>
      <c r="I3027" t="b">
        <f>COUNTIF(Estadísticas!I:I,'centraldecomunicacion.es'!H3027)&gt;0</f>
        <v>0</v>
      </c>
    </row>
    <row r="3028" spans="1:9" hidden="1">
      <c r="A3028" s="1" t="s">
        <v>11204</v>
      </c>
      <c r="B3028" s="1" t="s">
        <v>10</v>
      </c>
      <c r="C3028" s="1" t="s">
        <v>30</v>
      </c>
      <c r="D3028" s="1" t="s">
        <v>11179</v>
      </c>
      <c r="E3028" s="1" t="s">
        <v>30</v>
      </c>
      <c r="F3028" s="1" t="s">
        <v>30</v>
      </c>
      <c r="G3028" s="1" t="s">
        <v>11205</v>
      </c>
      <c r="H3028" s="1" t="s">
        <v>1762</v>
      </c>
      <c r="I3028" t="b">
        <f>COUNTIF(Estadísticas!I:I,'centraldecomunicacion.es'!H3028)&gt;0</f>
        <v>0</v>
      </c>
    </row>
    <row r="3029" spans="1:9" hidden="1">
      <c r="A3029" s="1" t="s">
        <v>11206</v>
      </c>
      <c r="B3029" s="1" t="s">
        <v>10</v>
      </c>
      <c r="C3029" s="1" t="s">
        <v>11207</v>
      </c>
      <c r="D3029" s="1" t="s">
        <v>1097</v>
      </c>
      <c r="E3029" s="1" t="s">
        <v>1098</v>
      </c>
      <c r="F3029" s="1" t="s">
        <v>30</v>
      </c>
      <c r="G3029" s="1" t="s">
        <v>11208</v>
      </c>
      <c r="H3029" s="1" t="s">
        <v>1762</v>
      </c>
      <c r="I3029" t="b">
        <f>COUNTIF(Estadísticas!I:I,'centraldecomunicacion.es'!H3029)&gt;0</f>
        <v>0</v>
      </c>
    </row>
    <row r="3030" spans="1:9" hidden="1">
      <c r="A3030" s="1" t="s">
        <v>11209</v>
      </c>
      <c r="B3030" s="1" t="s">
        <v>18</v>
      </c>
      <c r="C3030" s="1" t="s">
        <v>11210</v>
      </c>
      <c r="D3030" s="1" t="s">
        <v>1097</v>
      </c>
      <c r="E3030" s="1" t="s">
        <v>1098</v>
      </c>
      <c r="F3030" s="1" t="s">
        <v>11211</v>
      </c>
      <c r="G3030" s="1" t="s">
        <v>11212</v>
      </c>
      <c r="H3030" s="1" t="s">
        <v>1762</v>
      </c>
      <c r="I3030" t="b">
        <f>COUNTIF(Estadísticas!I:I,'centraldecomunicacion.es'!H3030)&gt;0</f>
        <v>0</v>
      </c>
    </row>
    <row r="3031" spans="1:9" hidden="1">
      <c r="A3031" s="1" t="s">
        <v>11213</v>
      </c>
      <c r="B3031" s="1" t="s">
        <v>10</v>
      </c>
      <c r="C3031" s="1" t="s">
        <v>11214</v>
      </c>
      <c r="D3031" s="1" t="s">
        <v>1097</v>
      </c>
      <c r="E3031" s="1" t="s">
        <v>1098</v>
      </c>
      <c r="F3031" s="1" t="s">
        <v>30</v>
      </c>
      <c r="G3031" s="1" t="s">
        <v>11215</v>
      </c>
      <c r="H3031" s="1" t="s">
        <v>1762</v>
      </c>
      <c r="I3031" t="b">
        <f>COUNTIF(Estadísticas!I:I,'centraldecomunicacion.es'!H3031)&gt;0</f>
        <v>0</v>
      </c>
    </row>
    <row r="3032" spans="1:9" hidden="1">
      <c r="A3032" s="1" t="s">
        <v>11216</v>
      </c>
      <c r="B3032" s="1" t="s">
        <v>10</v>
      </c>
      <c r="C3032" s="1" t="s">
        <v>11217</v>
      </c>
      <c r="D3032" s="1" t="s">
        <v>1097</v>
      </c>
      <c r="E3032" s="1" t="s">
        <v>1098</v>
      </c>
      <c r="F3032" s="1" t="s">
        <v>30</v>
      </c>
      <c r="G3032" s="1" t="s">
        <v>11218</v>
      </c>
      <c r="H3032" s="1" t="s">
        <v>1762</v>
      </c>
      <c r="I3032" t="b">
        <f>COUNTIF(Estadísticas!I:I,'centraldecomunicacion.es'!H3032)&gt;0</f>
        <v>0</v>
      </c>
    </row>
    <row r="3033" spans="1:9" hidden="1">
      <c r="A3033" s="1" t="s">
        <v>11219</v>
      </c>
      <c r="B3033" s="1" t="s">
        <v>10</v>
      </c>
      <c r="C3033" s="1" t="s">
        <v>11220</v>
      </c>
      <c r="D3033" s="1" t="s">
        <v>1097</v>
      </c>
      <c r="E3033" s="1" t="s">
        <v>1098</v>
      </c>
      <c r="F3033" s="1" t="s">
        <v>1864</v>
      </c>
      <c r="G3033" s="1" t="s">
        <v>1865</v>
      </c>
      <c r="H3033" s="1" t="s">
        <v>1762</v>
      </c>
      <c r="I3033" t="b">
        <f>COUNTIF(Estadísticas!I:I,'centraldecomunicacion.es'!H3033)&gt;0</f>
        <v>0</v>
      </c>
    </row>
    <row r="3034" spans="1:9" hidden="1">
      <c r="A3034" s="1" t="s">
        <v>11221</v>
      </c>
      <c r="B3034" s="1" t="s">
        <v>10</v>
      </c>
      <c r="C3034" s="1" t="s">
        <v>11222</v>
      </c>
      <c r="D3034" s="1" t="s">
        <v>1097</v>
      </c>
      <c r="E3034" s="1" t="s">
        <v>1098</v>
      </c>
      <c r="F3034" s="1" t="s">
        <v>30</v>
      </c>
      <c r="G3034" s="1" t="s">
        <v>11223</v>
      </c>
      <c r="H3034" s="1" t="s">
        <v>1762</v>
      </c>
      <c r="I3034" t="b">
        <f>COUNTIF(Estadísticas!I:I,'centraldecomunicacion.es'!H3034)&gt;0</f>
        <v>0</v>
      </c>
    </row>
    <row r="3035" spans="1:9" hidden="1">
      <c r="A3035" s="1" t="s">
        <v>11224</v>
      </c>
      <c r="B3035" s="1" t="s">
        <v>10</v>
      </c>
      <c r="C3035" s="1" t="s">
        <v>11225</v>
      </c>
      <c r="D3035" s="1" t="s">
        <v>1097</v>
      </c>
      <c r="E3035" s="1" t="s">
        <v>1098</v>
      </c>
      <c r="F3035" s="1" t="s">
        <v>30</v>
      </c>
      <c r="G3035" s="1" t="s">
        <v>11226</v>
      </c>
      <c r="H3035" s="1" t="s">
        <v>1762</v>
      </c>
      <c r="I3035" t="b">
        <f>COUNTIF(Estadísticas!I:I,'centraldecomunicacion.es'!H3035)&gt;0</f>
        <v>0</v>
      </c>
    </row>
    <row r="3036" spans="1:9" hidden="1">
      <c r="A3036" s="1" t="s">
        <v>11227</v>
      </c>
      <c r="B3036" s="1" t="s">
        <v>18</v>
      </c>
      <c r="C3036" s="1" t="s">
        <v>11228</v>
      </c>
      <c r="D3036" s="1" t="s">
        <v>1097</v>
      </c>
      <c r="E3036" s="1" t="s">
        <v>1098</v>
      </c>
      <c r="F3036" s="1" t="s">
        <v>11229</v>
      </c>
      <c r="G3036" s="1" t="s">
        <v>11230</v>
      </c>
      <c r="H3036" s="1" t="s">
        <v>11231</v>
      </c>
      <c r="I3036" t="b">
        <f>COUNTIF(Estadísticas!I:I,'centraldecomunicacion.es'!H3036)&gt;0</f>
        <v>0</v>
      </c>
    </row>
    <row r="3037" spans="1:9" hidden="1">
      <c r="A3037" s="1" t="s">
        <v>11232</v>
      </c>
      <c r="B3037" s="1" t="s">
        <v>10</v>
      </c>
      <c r="C3037" s="1" t="s">
        <v>11233</v>
      </c>
      <c r="D3037" s="1" t="s">
        <v>1097</v>
      </c>
      <c r="E3037" s="1" t="s">
        <v>1098</v>
      </c>
      <c r="F3037" s="1" t="s">
        <v>30</v>
      </c>
      <c r="G3037" s="1" t="s">
        <v>11234</v>
      </c>
      <c r="H3037" s="1" t="s">
        <v>1762</v>
      </c>
      <c r="I3037" t="b">
        <f>COUNTIF(Estadísticas!I:I,'centraldecomunicacion.es'!H3037)&gt;0</f>
        <v>0</v>
      </c>
    </row>
    <row r="3038" spans="1:9" hidden="1">
      <c r="A3038" s="1" t="s">
        <v>11235</v>
      </c>
      <c r="B3038" s="1" t="s">
        <v>18</v>
      </c>
      <c r="C3038" s="1" t="s">
        <v>11236</v>
      </c>
      <c r="D3038" s="1" t="s">
        <v>1097</v>
      </c>
      <c r="E3038" s="1" t="s">
        <v>1098</v>
      </c>
      <c r="F3038" s="1" t="s">
        <v>11237</v>
      </c>
      <c r="G3038" s="1" t="s">
        <v>11238</v>
      </c>
      <c r="H3038" s="1" t="s">
        <v>11239</v>
      </c>
      <c r="I3038" t="b">
        <f>COUNTIF(Estadísticas!I:I,'centraldecomunicacion.es'!H3038)&gt;0</f>
        <v>0</v>
      </c>
    </row>
    <row r="3039" spans="1:9" hidden="1">
      <c r="A3039" s="1" t="s">
        <v>11240</v>
      </c>
      <c r="B3039" s="1" t="s">
        <v>10</v>
      </c>
      <c r="C3039" s="1" t="s">
        <v>11241</v>
      </c>
      <c r="D3039" s="1" t="s">
        <v>1097</v>
      </c>
      <c r="E3039" s="1" t="s">
        <v>1098</v>
      </c>
      <c r="F3039" s="1" t="s">
        <v>30</v>
      </c>
      <c r="G3039" s="1" t="s">
        <v>11242</v>
      </c>
      <c r="H3039" s="1" t="s">
        <v>1762</v>
      </c>
      <c r="I3039" t="b">
        <f>COUNTIF(Estadísticas!I:I,'centraldecomunicacion.es'!H3039)&gt;0</f>
        <v>0</v>
      </c>
    </row>
    <row r="3040" spans="1:9" hidden="1">
      <c r="A3040" s="1" t="s">
        <v>11243</v>
      </c>
      <c r="B3040" s="1" t="s">
        <v>10</v>
      </c>
      <c r="C3040" s="1" t="s">
        <v>11244</v>
      </c>
      <c r="D3040" s="1" t="s">
        <v>11179</v>
      </c>
      <c r="E3040" s="1" t="s">
        <v>1098</v>
      </c>
      <c r="F3040" s="1" t="s">
        <v>30</v>
      </c>
      <c r="G3040" s="1" t="s">
        <v>11245</v>
      </c>
      <c r="H3040" s="1" t="s">
        <v>1762</v>
      </c>
      <c r="I3040" t="b">
        <f>COUNTIF(Estadísticas!I:I,'centraldecomunicacion.es'!H3040)&gt;0</f>
        <v>0</v>
      </c>
    </row>
    <row r="3041" spans="1:9" hidden="1">
      <c r="A3041" s="1" t="s">
        <v>11246</v>
      </c>
      <c r="B3041" s="1" t="s">
        <v>10</v>
      </c>
      <c r="C3041" s="1" t="s">
        <v>11247</v>
      </c>
      <c r="D3041" s="1" t="s">
        <v>1097</v>
      </c>
      <c r="E3041" s="1" t="s">
        <v>1098</v>
      </c>
      <c r="F3041" s="1" t="s">
        <v>30</v>
      </c>
      <c r="G3041" s="1" t="s">
        <v>11248</v>
      </c>
      <c r="H3041" s="1" t="s">
        <v>1762</v>
      </c>
      <c r="I3041" t="b">
        <f>COUNTIF(Estadísticas!I:I,'centraldecomunicacion.es'!H3041)&gt;0</f>
        <v>0</v>
      </c>
    </row>
    <row r="3042" spans="1:9" hidden="1">
      <c r="A3042" s="1" t="s">
        <v>11249</v>
      </c>
      <c r="B3042" s="1" t="s">
        <v>10</v>
      </c>
      <c r="C3042" s="1" t="s">
        <v>11250</v>
      </c>
      <c r="D3042" s="1" t="s">
        <v>1097</v>
      </c>
      <c r="E3042" s="1" t="s">
        <v>1098</v>
      </c>
      <c r="F3042" s="1" t="s">
        <v>30</v>
      </c>
      <c r="G3042" s="1" t="s">
        <v>11251</v>
      </c>
      <c r="H3042" s="1" t="s">
        <v>1762</v>
      </c>
      <c r="I3042" t="b">
        <f>COUNTIF(Estadísticas!I:I,'centraldecomunicacion.es'!H3042)&gt;0</f>
        <v>0</v>
      </c>
    </row>
    <row r="3043" spans="1:9" hidden="1">
      <c r="A3043" s="1" t="s">
        <v>11252</v>
      </c>
      <c r="B3043" s="1" t="s">
        <v>10</v>
      </c>
      <c r="C3043" s="1" t="s">
        <v>11253</v>
      </c>
      <c r="D3043" s="1" t="s">
        <v>1097</v>
      </c>
      <c r="E3043" s="1" t="s">
        <v>1098</v>
      </c>
      <c r="F3043" s="1" t="s">
        <v>11254</v>
      </c>
      <c r="G3043" s="1" t="s">
        <v>11255</v>
      </c>
      <c r="H3043" s="1" t="s">
        <v>11256</v>
      </c>
      <c r="I3043" t="b">
        <f>COUNTIF(Estadísticas!I:I,'centraldecomunicacion.es'!H3043)&gt;0</f>
        <v>0</v>
      </c>
    </row>
    <row r="3044" spans="1:9" hidden="1">
      <c r="A3044" s="1" t="s">
        <v>11257</v>
      </c>
      <c r="B3044" s="1" t="s">
        <v>10</v>
      </c>
      <c r="C3044" s="1" t="s">
        <v>11258</v>
      </c>
      <c r="D3044" s="1" t="s">
        <v>1097</v>
      </c>
      <c r="E3044" s="1" t="s">
        <v>1098</v>
      </c>
      <c r="F3044" s="1" t="s">
        <v>30</v>
      </c>
      <c r="G3044" s="1" t="s">
        <v>11259</v>
      </c>
      <c r="H3044" s="1" t="s">
        <v>1762</v>
      </c>
      <c r="I3044" t="b">
        <f>COUNTIF(Estadísticas!I:I,'centraldecomunicacion.es'!H3044)&gt;0</f>
        <v>0</v>
      </c>
    </row>
    <row r="3045" spans="1:9" hidden="1">
      <c r="A3045" s="1" t="s">
        <v>11260</v>
      </c>
      <c r="B3045" s="1" t="s">
        <v>18</v>
      </c>
      <c r="C3045" s="1" t="s">
        <v>11261</v>
      </c>
      <c r="D3045" s="1" t="s">
        <v>1097</v>
      </c>
      <c r="E3045" s="1" t="s">
        <v>1098</v>
      </c>
      <c r="F3045" s="1" t="s">
        <v>30</v>
      </c>
      <c r="G3045" s="1" t="s">
        <v>30</v>
      </c>
      <c r="H3045" s="1" t="s">
        <v>1762</v>
      </c>
      <c r="I3045" t="b">
        <f>COUNTIF(Estadísticas!I:I,'centraldecomunicacion.es'!H3045)&gt;0</f>
        <v>0</v>
      </c>
    </row>
    <row r="3046" spans="1:9" hidden="1">
      <c r="A3046" s="1" t="s">
        <v>11262</v>
      </c>
      <c r="B3046" s="1" t="s">
        <v>10</v>
      </c>
      <c r="C3046" s="1" t="s">
        <v>11263</v>
      </c>
      <c r="D3046" s="1" t="s">
        <v>1097</v>
      </c>
      <c r="E3046" s="1" t="s">
        <v>1097</v>
      </c>
      <c r="F3046" s="1" t="s">
        <v>30</v>
      </c>
      <c r="G3046" s="1" t="s">
        <v>30</v>
      </c>
      <c r="H3046" s="1" t="s">
        <v>1762</v>
      </c>
      <c r="I3046" t="b">
        <f>COUNTIF(Estadísticas!I:I,'centraldecomunicacion.es'!H3046)&gt;0</f>
        <v>0</v>
      </c>
    </row>
    <row r="3047" spans="1:9" hidden="1">
      <c r="A3047" s="1" t="s">
        <v>11264</v>
      </c>
      <c r="B3047" s="1" t="s">
        <v>10</v>
      </c>
      <c r="C3047" s="1" t="s">
        <v>11265</v>
      </c>
      <c r="D3047" s="1" t="s">
        <v>11266</v>
      </c>
      <c r="E3047" s="1" t="s">
        <v>1098</v>
      </c>
      <c r="F3047" s="1" t="s">
        <v>30</v>
      </c>
      <c r="G3047" s="1" t="s">
        <v>11267</v>
      </c>
      <c r="H3047" s="1" t="s">
        <v>1762</v>
      </c>
      <c r="I3047" t="b">
        <f>COUNTIF(Estadísticas!I:I,'centraldecomunicacion.es'!H3047)&gt;0</f>
        <v>0</v>
      </c>
    </row>
    <row r="3048" spans="1:9" hidden="1">
      <c r="A3048" s="1" t="s">
        <v>11268</v>
      </c>
      <c r="B3048" s="1" t="s">
        <v>10</v>
      </c>
      <c r="C3048" s="1" t="s">
        <v>11269</v>
      </c>
      <c r="D3048" s="1" t="s">
        <v>1097</v>
      </c>
      <c r="E3048" s="1" t="s">
        <v>1098</v>
      </c>
      <c r="F3048" s="1" t="s">
        <v>11270</v>
      </c>
      <c r="G3048" s="1" t="s">
        <v>11271</v>
      </c>
      <c r="H3048" s="1" t="s">
        <v>11272</v>
      </c>
      <c r="I3048" t="b">
        <f>COUNTIF(Estadísticas!I:I,'centraldecomunicacion.es'!H3048)&gt;0</f>
        <v>0</v>
      </c>
    </row>
    <row r="3049" spans="1:9">
      <c r="A3049" s="1" t="s">
        <v>1107</v>
      </c>
      <c r="B3049" s="1" t="s">
        <v>10</v>
      </c>
      <c r="C3049" s="1" t="s">
        <v>1108</v>
      </c>
      <c r="D3049" s="1" t="s">
        <v>1109</v>
      </c>
      <c r="E3049" s="1" t="s">
        <v>1098</v>
      </c>
      <c r="F3049" s="1" t="s">
        <v>1110</v>
      </c>
      <c r="G3049" s="1" t="s">
        <v>1111</v>
      </c>
      <c r="H3049" s="1" t="s">
        <v>1112</v>
      </c>
      <c r="I3049" t="b">
        <f>COUNTIF(Estadísticas!I:I,'centraldecomunicacion.es'!H3049)&gt;0</f>
        <v>1</v>
      </c>
    </row>
    <row r="3050" spans="1:9" hidden="1">
      <c r="A3050" s="1" t="s">
        <v>11273</v>
      </c>
      <c r="B3050" s="1" t="s">
        <v>10</v>
      </c>
      <c r="C3050" s="1" t="s">
        <v>11274</v>
      </c>
      <c r="D3050" s="1" t="s">
        <v>11275</v>
      </c>
      <c r="E3050" s="1" t="s">
        <v>1098</v>
      </c>
      <c r="F3050" s="1" t="s">
        <v>30</v>
      </c>
      <c r="G3050" s="1" t="s">
        <v>11276</v>
      </c>
      <c r="H3050" s="1" t="s">
        <v>1762</v>
      </c>
      <c r="I3050" t="b">
        <f>COUNTIF(Estadísticas!I:I,'centraldecomunicacion.es'!H3050)&gt;0</f>
        <v>0</v>
      </c>
    </row>
    <row r="3051" spans="1:9" hidden="1">
      <c r="A3051" s="1" t="s">
        <v>11277</v>
      </c>
      <c r="B3051" s="1" t="s">
        <v>18</v>
      </c>
      <c r="C3051" s="1" t="s">
        <v>11278</v>
      </c>
      <c r="D3051" s="1" t="s">
        <v>1097</v>
      </c>
      <c r="E3051" s="1" t="s">
        <v>1098</v>
      </c>
      <c r="F3051" s="1" t="s">
        <v>30</v>
      </c>
      <c r="G3051" s="1" t="s">
        <v>11279</v>
      </c>
      <c r="H3051" s="1" t="s">
        <v>1762</v>
      </c>
      <c r="I3051" t="b">
        <f>COUNTIF(Estadísticas!I:I,'centraldecomunicacion.es'!H3051)&gt;0</f>
        <v>0</v>
      </c>
    </row>
    <row r="3052" spans="1:9" hidden="1">
      <c r="A3052" s="1" t="s">
        <v>11280</v>
      </c>
      <c r="B3052" s="1" t="s">
        <v>10</v>
      </c>
      <c r="C3052" s="1" t="s">
        <v>11281</v>
      </c>
      <c r="D3052" s="1" t="s">
        <v>11282</v>
      </c>
      <c r="E3052" s="1" t="s">
        <v>1098</v>
      </c>
      <c r="F3052" s="1" t="s">
        <v>30</v>
      </c>
      <c r="G3052" s="1" t="s">
        <v>11283</v>
      </c>
      <c r="H3052" s="1" t="s">
        <v>1762</v>
      </c>
      <c r="I3052" t="b">
        <f>COUNTIF(Estadísticas!I:I,'centraldecomunicacion.es'!H3052)&gt;0</f>
        <v>0</v>
      </c>
    </row>
    <row r="3053" spans="1:9" hidden="1">
      <c r="A3053" s="1" t="s">
        <v>11284</v>
      </c>
      <c r="B3053" s="1" t="s">
        <v>10</v>
      </c>
      <c r="C3053" s="1" t="s">
        <v>11285</v>
      </c>
      <c r="D3053" s="1" t="s">
        <v>11286</v>
      </c>
      <c r="E3053" s="1" t="s">
        <v>1098</v>
      </c>
      <c r="F3053" s="1" t="s">
        <v>30</v>
      </c>
      <c r="G3053" s="1" t="s">
        <v>11287</v>
      </c>
      <c r="H3053" s="1" t="s">
        <v>1762</v>
      </c>
      <c r="I3053" t="b">
        <f>COUNTIF(Estadísticas!I:I,'centraldecomunicacion.es'!H3053)&gt;0</f>
        <v>0</v>
      </c>
    </row>
    <row r="3054" spans="1:9" hidden="1">
      <c r="A3054" s="1" t="s">
        <v>3050</v>
      </c>
      <c r="B3054" s="1" t="s">
        <v>10</v>
      </c>
      <c r="C3054" s="1" t="s">
        <v>11288</v>
      </c>
      <c r="D3054" s="1" t="s">
        <v>11266</v>
      </c>
      <c r="E3054" s="1" t="s">
        <v>1098</v>
      </c>
      <c r="F3054" s="1" t="s">
        <v>30</v>
      </c>
      <c r="G3054" s="1" t="s">
        <v>11289</v>
      </c>
      <c r="H3054" s="1" t="s">
        <v>1762</v>
      </c>
      <c r="I3054" t="b">
        <f>COUNTIF(Estadísticas!I:I,'centraldecomunicacion.es'!H3054)&gt;0</f>
        <v>0</v>
      </c>
    </row>
    <row r="3055" spans="1:9" hidden="1">
      <c r="A3055" s="1" t="s">
        <v>11290</v>
      </c>
      <c r="B3055" s="1" t="s">
        <v>10</v>
      </c>
      <c r="C3055" s="1" t="s">
        <v>11291</v>
      </c>
      <c r="D3055" s="1" t="s">
        <v>11292</v>
      </c>
      <c r="E3055" s="1" t="s">
        <v>1098</v>
      </c>
      <c r="F3055" s="1" t="s">
        <v>30</v>
      </c>
      <c r="G3055" s="1" t="s">
        <v>11293</v>
      </c>
      <c r="H3055" s="1" t="s">
        <v>1762</v>
      </c>
      <c r="I3055" t="b">
        <f>COUNTIF(Estadísticas!I:I,'centraldecomunicacion.es'!H3055)&gt;0</f>
        <v>0</v>
      </c>
    </row>
    <row r="3056" spans="1:9" hidden="1">
      <c r="A3056" s="1" t="s">
        <v>11294</v>
      </c>
      <c r="B3056" s="1" t="s">
        <v>10</v>
      </c>
      <c r="C3056" s="1" t="s">
        <v>11295</v>
      </c>
      <c r="D3056" s="1" t="s">
        <v>11296</v>
      </c>
      <c r="E3056" s="1" t="s">
        <v>1098</v>
      </c>
      <c r="F3056" s="1" t="s">
        <v>30</v>
      </c>
      <c r="G3056" s="1" t="s">
        <v>11297</v>
      </c>
      <c r="H3056" s="1" t="s">
        <v>1762</v>
      </c>
      <c r="I3056" t="b">
        <f>COUNTIF(Estadísticas!I:I,'centraldecomunicacion.es'!H3056)&gt;0</f>
        <v>0</v>
      </c>
    </row>
    <row r="3057" spans="1:9" hidden="1">
      <c r="A3057" s="1" t="s">
        <v>11298</v>
      </c>
      <c r="B3057" s="1" t="s">
        <v>10</v>
      </c>
      <c r="C3057" s="1" t="s">
        <v>11299</v>
      </c>
      <c r="D3057" s="1" t="s">
        <v>11300</v>
      </c>
      <c r="E3057" s="1" t="s">
        <v>1098</v>
      </c>
      <c r="F3057" s="1" t="s">
        <v>11301</v>
      </c>
      <c r="G3057" s="1" t="s">
        <v>11302</v>
      </c>
      <c r="H3057" s="1" t="s">
        <v>1762</v>
      </c>
      <c r="I3057" t="b">
        <f>COUNTIF(Estadísticas!I:I,'centraldecomunicacion.es'!H3057)&gt;0</f>
        <v>0</v>
      </c>
    </row>
    <row r="3058" spans="1:9" hidden="1">
      <c r="A3058" s="1" t="s">
        <v>11303</v>
      </c>
      <c r="B3058" s="1" t="s">
        <v>10</v>
      </c>
      <c r="C3058" s="1" t="s">
        <v>11304</v>
      </c>
      <c r="D3058" s="1" t="s">
        <v>11305</v>
      </c>
      <c r="E3058" s="1" t="s">
        <v>1098</v>
      </c>
      <c r="F3058" s="1" t="s">
        <v>30</v>
      </c>
      <c r="G3058" s="1" t="s">
        <v>11306</v>
      </c>
      <c r="H3058" s="1" t="s">
        <v>1762</v>
      </c>
      <c r="I3058" t="b">
        <f>COUNTIF(Estadísticas!I:I,'centraldecomunicacion.es'!H3058)&gt;0</f>
        <v>0</v>
      </c>
    </row>
    <row r="3059" spans="1:9" hidden="1">
      <c r="A3059" s="1" t="s">
        <v>11307</v>
      </c>
      <c r="B3059" s="1" t="s">
        <v>10</v>
      </c>
      <c r="C3059" s="1" t="s">
        <v>11308</v>
      </c>
      <c r="D3059" s="1" t="s">
        <v>11309</v>
      </c>
      <c r="E3059" s="1" t="s">
        <v>1098</v>
      </c>
      <c r="F3059" s="1" t="s">
        <v>30</v>
      </c>
      <c r="G3059" s="1" t="s">
        <v>30</v>
      </c>
      <c r="H3059" s="1" t="s">
        <v>1762</v>
      </c>
      <c r="I3059" t="b">
        <f>COUNTIF(Estadísticas!I:I,'centraldecomunicacion.es'!H3059)&gt;0</f>
        <v>0</v>
      </c>
    </row>
    <row r="3060" spans="1:9" hidden="1">
      <c r="A3060" s="1" t="s">
        <v>11310</v>
      </c>
      <c r="B3060" s="1" t="s">
        <v>18</v>
      </c>
      <c r="C3060" s="1" t="s">
        <v>11311</v>
      </c>
      <c r="D3060" s="1" t="s">
        <v>11312</v>
      </c>
      <c r="E3060" s="1" t="s">
        <v>1098</v>
      </c>
      <c r="F3060" s="1" t="s">
        <v>11237</v>
      </c>
      <c r="G3060" s="1" t="s">
        <v>11313</v>
      </c>
      <c r="H3060" s="1" t="s">
        <v>11239</v>
      </c>
      <c r="I3060" t="b">
        <f>COUNTIF(Estadísticas!I:I,'centraldecomunicacion.es'!H3060)&gt;0</f>
        <v>0</v>
      </c>
    </row>
    <row r="3061" spans="1:9" hidden="1">
      <c r="A3061" s="1" t="s">
        <v>11314</v>
      </c>
      <c r="B3061" s="1" t="s">
        <v>10</v>
      </c>
      <c r="C3061" s="1" t="s">
        <v>11315</v>
      </c>
      <c r="D3061" s="1" t="s">
        <v>11309</v>
      </c>
      <c r="E3061" s="1" t="s">
        <v>1098</v>
      </c>
      <c r="F3061" s="1" t="s">
        <v>30</v>
      </c>
      <c r="G3061" s="1" t="s">
        <v>30</v>
      </c>
      <c r="H3061" s="1" t="s">
        <v>1762</v>
      </c>
      <c r="I3061" t="b">
        <f>COUNTIF(Estadísticas!I:I,'centraldecomunicacion.es'!H3061)&gt;0</f>
        <v>0</v>
      </c>
    </row>
    <row r="3062" spans="1:9" hidden="1">
      <c r="A3062" s="1" t="s">
        <v>11316</v>
      </c>
      <c r="B3062" s="1" t="s">
        <v>10</v>
      </c>
      <c r="C3062" s="1" t="s">
        <v>11317</v>
      </c>
      <c r="D3062" s="1" t="s">
        <v>11318</v>
      </c>
      <c r="E3062" s="1" t="s">
        <v>1098</v>
      </c>
      <c r="F3062" s="1" t="s">
        <v>30</v>
      </c>
      <c r="G3062" s="1" t="s">
        <v>30</v>
      </c>
      <c r="H3062" s="1" t="s">
        <v>1762</v>
      </c>
      <c r="I3062" t="b">
        <f>COUNTIF(Estadísticas!I:I,'centraldecomunicacion.es'!H3062)&gt;0</f>
        <v>0</v>
      </c>
    </row>
    <row r="3063" spans="1:9" hidden="1">
      <c r="A3063" s="1" t="s">
        <v>11319</v>
      </c>
      <c r="B3063" s="1" t="s">
        <v>10</v>
      </c>
      <c r="C3063" s="1" t="s">
        <v>11320</v>
      </c>
      <c r="D3063" s="1" t="s">
        <v>11312</v>
      </c>
      <c r="E3063" s="1" t="s">
        <v>1098</v>
      </c>
      <c r="F3063" s="1" t="s">
        <v>11321</v>
      </c>
      <c r="G3063" s="1" t="s">
        <v>11322</v>
      </c>
      <c r="H3063" s="1" t="s">
        <v>11323</v>
      </c>
      <c r="I3063" t="b">
        <f>COUNTIF(Estadísticas!I:I,'centraldecomunicacion.es'!H3063)&gt;0</f>
        <v>0</v>
      </c>
    </row>
    <row r="3064" spans="1:9" hidden="1">
      <c r="A3064" s="1" t="s">
        <v>11324</v>
      </c>
      <c r="B3064" s="1" t="s">
        <v>10</v>
      </c>
      <c r="C3064" s="1" t="s">
        <v>11325</v>
      </c>
      <c r="D3064" s="1" t="s">
        <v>11326</v>
      </c>
      <c r="E3064" s="1" t="s">
        <v>1098</v>
      </c>
      <c r="F3064" s="1" t="s">
        <v>11327</v>
      </c>
      <c r="G3064" s="1" t="s">
        <v>11328</v>
      </c>
      <c r="H3064" s="1" t="s">
        <v>1762</v>
      </c>
      <c r="I3064" t="b">
        <f>COUNTIF(Estadísticas!I:I,'centraldecomunicacion.es'!H3064)&gt;0</f>
        <v>0</v>
      </c>
    </row>
    <row r="3065" spans="1:9" hidden="1">
      <c r="A3065" s="1" t="s">
        <v>11329</v>
      </c>
      <c r="B3065" s="1" t="s">
        <v>18</v>
      </c>
      <c r="C3065" s="1" t="s">
        <v>11330</v>
      </c>
      <c r="D3065" s="1" t="s">
        <v>11312</v>
      </c>
      <c r="E3065" s="1" t="s">
        <v>1098</v>
      </c>
      <c r="F3065" s="1" t="s">
        <v>11229</v>
      </c>
      <c r="G3065" s="1" t="s">
        <v>11331</v>
      </c>
      <c r="H3065" s="1" t="s">
        <v>11231</v>
      </c>
      <c r="I3065" t="b">
        <f>COUNTIF(Estadísticas!I:I,'centraldecomunicacion.es'!H3065)&gt;0</f>
        <v>0</v>
      </c>
    </row>
    <row r="3066" spans="1:9" hidden="1">
      <c r="A3066" s="1" t="s">
        <v>11332</v>
      </c>
      <c r="B3066" s="1" t="s">
        <v>10</v>
      </c>
      <c r="C3066" s="1" t="s">
        <v>11333</v>
      </c>
      <c r="D3066" s="1" t="s">
        <v>11334</v>
      </c>
      <c r="E3066" s="1" t="s">
        <v>1098</v>
      </c>
      <c r="F3066" s="1" t="s">
        <v>30</v>
      </c>
      <c r="G3066" s="1" t="s">
        <v>11335</v>
      </c>
      <c r="H3066" s="1" t="s">
        <v>1762</v>
      </c>
      <c r="I3066" t="b">
        <f>COUNTIF(Estadísticas!I:I,'centraldecomunicacion.es'!H3066)&gt;0</f>
        <v>0</v>
      </c>
    </row>
    <row r="3067" spans="1:9" hidden="1">
      <c r="A3067" s="1" t="s">
        <v>11336</v>
      </c>
      <c r="B3067" s="1" t="s">
        <v>10</v>
      </c>
      <c r="C3067" s="1" t="s">
        <v>11337</v>
      </c>
      <c r="D3067" s="1" t="s">
        <v>11338</v>
      </c>
      <c r="E3067" s="1" t="s">
        <v>1098</v>
      </c>
      <c r="F3067" s="1" t="s">
        <v>30</v>
      </c>
      <c r="G3067" s="1" t="s">
        <v>11339</v>
      </c>
      <c r="H3067" s="1" t="s">
        <v>1762</v>
      </c>
      <c r="I3067" t="b">
        <f>COUNTIF(Estadísticas!I:I,'centraldecomunicacion.es'!H3067)&gt;0</f>
        <v>0</v>
      </c>
    </row>
    <row r="3068" spans="1:9" hidden="1">
      <c r="A3068" s="1" t="s">
        <v>11340</v>
      </c>
      <c r="B3068" s="1" t="s">
        <v>10</v>
      </c>
      <c r="C3068" s="1" t="s">
        <v>11341</v>
      </c>
      <c r="D3068" s="1" t="s">
        <v>11342</v>
      </c>
      <c r="E3068" s="1" t="s">
        <v>1098</v>
      </c>
      <c r="F3068" s="1" t="s">
        <v>30</v>
      </c>
      <c r="G3068" s="1" t="s">
        <v>11343</v>
      </c>
      <c r="H3068" s="1" t="s">
        <v>1762</v>
      </c>
      <c r="I3068" t="b">
        <f>COUNTIF(Estadísticas!I:I,'centraldecomunicacion.es'!H3068)&gt;0</f>
        <v>0</v>
      </c>
    </row>
    <row r="3069" spans="1:9" hidden="1">
      <c r="A3069" s="1" t="s">
        <v>11344</v>
      </c>
      <c r="B3069" s="1" t="s">
        <v>10</v>
      </c>
      <c r="C3069" s="1" t="s">
        <v>11345</v>
      </c>
      <c r="D3069" s="1" t="s">
        <v>11346</v>
      </c>
      <c r="E3069" s="1" t="s">
        <v>1098</v>
      </c>
      <c r="F3069" s="1" t="s">
        <v>30</v>
      </c>
      <c r="G3069" s="1" t="s">
        <v>30</v>
      </c>
      <c r="H3069" s="1" t="s">
        <v>1762</v>
      </c>
      <c r="I3069" t="b">
        <f>COUNTIF(Estadísticas!I:I,'centraldecomunicacion.es'!H3069)&gt;0</f>
        <v>0</v>
      </c>
    </row>
    <row r="3070" spans="1:9" hidden="1">
      <c r="A3070" s="1" t="s">
        <v>11347</v>
      </c>
      <c r="B3070" s="1" t="s">
        <v>10</v>
      </c>
      <c r="C3070" s="1" t="s">
        <v>11348</v>
      </c>
      <c r="D3070" s="1" t="s">
        <v>11334</v>
      </c>
      <c r="E3070" s="1" t="s">
        <v>1098</v>
      </c>
      <c r="F3070" s="1" t="s">
        <v>30</v>
      </c>
      <c r="G3070" s="1" t="s">
        <v>11349</v>
      </c>
      <c r="H3070" s="1" t="s">
        <v>1762</v>
      </c>
      <c r="I3070" t="b">
        <f>COUNTIF(Estadísticas!I:I,'centraldecomunicacion.es'!H3070)&gt;0</f>
        <v>0</v>
      </c>
    </row>
    <row r="3071" spans="1:9" hidden="1">
      <c r="A3071" s="1" t="s">
        <v>11350</v>
      </c>
      <c r="B3071" s="1" t="s">
        <v>10</v>
      </c>
      <c r="C3071" s="1" t="s">
        <v>11351</v>
      </c>
      <c r="D3071" s="1" t="s">
        <v>11312</v>
      </c>
      <c r="E3071" s="1" t="s">
        <v>1098</v>
      </c>
      <c r="F3071" s="1" t="s">
        <v>30</v>
      </c>
      <c r="G3071" s="1" t="s">
        <v>11352</v>
      </c>
      <c r="H3071" s="1" t="s">
        <v>1762</v>
      </c>
      <c r="I3071" t="b">
        <f>COUNTIF(Estadísticas!I:I,'centraldecomunicacion.es'!H3071)&gt;0</f>
        <v>0</v>
      </c>
    </row>
    <row r="3072" spans="1:9" hidden="1">
      <c r="A3072" s="1" t="s">
        <v>11353</v>
      </c>
      <c r="B3072" s="1" t="s">
        <v>10</v>
      </c>
      <c r="C3072" s="1" t="s">
        <v>11354</v>
      </c>
      <c r="D3072" s="1" t="s">
        <v>11355</v>
      </c>
      <c r="E3072" s="1" t="s">
        <v>277</v>
      </c>
      <c r="F3072" s="1" t="s">
        <v>30</v>
      </c>
      <c r="G3072" s="1" t="s">
        <v>30</v>
      </c>
      <c r="H3072" s="1" t="s">
        <v>1762</v>
      </c>
      <c r="I3072" t="b">
        <f>COUNTIF(Estadísticas!I:I,'centraldecomunicacion.es'!H3072)&gt;0</f>
        <v>0</v>
      </c>
    </row>
    <row r="3073" spans="1:9" hidden="1">
      <c r="A3073" s="1" t="s">
        <v>11356</v>
      </c>
      <c r="B3073" s="1" t="s">
        <v>10</v>
      </c>
      <c r="C3073" s="1" t="s">
        <v>11357</v>
      </c>
      <c r="D3073" s="1" t="s">
        <v>11326</v>
      </c>
      <c r="E3073" s="1" t="s">
        <v>1098</v>
      </c>
      <c r="F3073" s="1" t="s">
        <v>30</v>
      </c>
      <c r="G3073" s="1" t="s">
        <v>30</v>
      </c>
      <c r="H3073" s="1" t="s">
        <v>1762</v>
      </c>
      <c r="I3073" t="b">
        <f>COUNTIF(Estadísticas!I:I,'centraldecomunicacion.es'!H3073)&gt;0</f>
        <v>0</v>
      </c>
    </row>
    <row r="3074" spans="1:9" hidden="1">
      <c r="A3074" s="1" t="s">
        <v>11358</v>
      </c>
      <c r="B3074" s="1" t="s">
        <v>18</v>
      </c>
      <c r="C3074" s="1" t="s">
        <v>11359</v>
      </c>
      <c r="D3074" s="1" t="s">
        <v>11360</v>
      </c>
      <c r="E3074" s="1" t="s">
        <v>1115</v>
      </c>
      <c r="F3074" s="1" t="s">
        <v>4288</v>
      </c>
      <c r="G3074" s="1" t="s">
        <v>11361</v>
      </c>
      <c r="H3074" s="1" t="s">
        <v>4290</v>
      </c>
      <c r="I3074" t="b">
        <f>COUNTIF(Estadísticas!I:I,'centraldecomunicacion.es'!H3074)&gt;0</f>
        <v>0</v>
      </c>
    </row>
    <row r="3075" spans="1:9" hidden="1">
      <c r="A3075" s="1" t="s">
        <v>11362</v>
      </c>
      <c r="B3075" s="1" t="s">
        <v>18</v>
      </c>
      <c r="C3075" s="1" t="s">
        <v>11363</v>
      </c>
      <c r="D3075" s="1" t="s">
        <v>11364</v>
      </c>
      <c r="E3075" s="1" t="s">
        <v>1115</v>
      </c>
      <c r="F3075" s="1" t="s">
        <v>4288</v>
      </c>
      <c r="G3075" s="1" t="s">
        <v>11365</v>
      </c>
      <c r="H3075" s="1" t="s">
        <v>4290</v>
      </c>
      <c r="I3075" t="b">
        <f>COUNTIF(Estadísticas!I:I,'centraldecomunicacion.es'!H3075)&gt;0</f>
        <v>0</v>
      </c>
    </row>
    <row r="3076" spans="1:9" hidden="1">
      <c r="A3076" s="1" t="s">
        <v>11366</v>
      </c>
      <c r="B3076" s="1" t="s">
        <v>18</v>
      </c>
      <c r="C3076" s="1" t="s">
        <v>11367</v>
      </c>
      <c r="D3076" s="1" t="s">
        <v>1115</v>
      </c>
      <c r="E3076" s="1" t="s">
        <v>1115</v>
      </c>
      <c r="F3076" s="1" t="s">
        <v>4288</v>
      </c>
      <c r="G3076" s="1" t="s">
        <v>11368</v>
      </c>
      <c r="H3076" s="1" t="s">
        <v>4290</v>
      </c>
      <c r="I3076" t="b">
        <f>COUNTIF(Estadísticas!I:I,'centraldecomunicacion.es'!H3076)&gt;0</f>
        <v>0</v>
      </c>
    </row>
    <row r="3077" spans="1:9" hidden="1">
      <c r="A3077" s="1" t="s">
        <v>11369</v>
      </c>
      <c r="B3077" s="1" t="s">
        <v>10</v>
      </c>
      <c r="C3077" s="1" t="s">
        <v>30</v>
      </c>
      <c r="D3077" s="1" t="s">
        <v>1125</v>
      </c>
      <c r="E3077" s="1" t="s">
        <v>30</v>
      </c>
      <c r="F3077" s="1" t="s">
        <v>11370</v>
      </c>
      <c r="G3077" s="1" t="s">
        <v>11371</v>
      </c>
      <c r="H3077" s="1" t="s">
        <v>1762</v>
      </c>
      <c r="I3077" t="b">
        <f>COUNTIF(Estadísticas!I:I,'centraldecomunicacion.es'!H3077)&gt;0</f>
        <v>0</v>
      </c>
    </row>
    <row r="3078" spans="1:9" hidden="1">
      <c r="A3078" s="1" t="s">
        <v>11372</v>
      </c>
      <c r="B3078" s="1" t="s">
        <v>10</v>
      </c>
      <c r="C3078" s="1" t="s">
        <v>11373</v>
      </c>
      <c r="D3078" s="1" t="s">
        <v>1115</v>
      </c>
      <c r="E3078" s="1" t="s">
        <v>1115</v>
      </c>
      <c r="F3078" s="1" t="s">
        <v>11374</v>
      </c>
      <c r="G3078" s="1" t="s">
        <v>2073</v>
      </c>
      <c r="H3078" s="1" t="s">
        <v>1762</v>
      </c>
      <c r="I3078" t="b">
        <f>COUNTIF(Estadísticas!I:I,'centraldecomunicacion.es'!H3078)&gt;0</f>
        <v>0</v>
      </c>
    </row>
    <row r="3079" spans="1:9" hidden="1">
      <c r="A3079" s="1" t="s">
        <v>11375</v>
      </c>
      <c r="B3079" s="1" t="s">
        <v>10</v>
      </c>
      <c r="C3079" s="1" t="s">
        <v>11376</v>
      </c>
      <c r="D3079" s="1" t="s">
        <v>1115</v>
      </c>
      <c r="E3079" s="1" t="s">
        <v>1115</v>
      </c>
      <c r="F3079" s="1" t="s">
        <v>30</v>
      </c>
      <c r="G3079" s="1" t="s">
        <v>30</v>
      </c>
      <c r="H3079" s="1" t="s">
        <v>1762</v>
      </c>
      <c r="I3079" t="b">
        <f>COUNTIF(Estadísticas!I:I,'centraldecomunicacion.es'!H3079)&gt;0</f>
        <v>0</v>
      </c>
    </row>
    <row r="3080" spans="1:9" hidden="1">
      <c r="A3080" s="1" t="s">
        <v>11377</v>
      </c>
      <c r="B3080" s="1" t="s">
        <v>18</v>
      </c>
      <c r="C3080" s="1" t="s">
        <v>11378</v>
      </c>
      <c r="D3080" s="1" t="s">
        <v>1115</v>
      </c>
      <c r="E3080" s="1" t="s">
        <v>1115</v>
      </c>
      <c r="F3080" s="1" t="s">
        <v>11379</v>
      </c>
      <c r="G3080" s="1" t="s">
        <v>11380</v>
      </c>
      <c r="H3080" s="1" t="s">
        <v>1762</v>
      </c>
      <c r="I3080" t="b">
        <f>COUNTIF(Estadísticas!I:I,'centraldecomunicacion.es'!H3080)&gt;0</f>
        <v>0</v>
      </c>
    </row>
    <row r="3081" spans="1:9" hidden="1">
      <c r="A3081" s="1" t="s">
        <v>11381</v>
      </c>
      <c r="B3081" s="1" t="s">
        <v>10</v>
      </c>
      <c r="C3081" s="1" t="s">
        <v>11382</v>
      </c>
      <c r="D3081" s="1" t="s">
        <v>1115</v>
      </c>
      <c r="E3081" s="1" t="s">
        <v>1115</v>
      </c>
      <c r="F3081" s="1" t="s">
        <v>10595</v>
      </c>
      <c r="G3081" s="1" t="s">
        <v>11383</v>
      </c>
      <c r="H3081" s="1" t="s">
        <v>1762</v>
      </c>
      <c r="I3081" t="b">
        <f>COUNTIF(Estadísticas!I:I,'centraldecomunicacion.es'!H3081)&gt;0</f>
        <v>0</v>
      </c>
    </row>
    <row r="3082" spans="1:9" hidden="1">
      <c r="A3082" s="1" t="s">
        <v>11384</v>
      </c>
      <c r="B3082" s="1" t="s">
        <v>10</v>
      </c>
      <c r="C3082" s="1" t="s">
        <v>30</v>
      </c>
      <c r="D3082" s="1" t="s">
        <v>1125</v>
      </c>
      <c r="E3082" s="1" t="s">
        <v>30</v>
      </c>
      <c r="F3082" s="1" t="s">
        <v>11385</v>
      </c>
      <c r="G3082" s="1" t="s">
        <v>11371</v>
      </c>
      <c r="H3082" s="1" t="s">
        <v>1762</v>
      </c>
      <c r="I3082" t="b">
        <f>COUNTIF(Estadísticas!I:I,'centraldecomunicacion.es'!H3082)&gt;0</f>
        <v>0</v>
      </c>
    </row>
    <row r="3083" spans="1:9" hidden="1">
      <c r="A3083" s="1" t="s">
        <v>11386</v>
      </c>
      <c r="B3083" s="1" t="s">
        <v>10</v>
      </c>
      <c r="C3083" s="1" t="s">
        <v>30</v>
      </c>
      <c r="D3083" s="1" t="s">
        <v>1125</v>
      </c>
      <c r="E3083" s="1" t="s">
        <v>30</v>
      </c>
      <c r="F3083" s="1" t="s">
        <v>11385</v>
      </c>
      <c r="G3083" s="1" t="s">
        <v>11371</v>
      </c>
      <c r="H3083" s="1" t="s">
        <v>1762</v>
      </c>
      <c r="I3083" t="b">
        <f>COUNTIF(Estadísticas!I:I,'centraldecomunicacion.es'!H3083)&gt;0</f>
        <v>0</v>
      </c>
    </row>
    <row r="3084" spans="1:9" hidden="1">
      <c r="A3084" s="1" t="s">
        <v>11387</v>
      </c>
      <c r="B3084" s="1" t="s">
        <v>10</v>
      </c>
      <c r="C3084" s="1" t="s">
        <v>11388</v>
      </c>
      <c r="D3084" s="1" t="s">
        <v>1115</v>
      </c>
      <c r="E3084" s="1" t="s">
        <v>1115</v>
      </c>
      <c r="F3084" s="1" t="s">
        <v>30</v>
      </c>
      <c r="G3084" s="1" t="s">
        <v>30</v>
      </c>
      <c r="H3084" s="1" t="s">
        <v>1762</v>
      </c>
      <c r="I3084" t="b">
        <f>COUNTIF(Estadísticas!I:I,'centraldecomunicacion.es'!H3084)&gt;0</f>
        <v>0</v>
      </c>
    </row>
    <row r="3085" spans="1:9" hidden="1">
      <c r="A3085" s="1" t="s">
        <v>11389</v>
      </c>
      <c r="B3085" s="1" t="s">
        <v>10</v>
      </c>
      <c r="C3085" s="1" t="s">
        <v>11390</v>
      </c>
      <c r="D3085" s="1" t="s">
        <v>1115</v>
      </c>
      <c r="E3085" s="1" t="s">
        <v>1115</v>
      </c>
      <c r="F3085" s="1" t="s">
        <v>11391</v>
      </c>
      <c r="G3085" s="1" t="s">
        <v>11392</v>
      </c>
      <c r="H3085" s="1" t="s">
        <v>11393</v>
      </c>
      <c r="I3085" t="b">
        <f>COUNTIF(Estadísticas!I:I,'centraldecomunicacion.es'!H3085)&gt;0</f>
        <v>0</v>
      </c>
    </row>
    <row r="3086" spans="1:9" hidden="1">
      <c r="A3086" s="1" t="s">
        <v>11394</v>
      </c>
      <c r="B3086" s="1" t="s">
        <v>10</v>
      </c>
      <c r="C3086" s="1" t="s">
        <v>30</v>
      </c>
      <c r="D3086" s="1" t="s">
        <v>1125</v>
      </c>
      <c r="E3086" s="1" t="s">
        <v>30</v>
      </c>
      <c r="F3086" s="1" t="s">
        <v>11395</v>
      </c>
      <c r="G3086" s="1" t="s">
        <v>11396</v>
      </c>
      <c r="H3086" s="1" t="s">
        <v>11397</v>
      </c>
      <c r="I3086" t="b">
        <f>COUNTIF(Estadísticas!I:I,'centraldecomunicacion.es'!H3086)&gt;0</f>
        <v>0</v>
      </c>
    </row>
    <row r="3087" spans="1:9">
      <c r="A3087" s="1" t="s">
        <v>1113</v>
      </c>
      <c r="B3087" s="1" t="s">
        <v>10</v>
      </c>
      <c r="C3087" s="1" t="s">
        <v>1114</v>
      </c>
      <c r="D3087" s="1" t="s">
        <v>1115</v>
      </c>
      <c r="E3087" s="1" t="s">
        <v>1115</v>
      </c>
      <c r="F3087" s="1" t="s">
        <v>1116</v>
      </c>
      <c r="G3087" s="1" t="s">
        <v>1117</v>
      </c>
      <c r="H3087" s="1" t="s">
        <v>1118</v>
      </c>
      <c r="I3087" t="b">
        <f>COUNTIF(Estadísticas!I:I,'centraldecomunicacion.es'!H3087)&gt;0</f>
        <v>1</v>
      </c>
    </row>
    <row r="3088" spans="1:9" hidden="1">
      <c r="A3088" s="1" t="s">
        <v>11398</v>
      </c>
      <c r="B3088" s="1" t="s">
        <v>10</v>
      </c>
      <c r="C3088" s="1" t="s">
        <v>11399</v>
      </c>
      <c r="D3088" s="1" t="s">
        <v>1115</v>
      </c>
      <c r="E3088" s="1" t="s">
        <v>1115</v>
      </c>
      <c r="F3088" s="1" t="s">
        <v>30</v>
      </c>
      <c r="G3088" s="1" t="s">
        <v>11400</v>
      </c>
      <c r="H3088" s="1" t="s">
        <v>1762</v>
      </c>
      <c r="I3088" t="b">
        <f>COUNTIF(Estadísticas!I:I,'centraldecomunicacion.es'!H3088)&gt;0</f>
        <v>0</v>
      </c>
    </row>
    <row r="3089" spans="1:9">
      <c r="A3089" s="1" t="s">
        <v>1119</v>
      </c>
      <c r="B3089" s="1" t="s">
        <v>10</v>
      </c>
      <c r="C3089" s="1" t="s">
        <v>1120</v>
      </c>
      <c r="D3089" s="1" t="s">
        <v>1115</v>
      </c>
      <c r="E3089" s="1" t="s">
        <v>1115</v>
      </c>
      <c r="F3089" s="1" t="s">
        <v>1121</v>
      </c>
      <c r="G3089" s="1" t="s">
        <v>1122</v>
      </c>
      <c r="H3089" s="1" t="s">
        <v>1123</v>
      </c>
      <c r="I3089" t="b">
        <f>COUNTIF(Estadísticas!I:I,'centraldecomunicacion.es'!H3089)&gt;0</f>
        <v>1</v>
      </c>
    </row>
    <row r="3090" spans="1:9" hidden="1">
      <c r="A3090" s="1" t="s">
        <v>11401</v>
      </c>
      <c r="B3090" s="1" t="s">
        <v>10</v>
      </c>
      <c r="C3090" s="1" t="s">
        <v>11402</v>
      </c>
      <c r="D3090" s="1" t="s">
        <v>1115</v>
      </c>
      <c r="E3090" s="1" t="s">
        <v>1115</v>
      </c>
      <c r="F3090" s="1" t="s">
        <v>11403</v>
      </c>
      <c r="G3090" s="1" t="s">
        <v>11404</v>
      </c>
      <c r="H3090" s="1" t="s">
        <v>11405</v>
      </c>
      <c r="I3090" t="b">
        <f>COUNTIF(Estadísticas!I:I,'centraldecomunicacion.es'!H3090)&gt;0</f>
        <v>0</v>
      </c>
    </row>
    <row r="3091" spans="1:9" hidden="1">
      <c r="A3091" s="1" t="s">
        <v>11406</v>
      </c>
      <c r="B3091" s="1" t="s">
        <v>10</v>
      </c>
      <c r="C3091" s="1" t="s">
        <v>30</v>
      </c>
      <c r="D3091" s="1" t="s">
        <v>1125</v>
      </c>
      <c r="E3091" s="1" t="s">
        <v>30</v>
      </c>
      <c r="F3091" s="1" t="s">
        <v>11407</v>
      </c>
      <c r="G3091" s="1" t="s">
        <v>11408</v>
      </c>
      <c r="H3091" s="1" t="s">
        <v>1762</v>
      </c>
      <c r="I3091" t="b">
        <f>COUNTIF(Estadísticas!I:I,'centraldecomunicacion.es'!H3091)&gt;0</f>
        <v>0</v>
      </c>
    </row>
    <row r="3092" spans="1:9" hidden="1">
      <c r="A3092" s="1" t="s">
        <v>11409</v>
      </c>
      <c r="B3092" s="1" t="s">
        <v>10</v>
      </c>
      <c r="C3092" s="1" t="s">
        <v>30</v>
      </c>
      <c r="D3092" s="1" t="s">
        <v>1125</v>
      </c>
      <c r="E3092" s="1" t="s">
        <v>30</v>
      </c>
      <c r="F3092" s="1" t="s">
        <v>30</v>
      </c>
      <c r="G3092" s="1" t="s">
        <v>11410</v>
      </c>
      <c r="H3092" s="1" t="s">
        <v>1762</v>
      </c>
      <c r="I3092" t="b">
        <f>COUNTIF(Estadísticas!I:I,'centraldecomunicacion.es'!H3092)&gt;0</f>
        <v>0</v>
      </c>
    </row>
    <row r="3093" spans="1:9" hidden="1">
      <c r="A3093" s="1" t="s">
        <v>11411</v>
      </c>
      <c r="B3093" s="1" t="s">
        <v>10</v>
      </c>
      <c r="C3093" s="1" t="s">
        <v>11412</v>
      </c>
      <c r="D3093" s="1" t="s">
        <v>1115</v>
      </c>
      <c r="E3093" s="1" t="s">
        <v>1115</v>
      </c>
      <c r="F3093" s="1" t="s">
        <v>30</v>
      </c>
      <c r="G3093" s="1" t="s">
        <v>30</v>
      </c>
      <c r="H3093" s="1" t="s">
        <v>1762</v>
      </c>
      <c r="I3093" t="b">
        <f>COUNTIF(Estadísticas!I:I,'centraldecomunicacion.es'!H3093)&gt;0</f>
        <v>0</v>
      </c>
    </row>
    <row r="3094" spans="1:9" hidden="1">
      <c r="A3094" s="1" t="s">
        <v>11413</v>
      </c>
      <c r="B3094" s="1" t="s">
        <v>10</v>
      </c>
      <c r="C3094" s="1" t="s">
        <v>30</v>
      </c>
      <c r="D3094" s="1" t="s">
        <v>1125</v>
      </c>
      <c r="E3094" s="1" t="s">
        <v>30</v>
      </c>
      <c r="F3094" s="1" t="s">
        <v>11370</v>
      </c>
      <c r="G3094" s="1" t="s">
        <v>11371</v>
      </c>
      <c r="H3094" s="1" t="s">
        <v>1762</v>
      </c>
      <c r="I3094" t="b">
        <f>COUNTIF(Estadísticas!I:I,'centraldecomunicacion.es'!H3094)&gt;0</f>
        <v>0</v>
      </c>
    </row>
    <row r="3095" spans="1:9" hidden="1">
      <c r="A3095" s="1" t="s">
        <v>11414</v>
      </c>
      <c r="B3095" s="1" t="s">
        <v>18</v>
      </c>
      <c r="C3095" s="1" t="s">
        <v>11415</v>
      </c>
      <c r="D3095" s="1" t="s">
        <v>1115</v>
      </c>
      <c r="E3095" s="1" t="s">
        <v>1115</v>
      </c>
      <c r="F3095" s="1" t="s">
        <v>30</v>
      </c>
      <c r="G3095" s="1" t="s">
        <v>11416</v>
      </c>
      <c r="H3095" s="1" t="s">
        <v>1762</v>
      </c>
      <c r="I3095" t="b">
        <f>COUNTIF(Estadísticas!I:I,'centraldecomunicacion.es'!H3095)&gt;0</f>
        <v>0</v>
      </c>
    </row>
    <row r="3096" spans="1:9" hidden="1">
      <c r="A3096" s="1" t="s">
        <v>11417</v>
      </c>
      <c r="B3096" s="1" t="s">
        <v>10</v>
      </c>
      <c r="C3096" s="1" t="s">
        <v>11418</v>
      </c>
      <c r="D3096" s="1" t="s">
        <v>11419</v>
      </c>
      <c r="E3096" s="1" t="s">
        <v>1115</v>
      </c>
      <c r="F3096" s="1" t="s">
        <v>30</v>
      </c>
      <c r="G3096" s="1" t="s">
        <v>11420</v>
      </c>
      <c r="H3096" s="1" t="s">
        <v>1762</v>
      </c>
      <c r="I3096" t="b">
        <f>COUNTIF(Estadísticas!I:I,'centraldecomunicacion.es'!H3096)&gt;0</f>
        <v>0</v>
      </c>
    </row>
    <row r="3097" spans="1:9" hidden="1">
      <c r="A3097" s="1" t="s">
        <v>11421</v>
      </c>
      <c r="B3097" s="1" t="s">
        <v>18</v>
      </c>
      <c r="C3097" s="1" t="s">
        <v>11422</v>
      </c>
      <c r="D3097" s="1" t="s">
        <v>1115</v>
      </c>
      <c r="E3097" s="1" t="s">
        <v>1115</v>
      </c>
      <c r="F3097" s="1" t="s">
        <v>30</v>
      </c>
      <c r="G3097" s="1" t="s">
        <v>11423</v>
      </c>
      <c r="H3097" s="1" t="s">
        <v>1762</v>
      </c>
      <c r="I3097" t="b">
        <f>COUNTIF(Estadísticas!I:I,'centraldecomunicacion.es'!H3097)&gt;0</f>
        <v>0</v>
      </c>
    </row>
    <row r="3098" spans="1:9" hidden="1">
      <c r="A3098" s="1" t="s">
        <v>11424</v>
      </c>
      <c r="B3098" s="1" t="s">
        <v>10</v>
      </c>
      <c r="C3098" s="1" t="s">
        <v>11425</v>
      </c>
      <c r="D3098" s="1" t="s">
        <v>11426</v>
      </c>
      <c r="E3098" s="1" t="s">
        <v>1115</v>
      </c>
      <c r="F3098" s="1" t="s">
        <v>30</v>
      </c>
      <c r="G3098" s="1" t="s">
        <v>11427</v>
      </c>
      <c r="H3098" s="1" t="s">
        <v>1762</v>
      </c>
      <c r="I3098" t="b">
        <f>COUNTIF(Estadísticas!I:I,'centraldecomunicacion.es'!H3098)&gt;0</f>
        <v>0</v>
      </c>
    </row>
    <row r="3099" spans="1:9" hidden="1">
      <c r="A3099" s="1" t="s">
        <v>11428</v>
      </c>
      <c r="B3099" s="1" t="s">
        <v>10</v>
      </c>
      <c r="C3099" s="1" t="s">
        <v>11429</v>
      </c>
      <c r="D3099" s="1" t="s">
        <v>11430</v>
      </c>
      <c r="E3099" s="1" t="s">
        <v>1115</v>
      </c>
      <c r="F3099" s="1" t="s">
        <v>10595</v>
      </c>
      <c r="G3099" s="1" t="s">
        <v>11431</v>
      </c>
      <c r="H3099" s="1" t="s">
        <v>1762</v>
      </c>
      <c r="I3099" t="b">
        <f>COUNTIF(Estadísticas!I:I,'centraldecomunicacion.es'!H3099)&gt;0</f>
        <v>0</v>
      </c>
    </row>
    <row r="3100" spans="1:9" hidden="1">
      <c r="A3100" s="1" t="s">
        <v>11432</v>
      </c>
      <c r="B3100" s="1" t="s">
        <v>10</v>
      </c>
      <c r="C3100" s="1" t="s">
        <v>11433</v>
      </c>
      <c r="D3100" s="1" t="s">
        <v>11364</v>
      </c>
      <c r="E3100" s="1" t="s">
        <v>1115</v>
      </c>
      <c r="F3100" s="1" t="s">
        <v>11434</v>
      </c>
      <c r="G3100" s="1" t="s">
        <v>11383</v>
      </c>
      <c r="H3100" s="1" t="s">
        <v>1762</v>
      </c>
      <c r="I3100" t="b">
        <f>COUNTIF(Estadísticas!I:I,'centraldecomunicacion.es'!H3100)&gt;0</f>
        <v>0</v>
      </c>
    </row>
    <row r="3101" spans="1:9" hidden="1">
      <c r="A3101" s="1" t="s">
        <v>11435</v>
      </c>
      <c r="B3101" s="1" t="s">
        <v>10</v>
      </c>
      <c r="C3101" s="1" t="s">
        <v>11436</v>
      </c>
      <c r="D3101" s="1" t="s">
        <v>11364</v>
      </c>
      <c r="E3101" s="1" t="s">
        <v>1115</v>
      </c>
      <c r="F3101" s="1" t="s">
        <v>30</v>
      </c>
      <c r="G3101" s="1" t="s">
        <v>11437</v>
      </c>
      <c r="H3101" s="1" t="s">
        <v>1762</v>
      </c>
      <c r="I3101" t="b">
        <f>COUNTIF(Estadísticas!I:I,'centraldecomunicacion.es'!H3101)&gt;0</f>
        <v>0</v>
      </c>
    </row>
    <row r="3102" spans="1:9" hidden="1">
      <c r="A3102" s="1" t="s">
        <v>11438</v>
      </c>
      <c r="B3102" s="1" t="s">
        <v>10</v>
      </c>
      <c r="C3102" s="1" t="s">
        <v>11439</v>
      </c>
      <c r="D3102" s="1" t="s">
        <v>11440</v>
      </c>
      <c r="E3102" s="1" t="s">
        <v>1115</v>
      </c>
      <c r="F3102" s="1" t="s">
        <v>11441</v>
      </c>
      <c r="G3102" s="1" t="s">
        <v>11442</v>
      </c>
      <c r="H3102" s="1" t="s">
        <v>11443</v>
      </c>
      <c r="I3102" t="b">
        <f>COUNTIF(Estadísticas!I:I,'centraldecomunicacion.es'!H3102)&gt;0</f>
        <v>0</v>
      </c>
    </row>
    <row r="3103" spans="1:9" hidden="1">
      <c r="A3103" s="1" t="s">
        <v>11444</v>
      </c>
      <c r="B3103" s="1" t="s">
        <v>10</v>
      </c>
      <c r="C3103" s="1" t="s">
        <v>11445</v>
      </c>
      <c r="D3103" s="1" t="s">
        <v>11426</v>
      </c>
      <c r="E3103" s="1" t="s">
        <v>1115</v>
      </c>
      <c r="F3103" s="1" t="s">
        <v>30</v>
      </c>
      <c r="G3103" s="1" t="s">
        <v>11446</v>
      </c>
      <c r="H3103" s="1" t="s">
        <v>1762</v>
      </c>
      <c r="I3103" t="b">
        <f>COUNTIF(Estadísticas!I:I,'centraldecomunicacion.es'!H3103)&gt;0</f>
        <v>0</v>
      </c>
    </row>
    <row r="3104" spans="1:9">
      <c r="A3104" s="1" t="s">
        <v>1124</v>
      </c>
      <c r="B3104" s="1" t="s">
        <v>10</v>
      </c>
      <c r="C3104" s="1" t="s">
        <v>30</v>
      </c>
      <c r="D3104" s="1" t="s">
        <v>1125</v>
      </c>
      <c r="E3104" s="1" t="s">
        <v>30</v>
      </c>
      <c r="F3104" s="1" t="s">
        <v>1126</v>
      </c>
      <c r="G3104" s="1" t="s">
        <v>1127</v>
      </c>
      <c r="H3104" s="1" t="s">
        <v>1128</v>
      </c>
      <c r="I3104" t="b">
        <f>COUNTIF(Estadísticas!I:I,'centraldecomunicacion.es'!H3104)&gt;0</f>
        <v>1</v>
      </c>
    </row>
    <row r="3105" spans="1:9" hidden="1">
      <c r="A3105" s="1" t="s">
        <v>11447</v>
      </c>
      <c r="B3105" s="1" t="s">
        <v>10</v>
      </c>
      <c r="C3105" s="1" t="s">
        <v>11448</v>
      </c>
      <c r="D3105" s="1" t="s">
        <v>11364</v>
      </c>
      <c r="E3105" s="1" t="s">
        <v>1115</v>
      </c>
      <c r="F3105" s="1" t="s">
        <v>30</v>
      </c>
      <c r="G3105" s="1" t="s">
        <v>11449</v>
      </c>
      <c r="H3105" s="1" t="s">
        <v>1762</v>
      </c>
      <c r="I3105" t="b">
        <f>COUNTIF(Estadísticas!I:I,'centraldecomunicacion.es'!H3105)&gt;0</f>
        <v>0</v>
      </c>
    </row>
    <row r="3106" spans="1:9" hidden="1">
      <c r="A3106" s="1" t="s">
        <v>11450</v>
      </c>
      <c r="B3106" s="1" t="s">
        <v>10</v>
      </c>
      <c r="C3106" s="1" t="s">
        <v>11451</v>
      </c>
      <c r="D3106" s="1" t="s">
        <v>11452</v>
      </c>
      <c r="E3106" s="1" t="s">
        <v>1115</v>
      </c>
      <c r="F3106" s="1" t="s">
        <v>30</v>
      </c>
      <c r="G3106" s="1" t="s">
        <v>11453</v>
      </c>
      <c r="H3106" s="1" t="s">
        <v>1762</v>
      </c>
      <c r="I3106" t="b">
        <f>COUNTIF(Estadísticas!I:I,'centraldecomunicacion.es'!H3106)&gt;0</f>
        <v>0</v>
      </c>
    </row>
    <row r="3107" spans="1:9" hidden="1">
      <c r="A3107" s="1" t="s">
        <v>11454</v>
      </c>
      <c r="B3107" s="1" t="s">
        <v>10</v>
      </c>
      <c r="C3107" s="1" t="s">
        <v>11455</v>
      </c>
      <c r="D3107" s="1" t="s">
        <v>11440</v>
      </c>
      <c r="E3107" s="1" t="s">
        <v>1115</v>
      </c>
      <c r="F3107" s="1" t="s">
        <v>11456</v>
      </c>
      <c r="G3107" s="1" t="s">
        <v>11457</v>
      </c>
      <c r="H3107" s="1" t="s">
        <v>11458</v>
      </c>
      <c r="I3107" t="b">
        <f>COUNTIF(Estadísticas!I:I,'centraldecomunicacion.es'!H3107)&gt;0</f>
        <v>0</v>
      </c>
    </row>
    <row r="3108" spans="1:9" hidden="1">
      <c r="A3108" s="1" t="s">
        <v>11459</v>
      </c>
      <c r="B3108" s="1" t="s">
        <v>10</v>
      </c>
      <c r="C3108" s="1" t="s">
        <v>11460</v>
      </c>
      <c r="D3108" s="1" t="s">
        <v>11461</v>
      </c>
      <c r="E3108" s="1" t="s">
        <v>1115</v>
      </c>
      <c r="F3108" s="1" t="s">
        <v>11462</v>
      </c>
      <c r="G3108" s="1" t="s">
        <v>11463</v>
      </c>
      <c r="H3108" s="1" t="s">
        <v>1762</v>
      </c>
      <c r="I3108" t="b">
        <f>COUNTIF(Estadísticas!I:I,'centraldecomunicacion.es'!H3108)&gt;0</f>
        <v>0</v>
      </c>
    </row>
    <row r="3109" spans="1:9" hidden="1">
      <c r="A3109" s="1" t="s">
        <v>11464</v>
      </c>
      <c r="B3109" s="1" t="s">
        <v>10</v>
      </c>
      <c r="C3109" s="1" t="s">
        <v>11465</v>
      </c>
      <c r="D3109" s="1" t="s">
        <v>11364</v>
      </c>
      <c r="E3109" s="1" t="s">
        <v>1115</v>
      </c>
      <c r="F3109" s="1" t="s">
        <v>30</v>
      </c>
      <c r="G3109" s="1" t="s">
        <v>11466</v>
      </c>
      <c r="H3109" s="1" t="s">
        <v>1762</v>
      </c>
      <c r="I3109" t="b">
        <f>COUNTIF(Estadísticas!I:I,'centraldecomunicacion.es'!H3109)&gt;0</f>
        <v>0</v>
      </c>
    </row>
    <row r="3110" spans="1:9" hidden="1">
      <c r="A3110" s="1" t="s">
        <v>11467</v>
      </c>
      <c r="B3110" s="1" t="s">
        <v>10</v>
      </c>
      <c r="C3110" s="1" t="s">
        <v>11468</v>
      </c>
      <c r="D3110" s="1" t="s">
        <v>11469</v>
      </c>
      <c r="E3110" s="1" t="s">
        <v>1115</v>
      </c>
      <c r="F3110" s="1" t="s">
        <v>30</v>
      </c>
      <c r="G3110" s="1" t="s">
        <v>30</v>
      </c>
      <c r="H3110" s="1" t="s">
        <v>1762</v>
      </c>
      <c r="I3110" t="b">
        <f>COUNTIF(Estadísticas!I:I,'centraldecomunicacion.es'!H3110)&gt;0</f>
        <v>0</v>
      </c>
    </row>
    <row r="3111" spans="1:9" hidden="1">
      <c r="A3111" s="1" t="s">
        <v>3055</v>
      </c>
      <c r="B3111" s="1" t="s">
        <v>10</v>
      </c>
      <c r="C3111" s="1" t="s">
        <v>11470</v>
      </c>
      <c r="D3111" s="1" t="s">
        <v>11469</v>
      </c>
      <c r="E3111" s="1" t="s">
        <v>1115</v>
      </c>
      <c r="F3111" s="1" t="s">
        <v>30</v>
      </c>
      <c r="G3111" s="1" t="s">
        <v>30</v>
      </c>
      <c r="H3111" s="1" t="s">
        <v>1762</v>
      </c>
      <c r="I3111" t="b">
        <f>COUNTIF(Estadísticas!I:I,'centraldecomunicacion.es'!H3111)&gt;0</f>
        <v>0</v>
      </c>
    </row>
    <row r="3112" spans="1:9" hidden="1">
      <c r="A3112" s="1" t="s">
        <v>11471</v>
      </c>
      <c r="B3112" s="1" t="s">
        <v>10</v>
      </c>
      <c r="C3112" s="1" t="s">
        <v>11472</v>
      </c>
      <c r="D3112" s="1" t="s">
        <v>11364</v>
      </c>
      <c r="E3112" s="1" t="s">
        <v>1115</v>
      </c>
      <c r="F3112" s="1" t="s">
        <v>30</v>
      </c>
      <c r="G3112" s="1" t="s">
        <v>11473</v>
      </c>
      <c r="H3112" s="1" t="s">
        <v>1762</v>
      </c>
      <c r="I3112" t="b">
        <f>COUNTIF(Estadísticas!I:I,'centraldecomunicacion.es'!H3112)&gt;0</f>
        <v>0</v>
      </c>
    </row>
    <row r="3113" spans="1:9" hidden="1">
      <c r="A3113" s="1" t="s">
        <v>11474</v>
      </c>
      <c r="B3113" s="1" t="s">
        <v>10</v>
      </c>
      <c r="C3113" s="1" t="s">
        <v>11470</v>
      </c>
      <c r="D3113" s="1" t="s">
        <v>11469</v>
      </c>
      <c r="E3113" s="1" t="s">
        <v>1115</v>
      </c>
      <c r="F3113" s="1" t="s">
        <v>30</v>
      </c>
      <c r="G3113" s="1" t="s">
        <v>11475</v>
      </c>
      <c r="H3113" s="1" t="s">
        <v>1762</v>
      </c>
      <c r="I3113" t="b">
        <f>COUNTIF(Estadísticas!I:I,'centraldecomunicacion.es'!H3113)&gt;0</f>
        <v>0</v>
      </c>
    </row>
    <row r="3114" spans="1:9" hidden="1">
      <c r="A3114" s="1" t="s">
        <v>11476</v>
      </c>
      <c r="B3114" s="1" t="s">
        <v>10</v>
      </c>
      <c r="C3114" s="1" t="s">
        <v>11477</v>
      </c>
      <c r="D3114" s="1" t="s">
        <v>11469</v>
      </c>
      <c r="E3114" s="1" t="s">
        <v>1115</v>
      </c>
      <c r="F3114" s="1" t="s">
        <v>30</v>
      </c>
      <c r="G3114" s="1" t="s">
        <v>11478</v>
      </c>
      <c r="H3114" s="1" t="s">
        <v>1762</v>
      </c>
      <c r="I3114" t="b">
        <f>COUNTIF(Estadísticas!I:I,'centraldecomunicacion.es'!H3114)&gt;0</f>
        <v>0</v>
      </c>
    </row>
    <row r="3115" spans="1:9" hidden="1">
      <c r="A3115" s="1" t="s">
        <v>11479</v>
      </c>
      <c r="B3115" s="1" t="s">
        <v>10</v>
      </c>
      <c r="C3115" s="1" t="s">
        <v>11480</v>
      </c>
      <c r="D3115" s="1" t="s">
        <v>11364</v>
      </c>
      <c r="E3115" s="1" t="s">
        <v>1115</v>
      </c>
      <c r="F3115" s="1" t="s">
        <v>30</v>
      </c>
      <c r="G3115" s="1" t="s">
        <v>11481</v>
      </c>
      <c r="H3115" s="1" t="s">
        <v>1762</v>
      </c>
      <c r="I3115" t="b">
        <f>COUNTIF(Estadísticas!I:I,'centraldecomunicacion.es'!H3115)&gt;0</f>
        <v>0</v>
      </c>
    </row>
    <row r="3116" spans="1:9" hidden="1">
      <c r="A3116" s="1" t="s">
        <v>11482</v>
      </c>
      <c r="B3116" s="1" t="s">
        <v>10</v>
      </c>
      <c r="C3116" s="1" t="s">
        <v>11483</v>
      </c>
      <c r="D3116" s="1" t="s">
        <v>11364</v>
      </c>
      <c r="E3116" s="1" t="s">
        <v>1115</v>
      </c>
      <c r="F3116" s="1" t="s">
        <v>11484</v>
      </c>
      <c r="G3116" s="1" t="s">
        <v>11485</v>
      </c>
      <c r="H3116" s="1" t="s">
        <v>1762</v>
      </c>
      <c r="I3116" t="b">
        <f>COUNTIF(Estadísticas!I:I,'centraldecomunicacion.es'!H3116)&gt;0</f>
        <v>0</v>
      </c>
    </row>
    <row r="3117" spans="1:9" hidden="1">
      <c r="A3117" s="1" t="s">
        <v>11486</v>
      </c>
      <c r="B3117" s="1" t="s">
        <v>10</v>
      </c>
      <c r="C3117" s="1" t="s">
        <v>30</v>
      </c>
      <c r="D3117" s="1" t="s">
        <v>1125</v>
      </c>
      <c r="E3117" s="1" t="s">
        <v>30</v>
      </c>
      <c r="F3117" s="1" t="s">
        <v>30</v>
      </c>
      <c r="G3117" s="1" t="s">
        <v>11487</v>
      </c>
      <c r="H3117" s="1" t="s">
        <v>1762</v>
      </c>
      <c r="I3117" t="b">
        <f>COUNTIF(Estadísticas!I:I,'centraldecomunicacion.es'!H3117)&gt;0</f>
        <v>0</v>
      </c>
    </row>
    <row r="3118" spans="1:9" hidden="1">
      <c r="A3118" s="1" t="s">
        <v>11488</v>
      </c>
      <c r="B3118" s="1" t="s">
        <v>10</v>
      </c>
      <c r="C3118" s="1" t="s">
        <v>11489</v>
      </c>
      <c r="D3118" s="1" t="s">
        <v>11364</v>
      </c>
      <c r="E3118" s="1" t="s">
        <v>1115</v>
      </c>
      <c r="F3118" s="1" t="s">
        <v>30</v>
      </c>
      <c r="G3118" s="1" t="s">
        <v>30</v>
      </c>
      <c r="H3118" s="1" t="s">
        <v>1762</v>
      </c>
      <c r="I3118" t="b">
        <f>COUNTIF(Estadísticas!I:I,'centraldecomunicacion.es'!H3118)&gt;0</f>
        <v>0</v>
      </c>
    </row>
    <row r="3119" spans="1:9" hidden="1">
      <c r="A3119" s="1" t="s">
        <v>11490</v>
      </c>
      <c r="B3119" s="1" t="s">
        <v>10</v>
      </c>
      <c r="C3119" s="1" t="s">
        <v>11491</v>
      </c>
      <c r="D3119" s="1" t="s">
        <v>11419</v>
      </c>
      <c r="E3119" s="1" t="s">
        <v>1115</v>
      </c>
      <c r="F3119" s="1" t="s">
        <v>30</v>
      </c>
      <c r="G3119" s="1" t="s">
        <v>11492</v>
      </c>
      <c r="H3119" s="1" t="s">
        <v>1762</v>
      </c>
      <c r="I3119" t="b">
        <f>COUNTIF(Estadísticas!I:I,'centraldecomunicacion.es'!H3119)&gt;0</f>
        <v>0</v>
      </c>
    </row>
    <row r="3120" spans="1:9" hidden="1">
      <c r="A3120" s="1" t="s">
        <v>11493</v>
      </c>
      <c r="B3120" s="1" t="s">
        <v>10</v>
      </c>
      <c r="C3120" s="1" t="s">
        <v>11494</v>
      </c>
      <c r="D3120" s="1" t="s">
        <v>11469</v>
      </c>
      <c r="E3120" s="1" t="s">
        <v>1115</v>
      </c>
      <c r="F3120" s="1" t="s">
        <v>6237</v>
      </c>
      <c r="G3120" s="1" t="s">
        <v>11371</v>
      </c>
      <c r="H3120" s="1" t="s">
        <v>1762</v>
      </c>
      <c r="I3120" t="b">
        <f>COUNTIF(Estadísticas!I:I,'centraldecomunicacion.es'!H3120)&gt;0</f>
        <v>0</v>
      </c>
    </row>
    <row r="3121" spans="1:9" hidden="1">
      <c r="A3121" s="1" t="s">
        <v>11495</v>
      </c>
      <c r="B3121" s="1" t="s">
        <v>10</v>
      </c>
      <c r="C3121" s="1" t="s">
        <v>11496</v>
      </c>
      <c r="D3121" s="1" t="s">
        <v>11497</v>
      </c>
      <c r="E3121" s="1" t="s">
        <v>1115</v>
      </c>
      <c r="F3121" s="1" t="s">
        <v>30</v>
      </c>
      <c r="G3121" s="1" t="s">
        <v>11498</v>
      </c>
      <c r="H3121" s="1" t="s">
        <v>1762</v>
      </c>
      <c r="I3121" t="b">
        <f>COUNTIF(Estadísticas!I:I,'centraldecomunicacion.es'!H3121)&gt;0</f>
        <v>0</v>
      </c>
    </row>
    <row r="3122" spans="1:9" hidden="1">
      <c r="A3122" s="1" t="s">
        <v>11499</v>
      </c>
      <c r="B3122" s="1" t="s">
        <v>10</v>
      </c>
      <c r="C3122" s="1" t="s">
        <v>11500</v>
      </c>
      <c r="D3122" s="1" t="s">
        <v>11419</v>
      </c>
      <c r="E3122" s="1" t="s">
        <v>1115</v>
      </c>
      <c r="F3122" s="1" t="s">
        <v>30</v>
      </c>
      <c r="G3122" s="1" t="s">
        <v>30</v>
      </c>
      <c r="H3122" s="1" t="s">
        <v>1762</v>
      </c>
      <c r="I3122" t="b">
        <f>COUNTIF(Estadísticas!I:I,'centraldecomunicacion.es'!H3122)&gt;0</f>
        <v>0</v>
      </c>
    </row>
    <row r="3123" spans="1:9" hidden="1">
      <c r="A3123" s="1" t="s">
        <v>11501</v>
      </c>
      <c r="B3123" s="1" t="s">
        <v>18</v>
      </c>
      <c r="C3123" s="1" t="s">
        <v>11502</v>
      </c>
      <c r="D3123" s="1" t="s">
        <v>11503</v>
      </c>
      <c r="E3123" s="1" t="s">
        <v>1115</v>
      </c>
      <c r="F3123" s="1" t="s">
        <v>4288</v>
      </c>
      <c r="G3123" s="1" t="s">
        <v>11504</v>
      </c>
      <c r="H3123" s="1" t="s">
        <v>4290</v>
      </c>
      <c r="I3123" t="b">
        <f>COUNTIF(Estadísticas!I:I,'centraldecomunicacion.es'!H3123)&gt;0</f>
        <v>0</v>
      </c>
    </row>
    <row r="3124" spans="1:9" hidden="1">
      <c r="A3124" s="1" t="s">
        <v>11505</v>
      </c>
      <c r="B3124" s="1" t="s">
        <v>10</v>
      </c>
      <c r="C3124" s="1" t="s">
        <v>11506</v>
      </c>
      <c r="D3124" s="1" t="s">
        <v>11507</v>
      </c>
      <c r="E3124" s="1" t="s">
        <v>1115</v>
      </c>
      <c r="F3124" s="1" t="s">
        <v>30</v>
      </c>
      <c r="G3124" s="1" t="s">
        <v>30</v>
      </c>
      <c r="H3124" s="1" t="s">
        <v>1762</v>
      </c>
      <c r="I3124" t="b">
        <f>COUNTIF(Estadísticas!I:I,'centraldecomunicacion.es'!H3124)&gt;0</f>
        <v>0</v>
      </c>
    </row>
    <row r="3125" spans="1:9" hidden="1">
      <c r="A3125" s="1" t="s">
        <v>11508</v>
      </c>
      <c r="B3125" s="1" t="s">
        <v>18</v>
      </c>
      <c r="C3125" s="1" t="s">
        <v>11509</v>
      </c>
      <c r="D3125" s="1" t="s">
        <v>11364</v>
      </c>
      <c r="E3125" s="1" t="s">
        <v>1115</v>
      </c>
      <c r="F3125" s="1" t="s">
        <v>30</v>
      </c>
      <c r="G3125" s="1" t="s">
        <v>11510</v>
      </c>
      <c r="H3125" s="1" t="s">
        <v>1762</v>
      </c>
      <c r="I3125" t="b">
        <f>COUNTIF(Estadísticas!I:I,'centraldecomunicacion.es'!H3125)&gt;0</f>
        <v>0</v>
      </c>
    </row>
    <row r="3126" spans="1:9" hidden="1">
      <c r="A3126" s="1" t="s">
        <v>11511</v>
      </c>
      <c r="B3126" s="1" t="s">
        <v>10</v>
      </c>
      <c r="C3126" s="1" t="s">
        <v>11512</v>
      </c>
      <c r="D3126" s="1" t="s">
        <v>11497</v>
      </c>
      <c r="E3126" s="1" t="s">
        <v>1115</v>
      </c>
      <c r="F3126" s="1" t="s">
        <v>30</v>
      </c>
      <c r="G3126" s="1" t="s">
        <v>11513</v>
      </c>
      <c r="H3126" s="1" t="s">
        <v>1762</v>
      </c>
      <c r="I3126" t="b">
        <f>COUNTIF(Estadísticas!I:I,'centraldecomunicacion.es'!H3126)&gt;0</f>
        <v>0</v>
      </c>
    </row>
    <row r="3127" spans="1:9" hidden="1">
      <c r="A3127" s="1" t="s">
        <v>11514</v>
      </c>
      <c r="B3127" s="1" t="s">
        <v>10</v>
      </c>
      <c r="C3127" s="1" t="s">
        <v>11515</v>
      </c>
      <c r="D3127" s="1" t="s">
        <v>11503</v>
      </c>
      <c r="E3127" s="1" t="s">
        <v>1115</v>
      </c>
      <c r="F3127" s="1" t="s">
        <v>11516</v>
      </c>
      <c r="G3127" s="1" t="s">
        <v>11517</v>
      </c>
      <c r="H3127" s="1" t="s">
        <v>1762</v>
      </c>
      <c r="I3127" t="b">
        <f>COUNTIF(Estadísticas!I:I,'centraldecomunicacion.es'!H3127)&gt;0</f>
        <v>0</v>
      </c>
    </row>
    <row r="3128" spans="1:9" hidden="1">
      <c r="A3128" s="1" t="s">
        <v>11518</v>
      </c>
      <c r="B3128" s="1" t="s">
        <v>18</v>
      </c>
      <c r="C3128" s="1" t="s">
        <v>11519</v>
      </c>
      <c r="D3128" s="1" t="s">
        <v>11364</v>
      </c>
      <c r="E3128" s="1" t="s">
        <v>1115</v>
      </c>
      <c r="F3128" s="1" t="s">
        <v>30</v>
      </c>
      <c r="G3128" s="1" t="s">
        <v>11520</v>
      </c>
      <c r="H3128" s="1" t="s">
        <v>1762</v>
      </c>
      <c r="I3128" t="b">
        <f>COUNTIF(Estadísticas!I:I,'centraldecomunicacion.es'!H3128)&gt;0</f>
        <v>0</v>
      </c>
    </row>
    <row r="3129" spans="1:9" hidden="1">
      <c r="A3129" s="1" t="s">
        <v>11521</v>
      </c>
      <c r="B3129" s="1" t="s">
        <v>18</v>
      </c>
      <c r="C3129" s="1" t="s">
        <v>11522</v>
      </c>
      <c r="D3129" s="1" t="s">
        <v>11523</v>
      </c>
      <c r="E3129" s="1" t="s">
        <v>1115</v>
      </c>
      <c r="F3129" s="1" t="s">
        <v>30</v>
      </c>
      <c r="G3129" s="1" t="s">
        <v>11524</v>
      </c>
      <c r="H3129" s="1" t="s">
        <v>1762</v>
      </c>
      <c r="I3129" t="b">
        <f>COUNTIF(Estadísticas!I:I,'centraldecomunicacion.es'!H3129)&gt;0</f>
        <v>0</v>
      </c>
    </row>
    <row r="3130" spans="1:9" hidden="1">
      <c r="A3130" s="1" t="s">
        <v>11525</v>
      </c>
      <c r="B3130" s="1" t="s">
        <v>10</v>
      </c>
      <c r="C3130" s="1" t="s">
        <v>11526</v>
      </c>
      <c r="D3130" s="1" t="s">
        <v>11527</v>
      </c>
      <c r="E3130" s="1" t="s">
        <v>1115</v>
      </c>
      <c r="F3130" s="1" t="s">
        <v>30</v>
      </c>
      <c r="G3130" s="1" t="s">
        <v>30</v>
      </c>
      <c r="H3130" s="1" t="s">
        <v>1762</v>
      </c>
      <c r="I3130" t="b">
        <f>COUNTIF(Estadísticas!I:I,'centraldecomunicacion.es'!H3130)&gt;0</f>
        <v>0</v>
      </c>
    </row>
    <row r="3131" spans="1:9" hidden="1">
      <c r="A3131" s="1" t="s">
        <v>11528</v>
      </c>
      <c r="B3131" s="1" t="s">
        <v>18</v>
      </c>
      <c r="C3131" s="1" t="s">
        <v>11529</v>
      </c>
      <c r="D3131" s="1" t="s">
        <v>11530</v>
      </c>
      <c r="E3131" s="1" t="s">
        <v>1115</v>
      </c>
      <c r="F3131" s="1" t="s">
        <v>30</v>
      </c>
      <c r="G3131" s="1" t="s">
        <v>11531</v>
      </c>
      <c r="H3131" s="1" t="s">
        <v>1762</v>
      </c>
      <c r="I3131" t="b">
        <f>COUNTIF(Estadísticas!I:I,'centraldecomunicacion.es'!H3131)&gt;0</f>
        <v>0</v>
      </c>
    </row>
    <row r="3132" spans="1:9" hidden="1">
      <c r="A3132" s="1" t="s">
        <v>11532</v>
      </c>
      <c r="B3132" s="1" t="s">
        <v>18</v>
      </c>
      <c r="C3132" s="1" t="s">
        <v>11533</v>
      </c>
      <c r="D3132" s="1" t="s">
        <v>11534</v>
      </c>
      <c r="E3132" s="1" t="s">
        <v>11534</v>
      </c>
      <c r="F3132" s="1" t="s">
        <v>11535</v>
      </c>
      <c r="G3132" s="1" t="s">
        <v>11536</v>
      </c>
      <c r="H3132" s="1" t="s">
        <v>11537</v>
      </c>
      <c r="I3132" t="b">
        <f>COUNTIF(Estadísticas!I:I,'centraldecomunicacion.es'!H3132)&gt;0</f>
        <v>0</v>
      </c>
    </row>
    <row r="3133" spans="1:9" hidden="1">
      <c r="A3133" s="1" t="s">
        <v>11538</v>
      </c>
      <c r="B3133" s="1" t="s">
        <v>10</v>
      </c>
      <c r="C3133" s="1" t="s">
        <v>11539</v>
      </c>
      <c r="D3133" s="1" t="s">
        <v>11534</v>
      </c>
      <c r="E3133" s="1" t="s">
        <v>11534</v>
      </c>
      <c r="F3133" s="1" t="s">
        <v>30</v>
      </c>
      <c r="G3133" s="1" t="s">
        <v>11540</v>
      </c>
      <c r="H3133" s="1" t="s">
        <v>1762</v>
      </c>
      <c r="I3133" t="b">
        <f>COUNTIF(Estadísticas!I:I,'centraldecomunicacion.es'!H3133)&gt;0</f>
        <v>0</v>
      </c>
    </row>
    <row r="3134" spans="1:9" hidden="1">
      <c r="A3134" s="1" t="s">
        <v>11541</v>
      </c>
      <c r="B3134" s="1" t="s">
        <v>10</v>
      </c>
      <c r="C3134" s="1" t="s">
        <v>11542</v>
      </c>
      <c r="D3134" s="1" t="s">
        <v>11534</v>
      </c>
      <c r="E3134" s="1" t="s">
        <v>11534</v>
      </c>
      <c r="F3134" s="1" t="s">
        <v>30</v>
      </c>
      <c r="G3134" s="1" t="s">
        <v>11543</v>
      </c>
      <c r="H3134" s="1" t="s">
        <v>1762</v>
      </c>
      <c r="I3134" t="b">
        <f>COUNTIF(Estadísticas!I:I,'centraldecomunicacion.es'!H3134)&gt;0</f>
        <v>0</v>
      </c>
    </row>
    <row r="3135" spans="1:9" hidden="1">
      <c r="A3135" s="1" t="s">
        <v>11544</v>
      </c>
      <c r="B3135" s="1" t="s">
        <v>10</v>
      </c>
      <c r="C3135" s="1" t="s">
        <v>11545</v>
      </c>
      <c r="D3135" s="1" t="s">
        <v>11534</v>
      </c>
      <c r="E3135" s="1" t="s">
        <v>11534</v>
      </c>
      <c r="F3135" s="1" t="s">
        <v>3349</v>
      </c>
      <c r="G3135" s="1" t="s">
        <v>11546</v>
      </c>
      <c r="H3135" s="1" t="s">
        <v>3351</v>
      </c>
      <c r="I3135" t="b">
        <f>COUNTIF(Estadísticas!I:I,'centraldecomunicacion.es'!H3135)&gt;0</f>
        <v>0</v>
      </c>
    </row>
    <row r="3136" spans="1:9" hidden="1">
      <c r="A3136" s="1" t="s">
        <v>11547</v>
      </c>
      <c r="B3136" s="1" t="s">
        <v>10</v>
      </c>
      <c r="C3136" s="1" t="s">
        <v>11548</v>
      </c>
      <c r="D3136" s="1" t="s">
        <v>11534</v>
      </c>
      <c r="E3136" s="1" t="s">
        <v>11534</v>
      </c>
      <c r="F3136" s="1" t="s">
        <v>30</v>
      </c>
      <c r="G3136" s="1" t="s">
        <v>11543</v>
      </c>
      <c r="H3136" s="1" t="s">
        <v>1762</v>
      </c>
      <c r="I3136" t="b">
        <f>COUNTIF(Estadísticas!I:I,'centraldecomunicacion.es'!H3136)&gt;0</f>
        <v>0</v>
      </c>
    </row>
    <row r="3137" spans="1:9" hidden="1">
      <c r="A3137" s="1" t="s">
        <v>11549</v>
      </c>
      <c r="B3137" s="1" t="s">
        <v>10</v>
      </c>
      <c r="C3137" s="1" t="s">
        <v>11550</v>
      </c>
      <c r="D3137" s="1" t="s">
        <v>11534</v>
      </c>
      <c r="E3137" s="1" t="s">
        <v>11534</v>
      </c>
      <c r="F3137" s="1" t="s">
        <v>30</v>
      </c>
      <c r="G3137" s="1" t="s">
        <v>30</v>
      </c>
      <c r="H3137" s="1" t="s">
        <v>1762</v>
      </c>
      <c r="I3137" t="b">
        <f>COUNTIF(Estadísticas!I:I,'centraldecomunicacion.es'!H3137)&gt;0</f>
        <v>0</v>
      </c>
    </row>
    <row r="3138" spans="1:9" hidden="1">
      <c r="A3138" s="1" t="s">
        <v>11551</v>
      </c>
      <c r="B3138" s="1" t="s">
        <v>10</v>
      </c>
      <c r="C3138" s="1" t="s">
        <v>11552</v>
      </c>
      <c r="D3138" s="1" t="s">
        <v>11534</v>
      </c>
      <c r="E3138" s="1" t="s">
        <v>11534</v>
      </c>
      <c r="F3138" s="1" t="s">
        <v>30</v>
      </c>
      <c r="G3138" s="1" t="s">
        <v>11543</v>
      </c>
      <c r="H3138" s="1" t="s">
        <v>1762</v>
      </c>
      <c r="I3138" t="b">
        <f>COUNTIF(Estadísticas!I:I,'centraldecomunicacion.es'!H3138)&gt;0</f>
        <v>0</v>
      </c>
    </row>
    <row r="3139" spans="1:9" hidden="1">
      <c r="A3139" s="1" t="s">
        <v>11553</v>
      </c>
      <c r="B3139" s="1" t="s">
        <v>10</v>
      </c>
      <c r="C3139" s="1" t="s">
        <v>11554</v>
      </c>
      <c r="D3139" s="1" t="s">
        <v>11534</v>
      </c>
      <c r="E3139" s="1" t="s">
        <v>11534</v>
      </c>
      <c r="F3139" s="1" t="s">
        <v>30</v>
      </c>
      <c r="G3139" s="1" t="s">
        <v>30</v>
      </c>
      <c r="H3139" s="1" t="s">
        <v>1762</v>
      </c>
      <c r="I3139" t="b">
        <f>COUNTIF(Estadísticas!I:I,'centraldecomunicacion.es'!H3139)&gt;0</f>
        <v>0</v>
      </c>
    </row>
    <row r="3140" spans="1:9" hidden="1">
      <c r="A3140" s="1" t="s">
        <v>11555</v>
      </c>
      <c r="B3140" s="1" t="s">
        <v>10</v>
      </c>
      <c r="C3140" s="1" t="s">
        <v>11556</v>
      </c>
      <c r="D3140" s="1" t="s">
        <v>2271</v>
      </c>
      <c r="E3140" s="1" t="s">
        <v>37</v>
      </c>
      <c r="F3140" s="1" t="s">
        <v>30</v>
      </c>
      <c r="G3140" s="1" t="s">
        <v>11557</v>
      </c>
      <c r="H3140" s="1" t="s">
        <v>1762</v>
      </c>
      <c r="I3140" t="b">
        <f>COUNTIF(Estadísticas!I:I,'centraldecomunicacion.es'!H3140)&gt;0</f>
        <v>0</v>
      </c>
    </row>
    <row r="3141" spans="1:9" hidden="1">
      <c r="A3141" s="1" t="s">
        <v>11558</v>
      </c>
      <c r="B3141" s="1" t="s">
        <v>10</v>
      </c>
      <c r="C3141" s="1" t="s">
        <v>11559</v>
      </c>
      <c r="D3141" s="1" t="s">
        <v>2271</v>
      </c>
      <c r="E3141" s="1" t="s">
        <v>37</v>
      </c>
      <c r="F3141" s="1" t="s">
        <v>11560</v>
      </c>
      <c r="G3141" s="1" t="s">
        <v>11561</v>
      </c>
      <c r="H3141" s="1" t="s">
        <v>11562</v>
      </c>
      <c r="I3141" t="b">
        <f>COUNTIF(Estadísticas!I:I,'centraldecomunicacion.es'!H3141)&gt;0</f>
        <v>0</v>
      </c>
    </row>
    <row r="3142" spans="1:9" hidden="1">
      <c r="A3142" s="1" t="s">
        <v>11563</v>
      </c>
      <c r="B3142" s="1" t="s">
        <v>10</v>
      </c>
      <c r="C3142" s="1" t="s">
        <v>11564</v>
      </c>
      <c r="D3142" s="1" t="s">
        <v>2271</v>
      </c>
      <c r="E3142" s="1" t="s">
        <v>37</v>
      </c>
      <c r="F3142" s="1" t="s">
        <v>30</v>
      </c>
      <c r="G3142" s="1" t="s">
        <v>30</v>
      </c>
      <c r="H3142" s="1" t="s">
        <v>1762</v>
      </c>
      <c r="I3142" t="b">
        <f>COUNTIF(Estadísticas!I:I,'centraldecomunicacion.es'!H3142)&gt;0</f>
        <v>0</v>
      </c>
    </row>
    <row r="3143" spans="1:9" hidden="1">
      <c r="A3143" s="1" t="s">
        <v>11565</v>
      </c>
      <c r="B3143" s="1" t="s">
        <v>10</v>
      </c>
      <c r="C3143" s="1" t="s">
        <v>11566</v>
      </c>
      <c r="D3143" s="1" t="s">
        <v>11567</v>
      </c>
      <c r="E3143" s="1" t="s">
        <v>37</v>
      </c>
      <c r="F3143" s="1" t="s">
        <v>30</v>
      </c>
      <c r="G3143" s="1" t="s">
        <v>11568</v>
      </c>
      <c r="H3143" s="1" t="s">
        <v>1762</v>
      </c>
      <c r="I3143" t="b">
        <f>COUNTIF(Estadísticas!I:I,'centraldecomunicacion.es'!H3143)&gt;0</f>
        <v>0</v>
      </c>
    </row>
    <row r="3144" spans="1:9" hidden="1">
      <c r="A3144" s="1" t="s">
        <v>11569</v>
      </c>
      <c r="B3144" s="1" t="s">
        <v>10</v>
      </c>
      <c r="C3144" s="1" t="s">
        <v>11570</v>
      </c>
      <c r="D3144" s="1" t="s">
        <v>2271</v>
      </c>
      <c r="E3144" s="1" t="s">
        <v>37</v>
      </c>
      <c r="F3144" s="1" t="s">
        <v>30</v>
      </c>
      <c r="G3144" s="1" t="s">
        <v>11571</v>
      </c>
      <c r="H3144" s="1" t="s">
        <v>1762</v>
      </c>
      <c r="I3144" t="b">
        <f>COUNTIF(Estadísticas!I:I,'centraldecomunicacion.es'!H3144)&gt;0</f>
        <v>0</v>
      </c>
    </row>
    <row r="3145" spans="1:9" hidden="1">
      <c r="A3145" s="1" t="s">
        <v>11572</v>
      </c>
      <c r="B3145" s="1" t="s">
        <v>10</v>
      </c>
      <c r="C3145" s="1" t="s">
        <v>30</v>
      </c>
      <c r="D3145" s="1" t="s">
        <v>11534</v>
      </c>
      <c r="E3145" s="1" t="s">
        <v>30</v>
      </c>
      <c r="F3145" s="1" t="s">
        <v>30</v>
      </c>
      <c r="G3145" s="1" t="s">
        <v>11573</v>
      </c>
      <c r="H3145" s="1" t="s">
        <v>1762</v>
      </c>
      <c r="I3145" t="b">
        <f>COUNTIF(Estadísticas!I:I,'centraldecomunicacion.es'!H3145)&gt;0</f>
        <v>0</v>
      </c>
    </row>
    <row r="3146" spans="1:9" hidden="1">
      <c r="A3146" s="1" t="s">
        <v>11574</v>
      </c>
      <c r="B3146" s="1" t="s">
        <v>10</v>
      </c>
      <c r="C3146" s="1" t="s">
        <v>11575</v>
      </c>
      <c r="D3146" s="1" t="s">
        <v>11567</v>
      </c>
      <c r="E3146" s="1" t="s">
        <v>37</v>
      </c>
      <c r="F3146" s="1" t="s">
        <v>30</v>
      </c>
      <c r="G3146" s="1" t="s">
        <v>11576</v>
      </c>
      <c r="H3146" s="1" t="s">
        <v>1762</v>
      </c>
      <c r="I3146" t="b">
        <f>COUNTIF(Estadísticas!I:I,'centraldecomunicacion.es'!H3146)&gt;0</f>
        <v>0</v>
      </c>
    </row>
    <row r="3147" spans="1:9" hidden="1">
      <c r="A3147" s="1" t="s">
        <v>11577</v>
      </c>
      <c r="B3147" s="1" t="s">
        <v>10</v>
      </c>
      <c r="C3147" s="1" t="s">
        <v>11578</v>
      </c>
      <c r="D3147" s="1" t="s">
        <v>11579</v>
      </c>
      <c r="E3147" s="1" t="s">
        <v>37</v>
      </c>
      <c r="F3147" s="1" t="s">
        <v>30</v>
      </c>
      <c r="G3147" s="1" t="s">
        <v>11580</v>
      </c>
      <c r="H3147" s="1" t="s">
        <v>1762</v>
      </c>
      <c r="I3147" t="b">
        <f>COUNTIF(Estadísticas!I:I,'centraldecomunicacion.es'!H3147)&gt;0</f>
        <v>0</v>
      </c>
    </row>
    <row r="3148" spans="1:9" hidden="1">
      <c r="A3148" s="1" t="s">
        <v>11581</v>
      </c>
      <c r="B3148" s="1" t="s">
        <v>10</v>
      </c>
      <c r="C3148" s="1" t="s">
        <v>11582</v>
      </c>
      <c r="D3148" s="1" t="s">
        <v>11583</v>
      </c>
      <c r="E3148" s="1" t="s">
        <v>11584</v>
      </c>
      <c r="F3148" s="1" t="s">
        <v>1830</v>
      </c>
      <c r="G3148" s="1" t="s">
        <v>11585</v>
      </c>
      <c r="H3148" s="1" t="s">
        <v>1762</v>
      </c>
      <c r="I3148" t="b">
        <f>COUNTIF(Estadísticas!I:I,'centraldecomunicacion.es'!H3148)&gt;0</f>
        <v>0</v>
      </c>
    </row>
    <row r="3149" spans="1:9" hidden="1">
      <c r="A3149" s="1" t="s">
        <v>7604</v>
      </c>
      <c r="B3149" s="1" t="s">
        <v>10</v>
      </c>
      <c r="C3149" s="1" t="s">
        <v>11586</v>
      </c>
      <c r="D3149" s="1" t="s">
        <v>11587</v>
      </c>
      <c r="E3149" s="1" t="s">
        <v>37</v>
      </c>
      <c r="F3149" s="1" t="s">
        <v>30</v>
      </c>
      <c r="G3149" s="1" t="s">
        <v>11588</v>
      </c>
      <c r="H3149" s="1" t="s">
        <v>1762</v>
      </c>
      <c r="I3149" t="b">
        <f>COUNTIF(Estadísticas!I:I,'centraldecomunicacion.es'!H3149)&gt;0</f>
        <v>0</v>
      </c>
    </row>
    <row r="3150" spans="1:9" hidden="1">
      <c r="A3150" s="1" t="s">
        <v>11589</v>
      </c>
      <c r="B3150" s="1" t="s">
        <v>10</v>
      </c>
      <c r="C3150" s="1" t="s">
        <v>11590</v>
      </c>
      <c r="D3150" s="1" t="s">
        <v>11567</v>
      </c>
      <c r="E3150" s="1" t="s">
        <v>37</v>
      </c>
      <c r="F3150" s="1" t="s">
        <v>30</v>
      </c>
      <c r="G3150" s="1" t="s">
        <v>30</v>
      </c>
      <c r="H3150" s="1" t="s">
        <v>1762</v>
      </c>
      <c r="I3150" t="b">
        <f>COUNTIF(Estadísticas!I:I,'centraldecomunicacion.es'!H3150)&gt;0</f>
        <v>0</v>
      </c>
    </row>
    <row r="3151" spans="1:9" hidden="1">
      <c r="A3151" s="1" t="s">
        <v>11591</v>
      </c>
      <c r="B3151" s="1" t="s">
        <v>10</v>
      </c>
      <c r="C3151" s="1" t="s">
        <v>11592</v>
      </c>
      <c r="D3151" s="1" t="s">
        <v>11593</v>
      </c>
      <c r="E3151" s="1" t="s">
        <v>37</v>
      </c>
      <c r="F3151" s="1" t="s">
        <v>30</v>
      </c>
      <c r="G3151" s="1" t="s">
        <v>11594</v>
      </c>
      <c r="H3151" s="1" t="s">
        <v>1762</v>
      </c>
      <c r="I3151" t="b">
        <f>COUNTIF(Estadísticas!I:I,'centraldecomunicacion.es'!H3151)&gt;0</f>
        <v>0</v>
      </c>
    </row>
    <row r="3152" spans="1:9" hidden="1">
      <c r="A3152" s="1" t="s">
        <v>11595</v>
      </c>
      <c r="B3152" s="1" t="s">
        <v>10</v>
      </c>
      <c r="C3152" s="1" t="s">
        <v>11596</v>
      </c>
      <c r="D3152" s="1" t="s">
        <v>2271</v>
      </c>
      <c r="E3152" s="1" t="s">
        <v>37</v>
      </c>
      <c r="F3152" s="1" t="s">
        <v>30</v>
      </c>
      <c r="G3152" s="1" t="s">
        <v>11597</v>
      </c>
      <c r="H3152" s="1" t="s">
        <v>1762</v>
      </c>
      <c r="I3152" t="b">
        <f>COUNTIF(Estadísticas!I:I,'centraldecomunicacion.es'!H3152)&gt;0</f>
        <v>0</v>
      </c>
    </row>
    <row r="3153" spans="1:9" hidden="1">
      <c r="A3153" s="1" t="s">
        <v>11598</v>
      </c>
      <c r="B3153" s="1" t="s">
        <v>10</v>
      </c>
      <c r="C3153" s="1" t="s">
        <v>11599</v>
      </c>
      <c r="D3153" s="1" t="s">
        <v>2271</v>
      </c>
      <c r="E3153" s="1" t="s">
        <v>37</v>
      </c>
      <c r="F3153" s="1" t="s">
        <v>30</v>
      </c>
      <c r="G3153" s="1" t="s">
        <v>11600</v>
      </c>
      <c r="H3153" s="1" t="s">
        <v>1762</v>
      </c>
      <c r="I3153" t="b">
        <f>COUNTIF(Estadísticas!I:I,'centraldecomunicacion.es'!H3153)&gt;0</f>
        <v>0</v>
      </c>
    </row>
    <row r="3154" spans="1:9" hidden="1">
      <c r="A3154" s="1" t="s">
        <v>10</v>
      </c>
      <c r="B3154" s="1" t="s">
        <v>10</v>
      </c>
      <c r="C3154" s="1" t="s">
        <v>11601</v>
      </c>
      <c r="D3154" s="1" t="s">
        <v>2271</v>
      </c>
      <c r="E3154" s="1" t="s">
        <v>37</v>
      </c>
      <c r="F3154" s="1" t="s">
        <v>30</v>
      </c>
      <c r="G3154" s="1" t="s">
        <v>11602</v>
      </c>
      <c r="H3154" s="1" t="s">
        <v>1762</v>
      </c>
      <c r="I3154" t="b">
        <f>COUNTIF(Estadísticas!I:I,'centraldecomunicacion.es'!H3154)&gt;0</f>
        <v>0</v>
      </c>
    </row>
    <row r="3155" spans="1:9" hidden="1">
      <c r="A3155" s="1" t="s">
        <v>11603</v>
      </c>
      <c r="B3155" s="1" t="s">
        <v>10</v>
      </c>
      <c r="C3155" s="1" t="s">
        <v>11604</v>
      </c>
      <c r="D3155" s="1" t="s">
        <v>11605</v>
      </c>
      <c r="E3155" s="1" t="s">
        <v>37</v>
      </c>
      <c r="F3155" s="1" t="s">
        <v>30</v>
      </c>
      <c r="G3155" s="1" t="s">
        <v>11606</v>
      </c>
      <c r="H3155" s="1" t="s">
        <v>1762</v>
      </c>
      <c r="I3155" t="b">
        <f>COUNTIF(Estadísticas!I:I,'centraldecomunicacion.es'!H3155)&gt;0</f>
        <v>0</v>
      </c>
    </row>
    <row r="3156" spans="1:9" hidden="1">
      <c r="A3156" s="1" t="s">
        <v>11607</v>
      </c>
      <c r="B3156" s="1" t="s">
        <v>10</v>
      </c>
      <c r="C3156" s="1" t="s">
        <v>30</v>
      </c>
      <c r="D3156" s="1" t="s">
        <v>11534</v>
      </c>
      <c r="E3156" s="1" t="s">
        <v>30</v>
      </c>
      <c r="F3156" s="1" t="s">
        <v>30</v>
      </c>
      <c r="G3156" s="1" t="s">
        <v>11608</v>
      </c>
      <c r="H3156" s="1" t="s">
        <v>1762</v>
      </c>
      <c r="I3156" t="b">
        <f>COUNTIF(Estadísticas!I:I,'centraldecomunicacion.es'!H3156)&gt;0</f>
        <v>0</v>
      </c>
    </row>
    <row r="3157" spans="1:9" hidden="1">
      <c r="A3157" s="1" t="s">
        <v>11609</v>
      </c>
      <c r="B3157" s="1" t="s">
        <v>10</v>
      </c>
      <c r="C3157" s="1" t="s">
        <v>11610</v>
      </c>
      <c r="D3157" s="1" t="s">
        <v>2271</v>
      </c>
      <c r="E3157" s="1" t="s">
        <v>37</v>
      </c>
      <c r="F3157" s="1" t="s">
        <v>30</v>
      </c>
      <c r="G3157" s="1" t="s">
        <v>30</v>
      </c>
      <c r="H3157" s="1" t="s">
        <v>1762</v>
      </c>
      <c r="I3157" t="b">
        <f>COUNTIF(Estadísticas!I:I,'centraldecomunicacion.es'!H3157)&gt;0</f>
        <v>0</v>
      </c>
    </row>
    <row r="3158" spans="1:9" hidden="1">
      <c r="A3158" s="1" t="s">
        <v>11611</v>
      </c>
      <c r="B3158" s="1" t="s">
        <v>10</v>
      </c>
      <c r="C3158" s="1" t="s">
        <v>11612</v>
      </c>
      <c r="D3158" s="1" t="s">
        <v>2271</v>
      </c>
      <c r="E3158" s="1" t="s">
        <v>37</v>
      </c>
      <c r="F3158" s="1" t="s">
        <v>30</v>
      </c>
      <c r="G3158" s="1" t="s">
        <v>11613</v>
      </c>
      <c r="H3158" s="1" t="s">
        <v>1762</v>
      </c>
      <c r="I3158" t="b">
        <f>COUNTIF(Estadísticas!I:I,'centraldecomunicacion.es'!H3158)&gt;0</f>
        <v>0</v>
      </c>
    </row>
    <row r="3159" spans="1:9" hidden="1">
      <c r="A3159" s="1" t="s">
        <v>11614</v>
      </c>
      <c r="B3159" s="1" t="s">
        <v>10</v>
      </c>
      <c r="C3159" s="1" t="s">
        <v>11615</v>
      </c>
      <c r="D3159" s="1" t="s">
        <v>2271</v>
      </c>
      <c r="E3159" s="1" t="s">
        <v>37</v>
      </c>
      <c r="F3159" s="1" t="s">
        <v>30</v>
      </c>
      <c r="G3159" s="1" t="s">
        <v>11616</v>
      </c>
      <c r="H3159" s="1" t="s">
        <v>1762</v>
      </c>
      <c r="I3159" t="b">
        <f>COUNTIF(Estadísticas!I:I,'centraldecomunicacion.es'!H3159)&gt;0</f>
        <v>0</v>
      </c>
    </row>
    <row r="3160" spans="1:9">
      <c r="A3160" s="1" t="s">
        <v>1129</v>
      </c>
      <c r="B3160" s="1" t="s">
        <v>10</v>
      </c>
      <c r="C3160" s="1" t="s">
        <v>1130</v>
      </c>
      <c r="D3160" s="1" t="s">
        <v>1131</v>
      </c>
      <c r="E3160" s="1" t="s">
        <v>1132</v>
      </c>
      <c r="F3160" s="1" t="s">
        <v>1133</v>
      </c>
      <c r="G3160" s="1" t="s">
        <v>1134</v>
      </c>
      <c r="H3160" s="1" t="s">
        <v>1135</v>
      </c>
      <c r="I3160" t="b">
        <f>COUNTIF(Estadísticas!I:I,'centraldecomunicacion.es'!H3160)&gt;0</f>
        <v>1</v>
      </c>
    </row>
    <row r="3161" spans="1:9" hidden="1">
      <c r="A3161" s="1" t="s">
        <v>11617</v>
      </c>
      <c r="B3161" s="1" t="s">
        <v>10</v>
      </c>
      <c r="C3161" s="1" t="s">
        <v>11618</v>
      </c>
      <c r="D3161" s="1" t="s">
        <v>1131</v>
      </c>
      <c r="E3161" s="1" t="s">
        <v>1132</v>
      </c>
      <c r="F3161" s="1" t="s">
        <v>30</v>
      </c>
      <c r="G3161" s="1" t="s">
        <v>11619</v>
      </c>
      <c r="H3161" s="1" t="s">
        <v>1762</v>
      </c>
      <c r="I3161" t="b">
        <f>COUNTIF(Estadísticas!I:I,'centraldecomunicacion.es'!H3161)&gt;0</f>
        <v>0</v>
      </c>
    </row>
    <row r="3162" spans="1:9" hidden="1">
      <c r="A3162" s="1" t="s">
        <v>11620</v>
      </c>
      <c r="B3162" s="1" t="s">
        <v>10</v>
      </c>
      <c r="C3162" s="1" t="s">
        <v>11621</v>
      </c>
      <c r="D3162" s="1" t="s">
        <v>1131</v>
      </c>
      <c r="E3162" s="1" t="s">
        <v>1132</v>
      </c>
      <c r="F3162" s="1" t="s">
        <v>11622</v>
      </c>
      <c r="G3162" s="1" t="s">
        <v>11623</v>
      </c>
      <c r="H3162" s="1" t="s">
        <v>1762</v>
      </c>
      <c r="I3162" t="b">
        <f>COUNTIF(Estadísticas!I:I,'centraldecomunicacion.es'!H3162)&gt;0</f>
        <v>0</v>
      </c>
    </row>
    <row r="3163" spans="1:9" hidden="1">
      <c r="A3163" s="1" t="s">
        <v>11624</v>
      </c>
      <c r="B3163" s="1" t="s">
        <v>10</v>
      </c>
      <c r="C3163" s="1" t="s">
        <v>11625</v>
      </c>
      <c r="D3163" s="1" t="s">
        <v>1131</v>
      </c>
      <c r="E3163" s="1" t="s">
        <v>1132</v>
      </c>
      <c r="F3163" s="1" t="s">
        <v>11626</v>
      </c>
      <c r="G3163" s="1" t="s">
        <v>11627</v>
      </c>
      <c r="H3163" s="1" t="s">
        <v>11628</v>
      </c>
      <c r="I3163" t="b">
        <f>COUNTIF(Estadísticas!I:I,'centraldecomunicacion.es'!H3163)&gt;0</f>
        <v>0</v>
      </c>
    </row>
    <row r="3164" spans="1:9" hidden="1">
      <c r="A3164" s="1" t="s">
        <v>11629</v>
      </c>
      <c r="B3164" s="1" t="s">
        <v>10</v>
      </c>
      <c r="C3164" s="1" t="s">
        <v>11630</v>
      </c>
      <c r="D3164" s="1" t="s">
        <v>11631</v>
      </c>
      <c r="E3164" s="1" t="s">
        <v>1132</v>
      </c>
      <c r="F3164" s="1" t="s">
        <v>11632</v>
      </c>
      <c r="G3164" s="1" t="s">
        <v>11633</v>
      </c>
      <c r="H3164" s="1" t="s">
        <v>11634</v>
      </c>
      <c r="I3164" t="b">
        <f>COUNTIF(Estadísticas!I:I,'centraldecomunicacion.es'!H3164)&gt;0</f>
        <v>0</v>
      </c>
    </row>
    <row r="3165" spans="1:9" hidden="1">
      <c r="A3165" s="1" t="s">
        <v>11635</v>
      </c>
      <c r="B3165" s="1" t="s">
        <v>10</v>
      </c>
      <c r="C3165" s="1" t="s">
        <v>11636</v>
      </c>
      <c r="D3165" s="1" t="s">
        <v>1131</v>
      </c>
      <c r="E3165" s="1" t="s">
        <v>1132</v>
      </c>
      <c r="F3165" s="1" t="s">
        <v>11632</v>
      </c>
      <c r="G3165" s="1" t="s">
        <v>11633</v>
      </c>
      <c r="H3165" s="1" t="s">
        <v>11634</v>
      </c>
      <c r="I3165" t="b">
        <f>COUNTIF(Estadísticas!I:I,'centraldecomunicacion.es'!H3165)&gt;0</f>
        <v>0</v>
      </c>
    </row>
    <row r="3166" spans="1:9" hidden="1">
      <c r="A3166" s="1" t="s">
        <v>11637</v>
      </c>
      <c r="B3166" s="1" t="s">
        <v>10</v>
      </c>
      <c r="C3166" s="1" t="s">
        <v>11638</v>
      </c>
      <c r="D3166" s="1" t="s">
        <v>11639</v>
      </c>
      <c r="E3166" s="1" t="s">
        <v>1132</v>
      </c>
      <c r="F3166" s="1" t="s">
        <v>30</v>
      </c>
      <c r="G3166" s="1" t="s">
        <v>11640</v>
      </c>
      <c r="H3166" s="1" t="s">
        <v>1762</v>
      </c>
      <c r="I3166" t="b">
        <f>COUNTIF(Estadísticas!I:I,'centraldecomunicacion.es'!H3166)&gt;0</f>
        <v>0</v>
      </c>
    </row>
    <row r="3167" spans="1:9" hidden="1">
      <c r="A3167" s="1" t="s">
        <v>11641</v>
      </c>
      <c r="B3167" s="1" t="s">
        <v>10</v>
      </c>
      <c r="C3167" s="1" t="s">
        <v>11642</v>
      </c>
      <c r="D3167" s="1" t="s">
        <v>1131</v>
      </c>
      <c r="E3167" s="1" t="s">
        <v>1132</v>
      </c>
      <c r="F3167" s="1" t="s">
        <v>11643</v>
      </c>
      <c r="G3167" s="1" t="s">
        <v>11644</v>
      </c>
      <c r="H3167" s="1" t="s">
        <v>1762</v>
      </c>
      <c r="I3167" t="b">
        <f>COUNTIF(Estadísticas!I:I,'centraldecomunicacion.es'!H3167)&gt;0</f>
        <v>0</v>
      </c>
    </row>
    <row r="3168" spans="1:9" hidden="1">
      <c r="A3168" s="1" t="s">
        <v>11645</v>
      </c>
      <c r="B3168" s="1" t="s">
        <v>18</v>
      </c>
      <c r="C3168" s="1" t="s">
        <v>11646</v>
      </c>
      <c r="D3168" s="1" t="s">
        <v>1131</v>
      </c>
      <c r="E3168" s="1" t="s">
        <v>1132</v>
      </c>
      <c r="F3168" s="1" t="s">
        <v>6274</v>
      </c>
      <c r="G3168" s="1" t="s">
        <v>11647</v>
      </c>
      <c r="H3168" s="1" t="s">
        <v>1762</v>
      </c>
      <c r="I3168" t="b">
        <f>COUNTIF(Estadísticas!I:I,'centraldecomunicacion.es'!H3168)&gt;0</f>
        <v>0</v>
      </c>
    </row>
    <row r="3169" spans="1:9" hidden="1">
      <c r="A3169" s="1" t="s">
        <v>11648</v>
      </c>
      <c r="B3169" s="1" t="s">
        <v>10</v>
      </c>
      <c r="C3169" s="1" t="s">
        <v>11649</v>
      </c>
      <c r="D3169" s="1" t="s">
        <v>1131</v>
      </c>
      <c r="E3169" s="1" t="s">
        <v>1132</v>
      </c>
      <c r="F3169" s="1" t="s">
        <v>1984</v>
      </c>
      <c r="G3169" s="1" t="s">
        <v>11650</v>
      </c>
      <c r="H3169" s="1" t="s">
        <v>1762</v>
      </c>
      <c r="I3169" t="b">
        <f>COUNTIF(Estadísticas!I:I,'centraldecomunicacion.es'!H3169)&gt;0</f>
        <v>0</v>
      </c>
    </row>
    <row r="3170" spans="1:9" hidden="1">
      <c r="A3170" s="1" t="s">
        <v>11651</v>
      </c>
      <c r="B3170" s="1" t="s">
        <v>10</v>
      </c>
      <c r="C3170" s="1" t="s">
        <v>11652</v>
      </c>
      <c r="D3170" s="1" t="s">
        <v>1131</v>
      </c>
      <c r="E3170" s="1" t="s">
        <v>1132</v>
      </c>
      <c r="F3170" s="1" t="s">
        <v>11653</v>
      </c>
      <c r="G3170" s="1" t="s">
        <v>11654</v>
      </c>
      <c r="H3170" s="1" t="s">
        <v>11655</v>
      </c>
      <c r="I3170" t="b">
        <f>COUNTIF(Estadísticas!I:I,'centraldecomunicacion.es'!H3170)&gt;0</f>
        <v>0</v>
      </c>
    </row>
    <row r="3171" spans="1:9" hidden="1">
      <c r="A3171" s="1" t="s">
        <v>11656</v>
      </c>
      <c r="B3171" s="1" t="s">
        <v>10</v>
      </c>
      <c r="C3171" s="1" t="s">
        <v>11657</v>
      </c>
      <c r="D3171" s="1" t="s">
        <v>1131</v>
      </c>
      <c r="E3171" s="1" t="s">
        <v>1132</v>
      </c>
      <c r="F3171" s="1" t="s">
        <v>1984</v>
      </c>
      <c r="G3171" s="1" t="s">
        <v>11658</v>
      </c>
      <c r="H3171" s="1" t="s">
        <v>1762</v>
      </c>
      <c r="I3171" t="b">
        <f>COUNTIF(Estadísticas!I:I,'centraldecomunicacion.es'!H3171)&gt;0</f>
        <v>0</v>
      </c>
    </row>
    <row r="3172" spans="1:9" hidden="1">
      <c r="A3172" s="1" t="s">
        <v>11659</v>
      </c>
      <c r="B3172" s="1" t="s">
        <v>10</v>
      </c>
      <c r="C3172" s="1" t="s">
        <v>30</v>
      </c>
      <c r="D3172" s="1" t="s">
        <v>1147</v>
      </c>
      <c r="E3172" s="1" t="s">
        <v>30</v>
      </c>
      <c r="F3172" s="1" t="s">
        <v>11660</v>
      </c>
      <c r="G3172" s="1" t="s">
        <v>11661</v>
      </c>
      <c r="H3172" s="1" t="s">
        <v>1762</v>
      </c>
      <c r="I3172" t="b">
        <f>COUNTIF(Estadísticas!I:I,'centraldecomunicacion.es'!H3172)&gt;0</f>
        <v>0</v>
      </c>
    </row>
    <row r="3173" spans="1:9">
      <c r="A3173" s="1" t="s">
        <v>1136</v>
      </c>
      <c r="B3173" s="1" t="s">
        <v>18</v>
      </c>
      <c r="C3173" s="1" t="s">
        <v>1137</v>
      </c>
      <c r="D3173" s="1" t="s">
        <v>1131</v>
      </c>
      <c r="E3173" s="1" t="s">
        <v>1132</v>
      </c>
      <c r="F3173" s="1" t="s">
        <v>1138</v>
      </c>
      <c r="G3173" s="1" t="s">
        <v>1139</v>
      </c>
      <c r="H3173" s="1" t="s">
        <v>1140</v>
      </c>
      <c r="I3173" t="b">
        <f>COUNTIF(Estadísticas!I:I,'centraldecomunicacion.es'!H3173)&gt;0</f>
        <v>1</v>
      </c>
    </row>
    <row r="3174" spans="1:9" hidden="1">
      <c r="A3174" s="1" t="s">
        <v>11662</v>
      </c>
      <c r="B3174" s="1" t="s">
        <v>10</v>
      </c>
      <c r="C3174" s="1" t="s">
        <v>30</v>
      </c>
      <c r="D3174" s="1" t="s">
        <v>1147</v>
      </c>
      <c r="E3174" s="1" t="s">
        <v>30</v>
      </c>
      <c r="F3174" s="1" t="s">
        <v>11663</v>
      </c>
      <c r="G3174" s="1" t="s">
        <v>11664</v>
      </c>
      <c r="H3174" s="1" t="s">
        <v>11665</v>
      </c>
      <c r="I3174" t="b">
        <f>COUNTIF(Estadísticas!I:I,'centraldecomunicacion.es'!H3174)&gt;0</f>
        <v>0</v>
      </c>
    </row>
    <row r="3175" spans="1:9">
      <c r="A3175" s="1" t="s">
        <v>1141</v>
      </c>
      <c r="B3175" s="1" t="s">
        <v>18</v>
      </c>
      <c r="C3175" s="1" t="s">
        <v>1142</v>
      </c>
      <c r="D3175" s="1" t="s">
        <v>1131</v>
      </c>
      <c r="E3175" s="1" t="s">
        <v>1132</v>
      </c>
      <c r="F3175" s="1" t="s">
        <v>1143</v>
      </c>
      <c r="G3175" s="1" t="s">
        <v>1144</v>
      </c>
      <c r="H3175" s="1" t="s">
        <v>1145</v>
      </c>
      <c r="I3175" t="b">
        <f>COUNTIF(Estadísticas!I:I,'centraldecomunicacion.es'!H3175)&gt;0</f>
        <v>1</v>
      </c>
    </row>
    <row r="3176" spans="1:9" hidden="1">
      <c r="A3176" s="1" t="s">
        <v>11666</v>
      </c>
      <c r="B3176" s="1" t="s">
        <v>10</v>
      </c>
      <c r="C3176" s="1" t="s">
        <v>30</v>
      </c>
      <c r="D3176" s="1" t="s">
        <v>1147</v>
      </c>
      <c r="E3176" s="1" t="s">
        <v>30</v>
      </c>
      <c r="F3176" s="1" t="s">
        <v>11667</v>
      </c>
      <c r="G3176" s="1" t="s">
        <v>11668</v>
      </c>
      <c r="H3176" s="1" t="s">
        <v>1762</v>
      </c>
      <c r="I3176" t="b">
        <f>COUNTIF(Estadísticas!I:I,'centraldecomunicacion.es'!H3176)&gt;0</f>
        <v>0</v>
      </c>
    </row>
    <row r="3177" spans="1:9" hidden="1">
      <c r="A3177" s="1" t="s">
        <v>11669</v>
      </c>
      <c r="B3177" s="1" t="s">
        <v>10</v>
      </c>
      <c r="C3177" s="1" t="s">
        <v>11670</v>
      </c>
      <c r="D3177" s="1" t="s">
        <v>1131</v>
      </c>
      <c r="E3177" s="1" t="s">
        <v>1132</v>
      </c>
      <c r="F3177" s="1" t="s">
        <v>11671</v>
      </c>
      <c r="G3177" s="1" t="s">
        <v>11672</v>
      </c>
      <c r="H3177" s="1" t="s">
        <v>1762</v>
      </c>
      <c r="I3177" t="b">
        <f>COUNTIF(Estadísticas!I:I,'centraldecomunicacion.es'!H3177)&gt;0</f>
        <v>0</v>
      </c>
    </row>
    <row r="3178" spans="1:9" hidden="1">
      <c r="A3178" s="1" t="s">
        <v>11673</v>
      </c>
      <c r="B3178" s="1" t="s">
        <v>10</v>
      </c>
      <c r="C3178" s="1" t="s">
        <v>11674</v>
      </c>
      <c r="D3178" s="1" t="s">
        <v>1131</v>
      </c>
      <c r="E3178" s="1" t="s">
        <v>1132</v>
      </c>
      <c r="F3178" s="1" t="s">
        <v>11675</v>
      </c>
      <c r="G3178" s="1" t="s">
        <v>11676</v>
      </c>
      <c r="H3178" s="1" t="s">
        <v>1762</v>
      </c>
      <c r="I3178" t="b">
        <f>COUNTIF(Estadísticas!I:I,'centraldecomunicacion.es'!H3178)&gt;0</f>
        <v>0</v>
      </c>
    </row>
    <row r="3179" spans="1:9" hidden="1">
      <c r="A3179" s="1" t="s">
        <v>11677</v>
      </c>
      <c r="B3179" s="1" t="s">
        <v>18</v>
      </c>
      <c r="C3179" s="1" t="s">
        <v>11678</v>
      </c>
      <c r="D3179" s="1" t="s">
        <v>1131</v>
      </c>
      <c r="E3179" s="1" t="s">
        <v>1132</v>
      </c>
      <c r="F3179" s="1" t="s">
        <v>11679</v>
      </c>
      <c r="G3179" s="1" t="s">
        <v>11680</v>
      </c>
      <c r="H3179" s="1" t="s">
        <v>11681</v>
      </c>
      <c r="I3179" t="b">
        <f>COUNTIF(Estadísticas!I:I,'centraldecomunicacion.es'!H3179)&gt;0</f>
        <v>0</v>
      </c>
    </row>
    <row r="3180" spans="1:9" hidden="1">
      <c r="A3180" s="1" t="s">
        <v>11682</v>
      </c>
      <c r="B3180" s="1" t="s">
        <v>10</v>
      </c>
      <c r="C3180" s="1" t="s">
        <v>11683</v>
      </c>
      <c r="D3180" s="1" t="s">
        <v>1131</v>
      </c>
      <c r="E3180" s="1" t="s">
        <v>1132</v>
      </c>
      <c r="F3180" s="1" t="s">
        <v>11684</v>
      </c>
      <c r="G3180" s="1" t="s">
        <v>11685</v>
      </c>
      <c r="H3180" s="1" t="s">
        <v>1762</v>
      </c>
      <c r="I3180" t="b">
        <f>COUNTIF(Estadísticas!I:I,'centraldecomunicacion.es'!H3180)&gt;0</f>
        <v>0</v>
      </c>
    </row>
    <row r="3181" spans="1:9" hidden="1">
      <c r="A3181" s="1" t="s">
        <v>11686</v>
      </c>
      <c r="B3181" s="1" t="s">
        <v>18</v>
      </c>
      <c r="C3181" s="1" t="s">
        <v>11687</v>
      </c>
      <c r="D3181" s="1" t="s">
        <v>1131</v>
      </c>
      <c r="E3181" s="1" t="s">
        <v>1132</v>
      </c>
      <c r="F3181" s="1" t="s">
        <v>4288</v>
      </c>
      <c r="G3181" s="1" t="s">
        <v>11688</v>
      </c>
      <c r="H3181" s="1" t="s">
        <v>4290</v>
      </c>
      <c r="I3181" t="b">
        <f>COUNTIF(Estadísticas!I:I,'centraldecomunicacion.es'!H3181)&gt;0</f>
        <v>0</v>
      </c>
    </row>
    <row r="3182" spans="1:9" hidden="1">
      <c r="A3182" s="1" t="s">
        <v>11689</v>
      </c>
      <c r="B3182" s="1" t="s">
        <v>10</v>
      </c>
      <c r="C3182" s="1" t="s">
        <v>30</v>
      </c>
      <c r="D3182" s="1" t="s">
        <v>1147</v>
      </c>
      <c r="E3182" s="1" t="s">
        <v>30</v>
      </c>
      <c r="F3182" s="1" t="s">
        <v>1984</v>
      </c>
      <c r="G3182" s="1" t="s">
        <v>11690</v>
      </c>
      <c r="H3182" s="1" t="s">
        <v>1762</v>
      </c>
      <c r="I3182" t="b">
        <f>COUNTIF(Estadísticas!I:I,'centraldecomunicacion.es'!H3182)&gt;0</f>
        <v>0</v>
      </c>
    </row>
    <row r="3183" spans="1:9">
      <c r="A3183" s="1" t="s">
        <v>1146</v>
      </c>
      <c r="B3183" s="1" t="s">
        <v>10</v>
      </c>
      <c r="C3183" s="1" t="s">
        <v>30</v>
      </c>
      <c r="D3183" s="1" t="s">
        <v>1147</v>
      </c>
      <c r="E3183" s="1" t="s">
        <v>30</v>
      </c>
      <c r="F3183" s="1" t="s">
        <v>1148</v>
      </c>
      <c r="G3183" s="1" t="s">
        <v>1149</v>
      </c>
      <c r="H3183" s="1" t="s">
        <v>1150</v>
      </c>
      <c r="I3183" t="b">
        <f>COUNTIF(Estadísticas!I:I,'centraldecomunicacion.es'!H3183)&gt;0</f>
        <v>1</v>
      </c>
    </row>
    <row r="3184" spans="1:9" hidden="1">
      <c r="A3184" s="1" t="s">
        <v>11691</v>
      </c>
      <c r="B3184" s="1" t="s">
        <v>3050</v>
      </c>
      <c r="C3184" s="1" t="s">
        <v>11692</v>
      </c>
      <c r="D3184" s="1" t="s">
        <v>11639</v>
      </c>
      <c r="E3184" s="1" t="s">
        <v>1132</v>
      </c>
      <c r="F3184" s="1" t="s">
        <v>30</v>
      </c>
      <c r="G3184" s="1" t="s">
        <v>11693</v>
      </c>
      <c r="H3184" s="1" t="s">
        <v>1762</v>
      </c>
      <c r="I3184" t="b">
        <f>COUNTIF(Estadísticas!I:I,'centraldecomunicacion.es'!H3184)&gt;0</f>
        <v>0</v>
      </c>
    </row>
    <row r="3185" spans="1:9" hidden="1">
      <c r="A3185" s="1" t="s">
        <v>11694</v>
      </c>
      <c r="B3185" s="1" t="s">
        <v>10</v>
      </c>
      <c r="C3185" s="1" t="s">
        <v>11695</v>
      </c>
      <c r="D3185" s="1" t="s">
        <v>1131</v>
      </c>
      <c r="E3185" s="1" t="s">
        <v>1132</v>
      </c>
      <c r="F3185" s="1" t="s">
        <v>11696</v>
      </c>
      <c r="G3185" s="1" t="s">
        <v>11697</v>
      </c>
      <c r="H3185" s="1" t="s">
        <v>1762</v>
      </c>
      <c r="I3185" t="b">
        <f>COUNTIF(Estadísticas!I:I,'centraldecomunicacion.es'!H3185)&gt;0</f>
        <v>0</v>
      </c>
    </row>
    <row r="3186" spans="1:9" hidden="1">
      <c r="A3186" s="1" t="s">
        <v>11698</v>
      </c>
      <c r="B3186" s="1" t="s">
        <v>18</v>
      </c>
      <c r="C3186" s="1" t="s">
        <v>11699</v>
      </c>
      <c r="D3186" s="1" t="s">
        <v>1131</v>
      </c>
      <c r="E3186" s="1" t="s">
        <v>1132</v>
      </c>
      <c r="F3186" s="1" t="s">
        <v>11700</v>
      </c>
      <c r="G3186" s="1" t="s">
        <v>11701</v>
      </c>
      <c r="H3186" s="1" t="s">
        <v>11702</v>
      </c>
      <c r="I3186" t="b">
        <f>COUNTIF(Estadísticas!I:I,'centraldecomunicacion.es'!H3186)&gt;0</f>
        <v>0</v>
      </c>
    </row>
    <row r="3187" spans="1:9" hidden="1">
      <c r="A3187" s="1" t="s">
        <v>11703</v>
      </c>
      <c r="B3187" s="1" t="s">
        <v>10</v>
      </c>
      <c r="C3187" s="1" t="s">
        <v>11704</v>
      </c>
      <c r="D3187" s="1" t="s">
        <v>1131</v>
      </c>
      <c r="E3187" s="1" t="s">
        <v>1132</v>
      </c>
      <c r="F3187" s="1" t="s">
        <v>30</v>
      </c>
      <c r="G3187" s="1" t="s">
        <v>11705</v>
      </c>
      <c r="H3187" s="1" t="s">
        <v>1762</v>
      </c>
      <c r="I3187" t="b">
        <f>COUNTIF(Estadísticas!I:I,'centraldecomunicacion.es'!H3187)&gt;0</f>
        <v>0</v>
      </c>
    </row>
    <row r="3188" spans="1:9" hidden="1">
      <c r="A3188" s="1" t="s">
        <v>11706</v>
      </c>
      <c r="B3188" s="1" t="s">
        <v>10</v>
      </c>
      <c r="C3188" s="1" t="s">
        <v>11707</v>
      </c>
      <c r="D3188" s="1" t="s">
        <v>1131</v>
      </c>
      <c r="E3188" s="1" t="s">
        <v>1132</v>
      </c>
      <c r="F3188" s="1" t="s">
        <v>11708</v>
      </c>
      <c r="G3188" s="1" t="s">
        <v>11709</v>
      </c>
      <c r="H3188" s="1" t="s">
        <v>11710</v>
      </c>
      <c r="I3188" t="b">
        <f>COUNTIF(Estadísticas!I:I,'centraldecomunicacion.es'!H3188)&gt;0</f>
        <v>0</v>
      </c>
    </row>
    <row r="3189" spans="1:9" hidden="1">
      <c r="A3189" s="1" t="s">
        <v>11711</v>
      </c>
      <c r="B3189" s="1" t="s">
        <v>18</v>
      </c>
      <c r="C3189" s="1" t="s">
        <v>11712</v>
      </c>
      <c r="D3189" s="1" t="s">
        <v>1131</v>
      </c>
      <c r="E3189" s="1" t="s">
        <v>1132</v>
      </c>
      <c r="F3189" s="1" t="s">
        <v>30</v>
      </c>
      <c r="G3189" s="1" t="s">
        <v>11713</v>
      </c>
      <c r="H3189" s="1" t="s">
        <v>1762</v>
      </c>
      <c r="I3189" t="b">
        <f>COUNTIF(Estadísticas!I:I,'centraldecomunicacion.es'!H3189)&gt;0</f>
        <v>0</v>
      </c>
    </row>
    <row r="3190" spans="1:9" hidden="1">
      <c r="A3190" s="1" t="s">
        <v>11714</v>
      </c>
      <c r="B3190" s="1" t="s">
        <v>10</v>
      </c>
      <c r="C3190" s="1" t="s">
        <v>11715</v>
      </c>
      <c r="D3190" s="1" t="s">
        <v>1131</v>
      </c>
      <c r="E3190" s="1" t="s">
        <v>1132</v>
      </c>
      <c r="F3190" s="1" t="s">
        <v>11716</v>
      </c>
      <c r="G3190" s="1" t="s">
        <v>11717</v>
      </c>
      <c r="H3190" s="1" t="s">
        <v>11718</v>
      </c>
      <c r="I3190" t="b">
        <f>COUNTIF(Estadísticas!I:I,'centraldecomunicacion.es'!H3190)&gt;0</f>
        <v>0</v>
      </c>
    </row>
    <row r="3191" spans="1:9">
      <c r="A3191" s="1" t="s">
        <v>1151</v>
      </c>
      <c r="B3191" s="1" t="s">
        <v>10</v>
      </c>
      <c r="C3191" s="1" t="s">
        <v>1152</v>
      </c>
      <c r="D3191" s="1" t="s">
        <v>1131</v>
      </c>
      <c r="E3191" s="1" t="s">
        <v>1132</v>
      </c>
      <c r="F3191" s="1" t="s">
        <v>1153</v>
      </c>
      <c r="G3191" s="1" t="s">
        <v>1154</v>
      </c>
      <c r="H3191" s="1" t="s">
        <v>1155</v>
      </c>
      <c r="I3191" t="b">
        <f>COUNTIF(Estadísticas!I:I,'centraldecomunicacion.es'!H3191)&gt;0</f>
        <v>1</v>
      </c>
    </row>
    <row r="3192" spans="1:9" hidden="1">
      <c r="A3192" s="1" t="s">
        <v>11719</v>
      </c>
      <c r="B3192" s="1" t="s">
        <v>10</v>
      </c>
      <c r="C3192" s="1" t="s">
        <v>11720</v>
      </c>
      <c r="D3192" s="1" t="s">
        <v>1131</v>
      </c>
      <c r="E3192" s="1" t="s">
        <v>1132</v>
      </c>
      <c r="F3192" s="1" t="s">
        <v>11721</v>
      </c>
      <c r="G3192" s="1" t="s">
        <v>11722</v>
      </c>
      <c r="H3192" s="1" t="s">
        <v>1762</v>
      </c>
      <c r="I3192" t="b">
        <f>COUNTIF(Estadísticas!I:I,'centraldecomunicacion.es'!H3192)&gt;0</f>
        <v>0</v>
      </c>
    </row>
    <row r="3193" spans="1:9" hidden="1">
      <c r="A3193" s="1" t="s">
        <v>11723</v>
      </c>
      <c r="B3193" s="1" t="s">
        <v>10</v>
      </c>
      <c r="C3193" s="1" t="s">
        <v>30</v>
      </c>
      <c r="D3193" s="1" t="s">
        <v>1147</v>
      </c>
      <c r="E3193" s="1" t="s">
        <v>30</v>
      </c>
      <c r="F3193" s="1" t="s">
        <v>11724</v>
      </c>
      <c r="G3193" s="1" t="s">
        <v>11725</v>
      </c>
      <c r="H3193" s="1" t="s">
        <v>11726</v>
      </c>
      <c r="I3193" t="b">
        <f>COUNTIF(Estadísticas!I:I,'centraldecomunicacion.es'!H3193)&gt;0</f>
        <v>0</v>
      </c>
    </row>
    <row r="3194" spans="1:9" hidden="1">
      <c r="A3194" s="1" t="s">
        <v>11727</v>
      </c>
      <c r="B3194" s="1" t="s">
        <v>10</v>
      </c>
      <c r="C3194" s="1" t="s">
        <v>11728</v>
      </c>
      <c r="D3194" s="1" t="s">
        <v>1131</v>
      </c>
      <c r="E3194" s="1" t="s">
        <v>1132</v>
      </c>
      <c r="F3194" s="1" t="s">
        <v>30</v>
      </c>
      <c r="G3194" s="1" t="s">
        <v>11729</v>
      </c>
      <c r="H3194" s="1" t="s">
        <v>1762</v>
      </c>
      <c r="I3194" t="b">
        <f>COUNTIF(Estadísticas!I:I,'centraldecomunicacion.es'!H3194)&gt;0</f>
        <v>0</v>
      </c>
    </row>
    <row r="3195" spans="1:9" hidden="1">
      <c r="A3195" s="1" t="s">
        <v>11730</v>
      </c>
      <c r="B3195" s="1" t="s">
        <v>10</v>
      </c>
      <c r="C3195" s="1" t="s">
        <v>11731</v>
      </c>
      <c r="D3195" s="1" t="s">
        <v>1131</v>
      </c>
      <c r="E3195" s="1" t="s">
        <v>1132</v>
      </c>
      <c r="F3195" s="1" t="s">
        <v>11732</v>
      </c>
      <c r="G3195" s="1" t="s">
        <v>11733</v>
      </c>
      <c r="H3195" s="1" t="s">
        <v>11734</v>
      </c>
      <c r="I3195" t="b">
        <f>COUNTIF(Estadísticas!I:I,'centraldecomunicacion.es'!H3195)&gt;0</f>
        <v>0</v>
      </c>
    </row>
    <row r="3196" spans="1:9" hidden="1">
      <c r="A3196" s="1" t="s">
        <v>11735</v>
      </c>
      <c r="B3196" s="1" t="s">
        <v>10</v>
      </c>
      <c r="C3196" s="1" t="s">
        <v>11736</v>
      </c>
      <c r="D3196" s="1" t="s">
        <v>1131</v>
      </c>
      <c r="E3196" s="1" t="s">
        <v>1132</v>
      </c>
      <c r="F3196" s="1" t="s">
        <v>30</v>
      </c>
      <c r="G3196" s="1" t="s">
        <v>11737</v>
      </c>
      <c r="H3196" s="1" t="s">
        <v>1762</v>
      </c>
      <c r="I3196" t="b">
        <f>COUNTIF(Estadísticas!I:I,'centraldecomunicacion.es'!H3196)&gt;0</f>
        <v>0</v>
      </c>
    </row>
    <row r="3197" spans="1:9" hidden="1">
      <c r="A3197" s="1" t="s">
        <v>11738</v>
      </c>
      <c r="B3197" s="1" t="s">
        <v>10</v>
      </c>
      <c r="C3197" s="1" t="s">
        <v>11739</v>
      </c>
      <c r="D3197" s="1" t="s">
        <v>1131</v>
      </c>
      <c r="E3197" s="1" t="s">
        <v>1132</v>
      </c>
      <c r="F3197" s="1" t="s">
        <v>30</v>
      </c>
      <c r="G3197" s="1" t="s">
        <v>11740</v>
      </c>
      <c r="H3197" s="1" t="s">
        <v>1762</v>
      </c>
      <c r="I3197" t="b">
        <f>COUNTIF(Estadísticas!I:I,'centraldecomunicacion.es'!H3197)&gt;0</f>
        <v>0</v>
      </c>
    </row>
    <row r="3198" spans="1:9" hidden="1">
      <c r="A3198" s="1" t="s">
        <v>11741</v>
      </c>
      <c r="B3198" s="1" t="s">
        <v>10</v>
      </c>
      <c r="C3198" s="1" t="s">
        <v>30</v>
      </c>
      <c r="D3198" s="1" t="s">
        <v>1147</v>
      </c>
      <c r="E3198" s="1" t="s">
        <v>30</v>
      </c>
      <c r="F3198" s="1" t="s">
        <v>30</v>
      </c>
      <c r="G3198" s="1" t="s">
        <v>11742</v>
      </c>
      <c r="H3198" s="1" t="s">
        <v>1762</v>
      </c>
      <c r="I3198" t="b">
        <f>COUNTIF(Estadísticas!I:I,'centraldecomunicacion.es'!H3198)&gt;0</f>
        <v>0</v>
      </c>
    </row>
    <row r="3199" spans="1:9" hidden="1">
      <c r="A3199" s="1" t="s">
        <v>11743</v>
      </c>
      <c r="B3199" s="1" t="s">
        <v>10</v>
      </c>
      <c r="C3199" s="1" t="s">
        <v>11744</v>
      </c>
      <c r="D3199" s="1" t="s">
        <v>1131</v>
      </c>
      <c r="E3199" s="1" t="s">
        <v>1132</v>
      </c>
      <c r="F3199" s="1" t="s">
        <v>30</v>
      </c>
      <c r="G3199" s="1" t="s">
        <v>30</v>
      </c>
      <c r="H3199" s="1" t="s">
        <v>1762</v>
      </c>
      <c r="I3199" t="b">
        <f>COUNTIF(Estadísticas!I:I,'centraldecomunicacion.es'!H3199)&gt;0</f>
        <v>0</v>
      </c>
    </row>
    <row r="3200" spans="1:9" hidden="1">
      <c r="A3200" s="1" t="s">
        <v>11745</v>
      </c>
      <c r="B3200" s="1" t="s">
        <v>10</v>
      </c>
      <c r="C3200" s="1" t="s">
        <v>11746</v>
      </c>
      <c r="D3200" s="1" t="s">
        <v>1131</v>
      </c>
      <c r="E3200" s="1" t="s">
        <v>1132</v>
      </c>
      <c r="F3200" s="1" t="s">
        <v>30</v>
      </c>
      <c r="G3200" s="1" t="s">
        <v>30</v>
      </c>
      <c r="H3200" s="1" t="s">
        <v>1762</v>
      </c>
      <c r="I3200" t="b">
        <f>COUNTIF(Estadísticas!I:I,'centraldecomunicacion.es'!H3200)&gt;0</f>
        <v>0</v>
      </c>
    </row>
    <row r="3201" spans="1:9" hidden="1">
      <c r="A3201" s="1" t="s">
        <v>11747</v>
      </c>
      <c r="B3201" s="1" t="s">
        <v>10</v>
      </c>
      <c r="C3201" s="1" t="s">
        <v>11748</v>
      </c>
      <c r="D3201" s="1" t="s">
        <v>1131</v>
      </c>
      <c r="E3201" s="1" t="s">
        <v>1132</v>
      </c>
      <c r="F3201" s="1" t="s">
        <v>30</v>
      </c>
      <c r="G3201" s="1" t="s">
        <v>11749</v>
      </c>
      <c r="H3201" s="1" t="s">
        <v>1762</v>
      </c>
      <c r="I3201" t="b">
        <f>COUNTIF(Estadísticas!I:I,'centraldecomunicacion.es'!H3201)&gt;0</f>
        <v>0</v>
      </c>
    </row>
    <row r="3202" spans="1:9">
      <c r="A3202" s="1" t="s">
        <v>1156</v>
      </c>
      <c r="B3202" s="1" t="s">
        <v>10</v>
      </c>
      <c r="C3202" s="1" t="s">
        <v>30</v>
      </c>
      <c r="D3202" s="1" t="s">
        <v>1147</v>
      </c>
      <c r="E3202" s="1" t="s">
        <v>30</v>
      </c>
      <c r="F3202" s="1" t="s">
        <v>1157</v>
      </c>
      <c r="G3202" s="1" t="s">
        <v>1158</v>
      </c>
      <c r="H3202" s="1" t="s">
        <v>1159</v>
      </c>
      <c r="I3202" t="b">
        <f>COUNTIF(Estadísticas!I:I,'centraldecomunicacion.es'!H3202)&gt;0</f>
        <v>1</v>
      </c>
    </row>
    <row r="3203" spans="1:9" hidden="1">
      <c r="A3203" s="1" t="s">
        <v>11750</v>
      </c>
      <c r="B3203" s="1" t="s">
        <v>10</v>
      </c>
      <c r="C3203" s="1" t="s">
        <v>11751</v>
      </c>
      <c r="D3203" s="1" t="s">
        <v>11639</v>
      </c>
      <c r="E3203" s="1" t="s">
        <v>1132</v>
      </c>
      <c r="F3203" s="1" t="s">
        <v>11752</v>
      </c>
      <c r="G3203" s="1" t="s">
        <v>11753</v>
      </c>
      <c r="H3203" s="1" t="s">
        <v>1762</v>
      </c>
      <c r="I3203" t="b">
        <f>COUNTIF(Estadísticas!I:I,'centraldecomunicacion.es'!H3203)&gt;0</f>
        <v>0</v>
      </c>
    </row>
    <row r="3204" spans="1:9" hidden="1">
      <c r="A3204" s="1" t="s">
        <v>11754</v>
      </c>
      <c r="B3204" s="1" t="s">
        <v>10</v>
      </c>
      <c r="C3204" s="1" t="s">
        <v>11755</v>
      </c>
      <c r="D3204" s="1" t="s">
        <v>1131</v>
      </c>
      <c r="E3204" s="1" t="s">
        <v>1132</v>
      </c>
      <c r="F3204" s="1" t="s">
        <v>30</v>
      </c>
      <c r="G3204" s="1" t="s">
        <v>11756</v>
      </c>
      <c r="H3204" s="1" t="s">
        <v>1762</v>
      </c>
      <c r="I3204" t="b">
        <f>COUNTIF(Estadísticas!I:I,'centraldecomunicacion.es'!H3204)&gt;0</f>
        <v>0</v>
      </c>
    </row>
    <row r="3205" spans="1:9" hidden="1">
      <c r="A3205" s="1" t="s">
        <v>11757</v>
      </c>
      <c r="B3205" s="1" t="s">
        <v>10</v>
      </c>
      <c r="C3205" s="1" t="s">
        <v>11758</v>
      </c>
      <c r="D3205" s="1" t="s">
        <v>11759</v>
      </c>
      <c r="E3205" s="1" t="s">
        <v>1132</v>
      </c>
      <c r="F3205" s="1" t="s">
        <v>1830</v>
      </c>
      <c r="G3205" s="1" t="s">
        <v>11760</v>
      </c>
      <c r="H3205" s="1" t="s">
        <v>1762</v>
      </c>
      <c r="I3205" t="b">
        <f>COUNTIF(Estadísticas!I:I,'centraldecomunicacion.es'!H3205)&gt;0</f>
        <v>0</v>
      </c>
    </row>
    <row r="3206" spans="1:9" hidden="1">
      <c r="A3206" s="1" t="s">
        <v>11761</v>
      </c>
      <c r="B3206" s="1" t="s">
        <v>10</v>
      </c>
      <c r="C3206" s="1" t="s">
        <v>11762</v>
      </c>
      <c r="D3206" s="1" t="s">
        <v>1131</v>
      </c>
      <c r="E3206" s="1" t="s">
        <v>1132</v>
      </c>
      <c r="F3206" s="1" t="s">
        <v>30</v>
      </c>
      <c r="G3206" s="1" t="s">
        <v>11763</v>
      </c>
      <c r="H3206" s="1" t="s">
        <v>1762</v>
      </c>
      <c r="I3206" t="b">
        <f>COUNTIF(Estadísticas!I:I,'centraldecomunicacion.es'!H3206)&gt;0</f>
        <v>0</v>
      </c>
    </row>
    <row r="3207" spans="1:9">
      <c r="A3207" s="1" t="s">
        <v>1160</v>
      </c>
      <c r="B3207" s="1" t="s">
        <v>10</v>
      </c>
      <c r="C3207" s="1" t="s">
        <v>1161</v>
      </c>
      <c r="D3207" s="1" t="s">
        <v>1131</v>
      </c>
      <c r="E3207" s="1" t="s">
        <v>1132</v>
      </c>
      <c r="F3207" s="1" t="s">
        <v>1162</v>
      </c>
      <c r="G3207" s="1" t="s">
        <v>1163</v>
      </c>
      <c r="H3207" s="1" t="s">
        <v>1164</v>
      </c>
      <c r="I3207" t="b">
        <f>COUNTIF(Estadísticas!I:I,'centraldecomunicacion.es'!H3207)&gt;0</f>
        <v>1</v>
      </c>
    </row>
    <row r="3208" spans="1:9" hidden="1">
      <c r="A3208" s="1" t="s">
        <v>11764</v>
      </c>
      <c r="B3208" s="1" t="s">
        <v>18</v>
      </c>
      <c r="C3208" s="1" t="s">
        <v>11765</v>
      </c>
      <c r="D3208" s="1" t="s">
        <v>1131</v>
      </c>
      <c r="E3208" s="1" t="s">
        <v>1132</v>
      </c>
      <c r="F3208" s="1" t="s">
        <v>11766</v>
      </c>
      <c r="G3208" s="1" t="s">
        <v>11767</v>
      </c>
      <c r="H3208" s="1" t="s">
        <v>8431</v>
      </c>
      <c r="I3208" t="b">
        <f>COUNTIF(Estadísticas!I:I,'centraldecomunicacion.es'!H3208)&gt;0</f>
        <v>0</v>
      </c>
    </row>
    <row r="3209" spans="1:9" hidden="1">
      <c r="A3209" s="1" t="s">
        <v>11768</v>
      </c>
      <c r="B3209" s="1" t="s">
        <v>10</v>
      </c>
      <c r="C3209" s="1" t="s">
        <v>11769</v>
      </c>
      <c r="D3209" s="1" t="s">
        <v>1131</v>
      </c>
      <c r="E3209" s="1" t="s">
        <v>1132</v>
      </c>
      <c r="F3209" s="1" t="s">
        <v>30</v>
      </c>
      <c r="G3209" s="1" t="s">
        <v>30</v>
      </c>
      <c r="H3209" s="1" t="s">
        <v>1762</v>
      </c>
      <c r="I3209" t="b">
        <f>COUNTIF(Estadísticas!I:I,'centraldecomunicacion.es'!H3209)&gt;0</f>
        <v>0</v>
      </c>
    </row>
    <row r="3210" spans="1:9" hidden="1">
      <c r="A3210" s="1" t="s">
        <v>1380</v>
      </c>
      <c r="B3210" s="1" t="s">
        <v>10</v>
      </c>
      <c r="C3210" s="1" t="s">
        <v>11770</v>
      </c>
      <c r="D3210" s="1" t="s">
        <v>1131</v>
      </c>
      <c r="E3210" s="1" t="s">
        <v>1132</v>
      </c>
      <c r="F3210" s="1" t="s">
        <v>11771</v>
      </c>
      <c r="G3210" s="1" t="s">
        <v>11772</v>
      </c>
      <c r="H3210" s="1" t="s">
        <v>1762</v>
      </c>
      <c r="I3210" t="b">
        <f>COUNTIF(Estadísticas!I:I,'centraldecomunicacion.es'!H3210)&gt;0</f>
        <v>0</v>
      </c>
    </row>
    <row r="3211" spans="1:9">
      <c r="A3211" s="1" t="s">
        <v>1165</v>
      </c>
      <c r="B3211" s="1" t="s">
        <v>10</v>
      </c>
      <c r="C3211" s="1" t="s">
        <v>1161</v>
      </c>
      <c r="D3211" s="1" t="s">
        <v>1131</v>
      </c>
      <c r="E3211" s="1" t="s">
        <v>1132</v>
      </c>
      <c r="F3211" s="1" t="s">
        <v>1166</v>
      </c>
      <c r="G3211" s="1" t="s">
        <v>1167</v>
      </c>
      <c r="H3211" s="1" t="s">
        <v>1168</v>
      </c>
      <c r="I3211" t="b">
        <f>COUNTIF(Estadísticas!I:I,'centraldecomunicacion.es'!H3211)&gt;0</f>
        <v>1</v>
      </c>
    </row>
    <row r="3212" spans="1:9" hidden="1">
      <c r="A3212" s="1" t="s">
        <v>11773</v>
      </c>
      <c r="B3212" s="1" t="s">
        <v>10</v>
      </c>
      <c r="C3212" s="1" t="s">
        <v>11774</v>
      </c>
      <c r="D3212" s="1" t="s">
        <v>1131</v>
      </c>
      <c r="E3212" s="1" t="s">
        <v>1132</v>
      </c>
      <c r="F3212" s="1" t="s">
        <v>30</v>
      </c>
      <c r="G3212" s="1" t="s">
        <v>30</v>
      </c>
      <c r="H3212" s="1" t="s">
        <v>1762</v>
      </c>
      <c r="I3212" t="b">
        <f>COUNTIF(Estadísticas!I:I,'centraldecomunicacion.es'!H3212)&gt;0</f>
        <v>0</v>
      </c>
    </row>
    <row r="3213" spans="1:9" hidden="1">
      <c r="A3213" s="1" t="s">
        <v>1995</v>
      </c>
      <c r="B3213" s="1" t="s">
        <v>10</v>
      </c>
      <c r="C3213" s="1" t="s">
        <v>11775</v>
      </c>
      <c r="D3213" s="1" t="s">
        <v>1131</v>
      </c>
      <c r="E3213" s="1" t="s">
        <v>1132</v>
      </c>
      <c r="F3213" s="1" t="s">
        <v>30</v>
      </c>
      <c r="G3213" s="1" t="s">
        <v>11776</v>
      </c>
      <c r="H3213" s="1" t="s">
        <v>1762</v>
      </c>
      <c r="I3213" t="b">
        <f>COUNTIF(Estadísticas!I:I,'centraldecomunicacion.es'!H3213)&gt;0</f>
        <v>0</v>
      </c>
    </row>
    <row r="3214" spans="1:9" hidden="1">
      <c r="A3214" s="1" t="s">
        <v>11777</v>
      </c>
      <c r="B3214" s="1" t="s">
        <v>10</v>
      </c>
      <c r="C3214" s="1" t="s">
        <v>30</v>
      </c>
      <c r="D3214" s="1" t="s">
        <v>1147</v>
      </c>
      <c r="E3214" s="1" t="s">
        <v>30</v>
      </c>
      <c r="F3214" s="1" t="s">
        <v>11778</v>
      </c>
      <c r="G3214" s="1" t="s">
        <v>11779</v>
      </c>
      <c r="H3214" s="1" t="s">
        <v>1762</v>
      </c>
      <c r="I3214" t="b">
        <f>COUNTIF(Estadísticas!I:I,'centraldecomunicacion.es'!H3214)&gt;0</f>
        <v>0</v>
      </c>
    </row>
    <row r="3215" spans="1:9" hidden="1">
      <c r="A3215" s="1" t="s">
        <v>11780</v>
      </c>
      <c r="B3215" s="1" t="s">
        <v>10</v>
      </c>
      <c r="C3215" s="1" t="s">
        <v>11781</v>
      </c>
      <c r="D3215" s="1" t="s">
        <v>11782</v>
      </c>
      <c r="E3215" s="1" t="s">
        <v>1132</v>
      </c>
      <c r="F3215" s="1" t="s">
        <v>30</v>
      </c>
      <c r="G3215" s="1" t="s">
        <v>11742</v>
      </c>
      <c r="H3215" s="1" t="s">
        <v>1762</v>
      </c>
      <c r="I3215" t="b">
        <f>COUNTIF(Estadísticas!I:I,'centraldecomunicacion.es'!H3215)&gt;0</f>
        <v>0</v>
      </c>
    </row>
    <row r="3216" spans="1:9" hidden="1">
      <c r="A3216" s="1" t="s">
        <v>11783</v>
      </c>
      <c r="B3216" s="1" t="s">
        <v>10</v>
      </c>
      <c r="C3216" s="1" t="s">
        <v>11784</v>
      </c>
      <c r="D3216" s="1" t="s">
        <v>1131</v>
      </c>
      <c r="E3216" s="1" t="s">
        <v>1132</v>
      </c>
      <c r="F3216" s="1" t="s">
        <v>30</v>
      </c>
      <c r="G3216" s="1" t="s">
        <v>11785</v>
      </c>
      <c r="H3216" s="1" t="s">
        <v>1762</v>
      </c>
      <c r="I3216" t="b">
        <f>COUNTIF(Estadísticas!I:I,'centraldecomunicacion.es'!H3216)&gt;0</f>
        <v>0</v>
      </c>
    </row>
    <row r="3217" spans="1:9" hidden="1">
      <c r="A3217" s="1" t="s">
        <v>11786</v>
      </c>
      <c r="B3217" s="1" t="s">
        <v>10</v>
      </c>
      <c r="C3217" s="1" t="s">
        <v>11787</v>
      </c>
      <c r="D3217" s="1" t="s">
        <v>1131</v>
      </c>
      <c r="E3217" s="1" t="s">
        <v>1132</v>
      </c>
      <c r="F3217" s="1" t="s">
        <v>11788</v>
      </c>
      <c r="G3217" s="1" t="s">
        <v>11789</v>
      </c>
      <c r="H3217" s="1" t="s">
        <v>11790</v>
      </c>
      <c r="I3217" t="b">
        <f>COUNTIF(Estadísticas!I:I,'centraldecomunicacion.es'!H3217)&gt;0</f>
        <v>0</v>
      </c>
    </row>
    <row r="3218" spans="1:9" hidden="1">
      <c r="A3218" s="1" t="s">
        <v>11791</v>
      </c>
      <c r="B3218" s="1" t="s">
        <v>10</v>
      </c>
      <c r="C3218" s="1" t="s">
        <v>11792</v>
      </c>
      <c r="D3218" s="1" t="s">
        <v>1131</v>
      </c>
      <c r="E3218" s="1" t="s">
        <v>1132</v>
      </c>
      <c r="F3218" s="1" t="s">
        <v>30</v>
      </c>
      <c r="G3218" s="1" t="s">
        <v>30</v>
      </c>
      <c r="H3218" s="1" t="s">
        <v>1762</v>
      </c>
      <c r="I3218" t="b">
        <f>COUNTIF(Estadísticas!I:I,'centraldecomunicacion.es'!H3218)&gt;0</f>
        <v>0</v>
      </c>
    </row>
    <row r="3219" spans="1:9" hidden="1">
      <c r="A3219" s="1" t="s">
        <v>11793</v>
      </c>
      <c r="B3219" s="1" t="s">
        <v>10</v>
      </c>
      <c r="C3219" s="1" t="s">
        <v>11794</v>
      </c>
      <c r="D3219" s="1" t="s">
        <v>1131</v>
      </c>
      <c r="E3219" s="1" t="s">
        <v>1132</v>
      </c>
      <c r="F3219" s="1" t="s">
        <v>30</v>
      </c>
      <c r="G3219" s="1" t="s">
        <v>30</v>
      </c>
      <c r="H3219" s="1" t="s">
        <v>1762</v>
      </c>
      <c r="I3219" t="b">
        <f>COUNTIF(Estadísticas!I:I,'centraldecomunicacion.es'!H3219)&gt;0</f>
        <v>0</v>
      </c>
    </row>
    <row r="3220" spans="1:9" hidden="1">
      <c r="A3220" s="1" t="s">
        <v>11795</v>
      </c>
      <c r="B3220" s="1" t="s">
        <v>10</v>
      </c>
      <c r="C3220" s="1" t="s">
        <v>11796</v>
      </c>
      <c r="D3220" s="1" t="s">
        <v>1131</v>
      </c>
      <c r="E3220" s="1" t="s">
        <v>1132</v>
      </c>
      <c r="F3220" s="1" t="s">
        <v>30</v>
      </c>
      <c r="G3220" s="1" t="s">
        <v>11797</v>
      </c>
      <c r="H3220" s="1" t="s">
        <v>1762</v>
      </c>
      <c r="I3220" t="b">
        <f>COUNTIF(Estadísticas!I:I,'centraldecomunicacion.es'!H3220)&gt;0</f>
        <v>0</v>
      </c>
    </row>
    <row r="3221" spans="1:9" hidden="1">
      <c r="A3221" s="1" t="s">
        <v>11798</v>
      </c>
      <c r="B3221" s="1" t="s">
        <v>10</v>
      </c>
      <c r="C3221" s="1" t="s">
        <v>11799</v>
      </c>
      <c r="D3221" s="1" t="s">
        <v>1131</v>
      </c>
      <c r="E3221" s="1" t="s">
        <v>1132</v>
      </c>
      <c r="F3221" s="1" t="s">
        <v>30</v>
      </c>
      <c r="G3221" s="1" t="s">
        <v>11800</v>
      </c>
      <c r="H3221" s="1" t="s">
        <v>1762</v>
      </c>
      <c r="I3221" t="b">
        <f>COUNTIF(Estadísticas!I:I,'centraldecomunicacion.es'!H3221)&gt;0</f>
        <v>0</v>
      </c>
    </row>
    <row r="3222" spans="1:9" hidden="1">
      <c r="A3222" s="1" t="s">
        <v>11801</v>
      </c>
      <c r="B3222" s="1" t="s">
        <v>10</v>
      </c>
      <c r="C3222" s="1" t="s">
        <v>11802</v>
      </c>
      <c r="D3222" s="1" t="s">
        <v>1131</v>
      </c>
      <c r="E3222" s="1" t="s">
        <v>1132</v>
      </c>
      <c r="F3222" s="1" t="s">
        <v>30</v>
      </c>
      <c r="G3222" s="1" t="s">
        <v>11803</v>
      </c>
      <c r="H3222" s="1" t="s">
        <v>1762</v>
      </c>
      <c r="I3222" t="b">
        <f>COUNTIF(Estadísticas!I:I,'centraldecomunicacion.es'!H3222)&gt;0</f>
        <v>0</v>
      </c>
    </row>
    <row r="3223" spans="1:9" hidden="1">
      <c r="A3223" s="1" t="s">
        <v>11804</v>
      </c>
      <c r="B3223" s="1" t="s">
        <v>10</v>
      </c>
      <c r="C3223" s="1" t="s">
        <v>11805</v>
      </c>
      <c r="D3223" s="1" t="s">
        <v>1131</v>
      </c>
      <c r="E3223" s="1" t="s">
        <v>1132</v>
      </c>
      <c r="F3223" s="1" t="s">
        <v>30</v>
      </c>
      <c r="G3223" s="1" t="s">
        <v>11806</v>
      </c>
      <c r="H3223" s="1" t="s">
        <v>1762</v>
      </c>
      <c r="I3223" t="b">
        <f>COUNTIF(Estadísticas!I:I,'centraldecomunicacion.es'!H3223)&gt;0</f>
        <v>0</v>
      </c>
    </row>
    <row r="3224" spans="1:9" hidden="1">
      <c r="A3224" s="1" t="s">
        <v>11807</v>
      </c>
      <c r="B3224" s="1" t="s">
        <v>18</v>
      </c>
      <c r="C3224" s="1" t="s">
        <v>11808</v>
      </c>
      <c r="D3224" s="1" t="s">
        <v>1131</v>
      </c>
      <c r="E3224" s="1" t="s">
        <v>1132</v>
      </c>
      <c r="F3224" s="1" t="s">
        <v>4288</v>
      </c>
      <c r="G3224" s="1" t="s">
        <v>11809</v>
      </c>
      <c r="H3224" s="1" t="s">
        <v>4290</v>
      </c>
      <c r="I3224" t="b">
        <f>COUNTIF(Estadísticas!I:I,'centraldecomunicacion.es'!H3224)&gt;0</f>
        <v>0</v>
      </c>
    </row>
    <row r="3225" spans="1:9" hidden="1">
      <c r="A3225" s="1" t="s">
        <v>11810</v>
      </c>
      <c r="B3225" s="1" t="s">
        <v>10</v>
      </c>
      <c r="C3225" s="1" t="s">
        <v>30</v>
      </c>
      <c r="D3225" s="1" t="s">
        <v>1147</v>
      </c>
      <c r="E3225" s="1" t="s">
        <v>30</v>
      </c>
      <c r="F3225" s="1" t="s">
        <v>30</v>
      </c>
      <c r="G3225" s="1" t="s">
        <v>11811</v>
      </c>
      <c r="H3225" s="1" t="s">
        <v>1762</v>
      </c>
      <c r="I3225" t="b">
        <f>COUNTIF(Estadísticas!I:I,'centraldecomunicacion.es'!H3225)&gt;0</f>
        <v>0</v>
      </c>
    </row>
    <row r="3226" spans="1:9" hidden="1">
      <c r="A3226" s="1" t="s">
        <v>11812</v>
      </c>
      <c r="B3226" s="1" t="s">
        <v>10</v>
      </c>
      <c r="C3226" s="1" t="s">
        <v>11813</v>
      </c>
      <c r="D3226" s="1" t="s">
        <v>1131</v>
      </c>
      <c r="E3226" s="1" t="s">
        <v>1132</v>
      </c>
      <c r="F3226" s="1" t="s">
        <v>30</v>
      </c>
      <c r="G3226" s="1" t="s">
        <v>11814</v>
      </c>
      <c r="H3226" s="1" t="s">
        <v>1762</v>
      </c>
      <c r="I3226" t="b">
        <f>COUNTIF(Estadísticas!I:I,'centraldecomunicacion.es'!H3226)&gt;0</f>
        <v>0</v>
      </c>
    </row>
    <row r="3227" spans="1:9" hidden="1">
      <c r="A3227" s="1" t="s">
        <v>11815</v>
      </c>
      <c r="B3227" s="1" t="s">
        <v>10</v>
      </c>
      <c r="C3227" s="1" t="s">
        <v>11816</v>
      </c>
      <c r="D3227" s="1" t="s">
        <v>1131</v>
      </c>
      <c r="E3227" s="1" t="s">
        <v>1132</v>
      </c>
      <c r="F3227" s="1" t="s">
        <v>30</v>
      </c>
      <c r="G3227" s="1" t="s">
        <v>11817</v>
      </c>
      <c r="H3227" s="1" t="s">
        <v>1762</v>
      </c>
      <c r="I3227" t="b">
        <f>COUNTIF(Estadísticas!I:I,'centraldecomunicacion.es'!H3227)&gt;0</f>
        <v>0</v>
      </c>
    </row>
    <row r="3228" spans="1:9" hidden="1">
      <c r="A3228" s="1" t="s">
        <v>11818</v>
      </c>
      <c r="B3228" s="1" t="s">
        <v>10</v>
      </c>
      <c r="C3228" s="1" t="s">
        <v>11819</v>
      </c>
      <c r="D3228" s="1" t="s">
        <v>1131</v>
      </c>
      <c r="E3228" s="1" t="s">
        <v>1132</v>
      </c>
      <c r="F3228" s="1" t="s">
        <v>11820</v>
      </c>
      <c r="G3228" s="1" t="s">
        <v>11821</v>
      </c>
      <c r="H3228" s="1" t="s">
        <v>1875</v>
      </c>
      <c r="I3228" t="b">
        <f>COUNTIF(Estadísticas!I:I,'centraldecomunicacion.es'!H3228)&gt;0</f>
        <v>0</v>
      </c>
    </row>
    <row r="3229" spans="1:9" hidden="1">
      <c r="A3229" s="1" t="s">
        <v>11822</v>
      </c>
      <c r="B3229" s="1" t="s">
        <v>10</v>
      </c>
      <c r="C3229" s="1" t="s">
        <v>11823</v>
      </c>
      <c r="D3229" s="1" t="s">
        <v>11639</v>
      </c>
      <c r="E3229" s="1" t="s">
        <v>1132</v>
      </c>
      <c r="F3229" s="1" t="s">
        <v>30</v>
      </c>
      <c r="G3229" s="1" t="s">
        <v>11824</v>
      </c>
      <c r="H3229" s="1" t="s">
        <v>1762</v>
      </c>
      <c r="I3229" t="b">
        <f>COUNTIF(Estadísticas!I:I,'centraldecomunicacion.es'!H3229)&gt;0</f>
        <v>0</v>
      </c>
    </row>
    <row r="3230" spans="1:9" hidden="1">
      <c r="A3230" s="1" t="s">
        <v>11825</v>
      </c>
      <c r="B3230" s="1" t="s">
        <v>10</v>
      </c>
      <c r="C3230" s="1" t="s">
        <v>11826</v>
      </c>
      <c r="D3230" s="1" t="s">
        <v>1131</v>
      </c>
      <c r="E3230" s="1" t="s">
        <v>1132</v>
      </c>
      <c r="F3230" s="1" t="s">
        <v>30</v>
      </c>
      <c r="G3230" s="1" t="s">
        <v>11827</v>
      </c>
      <c r="H3230" s="1" t="s">
        <v>1762</v>
      </c>
      <c r="I3230" t="b">
        <f>COUNTIF(Estadísticas!I:I,'centraldecomunicacion.es'!H3230)&gt;0</f>
        <v>0</v>
      </c>
    </row>
    <row r="3231" spans="1:9">
      <c r="A3231" s="1" t="s">
        <v>1169</v>
      </c>
      <c r="B3231" s="1" t="s">
        <v>10</v>
      </c>
      <c r="C3231" s="1" t="s">
        <v>1170</v>
      </c>
      <c r="D3231" s="1" t="s">
        <v>1171</v>
      </c>
      <c r="E3231" s="1" t="s">
        <v>1132</v>
      </c>
      <c r="F3231" s="1" t="s">
        <v>1172</v>
      </c>
      <c r="G3231" s="1" t="s">
        <v>1173</v>
      </c>
      <c r="H3231" s="1" t="s">
        <v>1174</v>
      </c>
      <c r="I3231" t="b">
        <f>COUNTIF(Estadísticas!I:I,'centraldecomunicacion.es'!H3231)&gt;0</f>
        <v>1</v>
      </c>
    </row>
    <row r="3232" spans="1:9" hidden="1">
      <c r="A3232" s="1" t="s">
        <v>11828</v>
      </c>
      <c r="B3232" s="1" t="s">
        <v>10</v>
      </c>
      <c r="C3232" s="1" t="s">
        <v>11829</v>
      </c>
      <c r="D3232" s="1" t="s">
        <v>1131</v>
      </c>
      <c r="E3232" s="1" t="s">
        <v>1132</v>
      </c>
      <c r="F3232" s="1" t="s">
        <v>30</v>
      </c>
      <c r="G3232" s="1" t="s">
        <v>11830</v>
      </c>
      <c r="H3232" s="1" t="s">
        <v>1762</v>
      </c>
      <c r="I3232" t="b">
        <f>COUNTIF(Estadísticas!I:I,'centraldecomunicacion.es'!H3232)&gt;0</f>
        <v>0</v>
      </c>
    </row>
    <row r="3233" spans="1:9" hidden="1">
      <c r="A3233" s="1" t="s">
        <v>11831</v>
      </c>
      <c r="B3233" s="1" t="s">
        <v>10</v>
      </c>
      <c r="C3233" s="1" t="s">
        <v>11832</v>
      </c>
      <c r="D3233" s="1" t="s">
        <v>11759</v>
      </c>
      <c r="E3233" s="1" t="s">
        <v>1132</v>
      </c>
      <c r="F3233" s="1" t="s">
        <v>11833</v>
      </c>
      <c r="G3233" s="1" t="s">
        <v>11834</v>
      </c>
      <c r="H3233" s="1" t="s">
        <v>11835</v>
      </c>
      <c r="I3233" t="b">
        <f>COUNTIF(Estadísticas!I:I,'centraldecomunicacion.es'!H3233)&gt;0</f>
        <v>0</v>
      </c>
    </row>
    <row r="3234" spans="1:9" hidden="1">
      <c r="A3234" s="1" t="s">
        <v>11836</v>
      </c>
      <c r="B3234" s="1" t="s">
        <v>10</v>
      </c>
      <c r="C3234" s="1" t="s">
        <v>11837</v>
      </c>
      <c r="D3234" s="1" t="s">
        <v>1131</v>
      </c>
      <c r="E3234" s="1" t="s">
        <v>1132</v>
      </c>
      <c r="F3234" s="1" t="s">
        <v>11838</v>
      </c>
      <c r="G3234" s="1" t="s">
        <v>11839</v>
      </c>
      <c r="H3234" s="1" t="s">
        <v>1762</v>
      </c>
      <c r="I3234" t="b">
        <f>COUNTIF(Estadísticas!I:I,'centraldecomunicacion.es'!H3234)&gt;0</f>
        <v>0</v>
      </c>
    </row>
    <row r="3235" spans="1:9" hidden="1">
      <c r="A3235" s="1" t="s">
        <v>11840</v>
      </c>
      <c r="B3235" s="1" t="s">
        <v>10</v>
      </c>
      <c r="C3235" s="1" t="s">
        <v>11841</v>
      </c>
      <c r="D3235" s="1" t="s">
        <v>1131</v>
      </c>
      <c r="E3235" s="1" t="s">
        <v>1132</v>
      </c>
      <c r="F3235" s="1" t="s">
        <v>1864</v>
      </c>
      <c r="G3235" s="1" t="s">
        <v>11842</v>
      </c>
      <c r="H3235" s="1" t="s">
        <v>1762</v>
      </c>
      <c r="I3235" t="b">
        <f>COUNTIF(Estadísticas!I:I,'centraldecomunicacion.es'!H3235)&gt;0</f>
        <v>0</v>
      </c>
    </row>
    <row r="3236" spans="1:9" hidden="1">
      <c r="A3236" s="1" t="s">
        <v>11843</v>
      </c>
      <c r="B3236" s="1" t="s">
        <v>10</v>
      </c>
      <c r="C3236" s="1" t="s">
        <v>11844</v>
      </c>
      <c r="D3236" s="1" t="s">
        <v>11639</v>
      </c>
      <c r="E3236" s="1" t="s">
        <v>1132</v>
      </c>
      <c r="F3236" s="1" t="s">
        <v>30</v>
      </c>
      <c r="G3236" s="1" t="s">
        <v>11845</v>
      </c>
      <c r="H3236" s="1" t="s">
        <v>1762</v>
      </c>
      <c r="I3236" t="b">
        <f>COUNTIF(Estadísticas!I:I,'centraldecomunicacion.es'!H3236)&gt;0</f>
        <v>0</v>
      </c>
    </row>
    <row r="3237" spans="1:9" hidden="1">
      <c r="A3237" s="1" t="s">
        <v>11846</v>
      </c>
      <c r="B3237" s="1" t="s">
        <v>10</v>
      </c>
      <c r="C3237" s="1" t="s">
        <v>11847</v>
      </c>
      <c r="D3237" s="1" t="s">
        <v>1131</v>
      </c>
      <c r="E3237" s="1" t="s">
        <v>1132</v>
      </c>
      <c r="F3237" s="1" t="s">
        <v>1984</v>
      </c>
      <c r="G3237" s="1" t="s">
        <v>11848</v>
      </c>
      <c r="H3237" s="1" t="s">
        <v>1762</v>
      </c>
      <c r="I3237" t="b">
        <f>COUNTIF(Estadísticas!I:I,'centraldecomunicacion.es'!H3237)&gt;0</f>
        <v>0</v>
      </c>
    </row>
    <row r="3238" spans="1:9" hidden="1">
      <c r="A3238" s="1" t="s">
        <v>11849</v>
      </c>
      <c r="B3238" s="1" t="s">
        <v>10</v>
      </c>
      <c r="C3238" s="1" t="s">
        <v>11850</v>
      </c>
      <c r="D3238" s="1" t="s">
        <v>1131</v>
      </c>
      <c r="E3238" s="1" t="s">
        <v>1132</v>
      </c>
      <c r="F3238" s="1" t="s">
        <v>30</v>
      </c>
      <c r="G3238" s="1" t="s">
        <v>30</v>
      </c>
      <c r="H3238" s="1" t="s">
        <v>1762</v>
      </c>
      <c r="I3238" t="b">
        <f>COUNTIF(Estadísticas!I:I,'centraldecomunicacion.es'!H3238)&gt;0</f>
        <v>0</v>
      </c>
    </row>
    <row r="3239" spans="1:9" hidden="1">
      <c r="A3239" s="1" t="s">
        <v>11851</v>
      </c>
      <c r="B3239" s="1" t="s">
        <v>10</v>
      </c>
      <c r="C3239" s="1" t="s">
        <v>11852</v>
      </c>
      <c r="D3239" s="1" t="s">
        <v>1131</v>
      </c>
      <c r="E3239" s="1" t="s">
        <v>1132</v>
      </c>
      <c r="F3239" s="1" t="s">
        <v>30</v>
      </c>
      <c r="G3239" s="1" t="s">
        <v>11853</v>
      </c>
      <c r="H3239" s="1" t="s">
        <v>1762</v>
      </c>
      <c r="I3239" t="b">
        <f>COUNTIF(Estadísticas!I:I,'centraldecomunicacion.es'!H3239)&gt;0</f>
        <v>0</v>
      </c>
    </row>
    <row r="3240" spans="1:9" hidden="1">
      <c r="A3240" s="1" t="s">
        <v>11854</v>
      </c>
      <c r="B3240" s="1" t="s">
        <v>10</v>
      </c>
      <c r="C3240" s="1" t="s">
        <v>11855</v>
      </c>
      <c r="D3240" s="1" t="s">
        <v>1131</v>
      </c>
      <c r="E3240" s="1" t="s">
        <v>1132</v>
      </c>
      <c r="F3240" s="1" t="s">
        <v>11856</v>
      </c>
      <c r="G3240" s="1" t="s">
        <v>11857</v>
      </c>
      <c r="H3240" s="1" t="s">
        <v>11858</v>
      </c>
      <c r="I3240" t="b">
        <f>COUNTIF(Estadísticas!I:I,'centraldecomunicacion.es'!H3240)&gt;0</f>
        <v>0</v>
      </c>
    </row>
    <row r="3241" spans="1:9" hidden="1">
      <c r="A3241" s="1" t="s">
        <v>11859</v>
      </c>
      <c r="B3241" s="1" t="s">
        <v>18</v>
      </c>
      <c r="C3241" s="1" t="s">
        <v>11860</v>
      </c>
      <c r="D3241" s="1" t="s">
        <v>1131</v>
      </c>
      <c r="E3241" s="1" t="s">
        <v>1132</v>
      </c>
      <c r="F3241" s="1" t="s">
        <v>3929</v>
      </c>
      <c r="G3241" s="1" t="s">
        <v>11861</v>
      </c>
      <c r="H3241" s="1" t="s">
        <v>3931</v>
      </c>
      <c r="I3241" t="b">
        <f>COUNTIF(Estadísticas!I:I,'centraldecomunicacion.es'!H3241)&gt;0</f>
        <v>0</v>
      </c>
    </row>
    <row r="3242" spans="1:9" hidden="1">
      <c r="A3242" s="1" t="s">
        <v>11862</v>
      </c>
      <c r="B3242" s="1" t="s">
        <v>10</v>
      </c>
      <c r="C3242" s="1" t="s">
        <v>11863</v>
      </c>
      <c r="D3242" s="1" t="s">
        <v>1131</v>
      </c>
      <c r="E3242" s="1" t="s">
        <v>1132</v>
      </c>
      <c r="F3242" s="1" t="s">
        <v>30</v>
      </c>
      <c r="G3242" s="1" t="s">
        <v>30</v>
      </c>
      <c r="H3242" s="1" t="s">
        <v>1762</v>
      </c>
      <c r="I3242" t="b">
        <f>COUNTIF(Estadísticas!I:I,'centraldecomunicacion.es'!H3242)&gt;0</f>
        <v>0</v>
      </c>
    </row>
    <row r="3243" spans="1:9" hidden="1">
      <c r="A3243" s="1" t="s">
        <v>11864</v>
      </c>
      <c r="B3243" s="1" t="s">
        <v>10</v>
      </c>
      <c r="C3243" s="1" t="s">
        <v>11865</v>
      </c>
      <c r="D3243" s="1" t="s">
        <v>11866</v>
      </c>
      <c r="E3243" s="1" t="s">
        <v>1132</v>
      </c>
      <c r="F3243" s="1" t="s">
        <v>30</v>
      </c>
      <c r="G3243" s="1" t="s">
        <v>11867</v>
      </c>
      <c r="H3243" s="1" t="s">
        <v>1762</v>
      </c>
      <c r="I3243" t="b">
        <f>COUNTIF(Estadísticas!I:I,'centraldecomunicacion.es'!H3243)&gt;0</f>
        <v>0</v>
      </c>
    </row>
    <row r="3244" spans="1:9" hidden="1">
      <c r="A3244" s="1" t="s">
        <v>11868</v>
      </c>
      <c r="B3244" s="1" t="s">
        <v>10</v>
      </c>
      <c r="C3244" s="1" t="s">
        <v>11869</v>
      </c>
      <c r="D3244" s="1" t="s">
        <v>1131</v>
      </c>
      <c r="E3244" s="1" t="s">
        <v>1132</v>
      </c>
      <c r="F3244" s="1" t="s">
        <v>30</v>
      </c>
      <c r="G3244" s="1" t="s">
        <v>11870</v>
      </c>
      <c r="H3244" s="1" t="s">
        <v>1762</v>
      </c>
      <c r="I3244" t="b">
        <f>COUNTIF(Estadísticas!I:I,'centraldecomunicacion.es'!H3244)&gt;0</f>
        <v>0</v>
      </c>
    </row>
    <row r="3245" spans="1:9" hidden="1">
      <c r="A3245" s="1" t="s">
        <v>11871</v>
      </c>
      <c r="B3245" s="1" t="s">
        <v>10</v>
      </c>
      <c r="C3245" s="1" t="s">
        <v>11872</v>
      </c>
      <c r="D3245" s="1" t="s">
        <v>1131</v>
      </c>
      <c r="E3245" s="1" t="s">
        <v>1132</v>
      </c>
      <c r="F3245" s="1" t="s">
        <v>11873</v>
      </c>
      <c r="G3245" s="1" t="s">
        <v>11874</v>
      </c>
      <c r="H3245" s="1" t="s">
        <v>11875</v>
      </c>
      <c r="I3245" t="b">
        <f>COUNTIF(Estadísticas!I:I,'centraldecomunicacion.es'!H3245)&gt;0</f>
        <v>0</v>
      </c>
    </row>
    <row r="3246" spans="1:9" hidden="1">
      <c r="A3246" s="1" t="s">
        <v>11876</v>
      </c>
      <c r="B3246" s="1" t="s">
        <v>10</v>
      </c>
      <c r="C3246" s="1" t="s">
        <v>11877</v>
      </c>
      <c r="D3246" s="1" t="s">
        <v>1131</v>
      </c>
      <c r="E3246" s="1" t="s">
        <v>1132</v>
      </c>
      <c r="F3246" s="1" t="s">
        <v>30</v>
      </c>
      <c r="G3246" s="1" t="s">
        <v>11878</v>
      </c>
      <c r="H3246" s="1" t="s">
        <v>1762</v>
      </c>
      <c r="I3246" t="b">
        <f>COUNTIF(Estadísticas!I:I,'centraldecomunicacion.es'!H3246)&gt;0</f>
        <v>0</v>
      </c>
    </row>
    <row r="3247" spans="1:9" hidden="1">
      <c r="A3247" s="1" t="s">
        <v>11879</v>
      </c>
      <c r="B3247" s="1" t="s">
        <v>10</v>
      </c>
      <c r="C3247" s="1" t="s">
        <v>11880</v>
      </c>
      <c r="D3247" s="1" t="s">
        <v>1131</v>
      </c>
      <c r="E3247" s="1" t="s">
        <v>1132</v>
      </c>
      <c r="F3247" s="1" t="s">
        <v>30</v>
      </c>
      <c r="G3247" s="1" t="s">
        <v>11881</v>
      </c>
      <c r="H3247" s="1" t="s">
        <v>1762</v>
      </c>
      <c r="I3247" t="b">
        <f>COUNTIF(Estadísticas!I:I,'centraldecomunicacion.es'!H3247)&gt;0</f>
        <v>0</v>
      </c>
    </row>
    <row r="3248" spans="1:9" hidden="1">
      <c r="A3248" s="1" t="s">
        <v>11882</v>
      </c>
      <c r="B3248" s="1" t="s">
        <v>10</v>
      </c>
      <c r="C3248" s="1" t="s">
        <v>11883</v>
      </c>
      <c r="D3248" s="1" t="s">
        <v>11866</v>
      </c>
      <c r="E3248" s="1" t="s">
        <v>1132</v>
      </c>
      <c r="F3248" s="1" t="s">
        <v>30</v>
      </c>
      <c r="G3248" s="1" t="s">
        <v>30</v>
      </c>
      <c r="H3248" s="1" t="s">
        <v>1762</v>
      </c>
      <c r="I3248" t="b">
        <f>COUNTIF(Estadísticas!I:I,'centraldecomunicacion.es'!H3248)&gt;0</f>
        <v>0</v>
      </c>
    </row>
    <row r="3249" spans="1:9" hidden="1">
      <c r="A3249" s="1" t="s">
        <v>1995</v>
      </c>
      <c r="B3249" s="1" t="s">
        <v>10</v>
      </c>
      <c r="C3249" s="1" t="s">
        <v>11884</v>
      </c>
      <c r="D3249" s="1" t="s">
        <v>11759</v>
      </c>
      <c r="E3249" s="1" t="s">
        <v>1132</v>
      </c>
      <c r="F3249" s="1" t="s">
        <v>30</v>
      </c>
      <c r="G3249" s="1" t="s">
        <v>30</v>
      </c>
      <c r="H3249" s="1" t="s">
        <v>1762</v>
      </c>
      <c r="I3249" t="b">
        <f>COUNTIF(Estadísticas!I:I,'centraldecomunicacion.es'!H3249)&gt;0</f>
        <v>0</v>
      </c>
    </row>
    <row r="3250" spans="1:9" hidden="1">
      <c r="A3250" s="1" t="s">
        <v>11885</v>
      </c>
      <c r="B3250" s="1" t="s">
        <v>10</v>
      </c>
      <c r="C3250" s="1" t="s">
        <v>11886</v>
      </c>
      <c r="D3250" s="1" t="s">
        <v>11782</v>
      </c>
      <c r="E3250" s="1" t="s">
        <v>1132</v>
      </c>
      <c r="F3250" s="1" t="s">
        <v>30</v>
      </c>
      <c r="G3250" s="1" t="s">
        <v>11742</v>
      </c>
      <c r="H3250" s="1" t="s">
        <v>1762</v>
      </c>
      <c r="I3250" t="b">
        <f>COUNTIF(Estadísticas!I:I,'centraldecomunicacion.es'!H3250)&gt;0</f>
        <v>0</v>
      </c>
    </row>
    <row r="3251" spans="1:9" hidden="1">
      <c r="A3251" s="1" t="s">
        <v>11887</v>
      </c>
      <c r="B3251" s="1" t="s">
        <v>10</v>
      </c>
      <c r="C3251" s="1" t="s">
        <v>11888</v>
      </c>
      <c r="D3251" s="1" t="s">
        <v>11866</v>
      </c>
      <c r="E3251" s="1" t="s">
        <v>1132</v>
      </c>
      <c r="F3251" s="1" t="s">
        <v>30</v>
      </c>
      <c r="G3251" s="1" t="s">
        <v>11889</v>
      </c>
      <c r="H3251" s="1" t="s">
        <v>1762</v>
      </c>
      <c r="I3251" t="b">
        <f>COUNTIF(Estadísticas!I:I,'centraldecomunicacion.es'!H3251)&gt;0</f>
        <v>0</v>
      </c>
    </row>
    <row r="3252" spans="1:9" hidden="1">
      <c r="A3252" s="1" t="s">
        <v>11890</v>
      </c>
      <c r="B3252" s="1" t="s">
        <v>10</v>
      </c>
      <c r="C3252" s="1" t="s">
        <v>11891</v>
      </c>
      <c r="D3252" s="1" t="s">
        <v>11639</v>
      </c>
      <c r="E3252" s="1" t="s">
        <v>1132</v>
      </c>
      <c r="F3252" s="1" t="s">
        <v>11892</v>
      </c>
      <c r="G3252" s="1" t="s">
        <v>11893</v>
      </c>
      <c r="H3252" s="1" t="s">
        <v>11894</v>
      </c>
      <c r="I3252" t="b">
        <f>COUNTIF(Estadísticas!I:I,'centraldecomunicacion.es'!H3252)&gt;0</f>
        <v>0</v>
      </c>
    </row>
    <row r="3253" spans="1:9" hidden="1">
      <c r="A3253" s="1" t="s">
        <v>11895</v>
      </c>
      <c r="B3253" s="1" t="s">
        <v>10</v>
      </c>
      <c r="C3253" s="1" t="s">
        <v>11896</v>
      </c>
      <c r="D3253" s="1" t="s">
        <v>1131</v>
      </c>
      <c r="E3253" s="1" t="s">
        <v>1132</v>
      </c>
      <c r="F3253" s="1" t="s">
        <v>30</v>
      </c>
      <c r="G3253" s="1" t="s">
        <v>11897</v>
      </c>
      <c r="H3253" s="1" t="s">
        <v>1762</v>
      </c>
      <c r="I3253" t="b">
        <f>COUNTIF(Estadísticas!I:I,'centraldecomunicacion.es'!H3253)&gt;0</f>
        <v>0</v>
      </c>
    </row>
    <row r="3254" spans="1:9" hidden="1">
      <c r="A3254" s="1" t="s">
        <v>11898</v>
      </c>
      <c r="B3254" s="1" t="s">
        <v>10</v>
      </c>
      <c r="C3254" s="1" t="s">
        <v>11899</v>
      </c>
      <c r="D3254" s="1" t="s">
        <v>1131</v>
      </c>
      <c r="E3254" s="1" t="s">
        <v>1132</v>
      </c>
      <c r="F3254" s="1" t="s">
        <v>30</v>
      </c>
      <c r="G3254" s="1" t="s">
        <v>11900</v>
      </c>
      <c r="H3254" s="1" t="s">
        <v>1762</v>
      </c>
      <c r="I3254" t="b">
        <f>COUNTIF(Estadísticas!I:I,'centraldecomunicacion.es'!H3254)&gt;0</f>
        <v>0</v>
      </c>
    </row>
    <row r="3255" spans="1:9" hidden="1">
      <c r="A3255" s="1" t="s">
        <v>11901</v>
      </c>
      <c r="B3255" s="1" t="s">
        <v>10</v>
      </c>
      <c r="C3255" s="1" t="s">
        <v>11902</v>
      </c>
      <c r="D3255" s="1" t="s">
        <v>11903</v>
      </c>
      <c r="E3255" s="1" t="s">
        <v>1132</v>
      </c>
      <c r="F3255" s="1" t="s">
        <v>30</v>
      </c>
      <c r="G3255" s="1" t="s">
        <v>30</v>
      </c>
      <c r="H3255" s="1" t="s">
        <v>1762</v>
      </c>
      <c r="I3255" t="b">
        <f>COUNTIF(Estadísticas!I:I,'centraldecomunicacion.es'!H3255)&gt;0</f>
        <v>0</v>
      </c>
    </row>
    <row r="3256" spans="1:9" hidden="1">
      <c r="A3256" s="1" t="s">
        <v>11904</v>
      </c>
      <c r="B3256" s="1" t="s">
        <v>10</v>
      </c>
      <c r="C3256" s="1" t="s">
        <v>11905</v>
      </c>
      <c r="D3256" s="1" t="s">
        <v>1131</v>
      </c>
      <c r="E3256" s="1" t="s">
        <v>1132</v>
      </c>
      <c r="F3256" s="1" t="s">
        <v>30</v>
      </c>
      <c r="G3256" s="1" t="s">
        <v>11906</v>
      </c>
      <c r="H3256" s="1" t="s">
        <v>1762</v>
      </c>
      <c r="I3256" t="b">
        <f>COUNTIF(Estadísticas!I:I,'centraldecomunicacion.es'!H3256)&gt;0</f>
        <v>0</v>
      </c>
    </row>
    <row r="3257" spans="1:9" hidden="1">
      <c r="A3257" s="1" t="s">
        <v>11719</v>
      </c>
      <c r="B3257" s="1" t="s">
        <v>10</v>
      </c>
      <c r="C3257" s="1" t="s">
        <v>11907</v>
      </c>
      <c r="D3257" s="1" t="s">
        <v>11639</v>
      </c>
      <c r="E3257" s="1" t="s">
        <v>1132</v>
      </c>
      <c r="F3257" s="1" t="s">
        <v>30</v>
      </c>
      <c r="G3257" s="1" t="s">
        <v>30</v>
      </c>
      <c r="H3257" s="1" t="s">
        <v>1762</v>
      </c>
      <c r="I3257" t="b">
        <f>COUNTIF(Estadísticas!I:I,'centraldecomunicacion.es'!H3257)&gt;0</f>
        <v>0</v>
      </c>
    </row>
    <row r="3258" spans="1:9" hidden="1">
      <c r="A3258" s="1" t="s">
        <v>11908</v>
      </c>
      <c r="B3258" s="1" t="s">
        <v>10</v>
      </c>
      <c r="C3258" s="1" t="s">
        <v>11909</v>
      </c>
      <c r="D3258" s="1" t="s">
        <v>11759</v>
      </c>
      <c r="E3258" s="1" t="s">
        <v>1132</v>
      </c>
      <c r="F3258" s="1" t="s">
        <v>30</v>
      </c>
      <c r="G3258" s="1" t="s">
        <v>11910</v>
      </c>
      <c r="H3258" s="1" t="s">
        <v>1762</v>
      </c>
      <c r="I3258" t="b">
        <f>COUNTIF(Estadísticas!I:I,'centraldecomunicacion.es'!H3258)&gt;0</f>
        <v>0</v>
      </c>
    </row>
    <row r="3259" spans="1:9">
      <c r="A3259" s="1" t="s">
        <v>1175</v>
      </c>
      <c r="B3259" s="1" t="s">
        <v>10</v>
      </c>
      <c r="C3259" s="1" t="s">
        <v>1176</v>
      </c>
      <c r="D3259" s="1" t="s">
        <v>1177</v>
      </c>
      <c r="E3259" s="1" t="s">
        <v>1132</v>
      </c>
      <c r="F3259" s="1" t="s">
        <v>1178</v>
      </c>
      <c r="G3259" s="1" t="s">
        <v>1179</v>
      </c>
      <c r="H3259" s="1" t="s">
        <v>1180</v>
      </c>
      <c r="I3259" t="b">
        <f>COUNTIF(Estadísticas!I:I,'centraldecomunicacion.es'!H3259)&gt;0</f>
        <v>1</v>
      </c>
    </row>
    <row r="3260" spans="1:9" hidden="1">
      <c r="A3260" s="1" t="s">
        <v>11911</v>
      </c>
      <c r="B3260" s="1" t="s">
        <v>10</v>
      </c>
      <c r="C3260" s="1" t="s">
        <v>11912</v>
      </c>
      <c r="D3260" s="1" t="s">
        <v>1131</v>
      </c>
      <c r="E3260" s="1" t="s">
        <v>1132</v>
      </c>
      <c r="F3260" s="1" t="s">
        <v>30</v>
      </c>
      <c r="G3260" s="1" t="s">
        <v>30</v>
      </c>
      <c r="H3260" s="1" t="s">
        <v>1762</v>
      </c>
      <c r="I3260" t="b">
        <f>COUNTIF(Estadísticas!I:I,'centraldecomunicacion.es'!H3260)&gt;0</f>
        <v>0</v>
      </c>
    </row>
    <row r="3261" spans="1:9" hidden="1">
      <c r="A3261" s="1" t="s">
        <v>11913</v>
      </c>
      <c r="B3261" s="1" t="s">
        <v>10</v>
      </c>
      <c r="C3261" s="1" t="s">
        <v>30</v>
      </c>
      <c r="D3261" s="1" t="s">
        <v>1147</v>
      </c>
      <c r="E3261" s="1" t="s">
        <v>30</v>
      </c>
      <c r="F3261" s="1" t="s">
        <v>1984</v>
      </c>
      <c r="G3261" s="1" t="s">
        <v>11914</v>
      </c>
      <c r="H3261" s="1" t="s">
        <v>1762</v>
      </c>
      <c r="I3261" t="b">
        <f>COUNTIF(Estadísticas!I:I,'centraldecomunicacion.es'!H3261)&gt;0</f>
        <v>0</v>
      </c>
    </row>
    <row r="3262" spans="1:9" hidden="1">
      <c r="A3262" s="1" t="s">
        <v>11915</v>
      </c>
      <c r="B3262" s="1" t="s">
        <v>10</v>
      </c>
      <c r="C3262" s="1" t="s">
        <v>11916</v>
      </c>
      <c r="D3262" s="1" t="s">
        <v>11759</v>
      </c>
      <c r="E3262" s="1" t="s">
        <v>1132</v>
      </c>
      <c r="F3262" s="1" t="s">
        <v>11917</v>
      </c>
      <c r="G3262" s="1" t="s">
        <v>11918</v>
      </c>
      <c r="H3262" s="1" t="s">
        <v>11919</v>
      </c>
      <c r="I3262" t="b">
        <f>COUNTIF(Estadísticas!I:I,'centraldecomunicacion.es'!H3262)&gt;0</f>
        <v>0</v>
      </c>
    </row>
    <row r="3263" spans="1:9" hidden="1">
      <c r="A3263" s="1" t="s">
        <v>11920</v>
      </c>
      <c r="B3263" s="1" t="s">
        <v>10</v>
      </c>
      <c r="C3263" s="1" t="s">
        <v>11921</v>
      </c>
      <c r="D3263" s="1" t="s">
        <v>1131</v>
      </c>
      <c r="E3263" s="1" t="s">
        <v>1132</v>
      </c>
      <c r="F3263" s="1" t="s">
        <v>30</v>
      </c>
      <c r="G3263" s="1" t="s">
        <v>11922</v>
      </c>
      <c r="H3263" s="1" t="s">
        <v>1762</v>
      </c>
      <c r="I3263" t="b">
        <f>COUNTIF(Estadísticas!I:I,'centraldecomunicacion.es'!H3263)&gt;0</f>
        <v>0</v>
      </c>
    </row>
    <row r="3264" spans="1:9" hidden="1">
      <c r="A3264" s="1" t="s">
        <v>11923</v>
      </c>
      <c r="B3264" s="1" t="s">
        <v>10</v>
      </c>
      <c r="C3264" s="1" t="s">
        <v>11924</v>
      </c>
      <c r="D3264" s="1" t="s">
        <v>1177</v>
      </c>
      <c r="E3264" s="1" t="s">
        <v>1132</v>
      </c>
      <c r="F3264" s="1" t="s">
        <v>11925</v>
      </c>
      <c r="G3264" s="1" t="s">
        <v>11926</v>
      </c>
      <c r="H3264" s="1" t="s">
        <v>11927</v>
      </c>
      <c r="I3264" t="b">
        <f>COUNTIF(Estadísticas!I:I,'centraldecomunicacion.es'!H3264)&gt;0</f>
        <v>0</v>
      </c>
    </row>
    <row r="3265" spans="1:9" hidden="1">
      <c r="A3265" s="1" t="s">
        <v>11928</v>
      </c>
      <c r="B3265" s="1" t="s">
        <v>10</v>
      </c>
      <c r="C3265" s="1" t="s">
        <v>11929</v>
      </c>
      <c r="D3265" s="1" t="s">
        <v>1131</v>
      </c>
      <c r="E3265" s="1" t="s">
        <v>1132</v>
      </c>
      <c r="F3265" s="1" t="s">
        <v>30</v>
      </c>
      <c r="G3265" s="1" t="s">
        <v>11930</v>
      </c>
      <c r="H3265" s="1" t="s">
        <v>1762</v>
      </c>
      <c r="I3265" t="b">
        <f>COUNTIF(Estadísticas!I:I,'centraldecomunicacion.es'!H3265)&gt;0</f>
        <v>0</v>
      </c>
    </row>
    <row r="3266" spans="1:9" hidden="1">
      <c r="A3266" s="1" t="s">
        <v>11931</v>
      </c>
      <c r="B3266" s="1" t="s">
        <v>10</v>
      </c>
      <c r="C3266" s="1" t="s">
        <v>11932</v>
      </c>
      <c r="D3266" s="1" t="s">
        <v>1131</v>
      </c>
      <c r="E3266" s="1" t="s">
        <v>1132</v>
      </c>
      <c r="F3266" s="1" t="s">
        <v>6237</v>
      </c>
      <c r="G3266" s="1" t="s">
        <v>11933</v>
      </c>
      <c r="H3266" s="1" t="s">
        <v>1762</v>
      </c>
      <c r="I3266" t="b">
        <f>COUNTIF(Estadísticas!I:I,'centraldecomunicacion.es'!H3266)&gt;0</f>
        <v>0</v>
      </c>
    </row>
    <row r="3267" spans="1:9" hidden="1">
      <c r="A3267" s="1" t="s">
        <v>11934</v>
      </c>
      <c r="B3267" s="1" t="s">
        <v>10</v>
      </c>
      <c r="C3267" s="1" t="s">
        <v>11935</v>
      </c>
      <c r="D3267" s="1" t="s">
        <v>11936</v>
      </c>
      <c r="E3267" s="1" t="s">
        <v>1132</v>
      </c>
      <c r="F3267" s="1" t="s">
        <v>2692</v>
      </c>
      <c r="G3267" s="1" t="s">
        <v>11937</v>
      </c>
      <c r="H3267" s="1" t="s">
        <v>1762</v>
      </c>
      <c r="I3267" t="b">
        <f>COUNTIF(Estadísticas!I:I,'centraldecomunicacion.es'!H3267)&gt;0</f>
        <v>0</v>
      </c>
    </row>
    <row r="3268" spans="1:9">
      <c r="A3268" s="1" t="s">
        <v>11938</v>
      </c>
      <c r="B3268" s="1" t="s">
        <v>10</v>
      </c>
      <c r="C3268" s="1" t="s">
        <v>11939</v>
      </c>
      <c r="D3268" s="1" t="s">
        <v>11639</v>
      </c>
      <c r="E3268" s="1" t="s">
        <v>1132</v>
      </c>
      <c r="F3268" s="1" t="s">
        <v>1148</v>
      </c>
      <c r="G3268" s="1" t="s">
        <v>1149</v>
      </c>
      <c r="H3268" s="1" t="s">
        <v>1150</v>
      </c>
      <c r="I3268" t="b">
        <f>COUNTIF(Estadísticas!I:I,'centraldecomunicacion.es'!H3268)&gt;0</f>
        <v>1</v>
      </c>
    </row>
    <row r="3269" spans="1:9" hidden="1">
      <c r="A3269" s="1" t="s">
        <v>11940</v>
      </c>
      <c r="B3269" s="1" t="s">
        <v>10</v>
      </c>
      <c r="C3269" s="1" t="s">
        <v>11941</v>
      </c>
      <c r="D3269" s="1" t="s">
        <v>11942</v>
      </c>
      <c r="E3269" s="1" t="s">
        <v>1132</v>
      </c>
      <c r="F3269" s="1" t="s">
        <v>30</v>
      </c>
      <c r="G3269" s="1" t="s">
        <v>11943</v>
      </c>
      <c r="H3269" s="1" t="s">
        <v>1762</v>
      </c>
      <c r="I3269" t="b">
        <f>COUNTIF(Estadísticas!I:I,'centraldecomunicacion.es'!H3269)&gt;0</f>
        <v>0</v>
      </c>
    </row>
    <row r="3270" spans="1:9" hidden="1">
      <c r="A3270" s="1" t="s">
        <v>11944</v>
      </c>
      <c r="B3270" s="1" t="s">
        <v>10</v>
      </c>
      <c r="C3270" s="1" t="s">
        <v>11945</v>
      </c>
      <c r="D3270" s="1" t="s">
        <v>11866</v>
      </c>
      <c r="E3270" s="1" t="s">
        <v>1132</v>
      </c>
      <c r="F3270" s="1" t="s">
        <v>30</v>
      </c>
      <c r="G3270" s="1" t="s">
        <v>11946</v>
      </c>
      <c r="H3270" s="1" t="s">
        <v>1762</v>
      </c>
      <c r="I3270" t="b">
        <f>COUNTIF(Estadísticas!I:I,'centraldecomunicacion.es'!H3270)&gt;0</f>
        <v>0</v>
      </c>
    </row>
    <row r="3271" spans="1:9" hidden="1">
      <c r="A3271" s="1" t="s">
        <v>11947</v>
      </c>
      <c r="B3271" s="1" t="s">
        <v>10</v>
      </c>
      <c r="C3271" s="1" t="s">
        <v>11948</v>
      </c>
      <c r="D3271" s="1" t="s">
        <v>1131</v>
      </c>
      <c r="E3271" s="1" t="s">
        <v>1132</v>
      </c>
      <c r="F3271" s="1" t="s">
        <v>30</v>
      </c>
      <c r="G3271" s="1" t="s">
        <v>11949</v>
      </c>
      <c r="H3271" s="1" t="s">
        <v>1762</v>
      </c>
      <c r="I3271" t="b">
        <f>COUNTIF(Estadísticas!I:I,'centraldecomunicacion.es'!H3271)&gt;0</f>
        <v>0</v>
      </c>
    </row>
    <row r="3272" spans="1:9" hidden="1">
      <c r="A3272" s="1" t="s">
        <v>11950</v>
      </c>
      <c r="B3272" s="1" t="s">
        <v>10</v>
      </c>
      <c r="C3272" s="1" t="s">
        <v>11951</v>
      </c>
      <c r="D3272" s="1" t="s">
        <v>1131</v>
      </c>
      <c r="E3272" s="1" t="s">
        <v>1132</v>
      </c>
      <c r="F3272" s="1" t="s">
        <v>30</v>
      </c>
      <c r="G3272" s="1" t="s">
        <v>11952</v>
      </c>
      <c r="H3272" s="1" t="s">
        <v>1762</v>
      </c>
      <c r="I3272" t="b">
        <f>COUNTIF(Estadísticas!I:I,'centraldecomunicacion.es'!H3272)&gt;0</f>
        <v>0</v>
      </c>
    </row>
    <row r="3273" spans="1:9" hidden="1">
      <c r="A3273" s="1" t="s">
        <v>11953</v>
      </c>
      <c r="B3273" s="1" t="s">
        <v>10</v>
      </c>
      <c r="C3273" s="1" t="s">
        <v>11954</v>
      </c>
      <c r="D3273" s="1" t="s">
        <v>11955</v>
      </c>
      <c r="E3273" s="1" t="s">
        <v>1132</v>
      </c>
      <c r="F3273" s="1" t="s">
        <v>11956</v>
      </c>
      <c r="G3273" s="1" t="s">
        <v>11957</v>
      </c>
      <c r="H3273" s="1" t="s">
        <v>11958</v>
      </c>
      <c r="I3273" t="b">
        <f>COUNTIF(Estadísticas!I:I,'centraldecomunicacion.es'!H3273)&gt;0</f>
        <v>0</v>
      </c>
    </row>
    <row r="3274" spans="1:9" hidden="1">
      <c r="A3274" s="1" t="s">
        <v>11959</v>
      </c>
      <c r="B3274" s="1" t="s">
        <v>10</v>
      </c>
      <c r="C3274" s="1" t="s">
        <v>11960</v>
      </c>
      <c r="D3274" s="1" t="s">
        <v>1131</v>
      </c>
      <c r="E3274" s="1" t="s">
        <v>1132</v>
      </c>
      <c r="F3274" s="1" t="s">
        <v>30</v>
      </c>
      <c r="G3274" s="1" t="s">
        <v>30</v>
      </c>
      <c r="H3274" s="1" t="s">
        <v>1762</v>
      </c>
      <c r="I3274" t="b">
        <f>COUNTIF(Estadísticas!I:I,'centraldecomunicacion.es'!H3274)&gt;0</f>
        <v>0</v>
      </c>
    </row>
    <row r="3275" spans="1:9" hidden="1">
      <c r="A3275" s="1" t="s">
        <v>11961</v>
      </c>
      <c r="B3275" s="1" t="s">
        <v>10</v>
      </c>
      <c r="C3275" s="1" t="s">
        <v>11962</v>
      </c>
      <c r="D3275" s="1" t="s">
        <v>1195</v>
      </c>
      <c r="E3275" s="1" t="s">
        <v>1132</v>
      </c>
      <c r="F3275" s="1" t="s">
        <v>11963</v>
      </c>
      <c r="G3275" s="1" t="s">
        <v>11964</v>
      </c>
      <c r="H3275" s="1" t="s">
        <v>1762</v>
      </c>
      <c r="I3275" t="b">
        <f>COUNTIF(Estadísticas!I:I,'centraldecomunicacion.es'!H3275)&gt;0</f>
        <v>0</v>
      </c>
    </row>
    <row r="3276" spans="1:9" hidden="1">
      <c r="A3276" s="1" t="s">
        <v>11965</v>
      </c>
      <c r="B3276" s="1" t="s">
        <v>10</v>
      </c>
      <c r="C3276" s="1" t="s">
        <v>11966</v>
      </c>
      <c r="D3276" s="1" t="s">
        <v>11967</v>
      </c>
      <c r="E3276" s="1" t="s">
        <v>1132</v>
      </c>
      <c r="F3276" s="1" t="s">
        <v>30</v>
      </c>
      <c r="G3276" s="1" t="s">
        <v>11968</v>
      </c>
      <c r="H3276" s="1" t="s">
        <v>1762</v>
      </c>
      <c r="I3276" t="b">
        <f>COUNTIF(Estadísticas!I:I,'centraldecomunicacion.es'!H3276)&gt;0</f>
        <v>0</v>
      </c>
    </row>
    <row r="3277" spans="1:9" hidden="1">
      <c r="A3277" s="1" t="s">
        <v>11969</v>
      </c>
      <c r="B3277" s="1" t="s">
        <v>10</v>
      </c>
      <c r="C3277" s="1" t="s">
        <v>11970</v>
      </c>
      <c r="D3277" s="1" t="s">
        <v>11866</v>
      </c>
      <c r="E3277" s="1" t="s">
        <v>1132</v>
      </c>
      <c r="F3277" s="1" t="s">
        <v>30</v>
      </c>
      <c r="G3277" s="1" t="s">
        <v>11971</v>
      </c>
      <c r="H3277" s="1" t="s">
        <v>1762</v>
      </c>
      <c r="I3277" t="b">
        <f>COUNTIF(Estadísticas!I:I,'centraldecomunicacion.es'!H3277)&gt;0</f>
        <v>0</v>
      </c>
    </row>
    <row r="3278" spans="1:9" hidden="1">
      <c r="A3278" s="1" t="s">
        <v>11972</v>
      </c>
      <c r="B3278" s="1" t="s">
        <v>18</v>
      </c>
      <c r="C3278" s="1" t="s">
        <v>11973</v>
      </c>
      <c r="D3278" s="1" t="s">
        <v>11759</v>
      </c>
      <c r="E3278" s="1" t="s">
        <v>1132</v>
      </c>
      <c r="F3278" s="1" t="s">
        <v>11974</v>
      </c>
      <c r="G3278" s="1" t="s">
        <v>11975</v>
      </c>
      <c r="H3278" s="1" t="s">
        <v>11976</v>
      </c>
      <c r="I3278" t="b">
        <f>COUNTIF(Estadísticas!I:I,'centraldecomunicacion.es'!H3278)&gt;0</f>
        <v>0</v>
      </c>
    </row>
    <row r="3279" spans="1:9">
      <c r="A3279" s="1" t="s">
        <v>11977</v>
      </c>
      <c r="B3279" s="1" t="s">
        <v>10</v>
      </c>
      <c r="C3279" s="1" t="s">
        <v>11978</v>
      </c>
      <c r="D3279" s="1" t="s">
        <v>1177</v>
      </c>
      <c r="E3279" s="1" t="s">
        <v>1132</v>
      </c>
      <c r="F3279" s="1" t="s">
        <v>1178</v>
      </c>
      <c r="G3279" s="1" t="s">
        <v>1179</v>
      </c>
      <c r="H3279" s="1" t="s">
        <v>1180</v>
      </c>
      <c r="I3279" t="b">
        <f>COUNTIF(Estadísticas!I:I,'centraldecomunicacion.es'!H3279)&gt;0</f>
        <v>1</v>
      </c>
    </row>
    <row r="3280" spans="1:9" hidden="1">
      <c r="A3280" s="1" t="s">
        <v>11979</v>
      </c>
      <c r="B3280" s="1" t="s">
        <v>18</v>
      </c>
      <c r="C3280" s="1" t="s">
        <v>11980</v>
      </c>
      <c r="D3280" s="1" t="s">
        <v>1177</v>
      </c>
      <c r="E3280" s="1" t="s">
        <v>1132</v>
      </c>
      <c r="F3280" s="1" t="s">
        <v>4288</v>
      </c>
      <c r="G3280" s="1" t="s">
        <v>11981</v>
      </c>
      <c r="H3280" s="1" t="s">
        <v>4290</v>
      </c>
      <c r="I3280" t="b">
        <f>COUNTIF(Estadísticas!I:I,'centraldecomunicacion.es'!H3280)&gt;0</f>
        <v>0</v>
      </c>
    </row>
    <row r="3281" spans="1:9" hidden="1">
      <c r="A3281" s="1" t="s">
        <v>11982</v>
      </c>
      <c r="B3281" s="1" t="s">
        <v>10</v>
      </c>
      <c r="C3281" s="1" t="s">
        <v>11983</v>
      </c>
      <c r="D3281" s="1" t="s">
        <v>11984</v>
      </c>
      <c r="E3281" s="1" t="s">
        <v>1132</v>
      </c>
      <c r="F3281" s="1" t="s">
        <v>11985</v>
      </c>
      <c r="G3281" s="1" t="s">
        <v>11986</v>
      </c>
      <c r="H3281" s="1" t="s">
        <v>11987</v>
      </c>
      <c r="I3281" t="b">
        <f>COUNTIF(Estadísticas!I:I,'centraldecomunicacion.es'!H3281)&gt;0</f>
        <v>0</v>
      </c>
    </row>
    <row r="3282" spans="1:9" hidden="1">
      <c r="A3282" s="1" t="s">
        <v>11988</v>
      </c>
      <c r="B3282" s="1" t="s">
        <v>10</v>
      </c>
      <c r="C3282" s="1" t="s">
        <v>11989</v>
      </c>
      <c r="D3282" s="1" t="s">
        <v>11936</v>
      </c>
      <c r="E3282" s="1" t="s">
        <v>1132</v>
      </c>
      <c r="F3282" s="1" t="s">
        <v>30</v>
      </c>
      <c r="G3282" s="1" t="s">
        <v>11990</v>
      </c>
      <c r="H3282" s="1" t="s">
        <v>1762</v>
      </c>
      <c r="I3282" t="b">
        <f>COUNTIF(Estadísticas!I:I,'centraldecomunicacion.es'!H3282)&gt;0</f>
        <v>0</v>
      </c>
    </row>
    <row r="3283" spans="1:9" hidden="1">
      <c r="A3283" s="1" t="s">
        <v>10124</v>
      </c>
      <c r="B3283" s="1" t="s">
        <v>10</v>
      </c>
      <c r="C3283" s="1" t="s">
        <v>11991</v>
      </c>
      <c r="D3283" s="1" t="s">
        <v>1189</v>
      </c>
      <c r="E3283" s="1" t="s">
        <v>1132</v>
      </c>
      <c r="F3283" s="1" t="s">
        <v>30</v>
      </c>
      <c r="G3283" s="1" t="s">
        <v>11992</v>
      </c>
      <c r="H3283" s="1" t="s">
        <v>1762</v>
      </c>
      <c r="I3283" t="b">
        <f>COUNTIF(Estadísticas!I:I,'centraldecomunicacion.es'!H3283)&gt;0</f>
        <v>0</v>
      </c>
    </row>
    <row r="3284" spans="1:9">
      <c r="A3284" s="1" t="s">
        <v>1181</v>
      </c>
      <c r="B3284" s="1" t="s">
        <v>10</v>
      </c>
      <c r="C3284" s="1" t="s">
        <v>1182</v>
      </c>
      <c r="D3284" s="1" t="s">
        <v>1183</v>
      </c>
      <c r="E3284" s="1" t="s">
        <v>1132</v>
      </c>
      <c r="F3284" s="1" t="s">
        <v>1184</v>
      </c>
      <c r="G3284" s="1" t="s">
        <v>1185</v>
      </c>
      <c r="H3284" s="1" t="s">
        <v>1186</v>
      </c>
      <c r="I3284" t="b">
        <f>COUNTIF(Estadísticas!I:I,'centraldecomunicacion.es'!H3284)&gt;0</f>
        <v>1</v>
      </c>
    </row>
    <row r="3285" spans="1:9" hidden="1">
      <c r="A3285" s="1" t="s">
        <v>11993</v>
      </c>
      <c r="B3285" s="1" t="s">
        <v>10</v>
      </c>
      <c r="C3285" s="1" t="s">
        <v>11994</v>
      </c>
      <c r="D3285" s="1" t="s">
        <v>11995</v>
      </c>
      <c r="E3285" s="1" t="s">
        <v>1132</v>
      </c>
      <c r="F3285" s="1" t="s">
        <v>30</v>
      </c>
      <c r="G3285" s="1" t="s">
        <v>11996</v>
      </c>
      <c r="H3285" s="1" t="s">
        <v>1762</v>
      </c>
      <c r="I3285" t="b">
        <f>COUNTIF(Estadísticas!I:I,'centraldecomunicacion.es'!H3285)&gt;0</f>
        <v>0</v>
      </c>
    </row>
    <row r="3286" spans="1:9" hidden="1">
      <c r="A3286" s="1" t="s">
        <v>11997</v>
      </c>
      <c r="B3286" s="1" t="s">
        <v>18</v>
      </c>
      <c r="C3286" s="1" t="s">
        <v>11998</v>
      </c>
      <c r="D3286" s="1" t="s">
        <v>1131</v>
      </c>
      <c r="E3286" s="1" t="s">
        <v>1132</v>
      </c>
      <c r="F3286" s="1" t="s">
        <v>30</v>
      </c>
      <c r="G3286" s="1" t="s">
        <v>30</v>
      </c>
      <c r="H3286" s="1" t="s">
        <v>1762</v>
      </c>
      <c r="I3286" t="b">
        <f>COUNTIF(Estadísticas!I:I,'centraldecomunicacion.es'!H3286)&gt;0</f>
        <v>0</v>
      </c>
    </row>
    <row r="3287" spans="1:9" hidden="1">
      <c r="A3287" s="1" t="s">
        <v>11999</v>
      </c>
      <c r="B3287" s="1" t="s">
        <v>10</v>
      </c>
      <c r="C3287" s="1" t="s">
        <v>12000</v>
      </c>
      <c r="D3287" s="1" t="s">
        <v>11782</v>
      </c>
      <c r="E3287" s="1" t="s">
        <v>1132</v>
      </c>
      <c r="F3287" s="1" t="s">
        <v>30</v>
      </c>
      <c r="G3287" s="1" t="s">
        <v>30</v>
      </c>
      <c r="H3287" s="1" t="s">
        <v>1762</v>
      </c>
      <c r="I3287" t="b">
        <f>COUNTIF(Estadísticas!I:I,'centraldecomunicacion.es'!H3287)&gt;0</f>
        <v>0</v>
      </c>
    </row>
    <row r="3288" spans="1:9" hidden="1">
      <c r="A3288" s="1" t="s">
        <v>12001</v>
      </c>
      <c r="B3288" s="1" t="s">
        <v>10</v>
      </c>
      <c r="C3288" s="1" t="s">
        <v>12002</v>
      </c>
      <c r="D3288" s="1" t="s">
        <v>12003</v>
      </c>
      <c r="E3288" s="1" t="s">
        <v>1132</v>
      </c>
      <c r="F3288" s="1" t="s">
        <v>30</v>
      </c>
      <c r="G3288" s="1" t="s">
        <v>12004</v>
      </c>
      <c r="H3288" s="1" t="s">
        <v>1762</v>
      </c>
      <c r="I3288" t="b">
        <f>COUNTIF(Estadísticas!I:I,'centraldecomunicacion.es'!H3288)&gt;0</f>
        <v>0</v>
      </c>
    </row>
    <row r="3289" spans="1:9" hidden="1">
      <c r="A3289" s="1" t="s">
        <v>12005</v>
      </c>
      <c r="B3289" s="1" t="s">
        <v>18</v>
      </c>
      <c r="C3289" s="1" t="s">
        <v>12006</v>
      </c>
      <c r="D3289" s="1" t="s">
        <v>1131</v>
      </c>
      <c r="E3289" s="1" t="s">
        <v>1132</v>
      </c>
      <c r="F3289" s="1" t="s">
        <v>12007</v>
      </c>
      <c r="G3289" s="1" t="s">
        <v>12008</v>
      </c>
      <c r="H3289" s="1" t="s">
        <v>1762</v>
      </c>
      <c r="I3289" t="b">
        <f>COUNTIF(Estadísticas!I:I,'centraldecomunicacion.es'!H3289)&gt;0</f>
        <v>0</v>
      </c>
    </row>
    <row r="3290" spans="1:9" hidden="1">
      <c r="A3290" s="1" t="s">
        <v>12009</v>
      </c>
      <c r="B3290" s="1" t="s">
        <v>10</v>
      </c>
      <c r="C3290" s="1" t="s">
        <v>12010</v>
      </c>
      <c r="D3290" s="1" t="s">
        <v>11967</v>
      </c>
      <c r="E3290" s="1" t="s">
        <v>1132</v>
      </c>
      <c r="F3290" s="1" t="s">
        <v>30</v>
      </c>
      <c r="G3290" s="1" t="s">
        <v>11968</v>
      </c>
      <c r="H3290" s="1" t="s">
        <v>1762</v>
      </c>
      <c r="I3290" t="b">
        <f>COUNTIF(Estadísticas!I:I,'centraldecomunicacion.es'!H3290)&gt;0</f>
        <v>0</v>
      </c>
    </row>
    <row r="3291" spans="1:9" hidden="1">
      <c r="A3291" s="1" t="s">
        <v>12011</v>
      </c>
      <c r="B3291" s="1" t="s">
        <v>10</v>
      </c>
      <c r="C3291" s="1" t="s">
        <v>12012</v>
      </c>
      <c r="D3291" s="1" t="s">
        <v>1195</v>
      </c>
      <c r="E3291" s="1" t="s">
        <v>1132</v>
      </c>
      <c r="F3291" s="1" t="s">
        <v>12013</v>
      </c>
      <c r="G3291" s="1" t="s">
        <v>12014</v>
      </c>
      <c r="H3291" s="1" t="s">
        <v>12015</v>
      </c>
      <c r="I3291" t="b">
        <f>COUNTIF(Estadísticas!I:I,'centraldecomunicacion.es'!H3291)&gt;0</f>
        <v>0</v>
      </c>
    </row>
    <row r="3292" spans="1:9">
      <c r="A3292" s="1" t="s">
        <v>1187</v>
      </c>
      <c r="B3292" s="1" t="s">
        <v>18</v>
      </c>
      <c r="C3292" s="1" t="s">
        <v>1188</v>
      </c>
      <c r="D3292" s="1" t="s">
        <v>1189</v>
      </c>
      <c r="E3292" s="1" t="s">
        <v>1132</v>
      </c>
      <c r="F3292" s="1" t="s">
        <v>1190</v>
      </c>
      <c r="G3292" s="1" t="s">
        <v>1191</v>
      </c>
      <c r="H3292" s="1" t="s">
        <v>1192</v>
      </c>
      <c r="I3292" t="b">
        <f>COUNTIF(Estadísticas!I:I,'centraldecomunicacion.es'!H3292)&gt;0</f>
        <v>1</v>
      </c>
    </row>
    <row r="3293" spans="1:9">
      <c r="A3293" s="1" t="s">
        <v>1193</v>
      </c>
      <c r="B3293" s="1" t="s">
        <v>10</v>
      </c>
      <c r="C3293" s="1" t="s">
        <v>1194</v>
      </c>
      <c r="D3293" s="1" t="s">
        <v>1195</v>
      </c>
      <c r="E3293" s="1" t="s">
        <v>1195</v>
      </c>
      <c r="F3293" s="1" t="s">
        <v>1196</v>
      </c>
      <c r="G3293" s="1" t="s">
        <v>1197</v>
      </c>
      <c r="H3293" s="1" t="s">
        <v>1198</v>
      </c>
      <c r="I3293" t="b">
        <f>COUNTIF(Estadísticas!I:I,'centraldecomunicacion.es'!H3293)&gt;0</f>
        <v>1</v>
      </c>
    </row>
    <row r="3294" spans="1:9" hidden="1">
      <c r="A3294" s="1" t="s">
        <v>12016</v>
      </c>
      <c r="B3294" s="1" t="s">
        <v>10</v>
      </c>
      <c r="C3294" s="1" t="s">
        <v>12017</v>
      </c>
      <c r="D3294" s="1" t="s">
        <v>12018</v>
      </c>
      <c r="E3294" s="1" t="s">
        <v>1132</v>
      </c>
      <c r="F3294" s="1" t="s">
        <v>12019</v>
      </c>
      <c r="G3294" s="1" t="s">
        <v>12020</v>
      </c>
      <c r="H3294" s="1" t="s">
        <v>1762</v>
      </c>
      <c r="I3294" t="b">
        <f>COUNTIF(Estadísticas!I:I,'centraldecomunicacion.es'!H3294)&gt;0</f>
        <v>0</v>
      </c>
    </row>
    <row r="3295" spans="1:9" hidden="1">
      <c r="A3295" s="1" t="s">
        <v>12021</v>
      </c>
      <c r="B3295" s="1" t="s">
        <v>10</v>
      </c>
      <c r="C3295" s="1" t="s">
        <v>12022</v>
      </c>
      <c r="D3295" s="1" t="s">
        <v>12023</v>
      </c>
      <c r="E3295" s="1" t="s">
        <v>1132</v>
      </c>
      <c r="F3295" s="1" t="s">
        <v>12024</v>
      </c>
      <c r="G3295" s="1" t="s">
        <v>12025</v>
      </c>
      <c r="H3295" s="1" t="s">
        <v>12026</v>
      </c>
      <c r="I3295" t="b">
        <f>COUNTIF(Estadísticas!I:I,'centraldecomunicacion.es'!H3295)&gt;0</f>
        <v>0</v>
      </c>
    </row>
    <row r="3296" spans="1:9" hidden="1">
      <c r="A3296" s="1" t="s">
        <v>12027</v>
      </c>
      <c r="B3296" s="1" t="s">
        <v>10</v>
      </c>
      <c r="C3296" s="1" t="s">
        <v>12028</v>
      </c>
      <c r="D3296" s="1" t="s">
        <v>1177</v>
      </c>
      <c r="E3296" s="1" t="s">
        <v>1132</v>
      </c>
      <c r="F3296" s="1" t="s">
        <v>30</v>
      </c>
      <c r="G3296" s="1" t="s">
        <v>11749</v>
      </c>
      <c r="H3296" s="1" t="s">
        <v>1762</v>
      </c>
      <c r="I3296" t="b">
        <f>COUNTIF(Estadísticas!I:I,'centraldecomunicacion.es'!H3296)&gt;0</f>
        <v>0</v>
      </c>
    </row>
    <row r="3297" spans="1:9">
      <c r="A3297" s="1" t="s">
        <v>1199</v>
      </c>
      <c r="B3297" s="1" t="s">
        <v>10</v>
      </c>
      <c r="C3297" s="1" t="s">
        <v>1200</v>
      </c>
      <c r="D3297" s="1" t="s">
        <v>1201</v>
      </c>
      <c r="E3297" s="1" t="s">
        <v>1132</v>
      </c>
      <c r="F3297" s="1" t="s">
        <v>1202</v>
      </c>
      <c r="G3297" s="1" t="s">
        <v>1203</v>
      </c>
      <c r="H3297" s="1" t="s">
        <v>1204</v>
      </c>
      <c r="I3297" t="b">
        <f>COUNTIF(Estadísticas!I:I,'centraldecomunicacion.es'!H3297)&gt;0</f>
        <v>1</v>
      </c>
    </row>
    <row r="3298" spans="1:9" hidden="1">
      <c r="A3298" s="1" t="s">
        <v>12029</v>
      </c>
      <c r="B3298" s="1" t="s">
        <v>18</v>
      </c>
      <c r="C3298" s="1" t="s">
        <v>12030</v>
      </c>
      <c r="D3298" s="1" t="s">
        <v>12031</v>
      </c>
      <c r="E3298" s="1" t="s">
        <v>1132</v>
      </c>
      <c r="F3298" s="1" t="s">
        <v>12032</v>
      </c>
      <c r="G3298" s="1" t="s">
        <v>12033</v>
      </c>
      <c r="H3298" s="1" t="s">
        <v>12034</v>
      </c>
      <c r="I3298" t="b">
        <f>COUNTIF(Estadísticas!I:I,'centraldecomunicacion.es'!H3298)&gt;0</f>
        <v>0</v>
      </c>
    </row>
    <row r="3299" spans="1:9" hidden="1">
      <c r="A3299" s="1" t="s">
        <v>12035</v>
      </c>
      <c r="B3299" s="1" t="s">
        <v>10</v>
      </c>
      <c r="C3299" s="1" t="s">
        <v>30</v>
      </c>
      <c r="D3299" s="1" t="s">
        <v>1147</v>
      </c>
      <c r="E3299" s="1" t="s">
        <v>30</v>
      </c>
      <c r="F3299" s="1" t="s">
        <v>1984</v>
      </c>
      <c r="G3299" s="1" t="s">
        <v>12036</v>
      </c>
      <c r="H3299" s="1" t="s">
        <v>1762</v>
      </c>
      <c r="I3299" t="b">
        <f>COUNTIF(Estadísticas!I:I,'centraldecomunicacion.es'!H3299)&gt;0</f>
        <v>0</v>
      </c>
    </row>
    <row r="3300" spans="1:9" hidden="1">
      <c r="A3300" s="1" t="s">
        <v>12037</v>
      </c>
      <c r="B3300" s="1" t="s">
        <v>10</v>
      </c>
      <c r="C3300" s="1" t="s">
        <v>12038</v>
      </c>
      <c r="D3300" s="1" t="s">
        <v>1195</v>
      </c>
      <c r="E3300" s="1" t="s">
        <v>1132</v>
      </c>
      <c r="F3300" s="1" t="s">
        <v>12039</v>
      </c>
      <c r="G3300" s="1" t="s">
        <v>12040</v>
      </c>
      <c r="H3300" s="1" t="s">
        <v>12041</v>
      </c>
      <c r="I3300" t="b">
        <f>COUNTIF(Estadísticas!I:I,'centraldecomunicacion.es'!H3300)&gt;0</f>
        <v>0</v>
      </c>
    </row>
    <row r="3301" spans="1:9" hidden="1">
      <c r="A3301" s="1" t="s">
        <v>12042</v>
      </c>
      <c r="B3301" s="1" t="s">
        <v>10</v>
      </c>
      <c r="C3301" s="1" t="s">
        <v>12043</v>
      </c>
      <c r="D3301" s="1" t="s">
        <v>12044</v>
      </c>
      <c r="E3301" s="1" t="s">
        <v>1132</v>
      </c>
      <c r="F3301" s="1" t="s">
        <v>12045</v>
      </c>
      <c r="G3301" s="1" t="s">
        <v>12046</v>
      </c>
      <c r="H3301" s="1" t="s">
        <v>12047</v>
      </c>
      <c r="I3301" t="b">
        <f>COUNTIF(Estadísticas!I:I,'centraldecomunicacion.es'!H3301)&gt;0</f>
        <v>0</v>
      </c>
    </row>
    <row r="3302" spans="1:9" hidden="1">
      <c r="A3302" s="1" t="s">
        <v>12048</v>
      </c>
      <c r="B3302" s="1" t="s">
        <v>18</v>
      </c>
      <c r="C3302" s="1" t="s">
        <v>12049</v>
      </c>
      <c r="D3302" s="1" t="s">
        <v>1195</v>
      </c>
      <c r="E3302" s="1" t="s">
        <v>1132</v>
      </c>
      <c r="F3302" s="1" t="s">
        <v>12050</v>
      </c>
      <c r="G3302" s="1" t="s">
        <v>12051</v>
      </c>
      <c r="H3302" s="1" t="s">
        <v>12052</v>
      </c>
      <c r="I3302" t="b">
        <f>COUNTIF(Estadísticas!I:I,'centraldecomunicacion.es'!H3302)&gt;0</f>
        <v>0</v>
      </c>
    </row>
    <row r="3303" spans="1:9" hidden="1">
      <c r="A3303" s="1" t="s">
        <v>12053</v>
      </c>
      <c r="B3303" s="1" t="s">
        <v>18</v>
      </c>
      <c r="C3303" s="1" t="s">
        <v>12054</v>
      </c>
      <c r="D3303" s="1" t="s">
        <v>12055</v>
      </c>
      <c r="E3303" s="1" t="s">
        <v>1132</v>
      </c>
      <c r="F3303" s="1" t="s">
        <v>4288</v>
      </c>
      <c r="G3303" s="1" t="s">
        <v>12056</v>
      </c>
      <c r="H3303" s="1" t="s">
        <v>4290</v>
      </c>
      <c r="I3303" t="b">
        <f>COUNTIF(Estadísticas!I:I,'centraldecomunicacion.es'!H3303)&gt;0</f>
        <v>0</v>
      </c>
    </row>
    <row r="3304" spans="1:9">
      <c r="A3304" s="1" t="s">
        <v>1187</v>
      </c>
      <c r="B3304" s="1" t="s">
        <v>18</v>
      </c>
      <c r="C3304" s="1" t="s">
        <v>12057</v>
      </c>
      <c r="D3304" s="1" t="s">
        <v>12023</v>
      </c>
      <c r="E3304" s="1" t="s">
        <v>1132</v>
      </c>
      <c r="F3304" s="1" t="s">
        <v>1190</v>
      </c>
      <c r="G3304" s="1" t="s">
        <v>12058</v>
      </c>
      <c r="H3304" s="1" t="s">
        <v>1192</v>
      </c>
      <c r="I3304" t="b">
        <f>COUNTIF(Estadísticas!I:I,'centraldecomunicacion.es'!H3304)&gt;0</f>
        <v>1</v>
      </c>
    </row>
    <row r="3305" spans="1:9" hidden="1">
      <c r="A3305" s="1" t="s">
        <v>12059</v>
      </c>
      <c r="B3305" s="1" t="s">
        <v>10</v>
      </c>
      <c r="C3305" s="1" t="s">
        <v>12060</v>
      </c>
      <c r="D3305" s="1" t="s">
        <v>12061</v>
      </c>
      <c r="E3305" s="1" t="s">
        <v>1132</v>
      </c>
      <c r="F3305" s="1" t="s">
        <v>12062</v>
      </c>
      <c r="G3305" s="1" t="s">
        <v>12063</v>
      </c>
      <c r="H3305" s="1" t="s">
        <v>1762</v>
      </c>
      <c r="I3305" t="b">
        <f>COUNTIF(Estadísticas!I:I,'centraldecomunicacion.es'!H3305)&gt;0</f>
        <v>0</v>
      </c>
    </row>
    <row r="3306" spans="1:9" hidden="1">
      <c r="A3306" s="1" t="s">
        <v>12064</v>
      </c>
      <c r="B3306" s="1" t="s">
        <v>10</v>
      </c>
      <c r="C3306" s="1" t="s">
        <v>12065</v>
      </c>
      <c r="D3306" s="1" t="s">
        <v>12066</v>
      </c>
      <c r="E3306" s="1" t="s">
        <v>1606</v>
      </c>
      <c r="F3306" s="1" t="s">
        <v>1984</v>
      </c>
      <c r="G3306" s="1" t="s">
        <v>12067</v>
      </c>
      <c r="H3306" s="1" t="s">
        <v>1762</v>
      </c>
      <c r="I3306" t="b">
        <f>COUNTIF(Estadísticas!I:I,'centraldecomunicacion.es'!H3306)&gt;0</f>
        <v>0</v>
      </c>
    </row>
    <row r="3307" spans="1:9" hidden="1">
      <c r="A3307" s="1" t="s">
        <v>12068</v>
      </c>
      <c r="B3307" s="1" t="s">
        <v>18</v>
      </c>
      <c r="C3307" s="1" t="s">
        <v>12069</v>
      </c>
      <c r="D3307" s="1" t="s">
        <v>12070</v>
      </c>
      <c r="E3307" s="1" t="s">
        <v>1132</v>
      </c>
      <c r="F3307" s="1" t="s">
        <v>4288</v>
      </c>
      <c r="G3307" s="1" t="s">
        <v>12071</v>
      </c>
      <c r="H3307" s="1" t="s">
        <v>4290</v>
      </c>
      <c r="I3307" t="b">
        <f>COUNTIF(Estadísticas!I:I,'centraldecomunicacion.es'!H3307)&gt;0</f>
        <v>0</v>
      </c>
    </row>
    <row r="3308" spans="1:9" hidden="1">
      <c r="A3308" s="1" t="s">
        <v>12072</v>
      </c>
      <c r="B3308" s="1" t="s">
        <v>10</v>
      </c>
      <c r="C3308" s="1" t="s">
        <v>12073</v>
      </c>
      <c r="D3308" s="1" t="s">
        <v>1183</v>
      </c>
      <c r="E3308" s="1" t="s">
        <v>1132</v>
      </c>
      <c r="F3308" s="1" t="s">
        <v>12074</v>
      </c>
      <c r="G3308" s="1" t="s">
        <v>12075</v>
      </c>
      <c r="H3308" s="1" t="s">
        <v>12076</v>
      </c>
      <c r="I3308" t="b">
        <f>COUNTIF(Estadísticas!I:I,'centraldecomunicacion.es'!H3308)&gt;0</f>
        <v>0</v>
      </c>
    </row>
    <row r="3309" spans="1:9" hidden="1">
      <c r="A3309" s="1" t="s">
        <v>12077</v>
      </c>
      <c r="B3309" s="1" t="s">
        <v>10</v>
      </c>
      <c r="C3309" s="1" t="s">
        <v>12078</v>
      </c>
      <c r="D3309" s="1" t="s">
        <v>12079</v>
      </c>
      <c r="E3309" s="1" t="s">
        <v>1132</v>
      </c>
      <c r="F3309" s="1" t="s">
        <v>30</v>
      </c>
      <c r="G3309" s="1" t="s">
        <v>12080</v>
      </c>
      <c r="H3309" s="1" t="s">
        <v>1762</v>
      </c>
      <c r="I3309" t="b">
        <f>COUNTIF(Estadísticas!I:I,'centraldecomunicacion.es'!H3309)&gt;0</f>
        <v>0</v>
      </c>
    </row>
    <row r="3310" spans="1:9" hidden="1">
      <c r="A3310" s="1" t="s">
        <v>12081</v>
      </c>
      <c r="B3310" s="1" t="s">
        <v>10</v>
      </c>
      <c r="C3310" s="1" t="s">
        <v>12082</v>
      </c>
      <c r="D3310" s="1" t="s">
        <v>11942</v>
      </c>
      <c r="E3310" s="1" t="s">
        <v>1132</v>
      </c>
      <c r="F3310" s="1" t="s">
        <v>30</v>
      </c>
      <c r="G3310" s="1" t="s">
        <v>12083</v>
      </c>
      <c r="H3310" s="1" t="s">
        <v>1762</v>
      </c>
      <c r="I3310" t="b">
        <f>COUNTIF(Estadísticas!I:I,'centraldecomunicacion.es'!H3310)&gt;0</f>
        <v>0</v>
      </c>
    </row>
    <row r="3311" spans="1:9" hidden="1">
      <c r="A3311" s="1" t="s">
        <v>12084</v>
      </c>
      <c r="B3311" s="1" t="s">
        <v>10</v>
      </c>
      <c r="C3311" s="1" t="s">
        <v>12085</v>
      </c>
      <c r="D3311" s="1" t="s">
        <v>12086</v>
      </c>
      <c r="E3311" s="1" t="s">
        <v>1132</v>
      </c>
      <c r="F3311" s="1" t="s">
        <v>30</v>
      </c>
      <c r="G3311" s="1" t="s">
        <v>12087</v>
      </c>
      <c r="H3311" s="1" t="s">
        <v>1762</v>
      </c>
      <c r="I3311" t="b">
        <f>COUNTIF(Estadísticas!I:I,'centraldecomunicacion.es'!H3311)&gt;0</f>
        <v>0</v>
      </c>
    </row>
    <row r="3312" spans="1:9" hidden="1">
      <c r="A3312" s="1" t="s">
        <v>12088</v>
      </c>
      <c r="B3312" s="1" t="s">
        <v>10</v>
      </c>
      <c r="C3312" s="1" t="s">
        <v>12089</v>
      </c>
      <c r="D3312" s="1" t="s">
        <v>12090</v>
      </c>
      <c r="E3312" s="1" t="s">
        <v>1132</v>
      </c>
      <c r="F3312" s="1" t="s">
        <v>30</v>
      </c>
      <c r="G3312" s="1" t="s">
        <v>12091</v>
      </c>
      <c r="H3312" s="1" t="s">
        <v>1762</v>
      </c>
      <c r="I3312" t="b">
        <f>COUNTIF(Estadísticas!I:I,'centraldecomunicacion.es'!H3312)&gt;0</f>
        <v>0</v>
      </c>
    </row>
    <row r="3313" spans="1:9" hidden="1">
      <c r="A3313" s="1" t="s">
        <v>12092</v>
      </c>
      <c r="B3313" s="1" t="s">
        <v>10</v>
      </c>
      <c r="C3313" s="1" t="s">
        <v>12093</v>
      </c>
      <c r="D3313" s="1" t="s">
        <v>1195</v>
      </c>
      <c r="E3313" s="1" t="s">
        <v>1132</v>
      </c>
      <c r="F3313" s="1" t="s">
        <v>30</v>
      </c>
      <c r="G3313" s="1" t="s">
        <v>12094</v>
      </c>
      <c r="H3313" s="1" t="s">
        <v>1762</v>
      </c>
      <c r="I3313" t="b">
        <f>COUNTIF(Estadísticas!I:I,'centraldecomunicacion.es'!H3313)&gt;0</f>
        <v>0</v>
      </c>
    </row>
    <row r="3314" spans="1:9" hidden="1">
      <c r="A3314" s="1" t="s">
        <v>12095</v>
      </c>
      <c r="B3314" s="1" t="s">
        <v>10</v>
      </c>
      <c r="C3314" s="1" t="s">
        <v>12096</v>
      </c>
      <c r="D3314" s="1" t="s">
        <v>12097</v>
      </c>
      <c r="E3314" s="1" t="s">
        <v>1132</v>
      </c>
      <c r="F3314" s="1" t="s">
        <v>12098</v>
      </c>
      <c r="G3314" s="1" t="s">
        <v>12099</v>
      </c>
      <c r="H3314" s="1" t="s">
        <v>12100</v>
      </c>
      <c r="I3314" t="b">
        <f>COUNTIF(Estadísticas!I:I,'centraldecomunicacion.es'!H3314)&gt;0</f>
        <v>0</v>
      </c>
    </row>
    <row r="3315" spans="1:9" hidden="1">
      <c r="A3315" s="1" t="s">
        <v>12101</v>
      </c>
      <c r="B3315" s="1" t="s">
        <v>10</v>
      </c>
      <c r="C3315" s="1" t="s">
        <v>12102</v>
      </c>
      <c r="D3315" s="1" t="s">
        <v>12103</v>
      </c>
      <c r="E3315" s="1" t="s">
        <v>1132</v>
      </c>
      <c r="F3315" s="1" t="s">
        <v>30</v>
      </c>
      <c r="G3315" s="1" t="s">
        <v>12104</v>
      </c>
      <c r="H3315" s="1" t="s">
        <v>1762</v>
      </c>
      <c r="I3315" t="b">
        <f>COUNTIF(Estadísticas!I:I,'centraldecomunicacion.es'!H3315)&gt;0</f>
        <v>0</v>
      </c>
    </row>
    <row r="3316" spans="1:9" hidden="1">
      <c r="A3316" s="1" t="s">
        <v>12105</v>
      </c>
      <c r="B3316" s="1" t="s">
        <v>10</v>
      </c>
      <c r="C3316" s="1" t="s">
        <v>12106</v>
      </c>
      <c r="D3316" s="1" t="s">
        <v>1183</v>
      </c>
      <c r="E3316" s="1" t="s">
        <v>1132</v>
      </c>
      <c r="F3316" s="1" t="s">
        <v>30</v>
      </c>
      <c r="G3316" s="1" t="s">
        <v>12107</v>
      </c>
      <c r="H3316" s="1" t="s">
        <v>1762</v>
      </c>
      <c r="I3316" t="b">
        <f>COUNTIF(Estadísticas!I:I,'centraldecomunicacion.es'!H3316)&gt;0</f>
        <v>0</v>
      </c>
    </row>
    <row r="3317" spans="1:9" hidden="1">
      <c r="A3317" s="1" t="s">
        <v>12108</v>
      </c>
      <c r="B3317" s="1" t="s">
        <v>18</v>
      </c>
      <c r="C3317" s="1" t="s">
        <v>12109</v>
      </c>
      <c r="D3317" s="1" t="s">
        <v>12110</v>
      </c>
      <c r="E3317" s="1" t="s">
        <v>1237</v>
      </c>
      <c r="F3317" s="1" t="s">
        <v>12111</v>
      </c>
      <c r="G3317" s="1" t="s">
        <v>12112</v>
      </c>
      <c r="H3317" s="1" t="s">
        <v>12113</v>
      </c>
      <c r="I3317" t="b">
        <f>COUNTIF(Estadísticas!I:I,'centraldecomunicacion.es'!H3317)&gt;0</f>
        <v>0</v>
      </c>
    </row>
    <row r="3318" spans="1:9" hidden="1">
      <c r="A3318" s="1" t="s">
        <v>12114</v>
      </c>
      <c r="B3318" s="1" t="s">
        <v>18</v>
      </c>
      <c r="C3318" s="1" t="s">
        <v>12115</v>
      </c>
      <c r="D3318" s="1" t="s">
        <v>12116</v>
      </c>
      <c r="E3318" s="1" t="s">
        <v>1132</v>
      </c>
      <c r="F3318" s="1" t="s">
        <v>30</v>
      </c>
      <c r="G3318" s="1" t="s">
        <v>12117</v>
      </c>
      <c r="H3318" s="1" t="s">
        <v>1762</v>
      </c>
      <c r="I3318" t="b">
        <f>COUNTIF(Estadísticas!I:I,'centraldecomunicacion.es'!H3318)&gt;0</f>
        <v>0</v>
      </c>
    </row>
    <row r="3319" spans="1:9" hidden="1">
      <c r="A3319" s="1" t="s">
        <v>12118</v>
      </c>
      <c r="B3319" s="1" t="s">
        <v>10</v>
      </c>
      <c r="C3319" s="1" t="s">
        <v>12119</v>
      </c>
      <c r="D3319" s="1" t="s">
        <v>4775</v>
      </c>
      <c r="E3319" s="1" t="s">
        <v>324</v>
      </c>
      <c r="F3319" s="1" t="s">
        <v>12120</v>
      </c>
      <c r="G3319" s="1" t="s">
        <v>12121</v>
      </c>
      <c r="H3319" s="1" t="s">
        <v>1762</v>
      </c>
      <c r="I3319" t="b">
        <f>COUNTIF(Estadísticas!I:I,'centraldecomunicacion.es'!H3319)&gt;0</f>
        <v>0</v>
      </c>
    </row>
    <row r="3320" spans="1:9" hidden="1">
      <c r="A3320" s="1" t="s">
        <v>12122</v>
      </c>
      <c r="B3320" s="1" t="s">
        <v>10</v>
      </c>
      <c r="C3320" s="1" t="s">
        <v>12123</v>
      </c>
      <c r="D3320" s="1" t="s">
        <v>4775</v>
      </c>
      <c r="E3320" s="1" t="s">
        <v>1208</v>
      </c>
      <c r="F3320" s="1" t="s">
        <v>30</v>
      </c>
      <c r="G3320" s="1" t="s">
        <v>4739</v>
      </c>
      <c r="H3320" s="1" t="s">
        <v>1762</v>
      </c>
      <c r="I3320" t="b">
        <f>COUNTIF(Estadísticas!I:I,'centraldecomunicacion.es'!H3320)&gt;0</f>
        <v>0</v>
      </c>
    </row>
    <row r="3321" spans="1:9" hidden="1">
      <c r="A3321" s="1" t="s">
        <v>12124</v>
      </c>
      <c r="B3321" s="1" t="s">
        <v>10</v>
      </c>
      <c r="C3321" s="1" t="s">
        <v>12125</v>
      </c>
      <c r="D3321" s="1" t="s">
        <v>4775</v>
      </c>
      <c r="E3321" s="1" t="s">
        <v>1208</v>
      </c>
      <c r="F3321" s="1" t="s">
        <v>6274</v>
      </c>
      <c r="G3321" s="1" t="s">
        <v>12126</v>
      </c>
      <c r="H3321" s="1" t="s">
        <v>1762</v>
      </c>
      <c r="I3321" t="b">
        <f>COUNTIF(Estadísticas!I:I,'centraldecomunicacion.es'!H3321)&gt;0</f>
        <v>0</v>
      </c>
    </row>
    <row r="3322" spans="1:9" hidden="1">
      <c r="A3322" s="1" t="s">
        <v>12127</v>
      </c>
      <c r="B3322" s="1" t="s">
        <v>10</v>
      </c>
      <c r="C3322" s="1" t="s">
        <v>12128</v>
      </c>
      <c r="D3322" s="1" t="s">
        <v>4775</v>
      </c>
      <c r="E3322" s="1" t="s">
        <v>1208</v>
      </c>
      <c r="F3322" s="1" t="s">
        <v>30</v>
      </c>
      <c r="G3322" s="1" t="s">
        <v>12129</v>
      </c>
      <c r="H3322" s="1" t="s">
        <v>1762</v>
      </c>
      <c r="I3322" t="b">
        <f>COUNTIF(Estadísticas!I:I,'centraldecomunicacion.es'!H3322)&gt;0</f>
        <v>0</v>
      </c>
    </row>
    <row r="3323" spans="1:9" hidden="1">
      <c r="A3323" s="1" t="s">
        <v>12130</v>
      </c>
      <c r="B3323" s="1" t="s">
        <v>10</v>
      </c>
      <c r="C3323" s="1" t="s">
        <v>12131</v>
      </c>
      <c r="D3323" s="1" t="s">
        <v>1207</v>
      </c>
      <c r="E3323" s="1" t="s">
        <v>1208</v>
      </c>
      <c r="F3323" s="1" t="s">
        <v>12132</v>
      </c>
      <c r="G3323" s="1" t="s">
        <v>12133</v>
      </c>
      <c r="H3323" s="1" t="s">
        <v>12134</v>
      </c>
      <c r="I3323" t="b">
        <f>COUNTIF(Estadísticas!I:I,'centraldecomunicacion.es'!H3323)&gt;0</f>
        <v>0</v>
      </c>
    </row>
    <row r="3324" spans="1:9" hidden="1">
      <c r="A3324" s="1" t="s">
        <v>12135</v>
      </c>
      <c r="B3324" s="1" t="s">
        <v>10</v>
      </c>
      <c r="C3324" s="1" t="s">
        <v>12136</v>
      </c>
      <c r="D3324" s="1" t="s">
        <v>1207</v>
      </c>
      <c r="E3324" s="1" t="s">
        <v>1208</v>
      </c>
      <c r="F3324" s="1" t="s">
        <v>12137</v>
      </c>
      <c r="G3324" s="1" t="s">
        <v>12138</v>
      </c>
      <c r="H3324" s="1" t="s">
        <v>1762</v>
      </c>
      <c r="I3324" t="b">
        <f>COUNTIF(Estadísticas!I:I,'centraldecomunicacion.es'!H3324)&gt;0</f>
        <v>0</v>
      </c>
    </row>
    <row r="3325" spans="1:9">
      <c r="A3325" s="1" t="s">
        <v>1205</v>
      </c>
      <c r="B3325" s="1" t="s">
        <v>10</v>
      </c>
      <c r="C3325" s="1" t="s">
        <v>1206</v>
      </c>
      <c r="D3325" s="1" t="s">
        <v>1207</v>
      </c>
      <c r="E3325" s="1" t="s">
        <v>1208</v>
      </c>
      <c r="F3325" s="1" t="s">
        <v>1209</v>
      </c>
      <c r="G3325" s="1" t="s">
        <v>1210</v>
      </c>
      <c r="H3325" s="1" t="s">
        <v>1211</v>
      </c>
      <c r="I3325" t="b">
        <f>COUNTIF(Estadísticas!I:I,'centraldecomunicacion.es'!H3325)&gt;0</f>
        <v>1</v>
      </c>
    </row>
    <row r="3326" spans="1:9" hidden="1">
      <c r="A3326" s="1" t="s">
        <v>12139</v>
      </c>
      <c r="B3326" s="1" t="s">
        <v>10</v>
      </c>
      <c r="C3326" s="1" t="s">
        <v>12140</v>
      </c>
      <c r="D3326" s="1" t="s">
        <v>1207</v>
      </c>
      <c r="E3326" s="1" t="s">
        <v>324</v>
      </c>
      <c r="F3326" s="1" t="s">
        <v>12141</v>
      </c>
      <c r="G3326" s="1" t="s">
        <v>12142</v>
      </c>
      <c r="H3326" s="1" t="s">
        <v>12143</v>
      </c>
      <c r="I3326" t="b">
        <f>COUNTIF(Estadísticas!I:I,'centraldecomunicacion.es'!H3326)&gt;0</f>
        <v>0</v>
      </c>
    </row>
    <row r="3327" spans="1:9" hidden="1">
      <c r="A3327" s="1" t="s">
        <v>12144</v>
      </c>
      <c r="B3327" s="1" t="s">
        <v>10</v>
      </c>
      <c r="C3327" s="1" t="s">
        <v>12145</v>
      </c>
      <c r="D3327" s="1" t="s">
        <v>4775</v>
      </c>
      <c r="E3327" s="1" t="s">
        <v>1208</v>
      </c>
      <c r="F3327" s="1" t="s">
        <v>30</v>
      </c>
      <c r="G3327" s="1" t="s">
        <v>12146</v>
      </c>
      <c r="H3327" s="1" t="s">
        <v>1762</v>
      </c>
      <c r="I3327" t="b">
        <f>COUNTIF(Estadísticas!I:I,'centraldecomunicacion.es'!H3327)&gt;0</f>
        <v>0</v>
      </c>
    </row>
    <row r="3328" spans="1:9" hidden="1">
      <c r="A3328" s="1" t="s">
        <v>12147</v>
      </c>
      <c r="B3328" s="1" t="s">
        <v>10</v>
      </c>
      <c r="C3328" s="1" t="s">
        <v>12148</v>
      </c>
      <c r="D3328" s="1" t="s">
        <v>1207</v>
      </c>
      <c r="E3328" s="1" t="s">
        <v>1208</v>
      </c>
      <c r="F3328" s="1" t="s">
        <v>12149</v>
      </c>
      <c r="G3328" s="1" t="s">
        <v>12150</v>
      </c>
      <c r="H3328" s="1" t="s">
        <v>1762</v>
      </c>
      <c r="I3328" t="b">
        <f>COUNTIF(Estadísticas!I:I,'centraldecomunicacion.es'!H3328)&gt;0</f>
        <v>0</v>
      </c>
    </row>
    <row r="3329" spans="1:9" hidden="1">
      <c r="A3329" s="1" t="s">
        <v>12151</v>
      </c>
      <c r="B3329" s="1" t="s">
        <v>18</v>
      </c>
      <c r="C3329" s="1" t="s">
        <v>12152</v>
      </c>
      <c r="D3329" s="1" t="s">
        <v>1207</v>
      </c>
      <c r="E3329" s="1" t="s">
        <v>324</v>
      </c>
      <c r="F3329" s="1" t="s">
        <v>12153</v>
      </c>
      <c r="G3329" s="1" t="s">
        <v>12154</v>
      </c>
      <c r="H3329" s="1" t="s">
        <v>12155</v>
      </c>
      <c r="I3329" t="b">
        <f>COUNTIF(Estadísticas!I:I,'centraldecomunicacion.es'!H3329)&gt;0</f>
        <v>0</v>
      </c>
    </row>
    <row r="3330" spans="1:9" hidden="1">
      <c r="A3330" s="1" t="s">
        <v>12156</v>
      </c>
      <c r="B3330" s="1" t="s">
        <v>10</v>
      </c>
      <c r="C3330" s="1" t="s">
        <v>12157</v>
      </c>
      <c r="D3330" s="1" t="s">
        <v>1207</v>
      </c>
      <c r="E3330" s="1" t="s">
        <v>1208</v>
      </c>
      <c r="F3330" s="1" t="s">
        <v>1984</v>
      </c>
      <c r="G3330" s="1" t="s">
        <v>12158</v>
      </c>
      <c r="H3330" s="1" t="s">
        <v>1762</v>
      </c>
      <c r="I3330" t="b">
        <f>COUNTIF(Estadísticas!I:I,'centraldecomunicacion.es'!H3330)&gt;0</f>
        <v>0</v>
      </c>
    </row>
    <row r="3331" spans="1:9" hidden="1">
      <c r="A3331" s="1" t="s">
        <v>12159</v>
      </c>
      <c r="B3331" s="1" t="s">
        <v>10</v>
      </c>
      <c r="C3331" s="1" t="s">
        <v>12160</v>
      </c>
      <c r="D3331" s="1" t="s">
        <v>12161</v>
      </c>
      <c r="E3331" s="1" t="s">
        <v>324</v>
      </c>
      <c r="F3331" s="1" t="s">
        <v>12162</v>
      </c>
      <c r="G3331" s="1" t="s">
        <v>12163</v>
      </c>
      <c r="H3331" s="1" t="s">
        <v>1783</v>
      </c>
      <c r="I3331" t="b">
        <f>COUNTIF(Estadísticas!I:I,'centraldecomunicacion.es'!H3331)&gt;0</f>
        <v>0</v>
      </c>
    </row>
    <row r="3332" spans="1:9" hidden="1">
      <c r="A3332" s="1" t="s">
        <v>12164</v>
      </c>
      <c r="B3332" s="1" t="s">
        <v>18</v>
      </c>
      <c r="C3332" s="1" t="s">
        <v>12165</v>
      </c>
      <c r="D3332" s="1" t="s">
        <v>1207</v>
      </c>
      <c r="E3332" s="1" t="s">
        <v>324</v>
      </c>
      <c r="F3332" s="1" t="s">
        <v>12166</v>
      </c>
      <c r="G3332" s="1" t="s">
        <v>12167</v>
      </c>
      <c r="H3332" s="1" t="s">
        <v>12168</v>
      </c>
      <c r="I3332" t="b">
        <f>COUNTIF(Estadísticas!I:I,'centraldecomunicacion.es'!H3332)&gt;0</f>
        <v>0</v>
      </c>
    </row>
    <row r="3333" spans="1:9" hidden="1">
      <c r="A3333" s="1" t="s">
        <v>12169</v>
      </c>
      <c r="B3333" s="1" t="s">
        <v>10</v>
      </c>
      <c r="C3333" s="1" t="s">
        <v>12170</v>
      </c>
      <c r="D3333" s="1" t="s">
        <v>1231</v>
      </c>
      <c r="E3333" s="1" t="s">
        <v>1208</v>
      </c>
      <c r="F3333" s="1" t="s">
        <v>12171</v>
      </c>
      <c r="G3333" s="1" t="s">
        <v>12172</v>
      </c>
      <c r="H3333" s="1" t="s">
        <v>1762</v>
      </c>
      <c r="I3333" t="b">
        <f>COUNTIF(Estadísticas!I:I,'centraldecomunicacion.es'!H3333)&gt;0</f>
        <v>0</v>
      </c>
    </row>
    <row r="3334" spans="1:9" hidden="1">
      <c r="A3334" s="1" t="s">
        <v>12173</v>
      </c>
      <c r="B3334" s="1" t="s">
        <v>10</v>
      </c>
      <c r="C3334" s="1" t="s">
        <v>12174</v>
      </c>
      <c r="D3334" s="1" t="s">
        <v>12175</v>
      </c>
      <c r="E3334" s="1" t="s">
        <v>1208</v>
      </c>
      <c r="F3334" s="1" t="s">
        <v>12176</v>
      </c>
      <c r="G3334" s="1" t="s">
        <v>12177</v>
      </c>
      <c r="H3334" s="1" t="s">
        <v>12178</v>
      </c>
      <c r="I3334" t="b">
        <f>COUNTIF(Estadísticas!I:I,'centraldecomunicacion.es'!H3334)&gt;0</f>
        <v>0</v>
      </c>
    </row>
    <row r="3335" spans="1:9" hidden="1">
      <c r="A3335" s="1" t="s">
        <v>12179</v>
      </c>
      <c r="B3335" s="1" t="s">
        <v>10</v>
      </c>
      <c r="C3335" s="1" t="s">
        <v>12180</v>
      </c>
      <c r="D3335" s="1" t="s">
        <v>12181</v>
      </c>
      <c r="E3335" s="1" t="s">
        <v>1208</v>
      </c>
      <c r="F3335" s="1" t="s">
        <v>30</v>
      </c>
      <c r="G3335" s="1" t="s">
        <v>12182</v>
      </c>
      <c r="H3335" s="1" t="s">
        <v>1762</v>
      </c>
      <c r="I3335" t="b">
        <f>COUNTIF(Estadísticas!I:I,'centraldecomunicacion.es'!H3335)&gt;0</f>
        <v>0</v>
      </c>
    </row>
    <row r="3336" spans="1:9" hidden="1">
      <c r="A3336" s="1" t="s">
        <v>12183</v>
      </c>
      <c r="B3336" s="1" t="s">
        <v>10</v>
      </c>
      <c r="C3336" s="1" t="s">
        <v>12184</v>
      </c>
      <c r="D3336" s="1" t="s">
        <v>4779</v>
      </c>
      <c r="E3336" s="1" t="s">
        <v>1208</v>
      </c>
      <c r="F3336" s="1" t="s">
        <v>12185</v>
      </c>
      <c r="G3336" s="1" t="s">
        <v>12186</v>
      </c>
      <c r="H3336" s="1" t="s">
        <v>12187</v>
      </c>
      <c r="I3336" t="b">
        <f>COUNTIF(Estadísticas!I:I,'centraldecomunicacion.es'!H3336)&gt;0</f>
        <v>0</v>
      </c>
    </row>
    <row r="3337" spans="1:9" hidden="1">
      <c r="A3337" s="1" t="s">
        <v>12188</v>
      </c>
      <c r="B3337" s="1" t="s">
        <v>18</v>
      </c>
      <c r="C3337" s="1" t="s">
        <v>12189</v>
      </c>
      <c r="D3337" s="1" t="s">
        <v>1207</v>
      </c>
      <c r="E3337" s="1" t="s">
        <v>324</v>
      </c>
      <c r="F3337" s="1" t="s">
        <v>12190</v>
      </c>
      <c r="G3337" s="1" t="s">
        <v>12191</v>
      </c>
      <c r="H3337" s="1" t="s">
        <v>1762</v>
      </c>
      <c r="I3337" t="b">
        <f>COUNTIF(Estadísticas!I:I,'centraldecomunicacion.es'!H3337)&gt;0</f>
        <v>0</v>
      </c>
    </row>
    <row r="3338" spans="1:9" hidden="1">
      <c r="A3338" s="1" t="s">
        <v>12192</v>
      </c>
      <c r="B3338" s="1" t="s">
        <v>10</v>
      </c>
      <c r="C3338" s="1" t="s">
        <v>12193</v>
      </c>
      <c r="D3338" s="1" t="s">
        <v>1231</v>
      </c>
      <c r="E3338" s="1" t="s">
        <v>1208</v>
      </c>
      <c r="F3338" s="1" t="s">
        <v>30</v>
      </c>
      <c r="G3338" s="1" t="s">
        <v>12194</v>
      </c>
      <c r="H3338" s="1" t="s">
        <v>1762</v>
      </c>
      <c r="I3338" t="b">
        <f>COUNTIF(Estadísticas!I:I,'centraldecomunicacion.es'!H3338)&gt;0</f>
        <v>0</v>
      </c>
    </row>
    <row r="3339" spans="1:9" hidden="1">
      <c r="A3339" s="1" t="s">
        <v>12195</v>
      </c>
      <c r="B3339" s="1" t="s">
        <v>10</v>
      </c>
      <c r="C3339" s="1" t="s">
        <v>12196</v>
      </c>
      <c r="D3339" s="1" t="s">
        <v>12181</v>
      </c>
      <c r="E3339" s="1" t="s">
        <v>1208</v>
      </c>
      <c r="F3339" s="1" t="s">
        <v>30</v>
      </c>
      <c r="G3339" s="1" t="s">
        <v>12197</v>
      </c>
      <c r="H3339" s="1" t="s">
        <v>1762</v>
      </c>
      <c r="I3339" t="b">
        <f>COUNTIF(Estadísticas!I:I,'centraldecomunicacion.es'!H3339)&gt;0</f>
        <v>0</v>
      </c>
    </row>
    <row r="3340" spans="1:9" hidden="1">
      <c r="A3340" s="1" t="s">
        <v>12198</v>
      </c>
      <c r="B3340" s="1" t="s">
        <v>10</v>
      </c>
      <c r="C3340" s="1" t="s">
        <v>12199</v>
      </c>
      <c r="D3340" s="1" t="s">
        <v>4768</v>
      </c>
      <c r="E3340" s="1" t="s">
        <v>1237</v>
      </c>
      <c r="F3340" s="1" t="s">
        <v>12200</v>
      </c>
      <c r="G3340" s="1" t="s">
        <v>12201</v>
      </c>
      <c r="H3340" s="1" t="s">
        <v>1783</v>
      </c>
      <c r="I3340" t="b">
        <f>COUNTIF(Estadísticas!I:I,'centraldecomunicacion.es'!H3340)&gt;0</f>
        <v>0</v>
      </c>
    </row>
    <row r="3341" spans="1:9" hidden="1">
      <c r="A3341" s="1" t="s">
        <v>12202</v>
      </c>
      <c r="B3341" s="1" t="s">
        <v>10</v>
      </c>
      <c r="C3341" s="1" t="s">
        <v>12203</v>
      </c>
      <c r="D3341" s="1" t="s">
        <v>1225</v>
      </c>
      <c r="E3341" s="1" t="s">
        <v>324</v>
      </c>
      <c r="F3341" s="1" t="s">
        <v>30</v>
      </c>
      <c r="G3341" s="1" t="s">
        <v>12204</v>
      </c>
      <c r="H3341" s="1" t="s">
        <v>1762</v>
      </c>
      <c r="I3341" t="b">
        <f>COUNTIF(Estadísticas!I:I,'centraldecomunicacion.es'!H3341)&gt;0</f>
        <v>0</v>
      </c>
    </row>
    <row r="3342" spans="1:9" hidden="1">
      <c r="A3342" s="1" t="s">
        <v>12205</v>
      </c>
      <c r="B3342" s="1" t="s">
        <v>10</v>
      </c>
      <c r="C3342" s="1" t="s">
        <v>12206</v>
      </c>
      <c r="D3342" s="1" t="s">
        <v>12181</v>
      </c>
      <c r="E3342" s="1" t="s">
        <v>1208</v>
      </c>
      <c r="F3342" s="1" t="s">
        <v>12207</v>
      </c>
      <c r="G3342" s="1" t="s">
        <v>12121</v>
      </c>
      <c r="H3342" s="1" t="s">
        <v>1762</v>
      </c>
      <c r="I3342" t="b">
        <f>COUNTIF(Estadísticas!I:I,'centraldecomunicacion.es'!H3342)&gt;0</f>
        <v>0</v>
      </c>
    </row>
    <row r="3343" spans="1:9" hidden="1">
      <c r="A3343" s="1" t="s">
        <v>12208</v>
      </c>
      <c r="B3343" s="1" t="s">
        <v>10</v>
      </c>
      <c r="C3343" s="1" t="s">
        <v>12209</v>
      </c>
      <c r="D3343" s="1" t="s">
        <v>323</v>
      </c>
      <c r="E3343" s="1" t="s">
        <v>324</v>
      </c>
      <c r="F3343" s="1" t="s">
        <v>12210</v>
      </c>
      <c r="G3343" s="1" t="s">
        <v>12211</v>
      </c>
      <c r="H3343" s="1" t="s">
        <v>1762</v>
      </c>
      <c r="I3343" t="b">
        <f>COUNTIF(Estadísticas!I:I,'centraldecomunicacion.es'!H3343)&gt;0</f>
        <v>0</v>
      </c>
    </row>
    <row r="3344" spans="1:9">
      <c r="A3344" s="1" t="s">
        <v>1212</v>
      </c>
      <c r="B3344" s="1" t="s">
        <v>10</v>
      </c>
      <c r="C3344" s="1" t="s">
        <v>1213</v>
      </c>
      <c r="D3344" s="1" t="s">
        <v>1214</v>
      </c>
      <c r="E3344" s="1" t="s">
        <v>1208</v>
      </c>
      <c r="F3344" s="1" t="s">
        <v>1215</v>
      </c>
      <c r="G3344" s="1" t="s">
        <v>1216</v>
      </c>
      <c r="H3344" s="1" t="s">
        <v>1217</v>
      </c>
      <c r="I3344" t="b">
        <f>COUNTIF(Estadísticas!I:I,'centraldecomunicacion.es'!H3344)&gt;0</f>
        <v>1</v>
      </c>
    </row>
    <row r="3345" spans="1:9" hidden="1">
      <c r="A3345" s="1" t="s">
        <v>12212</v>
      </c>
      <c r="B3345" s="1" t="s">
        <v>10</v>
      </c>
      <c r="C3345" s="1" t="s">
        <v>12213</v>
      </c>
      <c r="D3345" s="1" t="s">
        <v>1231</v>
      </c>
      <c r="E3345" s="1" t="s">
        <v>1208</v>
      </c>
      <c r="F3345" s="1" t="s">
        <v>30</v>
      </c>
      <c r="G3345" s="1" t="s">
        <v>12214</v>
      </c>
      <c r="H3345" s="1" t="s">
        <v>1762</v>
      </c>
      <c r="I3345" t="b">
        <f>COUNTIF(Estadísticas!I:I,'centraldecomunicacion.es'!H3345)&gt;0</f>
        <v>0</v>
      </c>
    </row>
    <row r="3346" spans="1:9" hidden="1">
      <c r="A3346" s="1" t="s">
        <v>12215</v>
      </c>
      <c r="B3346" s="1" t="s">
        <v>10</v>
      </c>
      <c r="C3346" s="1" t="s">
        <v>30</v>
      </c>
      <c r="D3346" s="1" t="s">
        <v>12216</v>
      </c>
      <c r="E3346" s="1" t="s">
        <v>30</v>
      </c>
      <c r="F3346" s="1" t="s">
        <v>12217</v>
      </c>
      <c r="G3346" s="1" t="s">
        <v>12218</v>
      </c>
      <c r="H3346" s="1" t="s">
        <v>12219</v>
      </c>
      <c r="I3346" t="b">
        <f>COUNTIF(Estadísticas!I:I,'centraldecomunicacion.es'!H3346)&gt;0</f>
        <v>0</v>
      </c>
    </row>
    <row r="3347" spans="1:9" hidden="1">
      <c r="A3347" s="1" t="s">
        <v>12220</v>
      </c>
      <c r="B3347" s="1" t="s">
        <v>10</v>
      </c>
      <c r="C3347" s="1" t="s">
        <v>12221</v>
      </c>
      <c r="D3347" s="1" t="s">
        <v>12222</v>
      </c>
      <c r="E3347" s="1" t="s">
        <v>1208</v>
      </c>
      <c r="F3347" s="1" t="s">
        <v>30</v>
      </c>
      <c r="G3347" s="1" t="s">
        <v>12223</v>
      </c>
      <c r="H3347" s="1" t="s">
        <v>1762</v>
      </c>
      <c r="I3347" t="b">
        <f>COUNTIF(Estadísticas!I:I,'centraldecomunicacion.es'!H3347)&gt;0</f>
        <v>0</v>
      </c>
    </row>
    <row r="3348" spans="1:9" hidden="1">
      <c r="A3348" s="1" t="s">
        <v>12224</v>
      </c>
      <c r="B3348" s="1" t="s">
        <v>10</v>
      </c>
      <c r="C3348" s="1" t="s">
        <v>12225</v>
      </c>
      <c r="D3348" s="1" t="s">
        <v>1207</v>
      </c>
      <c r="E3348" s="1" t="s">
        <v>1208</v>
      </c>
      <c r="F3348" s="1" t="s">
        <v>2692</v>
      </c>
      <c r="G3348" s="1" t="s">
        <v>12226</v>
      </c>
      <c r="H3348" s="1" t="s">
        <v>1762</v>
      </c>
      <c r="I3348" t="b">
        <f>COUNTIF(Estadísticas!I:I,'centraldecomunicacion.es'!H3348)&gt;0</f>
        <v>0</v>
      </c>
    </row>
    <row r="3349" spans="1:9" hidden="1">
      <c r="A3349" s="1" t="s">
        <v>12227</v>
      </c>
      <c r="B3349" s="1" t="s">
        <v>10</v>
      </c>
      <c r="C3349" s="1" t="s">
        <v>12228</v>
      </c>
      <c r="D3349" s="1" t="s">
        <v>1214</v>
      </c>
      <c r="E3349" s="1" t="s">
        <v>324</v>
      </c>
      <c r="F3349" s="1" t="s">
        <v>30</v>
      </c>
      <c r="G3349" s="1" t="s">
        <v>12229</v>
      </c>
      <c r="H3349" s="1" t="s">
        <v>1762</v>
      </c>
      <c r="I3349" t="b">
        <f>COUNTIF(Estadísticas!I:I,'centraldecomunicacion.es'!H3349)&gt;0</f>
        <v>0</v>
      </c>
    </row>
    <row r="3350" spans="1:9" hidden="1">
      <c r="A3350" s="1" t="s">
        <v>12230</v>
      </c>
      <c r="B3350" s="1" t="s">
        <v>10</v>
      </c>
      <c r="C3350" s="1" t="s">
        <v>12231</v>
      </c>
      <c r="D3350" s="1" t="s">
        <v>323</v>
      </c>
      <c r="E3350" s="1" t="s">
        <v>324</v>
      </c>
      <c r="F3350" s="1" t="s">
        <v>12232</v>
      </c>
      <c r="G3350" s="1" t="s">
        <v>12233</v>
      </c>
      <c r="H3350" s="1" t="s">
        <v>12234</v>
      </c>
      <c r="I3350" t="b">
        <f>COUNTIF(Estadísticas!I:I,'centraldecomunicacion.es'!H3350)&gt;0</f>
        <v>0</v>
      </c>
    </row>
    <row r="3351" spans="1:9" hidden="1">
      <c r="A3351" s="1" t="s">
        <v>12235</v>
      </c>
      <c r="B3351" s="1" t="s">
        <v>10</v>
      </c>
      <c r="C3351" s="1" t="s">
        <v>12236</v>
      </c>
      <c r="D3351" s="1" t="s">
        <v>1207</v>
      </c>
      <c r="E3351" s="1" t="s">
        <v>1208</v>
      </c>
      <c r="F3351" s="1" t="s">
        <v>30</v>
      </c>
      <c r="G3351" s="1" t="s">
        <v>12237</v>
      </c>
      <c r="H3351" s="1" t="s">
        <v>1762</v>
      </c>
      <c r="I3351" t="b">
        <f>COUNTIF(Estadísticas!I:I,'centraldecomunicacion.es'!H3351)&gt;0</f>
        <v>0</v>
      </c>
    </row>
    <row r="3352" spans="1:9" hidden="1">
      <c r="A3352" s="1" t="s">
        <v>12238</v>
      </c>
      <c r="B3352" s="1" t="s">
        <v>10</v>
      </c>
      <c r="C3352" s="1" t="s">
        <v>12239</v>
      </c>
      <c r="D3352" s="1" t="s">
        <v>12240</v>
      </c>
      <c r="E3352" s="1" t="s">
        <v>324</v>
      </c>
      <c r="F3352" s="1" t="s">
        <v>12241</v>
      </c>
      <c r="G3352" s="1" t="s">
        <v>12242</v>
      </c>
      <c r="H3352" s="1" t="s">
        <v>12243</v>
      </c>
      <c r="I3352" t="b">
        <f>COUNTIF(Estadísticas!I:I,'centraldecomunicacion.es'!H3352)&gt;0</f>
        <v>0</v>
      </c>
    </row>
    <row r="3353" spans="1:9" hidden="1">
      <c r="A3353" s="1" t="s">
        <v>12244</v>
      </c>
      <c r="B3353" s="1" t="s">
        <v>10</v>
      </c>
      <c r="C3353" s="1" t="s">
        <v>12245</v>
      </c>
      <c r="D3353" s="1" t="s">
        <v>12175</v>
      </c>
      <c r="E3353" s="1" t="s">
        <v>1208</v>
      </c>
      <c r="F3353" s="1" t="s">
        <v>30</v>
      </c>
      <c r="G3353" s="1" t="s">
        <v>12246</v>
      </c>
      <c r="H3353" s="1" t="s">
        <v>1762</v>
      </c>
      <c r="I3353" t="b">
        <f>COUNTIF(Estadísticas!I:I,'centraldecomunicacion.es'!H3353)&gt;0</f>
        <v>0</v>
      </c>
    </row>
    <row r="3354" spans="1:9" hidden="1">
      <c r="A3354" s="1" t="s">
        <v>12247</v>
      </c>
      <c r="B3354" s="1" t="s">
        <v>10</v>
      </c>
      <c r="C3354" s="1" t="s">
        <v>12248</v>
      </c>
      <c r="D3354" s="1" t="s">
        <v>1207</v>
      </c>
      <c r="E3354" s="1" t="s">
        <v>1208</v>
      </c>
      <c r="F3354" s="1" t="s">
        <v>30</v>
      </c>
      <c r="G3354" s="1" t="s">
        <v>12249</v>
      </c>
      <c r="H3354" s="1" t="s">
        <v>1762</v>
      </c>
      <c r="I3354" t="b">
        <f>COUNTIF(Estadísticas!I:I,'centraldecomunicacion.es'!H3354)&gt;0</f>
        <v>0</v>
      </c>
    </row>
    <row r="3355" spans="1:9" hidden="1">
      <c r="A3355" s="1" t="s">
        <v>12250</v>
      </c>
      <c r="B3355" s="1" t="s">
        <v>10</v>
      </c>
      <c r="C3355" s="1" t="s">
        <v>12251</v>
      </c>
      <c r="D3355" s="1" t="s">
        <v>1207</v>
      </c>
      <c r="E3355" s="1" t="s">
        <v>1208</v>
      </c>
      <c r="F3355" s="1" t="s">
        <v>12252</v>
      </c>
      <c r="G3355" s="1" t="s">
        <v>12253</v>
      </c>
      <c r="H3355" s="1" t="s">
        <v>12254</v>
      </c>
      <c r="I3355" t="b">
        <f>COUNTIF(Estadísticas!I:I,'centraldecomunicacion.es'!H3355)&gt;0</f>
        <v>0</v>
      </c>
    </row>
    <row r="3356" spans="1:9" hidden="1">
      <c r="A3356" s="1" t="s">
        <v>12255</v>
      </c>
      <c r="B3356" s="1" t="s">
        <v>10</v>
      </c>
      <c r="C3356" s="1" t="s">
        <v>12256</v>
      </c>
      <c r="D3356" s="1" t="s">
        <v>12181</v>
      </c>
      <c r="E3356" s="1" t="s">
        <v>1208</v>
      </c>
      <c r="F3356" s="1" t="s">
        <v>30</v>
      </c>
      <c r="G3356" s="1" t="s">
        <v>12257</v>
      </c>
      <c r="H3356" s="1" t="s">
        <v>1762</v>
      </c>
      <c r="I3356" t="b">
        <f>COUNTIF(Estadísticas!I:I,'centraldecomunicacion.es'!H3356)&gt;0</f>
        <v>0</v>
      </c>
    </row>
    <row r="3357" spans="1:9" hidden="1">
      <c r="A3357" s="1" t="s">
        <v>12258</v>
      </c>
      <c r="B3357" s="1" t="s">
        <v>10</v>
      </c>
      <c r="C3357" s="1" t="s">
        <v>12259</v>
      </c>
      <c r="D3357" s="1" t="s">
        <v>12161</v>
      </c>
      <c r="E3357" s="1" t="s">
        <v>1208</v>
      </c>
      <c r="F3357" s="1" t="s">
        <v>30</v>
      </c>
      <c r="G3357" s="1" t="s">
        <v>12260</v>
      </c>
      <c r="H3357" s="1" t="s">
        <v>1762</v>
      </c>
      <c r="I3357" t="b">
        <f>COUNTIF(Estadísticas!I:I,'centraldecomunicacion.es'!H3357)&gt;0</f>
        <v>0</v>
      </c>
    </row>
    <row r="3358" spans="1:9" hidden="1">
      <c r="A3358" s="1" t="s">
        <v>12261</v>
      </c>
      <c r="B3358" s="1" t="s">
        <v>10</v>
      </c>
      <c r="C3358" s="1" t="s">
        <v>30</v>
      </c>
      <c r="D3358" s="1" t="s">
        <v>12216</v>
      </c>
      <c r="E3358" s="1" t="s">
        <v>30</v>
      </c>
      <c r="F3358" s="1" t="s">
        <v>30</v>
      </c>
      <c r="G3358" s="1" t="s">
        <v>4714</v>
      </c>
      <c r="H3358" s="1" t="s">
        <v>1762</v>
      </c>
      <c r="I3358" t="b">
        <f>COUNTIF(Estadísticas!I:I,'centraldecomunicacion.es'!H3358)&gt;0</f>
        <v>0</v>
      </c>
    </row>
    <row r="3359" spans="1:9" hidden="1">
      <c r="A3359" s="1" t="s">
        <v>12262</v>
      </c>
      <c r="B3359" s="1" t="s">
        <v>10</v>
      </c>
      <c r="C3359" s="1" t="s">
        <v>12263</v>
      </c>
      <c r="D3359" s="1" t="s">
        <v>1207</v>
      </c>
      <c r="E3359" s="1" t="s">
        <v>1208</v>
      </c>
      <c r="F3359" s="1" t="s">
        <v>12264</v>
      </c>
      <c r="G3359" s="1" t="s">
        <v>12265</v>
      </c>
      <c r="H3359" s="1" t="s">
        <v>1762</v>
      </c>
      <c r="I3359" t="b">
        <f>COUNTIF(Estadísticas!I:I,'centraldecomunicacion.es'!H3359)&gt;0</f>
        <v>0</v>
      </c>
    </row>
    <row r="3360" spans="1:9" hidden="1">
      <c r="A3360" s="1" t="s">
        <v>12266</v>
      </c>
      <c r="B3360" s="1" t="s">
        <v>10</v>
      </c>
      <c r="C3360" s="1" t="s">
        <v>12267</v>
      </c>
      <c r="D3360" s="1" t="s">
        <v>1207</v>
      </c>
      <c r="E3360" s="1" t="s">
        <v>1208</v>
      </c>
      <c r="F3360" s="1" t="s">
        <v>12268</v>
      </c>
      <c r="G3360" s="1" t="s">
        <v>12138</v>
      </c>
      <c r="H3360" s="1" t="s">
        <v>12269</v>
      </c>
      <c r="I3360" t="b">
        <f>COUNTIF(Estadísticas!I:I,'centraldecomunicacion.es'!H3360)&gt;0</f>
        <v>0</v>
      </c>
    </row>
    <row r="3361" spans="1:9" hidden="1">
      <c r="A3361" s="1" t="s">
        <v>12270</v>
      </c>
      <c r="B3361" s="1" t="s">
        <v>10</v>
      </c>
      <c r="C3361" s="1" t="s">
        <v>12271</v>
      </c>
      <c r="D3361" s="1" t="s">
        <v>1214</v>
      </c>
      <c r="E3361" s="1" t="s">
        <v>1208</v>
      </c>
      <c r="F3361" s="1" t="s">
        <v>30</v>
      </c>
      <c r="G3361" s="1" t="s">
        <v>12272</v>
      </c>
      <c r="H3361" s="1" t="s">
        <v>1762</v>
      </c>
      <c r="I3361" t="b">
        <f>COUNTIF(Estadísticas!I:I,'centraldecomunicacion.es'!H3361)&gt;0</f>
        <v>0</v>
      </c>
    </row>
    <row r="3362" spans="1:9" hidden="1">
      <c r="A3362" s="1" t="s">
        <v>12273</v>
      </c>
      <c r="B3362" s="1" t="s">
        <v>10</v>
      </c>
      <c r="C3362" s="1" t="s">
        <v>12274</v>
      </c>
      <c r="D3362" s="1" t="s">
        <v>1207</v>
      </c>
      <c r="E3362" s="1" t="s">
        <v>1208</v>
      </c>
      <c r="F3362" s="1" t="s">
        <v>30</v>
      </c>
      <c r="G3362" s="1" t="s">
        <v>319</v>
      </c>
      <c r="H3362" s="1" t="s">
        <v>1762</v>
      </c>
      <c r="I3362" t="b">
        <f>COUNTIF(Estadísticas!I:I,'centraldecomunicacion.es'!H3362)&gt;0</f>
        <v>0</v>
      </c>
    </row>
    <row r="3363" spans="1:9" hidden="1">
      <c r="A3363" s="1" t="s">
        <v>12275</v>
      </c>
      <c r="B3363" s="1" t="s">
        <v>10</v>
      </c>
      <c r="C3363" s="1" t="s">
        <v>12276</v>
      </c>
      <c r="D3363" s="1" t="s">
        <v>4779</v>
      </c>
      <c r="E3363" s="1" t="s">
        <v>1208</v>
      </c>
      <c r="F3363" s="1" t="s">
        <v>30</v>
      </c>
      <c r="G3363" s="1" t="s">
        <v>12277</v>
      </c>
      <c r="H3363" s="1" t="s">
        <v>1762</v>
      </c>
      <c r="I3363" t="b">
        <f>COUNTIF(Estadísticas!I:I,'centraldecomunicacion.es'!H3363)&gt;0</f>
        <v>0</v>
      </c>
    </row>
    <row r="3364" spans="1:9" hidden="1">
      <c r="A3364" s="1" t="s">
        <v>12278</v>
      </c>
      <c r="B3364" s="1" t="s">
        <v>10</v>
      </c>
      <c r="C3364" s="1" t="s">
        <v>12279</v>
      </c>
      <c r="D3364" s="1" t="s">
        <v>1231</v>
      </c>
      <c r="E3364" s="1" t="s">
        <v>1208</v>
      </c>
      <c r="F3364" s="1" t="s">
        <v>12280</v>
      </c>
      <c r="G3364" s="1" t="s">
        <v>12281</v>
      </c>
      <c r="H3364" s="1" t="s">
        <v>12282</v>
      </c>
      <c r="I3364" t="b">
        <f>COUNTIF(Estadísticas!I:I,'centraldecomunicacion.es'!H3364)&gt;0</f>
        <v>0</v>
      </c>
    </row>
    <row r="3365" spans="1:9" hidden="1">
      <c r="A3365" s="1" t="s">
        <v>12283</v>
      </c>
      <c r="B3365" s="1" t="s">
        <v>10</v>
      </c>
      <c r="C3365" s="1" t="s">
        <v>12284</v>
      </c>
      <c r="D3365" s="1" t="s">
        <v>12285</v>
      </c>
      <c r="E3365" s="1" t="s">
        <v>1208</v>
      </c>
      <c r="F3365" s="1" t="s">
        <v>30</v>
      </c>
      <c r="G3365" s="1" t="s">
        <v>30</v>
      </c>
      <c r="H3365" s="1" t="s">
        <v>1762</v>
      </c>
      <c r="I3365" t="b">
        <f>COUNTIF(Estadísticas!I:I,'centraldecomunicacion.es'!H3365)&gt;0</f>
        <v>0</v>
      </c>
    </row>
    <row r="3366" spans="1:9" hidden="1">
      <c r="A3366" s="1" t="s">
        <v>12286</v>
      </c>
      <c r="B3366" s="1" t="s">
        <v>10</v>
      </c>
      <c r="C3366" s="1" t="s">
        <v>12287</v>
      </c>
      <c r="D3366" s="1" t="s">
        <v>12175</v>
      </c>
      <c r="E3366" s="1" t="s">
        <v>1208</v>
      </c>
      <c r="F3366" s="1" t="s">
        <v>12288</v>
      </c>
      <c r="G3366" s="1" t="s">
        <v>12289</v>
      </c>
      <c r="H3366" s="1" t="s">
        <v>1762</v>
      </c>
      <c r="I3366" t="b">
        <f>COUNTIF(Estadísticas!I:I,'centraldecomunicacion.es'!H3366)&gt;0</f>
        <v>0</v>
      </c>
    </row>
    <row r="3367" spans="1:9" hidden="1">
      <c r="A3367" s="1" t="s">
        <v>12290</v>
      </c>
      <c r="B3367" s="1" t="s">
        <v>10</v>
      </c>
      <c r="C3367" s="1" t="s">
        <v>12291</v>
      </c>
      <c r="D3367" s="1" t="s">
        <v>1231</v>
      </c>
      <c r="E3367" s="1" t="s">
        <v>324</v>
      </c>
      <c r="F3367" s="1" t="s">
        <v>30</v>
      </c>
      <c r="G3367" s="1" t="s">
        <v>12292</v>
      </c>
      <c r="H3367" s="1" t="s">
        <v>1762</v>
      </c>
      <c r="I3367" t="b">
        <f>COUNTIF(Estadísticas!I:I,'centraldecomunicacion.es'!H3367)&gt;0</f>
        <v>0</v>
      </c>
    </row>
    <row r="3368" spans="1:9" hidden="1">
      <c r="A3368" s="1" t="s">
        <v>12293</v>
      </c>
      <c r="B3368" s="1" t="s">
        <v>10</v>
      </c>
      <c r="C3368" s="1" t="s">
        <v>12294</v>
      </c>
      <c r="D3368" s="1" t="s">
        <v>12295</v>
      </c>
      <c r="E3368" s="1" t="s">
        <v>1208</v>
      </c>
      <c r="F3368" s="1" t="s">
        <v>30</v>
      </c>
      <c r="G3368" s="1" t="s">
        <v>30</v>
      </c>
      <c r="H3368" s="1" t="s">
        <v>1762</v>
      </c>
      <c r="I3368" t="b">
        <f>COUNTIF(Estadísticas!I:I,'centraldecomunicacion.es'!H3368)&gt;0</f>
        <v>0</v>
      </c>
    </row>
    <row r="3369" spans="1:9">
      <c r="A3369" s="1" t="s">
        <v>1218</v>
      </c>
      <c r="B3369" s="1" t="s">
        <v>10</v>
      </c>
      <c r="C3369" s="1" t="s">
        <v>1219</v>
      </c>
      <c r="D3369" s="1" t="s">
        <v>1207</v>
      </c>
      <c r="E3369" s="1" t="s">
        <v>324</v>
      </c>
      <c r="F3369" s="1" t="s">
        <v>1220</v>
      </c>
      <c r="G3369" s="1" t="s">
        <v>1221</v>
      </c>
      <c r="H3369" s="1" t="s">
        <v>1222</v>
      </c>
      <c r="I3369" t="b">
        <f>COUNTIF(Estadísticas!I:I,'centraldecomunicacion.es'!H3369)&gt;0</f>
        <v>1</v>
      </c>
    </row>
    <row r="3370" spans="1:9" hidden="1">
      <c r="A3370" s="1" t="s">
        <v>12296</v>
      </c>
      <c r="B3370" s="1" t="s">
        <v>10</v>
      </c>
      <c r="C3370" s="1" t="s">
        <v>12297</v>
      </c>
      <c r="D3370" s="1" t="s">
        <v>1207</v>
      </c>
      <c r="E3370" s="1" t="s">
        <v>1208</v>
      </c>
      <c r="F3370" s="1" t="s">
        <v>30</v>
      </c>
      <c r="G3370" s="1" t="s">
        <v>12298</v>
      </c>
      <c r="H3370" s="1" t="s">
        <v>1762</v>
      </c>
      <c r="I3370" t="b">
        <f>COUNTIF(Estadísticas!I:I,'centraldecomunicacion.es'!H3370)&gt;0</f>
        <v>0</v>
      </c>
    </row>
    <row r="3371" spans="1:9">
      <c r="A3371" s="1" t="s">
        <v>1223</v>
      </c>
      <c r="B3371" s="1" t="s">
        <v>18</v>
      </c>
      <c r="C3371" s="1" t="s">
        <v>1224</v>
      </c>
      <c r="D3371" s="1" t="s">
        <v>1225</v>
      </c>
      <c r="E3371" s="1" t="s">
        <v>324</v>
      </c>
      <c r="F3371" s="1" t="s">
        <v>1226</v>
      </c>
      <c r="G3371" s="1" t="s">
        <v>1227</v>
      </c>
      <c r="H3371" s="1" t="s">
        <v>1228</v>
      </c>
      <c r="I3371" t="b">
        <f>COUNTIF(Estadísticas!I:I,'centraldecomunicacion.es'!H3371)&gt;0</f>
        <v>1</v>
      </c>
    </row>
    <row r="3372" spans="1:9" hidden="1">
      <c r="A3372" s="1" t="s">
        <v>12299</v>
      </c>
      <c r="B3372" s="1" t="s">
        <v>10</v>
      </c>
      <c r="C3372" s="1" t="s">
        <v>12300</v>
      </c>
      <c r="D3372" s="1" t="s">
        <v>1231</v>
      </c>
      <c r="E3372" s="1" t="s">
        <v>1208</v>
      </c>
      <c r="F3372" s="1" t="s">
        <v>30</v>
      </c>
      <c r="G3372" s="1" t="s">
        <v>12301</v>
      </c>
      <c r="H3372" s="1" t="s">
        <v>1762</v>
      </c>
      <c r="I3372" t="b">
        <f>COUNTIF(Estadísticas!I:I,'centraldecomunicacion.es'!H3372)&gt;0</f>
        <v>0</v>
      </c>
    </row>
    <row r="3373" spans="1:9" hidden="1">
      <c r="A3373" s="1" t="s">
        <v>12302</v>
      </c>
      <c r="B3373" s="1" t="s">
        <v>10</v>
      </c>
      <c r="C3373" s="1" t="s">
        <v>12303</v>
      </c>
      <c r="D3373" s="1" t="s">
        <v>12175</v>
      </c>
      <c r="E3373" s="1" t="s">
        <v>1208</v>
      </c>
      <c r="F3373" s="1" t="s">
        <v>30</v>
      </c>
      <c r="G3373" s="1" t="s">
        <v>12304</v>
      </c>
      <c r="H3373" s="1" t="s">
        <v>1762</v>
      </c>
      <c r="I3373" t="b">
        <f>COUNTIF(Estadísticas!I:I,'centraldecomunicacion.es'!H3373)&gt;0</f>
        <v>0</v>
      </c>
    </row>
    <row r="3374" spans="1:9" hidden="1">
      <c r="A3374" s="1" t="s">
        <v>12305</v>
      </c>
      <c r="B3374" s="1" t="s">
        <v>10</v>
      </c>
      <c r="C3374" s="1" t="s">
        <v>12306</v>
      </c>
      <c r="D3374" s="1" t="s">
        <v>12240</v>
      </c>
      <c r="E3374" s="1" t="s">
        <v>1208</v>
      </c>
      <c r="F3374" s="1" t="s">
        <v>30</v>
      </c>
      <c r="G3374" s="1" t="s">
        <v>30</v>
      </c>
      <c r="H3374" s="1" t="s">
        <v>1762</v>
      </c>
      <c r="I3374" t="b">
        <f>COUNTIF(Estadísticas!I:I,'centraldecomunicacion.es'!H3374)&gt;0</f>
        <v>0</v>
      </c>
    </row>
    <row r="3375" spans="1:9" hidden="1">
      <c r="A3375" s="1" t="s">
        <v>12307</v>
      </c>
      <c r="B3375" s="1" t="s">
        <v>18</v>
      </c>
      <c r="C3375" s="1" t="s">
        <v>12308</v>
      </c>
      <c r="D3375" s="1" t="s">
        <v>12309</v>
      </c>
      <c r="E3375" s="1" t="s">
        <v>1208</v>
      </c>
      <c r="F3375" s="1" t="s">
        <v>30</v>
      </c>
      <c r="G3375" s="1" t="s">
        <v>12310</v>
      </c>
      <c r="H3375" s="1" t="s">
        <v>1762</v>
      </c>
      <c r="I3375" t="b">
        <f>COUNTIF(Estadísticas!I:I,'centraldecomunicacion.es'!H3375)&gt;0</f>
        <v>0</v>
      </c>
    </row>
    <row r="3376" spans="1:9" hidden="1">
      <c r="A3376" s="1" t="s">
        <v>12311</v>
      </c>
      <c r="B3376" s="1" t="s">
        <v>10</v>
      </c>
      <c r="C3376" s="1" t="s">
        <v>12312</v>
      </c>
      <c r="D3376" s="1" t="s">
        <v>1214</v>
      </c>
      <c r="E3376" s="1" t="s">
        <v>324</v>
      </c>
      <c r="F3376" s="1" t="s">
        <v>30</v>
      </c>
      <c r="G3376" s="1" t="s">
        <v>12313</v>
      </c>
      <c r="H3376" s="1" t="s">
        <v>1762</v>
      </c>
      <c r="I3376" t="b">
        <f>COUNTIF(Estadísticas!I:I,'centraldecomunicacion.es'!H3376)&gt;0</f>
        <v>0</v>
      </c>
    </row>
    <row r="3377" spans="1:9" hidden="1">
      <c r="A3377" s="1" t="s">
        <v>12314</v>
      </c>
      <c r="B3377" s="1" t="s">
        <v>18</v>
      </c>
      <c r="C3377" s="1" t="s">
        <v>12315</v>
      </c>
      <c r="D3377" s="1" t="s">
        <v>12181</v>
      </c>
      <c r="E3377" s="1" t="s">
        <v>12316</v>
      </c>
      <c r="F3377" s="1" t="s">
        <v>30</v>
      </c>
      <c r="G3377" s="1" t="s">
        <v>12317</v>
      </c>
      <c r="H3377" s="1" t="s">
        <v>1762</v>
      </c>
      <c r="I3377" t="b">
        <f>COUNTIF(Estadísticas!I:I,'centraldecomunicacion.es'!H3377)&gt;0</f>
        <v>0</v>
      </c>
    </row>
    <row r="3378" spans="1:9" hidden="1">
      <c r="A3378" s="1" t="s">
        <v>12318</v>
      </c>
      <c r="B3378" s="1" t="s">
        <v>10</v>
      </c>
      <c r="C3378" s="1" t="s">
        <v>12319</v>
      </c>
      <c r="D3378" s="1" t="s">
        <v>1231</v>
      </c>
      <c r="E3378" s="1" t="s">
        <v>324</v>
      </c>
      <c r="F3378" s="1" t="s">
        <v>30</v>
      </c>
      <c r="G3378" s="1" t="s">
        <v>12320</v>
      </c>
      <c r="H3378" s="1" t="s">
        <v>1762</v>
      </c>
      <c r="I3378" t="b">
        <f>COUNTIF(Estadísticas!I:I,'centraldecomunicacion.es'!H3378)&gt;0</f>
        <v>0</v>
      </c>
    </row>
    <row r="3379" spans="1:9">
      <c r="A3379" s="1" t="s">
        <v>1229</v>
      </c>
      <c r="B3379" s="1" t="s">
        <v>10</v>
      </c>
      <c r="C3379" s="1" t="s">
        <v>1230</v>
      </c>
      <c r="D3379" s="1" t="s">
        <v>1231</v>
      </c>
      <c r="E3379" s="1" t="s">
        <v>1208</v>
      </c>
      <c r="F3379" s="1" t="s">
        <v>1232</v>
      </c>
      <c r="G3379" s="1" t="s">
        <v>1233</v>
      </c>
      <c r="H3379" s="1" t="s">
        <v>1234</v>
      </c>
      <c r="I3379" t="b">
        <f>COUNTIF(Estadísticas!I:I,'centraldecomunicacion.es'!H3379)&gt;0</f>
        <v>1</v>
      </c>
    </row>
    <row r="3380" spans="1:9" hidden="1">
      <c r="A3380" s="1" t="s">
        <v>12321</v>
      </c>
      <c r="B3380" s="1" t="s">
        <v>10</v>
      </c>
      <c r="C3380" s="1" t="s">
        <v>12322</v>
      </c>
      <c r="D3380" s="1" t="s">
        <v>12323</v>
      </c>
      <c r="E3380" s="1" t="s">
        <v>324</v>
      </c>
      <c r="F3380" s="1" t="s">
        <v>30</v>
      </c>
      <c r="G3380" s="1" t="s">
        <v>12324</v>
      </c>
      <c r="H3380" s="1" t="s">
        <v>1762</v>
      </c>
      <c r="I3380" t="b">
        <f>COUNTIF(Estadísticas!I:I,'centraldecomunicacion.es'!H3380)&gt;0</f>
        <v>0</v>
      </c>
    </row>
    <row r="3381" spans="1:9" hidden="1">
      <c r="A3381" s="1" t="s">
        <v>12325</v>
      </c>
      <c r="B3381" s="1" t="s">
        <v>10</v>
      </c>
      <c r="C3381" s="1" t="s">
        <v>12326</v>
      </c>
      <c r="D3381" s="1" t="s">
        <v>12181</v>
      </c>
      <c r="E3381" s="1" t="s">
        <v>1208</v>
      </c>
      <c r="F3381" s="1" t="s">
        <v>30</v>
      </c>
      <c r="G3381" s="1" t="s">
        <v>12327</v>
      </c>
      <c r="H3381" s="1" t="s">
        <v>1762</v>
      </c>
      <c r="I3381" t="b">
        <f>COUNTIF(Estadísticas!I:I,'centraldecomunicacion.es'!H3381)&gt;0</f>
        <v>0</v>
      </c>
    </row>
    <row r="3382" spans="1:9" hidden="1">
      <c r="A3382" s="1" t="s">
        <v>12328</v>
      </c>
      <c r="B3382" s="1" t="s">
        <v>10</v>
      </c>
      <c r="C3382" s="1" t="s">
        <v>12329</v>
      </c>
      <c r="D3382" s="1" t="s">
        <v>1231</v>
      </c>
      <c r="E3382" s="1" t="s">
        <v>1208</v>
      </c>
      <c r="F3382" s="1" t="s">
        <v>30</v>
      </c>
      <c r="G3382" s="1" t="s">
        <v>12330</v>
      </c>
      <c r="H3382" s="1" t="s">
        <v>1762</v>
      </c>
      <c r="I3382" t="b">
        <f>COUNTIF(Estadísticas!I:I,'centraldecomunicacion.es'!H3382)&gt;0</f>
        <v>0</v>
      </c>
    </row>
    <row r="3383" spans="1:9" hidden="1">
      <c r="A3383" s="1" t="s">
        <v>12331</v>
      </c>
      <c r="B3383" s="1" t="s">
        <v>10</v>
      </c>
      <c r="C3383" s="1" t="s">
        <v>12332</v>
      </c>
      <c r="D3383" s="1" t="s">
        <v>1207</v>
      </c>
      <c r="E3383" s="1" t="s">
        <v>1208</v>
      </c>
      <c r="F3383" s="1" t="s">
        <v>30</v>
      </c>
      <c r="G3383" s="1" t="s">
        <v>12333</v>
      </c>
      <c r="H3383" s="1" t="s">
        <v>1762</v>
      </c>
      <c r="I3383" t="b">
        <f>COUNTIF(Estadísticas!I:I,'centraldecomunicacion.es'!H3383)&gt;0</f>
        <v>0</v>
      </c>
    </row>
    <row r="3384" spans="1:9" hidden="1">
      <c r="A3384" s="1" t="s">
        <v>12334</v>
      </c>
      <c r="B3384" s="1" t="s">
        <v>10</v>
      </c>
      <c r="C3384" s="1" t="s">
        <v>12335</v>
      </c>
      <c r="D3384" s="1" t="s">
        <v>12336</v>
      </c>
      <c r="E3384" s="1" t="s">
        <v>1208</v>
      </c>
      <c r="F3384" s="1" t="s">
        <v>1984</v>
      </c>
      <c r="G3384" s="1" t="s">
        <v>12337</v>
      </c>
      <c r="H3384" s="1" t="s">
        <v>1762</v>
      </c>
      <c r="I3384" t="b">
        <f>COUNTIF(Estadísticas!I:I,'centraldecomunicacion.es'!H3384)&gt;0</f>
        <v>0</v>
      </c>
    </row>
    <row r="3385" spans="1:9" hidden="1">
      <c r="A3385" s="1" t="s">
        <v>12338</v>
      </c>
      <c r="B3385" s="1" t="s">
        <v>10</v>
      </c>
      <c r="C3385" s="1" t="s">
        <v>12339</v>
      </c>
      <c r="D3385" s="1" t="s">
        <v>1207</v>
      </c>
      <c r="E3385" s="1" t="s">
        <v>1207</v>
      </c>
      <c r="F3385" s="1" t="s">
        <v>30</v>
      </c>
      <c r="G3385" s="1" t="s">
        <v>12340</v>
      </c>
      <c r="H3385" s="1" t="s">
        <v>1762</v>
      </c>
      <c r="I3385" t="b">
        <f>COUNTIF(Estadísticas!I:I,'centraldecomunicacion.es'!H3385)&gt;0</f>
        <v>0</v>
      </c>
    </row>
    <row r="3386" spans="1:9" hidden="1">
      <c r="A3386" s="1" t="s">
        <v>12341</v>
      </c>
      <c r="B3386" s="1" t="s">
        <v>10</v>
      </c>
      <c r="C3386" s="1" t="s">
        <v>12342</v>
      </c>
      <c r="D3386" s="1" t="s">
        <v>1207</v>
      </c>
      <c r="E3386" s="1" t="s">
        <v>1208</v>
      </c>
      <c r="F3386" s="1" t="s">
        <v>30</v>
      </c>
      <c r="G3386" s="1" t="s">
        <v>12343</v>
      </c>
      <c r="H3386" s="1" t="s">
        <v>1762</v>
      </c>
      <c r="I3386" t="b">
        <f>COUNTIF(Estadísticas!I:I,'centraldecomunicacion.es'!H3386)&gt;0</f>
        <v>0</v>
      </c>
    </row>
    <row r="3387" spans="1:9" hidden="1">
      <c r="A3387" s="1" t="s">
        <v>1995</v>
      </c>
      <c r="B3387" s="1" t="s">
        <v>10</v>
      </c>
      <c r="C3387" s="1" t="s">
        <v>12344</v>
      </c>
      <c r="D3387" s="1" t="s">
        <v>1207</v>
      </c>
      <c r="E3387" s="1" t="s">
        <v>1208</v>
      </c>
      <c r="F3387" s="1" t="s">
        <v>30</v>
      </c>
      <c r="G3387" s="1" t="s">
        <v>30</v>
      </c>
      <c r="H3387" s="1" t="s">
        <v>1762</v>
      </c>
      <c r="I3387" t="b">
        <f>COUNTIF(Estadísticas!I:I,'centraldecomunicacion.es'!H3387)&gt;0</f>
        <v>0</v>
      </c>
    </row>
    <row r="3388" spans="1:9" hidden="1">
      <c r="A3388" s="1" t="s">
        <v>12345</v>
      </c>
      <c r="B3388" s="1" t="s">
        <v>10</v>
      </c>
      <c r="C3388" s="1" t="s">
        <v>12346</v>
      </c>
      <c r="D3388" s="1" t="s">
        <v>12181</v>
      </c>
      <c r="E3388" s="1" t="s">
        <v>1208</v>
      </c>
      <c r="F3388" s="1" t="s">
        <v>30</v>
      </c>
      <c r="G3388" s="1" t="s">
        <v>12138</v>
      </c>
      <c r="H3388" s="1" t="s">
        <v>1762</v>
      </c>
      <c r="I3388" t="b">
        <f>COUNTIF(Estadísticas!I:I,'centraldecomunicacion.es'!H3388)&gt;0</f>
        <v>0</v>
      </c>
    </row>
    <row r="3389" spans="1:9" hidden="1">
      <c r="A3389" s="1" t="s">
        <v>12347</v>
      </c>
      <c r="B3389" s="1" t="s">
        <v>10</v>
      </c>
      <c r="C3389" s="1" t="s">
        <v>12348</v>
      </c>
      <c r="D3389" s="1" t="s">
        <v>4762</v>
      </c>
      <c r="E3389" s="1" t="s">
        <v>324</v>
      </c>
      <c r="F3389" s="1" t="s">
        <v>12349</v>
      </c>
      <c r="G3389" s="1" t="s">
        <v>12350</v>
      </c>
      <c r="H3389" s="1" t="s">
        <v>1762</v>
      </c>
      <c r="I3389" t="b">
        <f>COUNTIF(Estadísticas!I:I,'centraldecomunicacion.es'!H3389)&gt;0</f>
        <v>0</v>
      </c>
    </row>
    <row r="3390" spans="1:9" hidden="1">
      <c r="A3390" s="1" t="s">
        <v>12351</v>
      </c>
      <c r="B3390" s="1" t="s">
        <v>10</v>
      </c>
      <c r="C3390" s="1" t="s">
        <v>12352</v>
      </c>
      <c r="D3390" s="1" t="s">
        <v>1237</v>
      </c>
      <c r="E3390" s="1" t="s">
        <v>1237</v>
      </c>
      <c r="F3390" s="1" t="s">
        <v>30</v>
      </c>
      <c r="G3390" s="1" t="s">
        <v>12353</v>
      </c>
      <c r="H3390" s="1" t="s">
        <v>1762</v>
      </c>
      <c r="I3390" t="b">
        <f>COUNTIF(Estadísticas!I:I,'centraldecomunicacion.es'!H3390)&gt;0</f>
        <v>0</v>
      </c>
    </row>
    <row r="3391" spans="1:9" hidden="1">
      <c r="A3391" s="1" t="s">
        <v>12354</v>
      </c>
      <c r="B3391" s="1" t="s">
        <v>10</v>
      </c>
      <c r="C3391" s="1" t="s">
        <v>30</v>
      </c>
      <c r="D3391" s="1" t="s">
        <v>12216</v>
      </c>
      <c r="E3391" s="1" t="s">
        <v>30</v>
      </c>
      <c r="F3391" s="1" t="s">
        <v>12217</v>
      </c>
      <c r="G3391" s="1" t="s">
        <v>12218</v>
      </c>
      <c r="H3391" s="1" t="s">
        <v>12219</v>
      </c>
      <c r="I3391" t="b">
        <f>COUNTIF(Estadísticas!I:I,'centraldecomunicacion.es'!H3391)&gt;0</f>
        <v>0</v>
      </c>
    </row>
    <row r="3392" spans="1:9" hidden="1">
      <c r="A3392" s="1" t="s">
        <v>12355</v>
      </c>
      <c r="B3392" s="1" t="s">
        <v>10</v>
      </c>
      <c r="C3392" s="1" t="s">
        <v>12356</v>
      </c>
      <c r="D3392" s="1" t="s">
        <v>12357</v>
      </c>
      <c r="E3392" s="1" t="s">
        <v>324</v>
      </c>
      <c r="F3392" s="1" t="s">
        <v>30</v>
      </c>
      <c r="G3392" s="1" t="s">
        <v>12358</v>
      </c>
      <c r="H3392" s="1" t="s">
        <v>1762</v>
      </c>
      <c r="I3392" t="b">
        <f>COUNTIF(Estadísticas!I:I,'centraldecomunicacion.es'!H3392)&gt;0</f>
        <v>0</v>
      </c>
    </row>
    <row r="3393" spans="1:9" hidden="1">
      <c r="A3393" s="1" t="s">
        <v>12359</v>
      </c>
      <c r="B3393" s="1" t="s">
        <v>10</v>
      </c>
      <c r="C3393" s="1" t="s">
        <v>12360</v>
      </c>
      <c r="D3393" s="1" t="s">
        <v>12240</v>
      </c>
      <c r="E3393" s="1" t="s">
        <v>1208</v>
      </c>
      <c r="F3393" s="1" t="s">
        <v>30</v>
      </c>
      <c r="G3393" s="1" t="s">
        <v>30</v>
      </c>
      <c r="H3393" s="1" t="s">
        <v>1762</v>
      </c>
      <c r="I3393" t="b">
        <f>COUNTIF(Estadísticas!I:I,'centraldecomunicacion.es'!H3393)&gt;0</f>
        <v>0</v>
      </c>
    </row>
    <row r="3394" spans="1:9" hidden="1">
      <c r="A3394" s="1" t="s">
        <v>12361</v>
      </c>
      <c r="B3394" s="1" t="s">
        <v>10</v>
      </c>
      <c r="C3394" s="1" t="s">
        <v>12362</v>
      </c>
      <c r="D3394" s="1" t="s">
        <v>1231</v>
      </c>
      <c r="E3394" s="1" t="s">
        <v>1208</v>
      </c>
      <c r="F3394" s="1" t="s">
        <v>30</v>
      </c>
      <c r="G3394" s="1" t="s">
        <v>30</v>
      </c>
      <c r="H3394" s="1" t="s">
        <v>1762</v>
      </c>
      <c r="I3394" t="b">
        <f>COUNTIF(Estadísticas!I:I,'centraldecomunicacion.es'!H3394)&gt;0</f>
        <v>0</v>
      </c>
    </row>
    <row r="3395" spans="1:9" hidden="1">
      <c r="A3395" s="1" t="s">
        <v>12363</v>
      </c>
      <c r="B3395" s="1" t="s">
        <v>10</v>
      </c>
      <c r="C3395" s="1" t="s">
        <v>30</v>
      </c>
      <c r="D3395" s="1" t="s">
        <v>12216</v>
      </c>
      <c r="E3395" s="1" t="s">
        <v>30</v>
      </c>
      <c r="F3395" s="1" t="s">
        <v>12268</v>
      </c>
      <c r="G3395" s="1" t="s">
        <v>4714</v>
      </c>
      <c r="H3395" s="1" t="s">
        <v>12269</v>
      </c>
      <c r="I3395" t="b">
        <f>COUNTIF(Estadísticas!I:I,'centraldecomunicacion.es'!H3395)&gt;0</f>
        <v>0</v>
      </c>
    </row>
    <row r="3396" spans="1:9" hidden="1">
      <c r="A3396" s="1" t="s">
        <v>12364</v>
      </c>
      <c r="B3396" s="1" t="s">
        <v>10</v>
      </c>
      <c r="C3396" s="1" t="s">
        <v>12365</v>
      </c>
      <c r="D3396" s="1" t="s">
        <v>1207</v>
      </c>
      <c r="E3396" s="1" t="s">
        <v>1208</v>
      </c>
      <c r="F3396" s="1" t="s">
        <v>30</v>
      </c>
      <c r="G3396" s="1" t="s">
        <v>30</v>
      </c>
      <c r="H3396" s="1" t="s">
        <v>1762</v>
      </c>
      <c r="I3396" t="b">
        <f>COUNTIF(Estadísticas!I:I,'centraldecomunicacion.es'!H3396)&gt;0</f>
        <v>0</v>
      </c>
    </row>
    <row r="3397" spans="1:9" hidden="1">
      <c r="A3397" s="1" t="s">
        <v>12366</v>
      </c>
      <c r="B3397" s="1" t="s">
        <v>10</v>
      </c>
      <c r="C3397" s="1" t="s">
        <v>12367</v>
      </c>
      <c r="D3397" s="1" t="s">
        <v>1207</v>
      </c>
      <c r="E3397" s="1" t="s">
        <v>324</v>
      </c>
      <c r="F3397" s="1" t="s">
        <v>1984</v>
      </c>
      <c r="G3397" s="1" t="s">
        <v>12368</v>
      </c>
      <c r="H3397" s="1" t="s">
        <v>1762</v>
      </c>
      <c r="I3397" t="b">
        <f>COUNTIF(Estadísticas!I:I,'centraldecomunicacion.es'!H3397)&gt;0</f>
        <v>0</v>
      </c>
    </row>
    <row r="3398" spans="1:9" hidden="1">
      <c r="A3398" s="1" t="s">
        <v>12369</v>
      </c>
      <c r="B3398" s="1" t="s">
        <v>10</v>
      </c>
      <c r="C3398" s="1" t="s">
        <v>12370</v>
      </c>
      <c r="D3398" s="1" t="s">
        <v>1231</v>
      </c>
      <c r="E3398" s="1" t="s">
        <v>1208</v>
      </c>
      <c r="F3398" s="1" t="s">
        <v>30</v>
      </c>
      <c r="G3398" s="1" t="s">
        <v>12371</v>
      </c>
      <c r="H3398" s="1" t="s">
        <v>1762</v>
      </c>
      <c r="I3398" t="b">
        <f>COUNTIF(Estadísticas!I:I,'centraldecomunicacion.es'!H3398)&gt;0</f>
        <v>0</v>
      </c>
    </row>
    <row r="3399" spans="1:9" hidden="1">
      <c r="A3399" s="1" t="s">
        <v>12372</v>
      </c>
      <c r="B3399" s="1" t="s">
        <v>10</v>
      </c>
      <c r="C3399" s="1" t="s">
        <v>12373</v>
      </c>
      <c r="D3399" s="1" t="s">
        <v>12161</v>
      </c>
      <c r="E3399" s="1" t="s">
        <v>324</v>
      </c>
      <c r="F3399" s="1" t="s">
        <v>30</v>
      </c>
      <c r="G3399" s="1" t="s">
        <v>12374</v>
      </c>
      <c r="H3399" s="1" t="s">
        <v>1762</v>
      </c>
      <c r="I3399" t="b">
        <f>COUNTIF(Estadísticas!I:I,'centraldecomunicacion.es'!H3399)&gt;0</f>
        <v>0</v>
      </c>
    </row>
    <row r="3400" spans="1:9" hidden="1">
      <c r="A3400" s="1" t="s">
        <v>12375</v>
      </c>
      <c r="B3400" s="1" t="s">
        <v>10</v>
      </c>
      <c r="C3400" s="1" t="s">
        <v>12376</v>
      </c>
      <c r="D3400" s="1" t="s">
        <v>1231</v>
      </c>
      <c r="E3400" s="1" t="s">
        <v>1208</v>
      </c>
      <c r="F3400" s="1" t="s">
        <v>30</v>
      </c>
      <c r="G3400" s="1" t="s">
        <v>30</v>
      </c>
      <c r="H3400" s="1" t="s">
        <v>1762</v>
      </c>
      <c r="I3400" t="b">
        <f>COUNTIF(Estadísticas!I:I,'centraldecomunicacion.es'!H3400)&gt;0</f>
        <v>0</v>
      </c>
    </row>
    <row r="3401" spans="1:9" hidden="1">
      <c r="A3401" s="1" t="s">
        <v>12377</v>
      </c>
      <c r="B3401" s="1" t="s">
        <v>18</v>
      </c>
      <c r="C3401" s="1" t="s">
        <v>12378</v>
      </c>
      <c r="D3401" s="1" t="s">
        <v>1207</v>
      </c>
      <c r="E3401" s="1" t="s">
        <v>324</v>
      </c>
      <c r="F3401" s="1" t="s">
        <v>30</v>
      </c>
      <c r="G3401" s="1" t="s">
        <v>30</v>
      </c>
      <c r="H3401" s="1" t="s">
        <v>1762</v>
      </c>
      <c r="I3401" t="b">
        <f>COUNTIF(Estadísticas!I:I,'centraldecomunicacion.es'!H3401)&gt;0</f>
        <v>0</v>
      </c>
    </row>
    <row r="3402" spans="1:9" hidden="1">
      <c r="A3402" s="1" t="s">
        <v>12379</v>
      </c>
      <c r="B3402" s="1" t="s">
        <v>10</v>
      </c>
      <c r="C3402" s="1" t="s">
        <v>12380</v>
      </c>
      <c r="D3402" s="1" t="s">
        <v>12381</v>
      </c>
      <c r="E3402" s="1" t="s">
        <v>12382</v>
      </c>
      <c r="F3402" s="1" t="s">
        <v>30</v>
      </c>
      <c r="G3402" s="1" t="s">
        <v>12383</v>
      </c>
      <c r="H3402" s="1" t="s">
        <v>1762</v>
      </c>
      <c r="I3402" t="b">
        <f>COUNTIF(Estadísticas!I:I,'centraldecomunicacion.es'!H3402)&gt;0</f>
        <v>0</v>
      </c>
    </row>
    <row r="3403" spans="1:9" hidden="1">
      <c r="A3403" s="1" t="s">
        <v>12384</v>
      </c>
      <c r="B3403" s="1" t="s">
        <v>10</v>
      </c>
      <c r="C3403" s="1" t="s">
        <v>12385</v>
      </c>
      <c r="D3403" s="1" t="s">
        <v>1207</v>
      </c>
      <c r="E3403" s="1" t="s">
        <v>1208</v>
      </c>
      <c r="F3403" s="1" t="s">
        <v>30</v>
      </c>
      <c r="G3403" s="1" t="s">
        <v>12386</v>
      </c>
      <c r="H3403" s="1" t="s">
        <v>1762</v>
      </c>
      <c r="I3403" t="b">
        <f>COUNTIF(Estadísticas!I:I,'centraldecomunicacion.es'!H3403)&gt;0</f>
        <v>0</v>
      </c>
    </row>
    <row r="3404" spans="1:9" hidden="1">
      <c r="A3404" s="1" t="s">
        <v>12387</v>
      </c>
      <c r="B3404" s="1" t="s">
        <v>10</v>
      </c>
      <c r="C3404" s="1" t="s">
        <v>12388</v>
      </c>
      <c r="D3404" s="1" t="s">
        <v>1207</v>
      </c>
      <c r="E3404" s="1" t="s">
        <v>1208</v>
      </c>
      <c r="F3404" s="1" t="s">
        <v>30</v>
      </c>
      <c r="G3404" s="1" t="s">
        <v>12389</v>
      </c>
      <c r="H3404" s="1" t="s">
        <v>1762</v>
      </c>
      <c r="I3404" t="b">
        <f>COUNTIF(Estadísticas!I:I,'centraldecomunicacion.es'!H3404)&gt;0</f>
        <v>0</v>
      </c>
    </row>
    <row r="3405" spans="1:9" hidden="1">
      <c r="A3405" s="1" t="s">
        <v>12390</v>
      </c>
      <c r="B3405" s="1" t="s">
        <v>10</v>
      </c>
      <c r="C3405" s="1" t="s">
        <v>12391</v>
      </c>
      <c r="D3405" s="1" t="s">
        <v>323</v>
      </c>
      <c r="E3405" s="1" t="s">
        <v>1208</v>
      </c>
      <c r="F3405" s="1" t="s">
        <v>30</v>
      </c>
      <c r="G3405" s="1" t="s">
        <v>12392</v>
      </c>
      <c r="H3405" s="1" t="s">
        <v>1762</v>
      </c>
      <c r="I3405" t="b">
        <f>COUNTIF(Estadísticas!I:I,'centraldecomunicacion.es'!H3405)&gt;0</f>
        <v>0</v>
      </c>
    </row>
    <row r="3406" spans="1:9" hidden="1">
      <c r="A3406" s="1" t="s">
        <v>12393</v>
      </c>
      <c r="B3406" s="1" t="s">
        <v>10</v>
      </c>
      <c r="C3406" s="1" t="s">
        <v>12394</v>
      </c>
      <c r="D3406" s="1" t="s">
        <v>12175</v>
      </c>
      <c r="E3406" s="1" t="s">
        <v>324</v>
      </c>
      <c r="F3406" s="1" t="s">
        <v>12395</v>
      </c>
      <c r="G3406" s="1" t="s">
        <v>12396</v>
      </c>
      <c r="H3406" s="1" t="s">
        <v>12397</v>
      </c>
      <c r="I3406" t="b">
        <f>COUNTIF(Estadísticas!I:I,'centraldecomunicacion.es'!H3406)&gt;0</f>
        <v>0</v>
      </c>
    </row>
    <row r="3407" spans="1:9" hidden="1">
      <c r="A3407" s="1" t="s">
        <v>2848</v>
      </c>
      <c r="B3407" s="1" t="s">
        <v>10</v>
      </c>
      <c r="C3407" s="1" t="s">
        <v>12398</v>
      </c>
      <c r="D3407" s="1" t="s">
        <v>1207</v>
      </c>
      <c r="E3407" s="1" t="s">
        <v>1208</v>
      </c>
      <c r="F3407" s="1" t="s">
        <v>30</v>
      </c>
      <c r="G3407" s="1" t="s">
        <v>12399</v>
      </c>
      <c r="H3407" s="1" t="s">
        <v>1762</v>
      </c>
      <c r="I3407" t="b">
        <f>COUNTIF(Estadísticas!I:I,'centraldecomunicacion.es'!H3407)&gt;0</f>
        <v>0</v>
      </c>
    </row>
    <row r="3408" spans="1:9" hidden="1">
      <c r="A3408" s="1" t="s">
        <v>12400</v>
      </c>
      <c r="B3408" s="1" t="s">
        <v>10</v>
      </c>
      <c r="C3408" s="1" t="s">
        <v>12401</v>
      </c>
      <c r="D3408" s="1" t="s">
        <v>12402</v>
      </c>
      <c r="E3408" s="1" t="s">
        <v>1208</v>
      </c>
      <c r="F3408" s="1" t="s">
        <v>30</v>
      </c>
      <c r="G3408" s="1" t="s">
        <v>30</v>
      </c>
      <c r="H3408" s="1" t="s">
        <v>1762</v>
      </c>
      <c r="I3408" t="b">
        <f>COUNTIF(Estadísticas!I:I,'centraldecomunicacion.es'!H3408)&gt;0</f>
        <v>0</v>
      </c>
    </row>
    <row r="3409" spans="1:9" hidden="1">
      <c r="A3409" s="1" t="s">
        <v>12403</v>
      </c>
      <c r="B3409" s="1" t="s">
        <v>10</v>
      </c>
      <c r="C3409" s="1" t="s">
        <v>12404</v>
      </c>
      <c r="D3409" s="1" t="s">
        <v>1207</v>
      </c>
      <c r="E3409" s="1" t="s">
        <v>1208</v>
      </c>
      <c r="F3409" s="1" t="s">
        <v>12405</v>
      </c>
      <c r="G3409" s="1" t="s">
        <v>12406</v>
      </c>
      <c r="H3409" s="1" t="s">
        <v>12407</v>
      </c>
      <c r="I3409" t="b">
        <f>COUNTIF(Estadísticas!I:I,'centraldecomunicacion.es'!H3409)&gt;0</f>
        <v>0</v>
      </c>
    </row>
    <row r="3410" spans="1:9" hidden="1">
      <c r="A3410" s="1" t="s">
        <v>12408</v>
      </c>
      <c r="B3410" s="1" t="s">
        <v>10</v>
      </c>
      <c r="C3410" s="1" t="s">
        <v>12409</v>
      </c>
      <c r="D3410" s="1" t="s">
        <v>12410</v>
      </c>
      <c r="E3410" s="1" t="s">
        <v>324</v>
      </c>
      <c r="F3410" s="1" t="s">
        <v>30</v>
      </c>
      <c r="G3410" s="1" t="s">
        <v>12411</v>
      </c>
      <c r="H3410" s="1" t="s">
        <v>1762</v>
      </c>
      <c r="I3410" t="b">
        <f>COUNTIF(Estadísticas!I:I,'centraldecomunicacion.es'!H3410)&gt;0</f>
        <v>0</v>
      </c>
    </row>
    <row r="3411" spans="1:9" hidden="1">
      <c r="A3411" s="1" t="s">
        <v>12412</v>
      </c>
      <c r="B3411" s="1" t="s">
        <v>10</v>
      </c>
      <c r="C3411" s="1" t="s">
        <v>12413</v>
      </c>
      <c r="D3411" s="1" t="s">
        <v>12414</v>
      </c>
      <c r="E3411" s="1" t="s">
        <v>1208</v>
      </c>
      <c r="F3411" s="1" t="s">
        <v>30</v>
      </c>
      <c r="G3411" s="1" t="s">
        <v>12415</v>
      </c>
      <c r="H3411" s="1" t="s">
        <v>1762</v>
      </c>
      <c r="I3411" t="b">
        <f>COUNTIF(Estadísticas!I:I,'centraldecomunicacion.es'!H3411)&gt;0</f>
        <v>0</v>
      </c>
    </row>
    <row r="3412" spans="1:9" hidden="1">
      <c r="A3412" s="1" t="s">
        <v>12416</v>
      </c>
      <c r="B3412" s="1" t="s">
        <v>10</v>
      </c>
      <c r="C3412" s="1" t="s">
        <v>12417</v>
      </c>
      <c r="D3412" s="1" t="s">
        <v>1207</v>
      </c>
      <c r="E3412" s="1" t="s">
        <v>1208</v>
      </c>
      <c r="F3412" s="1" t="s">
        <v>30</v>
      </c>
      <c r="G3412" s="1" t="s">
        <v>30</v>
      </c>
      <c r="H3412" s="1" t="s">
        <v>1762</v>
      </c>
      <c r="I3412" t="b">
        <f>COUNTIF(Estadísticas!I:I,'centraldecomunicacion.es'!H3412)&gt;0</f>
        <v>0</v>
      </c>
    </row>
    <row r="3413" spans="1:9" hidden="1">
      <c r="A3413" s="1" t="s">
        <v>12418</v>
      </c>
      <c r="B3413" s="1" t="s">
        <v>10</v>
      </c>
      <c r="C3413" s="1" t="s">
        <v>12419</v>
      </c>
      <c r="D3413" s="1" t="s">
        <v>1207</v>
      </c>
      <c r="E3413" s="1" t="s">
        <v>1208</v>
      </c>
      <c r="F3413" s="1" t="s">
        <v>30</v>
      </c>
      <c r="G3413" s="1" t="s">
        <v>12420</v>
      </c>
      <c r="H3413" s="1" t="s">
        <v>1762</v>
      </c>
      <c r="I3413" t="b">
        <f>COUNTIF(Estadísticas!I:I,'centraldecomunicacion.es'!H3413)&gt;0</f>
        <v>0</v>
      </c>
    </row>
    <row r="3414" spans="1:9" hidden="1">
      <c r="A3414" s="1" t="s">
        <v>12421</v>
      </c>
      <c r="B3414" s="1" t="s">
        <v>10</v>
      </c>
      <c r="C3414" s="1" t="s">
        <v>12422</v>
      </c>
      <c r="D3414" s="1" t="s">
        <v>1207</v>
      </c>
      <c r="E3414" s="1" t="s">
        <v>1208</v>
      </c>
      <c r="F3414" s="1" t="s">
        <v>30</v>
      </c>
      <c r="G3414" s="1" t="s">
        <v>30</v>
      </c>
      <c r="H3414" s="1" t="s">
        <v>1762</v>
      </c>
      <c r="I3414" t="b">
        <f>COUNTIF(Estadísticas!I:I,'centraldecomunicacion.es'!H3414)&gt;0</f>
        <v>0</v>
      </c>
    </row>
    <row r="3415" spans="1:9" hidden="1">
      <c r="A3415" s="1" t="s">
        <v>2661</v>
      </c>
      <c r="B3415" s="1" t="s">
        <v>10</v>
      </c>
      <c r="C3415" s="1" t="s">
        <v>12423</v>
      </c>
      <c r="D3415" s="1" t="s">
        <v>12175</v>
      </c>
      <c r="E3415" s="1" t="s">
        <v>1208</v>
      </c>
      <c r="F3415" s="1" t="s">
        <v>30</v>
      </c>
      <c r="G3415" s="1" t="s">
        <v>30</v>
      </c>
      <c r="H3415" s="1" t="s">
        <v>1762</v>
      </c>
      <c r="I3415" t="b">
        <f>COUNTIF(Estadísticas!I:I,'centraldecomunicacion.es'!H3415)&gt;0</f>
        <v>0</v>
      </c>
    </row>
    <row r="3416" spans="1:9" hidden="1">
      <c r="A3416" s="1" t="s">
        <v>12424</v>
      </c>
      <c r="B3416" s="1" t="s">
        <v>10</v>
      </c>
      <c r="C3416" s="1" t="s">
        <v>12425</v>
      </c>
      <c r="D3416" s="1" t="s">
        <v>1225</v>
      </c>
      <c r="E3416" s="1" t="s">
        <v>324</v>
      </c>
      <c r="F3416" s="1" t="s">
        <v>30</v>
      </c>
      <c r="G3416" s="1" t="s">
        <v>30</v>
      </c>
      <c r="H3416" s="1" t="s">
        <v>1762</v>
      </c>
      <c r="I3416" t="b">
        <f>COUNTIF(Estadísticas!I:I,'centraldecomunicacion.es'!H3416)&gt;0</f>
        <v>0</v>
      </c>
    </row>
    <row r="3417" spans="1:9" hidden="1">
      <c r="A3417" s="1" t="s">
        <v>12426</v>
      </c>
      <c r="B3417" s="1" t="s">
        <v>10</v>
      </c>
      <c r="C3417" s="1" t="s">
        <v>12427</v>
      </c>
      <c r="D3417" s="1" t="s">
        <v>1207</v>
      </c>
      <c r="E3417" s="1" t="s">
        <v>1208</v>
      </c>
      <c r="F3417" s="1" t="s">
        <v>30</v>
      </c>
      <c r="G3417" s="1" t="s">
        <v>12428</v>
      </c>
      <c r="H3417" s="1" t="s">
        <v>1762</v>
      </c>
      <c r="I3417" t="b">
        <f>COUNTIF(Estadísticas!I:I,'centraldecomunicacion.es'!H3417)&gt;0</f>
        <v>0</v>
      </c>
    </row>
    <row r="3418" spans="1:9" hidden="1">
      <c r="A3418" s="1" t="s">
        <v>12429</v>
      </c>
      <c r="B3418" s="1" t="s">
        <v>10</v>
      </c>
      <c r="C3418" s="1" t="s">
        <v>12430</v>
      </c>
      <c r="D3418" s="1" t="s">
        <v>1231</v>
      </c>
      <c r="E3418" s="1" t="s">
        <v>1208</v>
      </c>
      <c r="F3418" s="1" t="s">
        <v>12431</v>
      </c>
      <c r="G3418" s="1" t="s">
        <v>12432</v>
      </c>
      <c r="H3418" s="1" t="s">
        <v>1762</v>
      </c>
      <c r="I3418" t="b">
        <f>COUNTIF(Estadísticas!I:I,'centraldecomunicacion.es'!H3418)&gt;0</f>
        <v>0</v>
      </c>
    </row>
    <row r="3419" spans="1:9" hidden="1">
      <c r="A3419" s="1" t="s">
        <v>12433</v>
      </c>
      <c r="B3419" s="1" t="s">
        <v>10</v>
      </c>
      <c r="C3419" s="1" t="s">
        <v>12434</v>
      </c>
      <c r="D3419" s="1" t="s">
        <v>1214</v>
      </c>
      <c r="E3419" s="1" t="s">
        <v>1208</v>
      </c>
      <c r="F3419" s="1" t="s">
        <v>30</v>
      </c>
      <c r="G3419" s="1" t="s">
        <v>12435</v>
      </c>
      <c r="H3419" s="1" t="s">
        <v>1762</v>
      </c>
      <c r="I3419" t="b">
        <f>COUNTIF(Estadísticas!I:I,'centraldecomunicacion.es'!H3419)&gt;0</f>
        <v>0</v>
      </c>
    </row>
    <row r="3420" spans="1:9" hidden="1">
      <c r="A3420" s="1" t="s">
        <v>12436</v>
      </c>
      <c r="B3420" s="1" t="s">
        <v>10</v>
      </c>
      <c r="C3420" s="1" t="s">
        <v>12437</v>
      </c>
      <c r="D3420" s="1" t="s">
        <v>12216</v>
      </c>
      <c r="E3420" s="1" t="s">
        <v>1208</v>
      </c>
      <c r="F3420" s="1" t="s">
        <v>30</v>
      </c>
      <c r="G3420" s="1" t="s">
        <v>30</v>
      </c>
      <c r="H3420" s="1" t="s">
        <v>1762</v>
      </c>
      <c r="I3420" t="b">
        <f>COUNTIF(Estadísticas!I:I,'centraldecomunicacion.es'!H3420)&gt;0</f>
        <v>0</v>
      </c>
    </row>
    <row r="3421" spans="1:9" hidden="1">
      <c r="A3421" s="1" t="s">
        <v>12438</v>
      </c>
      <c r="B3421" s="1" t="s">
        <v>10</v>
      </c>
      <c r="C3421" s="1" t="s">
        <v>12439</v>
      </c>
      <c r="D3421" s="1" t="s">
        <v>1207</v>
      </c>
      <c r="E3421" s="1" t="s">
        <v>1208</v>
      </c>
      <c r="F3421" s="1" t="s">
        <v>1864</v>
      </c>
      <c r="G3421" s="1" t="s">
        <v>1865</v>
      </c>
      <c r="H3421" s="1" t="s">
        <v>1762</v>
      </c>
      <c r="I3421" t="b">
        <f>COUNTIF(Estadísticas!I:I,'centraldecomunicacion.es'!H3421)&gt;0</f>
        <v>0</v>
      </c>
    </row>
    <row r="3422" spans="1:9" hidden="1">
      <c r="A3422" s="1" t="s">
        <v>12440</v>
      </c>
      <c r="B3422" s="1" t="s">
        <v>10</v>
      </c>
      <c r="C3422" s="1" t="s">
        <v>12441</v>
      </c>
      <c r="D3422" s="1" t="s">
        <v>1231</v>
      </c>
      <c r="E3422" s="1" t="s">
        <v>1208</v>
      </c>
      <c r="F3422" s="1" t="s">
        <v>30</v>
      </c>
      <c r="G3422" s="1" t="s">
        <v>12442</v>
      </c>
      <c r="H3422" s="1" t="s">
        <v>1762</v>
      </c>
      <c r="I3422" t="b">
        <f>COUNTIF(Estadísticas!I:I,'centraldecomunicacion.es'!H3422)&gt;0</f>
        <v>0</v>
      </c>
    </row>
    <row r="3423" spans="1:9" hidden="1">
      <c r="A3423" s="1" t="s">
        <v>12443</v>
      </c>
      <c r="B3423" s="1" t="s">
        <v>10</v>
      </c>
      <c r="C3423" s="1" t="s">
        <v>12444</v>
      </c>
      <c r="D3423" s="1" t="s">
        <v>1214</v>
      </c>
      <c r="E3423" s="1" t="s">
        <v>1208</v>
      </c>
      <c r="F3423" s="1" t="s">
        <v>30</v>
      </c>
      <c r="G3423" s="1" t="s">
        <v>30</v>
      </c>
      <c r="H3423" s="1" t="s">
        <v>1762</v>
      </c>
      <c r="I3423" t="b">
        <f>COUNTIF(Estadísticas!I:I,'centraldecomunicacion.es'!H3423)&gt;0</f>
        <v>0</v>
      </c>
    </row>
    <row r="3424" spans="1:9" hidden="1">
      <c r="A3424" s="1" t="s">
        <v>12445</v>
      </c>
      <c r="B3424" s="1" t="s">
        <v>10</v>
      </c>
      <c r="C3424" s="1" t="s">
        <v>12446</v>
      </c>
      <c r="D3424" s="1" t="s">
        <v>12323</v>
      </c>
      <c r="E3424" s="1" t="s">
        <v>1208</v>
      </c>
      <c r="F3424" s="1" t="s">
        <v>12447</v>
      </c>
      <c r="G3424" s="1" t="s">
        <v>12448</v>
      </c>
      <c r="H3424" s="1" t="s">
        <v>12449</v>
      </c>
      <c r="I3424" t="b">
        <f>COUNTIF(Estadísticas!I:I,'centraldecomunicacion.es'!H3424)&gt;0</f>
        <v>0</v>
      </c>
    </row>
    <row r="3425" spans="1:9" hidden="1">
      <c r="A3425" s="1" t="s">
        <v>12450</v>
      </c>
      <c r="B3425" s="1" t="s">
        <v>10</v>
      </c>
      <c r="C3425" s="1" t="s">
        <v>12451</v>
      </c>
      <c r="D3425" s="1" t="s">
        <v>12452</v>
      </c>
      <c r="E3425" s="1" t="s">
        <v>324</v>
      </c>
      <c r="F3425" s="1" t="s">
        <v>30</v>
      </c>
      <c r="G3425" s="1" t="s">
        <v>12453</v>
      </c>
      <c r="H3425" s="1" t="s">
        <v>1762</v>
      </c>
      <c r="I3425" t="b">
        <f>COUNTIF(Estadísticas!I:I,'centraldecomunicacion.es'!H3425)&gt;0</f>
        <v>0</v>
      </c>
    </row>
    <row r="3426" spans="1:9" hidden="1">
      <c r="A3426" s="1" t="s">
        <v>12454</v>
      </c>
      <c r="B3426" s="1" t="s">
        <v>10</v>
      </c>
      <c r="C3426" s="1" t="s">
        <v>12455</v>
      </c>
      <c r="D3426" s="1" t="s">
        <v>1225</v>
      </c>
      <c r="E3426" s="1" t="s">
        <v>1208</v>
      </c>
      <c r="F3426" s="1" t="s">
        <v>30</v>
      </c>
      <c r="G3426" s="1" t="s">
        <v>12456</v>
      </c>
      <c r="H3426" s="1" t="s">
        <v>1762</v>
      </c>
      <c r="I3426" t="b">
        <f>COUNTIF(Estadísticas!I:I,'centraldecomunicacion.es'!H3426)&gt;0</f>
        <v>0</v>
      </c>
    </row>
    <row r="3427" spans="1:9" hidden="1">
      <c r="A3427" s="1" t="s">
        <v>12457</v>
      </c>
      <c r="B3427" s="1" t="s">
        <v>10</v>
      </c>
      <c r="C3427" s="1" t="s">
        <v>12458</v>
      </c>
      <c r="D3427" s="1" t="s">
        <v>12175</v>
      </c>
      <c r="E3427" s="1" t="s">
        <v>1208</v>
      </c>
      <c r="F3427" s="1" t="s">
        <v>30</v>
      </c>
      <c r="G3427" s="1" t="s">
        <v>12459</v>
      </c>
      <c r="H3427" s="1" t="s">
        <v>1762</v>
      </c>
      <c r="I3427" t="b">
        <f>COUNTIF(Estadísticas!I:I,'centraldecomunicacion.es'!H3427)&gt;0</f>
        <v>0</v>
      </c>
    </row>
    <row r="3428" spans="1:9" hidden="1">
      <c r="A3428" s="1" t="s">
        <v>12460</v>
      </c>
      <c r="B3428" s="1" t="s">
        <v>18</v>
      </c>
      <c r="C3428" s="1" t="s">
        <v>12461</v>
      </c>
      <c r="D3428" s="1" t="s">
        <v>1207</v>
      </c>
      <c r="E3428" s="1" t="s">
        <v>324</v>
      </c>
      <c r="F3428" s="1" t="s">
        <v>12462</v>
      </c>
      <c r="G3428" s="1" t="s">
        <v>12463</v>
      </c>
      <c r="H3428" s="1" t="s">
        <v>12464</v>
      </c>
      <c r="I3428" t="b">
        <f>COUNTIF(Estadísticas!I:I,'centraldecomunicacion.es'!H3428)&gt;0</f>
        <v>0</v>
      </c>
    </row>
    <row r="3429" spans="1:9" hidden="1">
      <c r="A3429" s="1" t="s">
        <v>12465</v>
      </c>
      <c r="B3429" s="1" t="s">
        <v>10</v>
      </c>
      <c r="C3429" s="1" t="s">
        <v>12466</v>
      </c>
      <c r="D3429" s="1" t="s">
        <v>1207</v>
      </c>
      <c r="E3429" s="1" t="s">
        <v>1208</v>
      </c>
      <c r="F3429" s="1" t="s">
        <v>30</v>
      </c>
      <c r="G3429" s="1" t="s">
        <v>30</v>
      </c>
      <c r="H3429" s="1" t="s">
        <v>1762</v>
      </c>
      <c r="I3429" t="b">
        <f>COUNTIF(Estadísticas!I:I,'centraldecomunicacion.es'!H3429)&gt;0</f>
        <v>0</v>
      </c>
    </row>
    <row r="3430" spans="1:9" hidden="1">
      <c r="A3430" s="1" t="s">
        <v>12467</v>
      </c>
      <c r="B3430" s="1" t="s">
        <v>10</v>
      </c>
      <c r="C3430" s="1" t="s">
        <v>12468</v>
      </c>
      <c r="D3430" s="1" t="s">
        <v>1225</v>
      </c>
      <c r="E3430" s="1" t="s">
        <v>1208</v>
      </c>
      <c r="F3430" s="1" t="s">
        <v>30</v>
      </c>
      <c r="G3430" s="1" t="s">
        <v>12469</v>
      </c>
      <c r="H3430" s="1" t="s">
        <v>1762</v>
      </c>
      <c r="I3430" t="b">
        <f>COUNTIF(Estadísticas!I:I,'centraldecomunicacion.es'!H3430)&gt;0</f>
        <v>0</v>
      </c>
    </row>
    <row r="3431" spans="1:9" hidden="1">
      <c r="A3431" s="1" t="s">
        <v>12470</v>
      </c>
      <c r="B3431" s="1" t="s">
        <v>10</v>
      </c>
      <c r="C3431" s="1" t="s">
        <v>12471</v>
      </c>
      <c r="D3431" s="1" t="s">
        <v>1207</v>
      </c>
      <c r="E3431" s="1" t="s">
        <v>1208</v>
      </c>
      <c r="F3431" s="1" t="s">
        <v>30</v>
      </c>
      <c r="G3431" s="1" t="s">
        <v>12472</v>
      </c>
      <c r="H3431" s="1" t="s">
        <v>1762</v>
      </c>
      <c r="I3431" t="b">
        <f>COUNTIF(Estadísticas!I:I,'centraldecomunicacion.es'!H3431)&gt;0</f>
        <v>0</v>
      </c>
    </row>
    <row r="3432" spans="1:9" hidden="1">
      <c r="A3432" s="1" t="s">
        <v>12473</v>
      </c>
      <c r="B3432" s="1" t="s">
        <v>10</v>
      </c>
      <c r="C3432" s="1" t="s">
        <v>12474</v>
      </c>
      <c r="D3432" s="1" t="s">
        <v>1225</v>
      </c>
      <c r="E3432" s="1" t="s">
        <v>1208</v>
      </c>
      <c r="F3432" s="1" t="s">
        <v>30</v>
      </c>
      <c r="G3432" s="1" t="s">
        <v>30</v>
      </c>
      <c r="H3432" s="1" t="s">
        <v>1762</v>
      </c>
      <c r="I3432" t="b">
        <f>COUNTIF(Estadísticas!I:I,'centraldecomunicacion.es'!H3432)&gt;0</f>
        <v>0</v>
      </c>
    </row>
    <row r="3433" spans="1:9" hidden="1">
      <c r="A3433" s="1" t="s">
        <v>12475</v>
      </c>
      <c r="B3433" s="1" t="s">
        <v>10</v>
      </c>
      <c r="C3433" s="1" t="s">
        <v>12476</v>
      </c>
      <c r="D3433" s="1" t="s">
        <v>12477</v>
      </c>
      <c r="E3433" s="1" t="s">
        <v>1208</v>
      </c>
      <c r="F3433" s="1" t="s">
        <v>30</v>
      </c>
      <c r="G3433" s="1" t="s">
        <v>12478</v>
      </c>
      <c r="H3433" s="1" t="s">
        <v>1762</v>
      </c>
      <c r="I3433" t="b">
        <f>COUNTIF(Estadísticas!I:I,'centraldecomunicacion.es'!H3433)&gt;0</f>
        <v>0</v>
      </c>
    </row>
    <row r="3434" spans="1:9" hidden="1">
      <c r="A3434" s="1" t="s">
        <v>12479</v>
      </c>
      <c r="B3434" s="1" t="s">
        <v>10</v>
      </c>
      <c r="C3434" s="1" t="s">
        <v>12480</v>
      </c>
      <c r="D3434" s="1" t="s">
        <v>12481</v>
      </c>
      <c r="E3434" s="1" t="s">
        <v>324</v>
      </c>
      <c r="F3434" s="1" t="s">
        <v>30</v>
      </c>
      <c r="G3434" s="1" t="s">
        <v>30</v>
      </c>
      <c r="H3434" s="1" t="s">
        <v>1762</v>
      </c>
      <c r="I3434" t="b">
        <f>COUNTIF(Estadísticas!I:I,'centraldecomunicacion.es'!H3434)&gt;0</f>
        <v>0</v>
      </c>
    </row>
    <row r="3435" spans="1:9" hidden="1">
      <c r="A3435" s="1" t="s">
        <v>12482</v>
      </c>
      <c r="B3435" s="1" t="s">
        <v>10</v>
      </c>
      <c r="C3435" s="1" t="s">
        <v>12483</v>
      </c>
      <c r="D3435" s="1" t="s">
        <v>1231</v>
      </c>
      <c r="E3435" s="1" t="s">
        <v>1208</v>
      </c>
      <c r="F3435" s="1" t="s">
        <v>12484</v>
      </c>
      <c r="G3435" s="1" t="s">
        <v>12485</v>
      </c>
      <c r="H3435" s="1" t="s">
        <v>12486</v>
      </c>
      <c r="I3435" t="b">
        <f>COUNTIF(Estadísticas!I:I,'centraldecomunicacion.es'!H3435)&gt;0</f>
        <v>0</v>
      </c>
    </row>
    <row r="3436" spans="1:9" hidden="1">
      <c r="A3436" s="1" t="s">
        <v>12487</v>
      </c>
      <c r="B3436" s="1" t="s">
        <v>10</v>
      </c>
      <c r="C3436" s="1" t="s">
        <v>12488</v>
      </c>
      <c r="D3436" s="1" t="s">
        <v>12181</v>
      </c>
      <c r="E3436" s="1" t="s">
        <v>324</v>
      </c>
      <c r="F3436" s="1" t="s">
        <v>12489</v>
      </c>
      <c r="G3436" s="1" t="s">
        <v>12490</v>
      </c>
      <c r="H3436" s="1" t="s">
        <v>1762</v>
      </c>
      <c r="I3436" t="b">
        <f>COUNTIF(Estadísticas!I:I,'centraldecomunicacion.es'!H3436)&gt;0</f>
        <v>0</v>
      </c>
    </row>
    <row r="3437" spans="1:9" hidden="1">
      <c r="A3437" s="1" t="s">
        <v>12491</v>
      </c>
      <c r="B3437" s="1" t="s">
        <v>10</v>
      </c>
      <c r="C3437" s="1" t="s">
        <v>12492</v>
      </c>
      <c r="D3437" s="1" t="s">
        <v>1207</v>
      </c>
      <c r="E3437" s="1" t="s">
        <v>1208</v>
      </c>
      <c r="F3437" s="1" t="s">
        <v>30</v>
      </c>
      <c r="G3437" s="1" t="s">
        <v>30</v>
      </c>
      <c r="H3437" s="1" t="s">
        <v>1762</v>
      </c>
      <c r="I3437" t="b">
        <f>COUNTIF(Estadísticas!I:I,'centraldecomunicacion.es'!H3437)&gt;0</f>
        <v>0</v>
      </c>
    </row>
    <row r="3438" spans="1:9" hidden="1">
      <c r="A3438" s="1" t="s">
        <v>12493</v>
      </c>
      <c r="B3438" s="1" t="s">
        <v>10</v>
      </c>
      <c r="C3438" s="1" t="s">
        <v>12494</v>
      </c>
      <c r="D3438" s="1" t="s">
        <v>12495</v>
      </c>
      <c r="E3438" s="1" t="s">
        <v>1208</v>
      </c>
      <c r="F3438" s="1" t="s">
        <v>30</v>
      </c>
      <c r="G3438" s="1" t="s">
        <v>12496</v>
      </c>
      <c r="H3438" s="1" t="s">
        <v>1762</v>
      </c>
      <c r="I3438" t="b">
        <f>COUNTIF(Estadísticas!I:I,'centraldecomunicacion.es'!H3438)&gt;0</f>
        <v>0</v>
      </c>
    </row>
    <row r="3439" spans="1:9" hidden="1">
      <c r="A3439" s="1" t="s">
        <v>12497</v>
      </c>
      <c r="B3439" s="1" t="s">
        <v>10</v>
      </c>
      <c r="C3439" s="1" t="s">
        <v>12498</v>
      </c>
      <c r="D3439" s="1" t="s">
        <v>12175</v>
      </c>
      <c r="E3439" s="1" t="s">
        <v>1208</v>
      </c>
      <c r="F3439" s="1" t="s">
        <v>30</v>
      </c>
      <c r="G3439" s="1" t="s">
        <v>30</v>
      </c>
      <c r="H3439" s="1" t="s">
        <v>1762</v>
      </c>
      <c r="I3439" t="b">
        <f>COUNTIF(Estadísticas!I:I,'centraldecomunicacion.es'!H3439)&gt;0</f>
        <v>0</v>
      </c>
    </row>
    <row r="3440" spans="1:9" hidden="1">
      <c r="A3440" s="1" t="s">
        <v>12499</v>
      </c>
      <c r="B3440" s="1" t="s">
        <v>10</v>
      </c>
      <c r="C3440" s="1" t="s">
        <v>12500</v>
      </c>
      <c r="D3440" s="1" t="s">
        <v>4779</v>
      </c>
      <c r="E3440" s="1" t="s">
        <v>1208</v>
      </c>
      <c r="F3440" s="1" t="s">
        <v>30</v>
      </c>
      <c r="G3440" s="1" t="s">
        <v>12501</v>
      </c>
      <c r="H3440" s="1" t="s">
        <v>1762</v>
      </c>
      <c r="I3440" t="b">
        <f>COUNTIF(Estadísticas!I:I,'centraldecomunicacion.es'!H3440)&gt;0</f>
        <v>0</v>
      </c>
    </row>
    <row r="3441" spans="1:9" hidden="1">
      <c r="A3441" s="1" t="s">
        <v>12502</v>
      </c>
      <c r="B3441" s="1" t="s">
        <v>10</v>
      </c>
      <c r="C3441" s="1" t="s">
        <v>12503</v>
      </c>
      <c r="D3441" s="1" t="s">
        <v>1214</v>
      </c>
      <c r="E3441" s="1" t="s">
        <v>1208</v>
      </c>
      <c r="F3441" s="1" t="s">
        <v>30</v>
      </c>
      <c r="G3441" s="1" t="s">
        <v>12504</v>
      </c>
      <c r="H3441" s="1" t="s">
        <v>1762</v>
      </c>
      <c r="I3441" t="b">
        <f>COUNTIF(Estadísticas!I:I,'centraldecomunicacion.es'!H3441)&gt;0</f>
        <v>0</v>
      </c>
    </row>
    <row r="3442" spans="1:9" hidden="1">
      <c r="A3442" s="1" t="s">
        <v>12505</v>
      </c>
      <c r="B3442" s="1" t="s">
        <v>10</v>
      </c>
      <c r="C3442" s="1" t="s">
        <v>12506</v>
      </c>
      <c r="D3442" s="1" t="s">
        <v>1225</v>
      </c>
      <c r="E3442" s="1" t="s">
        <v>324</v>
      </c>
      <c r="F3442" s="1" t="s">
        <v>12507</v>
      </c>
      <c r="G3442" s="1" t="s">
        <v>12508</v>
      </c>
      <c r="H3442" s="1" t="s">
        <v>1762</v>
      </c>
      <c r="I3442" t="b">
        <f>COUNTIF(Estadísticas!I:I,'centraldecomunicacion.es'!H3442)&gt;0</f>
        <v>0</v>
      </c>
    </row>
    <row r="3443" spans="1:9" hidden="1">
      <c r="A3443" s="1" t="s">
        <v>12509</v>
      </c>
      <c r="B3443" s="1" t="s">
        <v>10</v>
      </c>
      <c r="C3443" s="1" t="s">
        <v>12510</v>
      </c>
      <c r="D3443" s="1" t="s">
        <v>4779</v>
      </c>
      <c r="E3443" s="1" t="s">
        <v>1208</v>
      </c>
      <c r="F3443" s="1" t="s">
        <v>30</v>
      </c>
      <c r="G3443" s="1" t="s">
        <v>30</v>
      </c>
      <c r="H3443" s="1" t="s">
        <v>1762</v>
      </c>
      <c r="I3443" t="b">
        <f>COUNTIF(Estadísticas!I:I,'centraldecomunicacion.es'!H3443)&gt;0</f>
        <v>0</v>
      </c>
    </row>
    <row r="3444" spans="1:9" hidden="1">
      <c r="A3444" s="1" t="s">
        <v>12511</v>
      </c>
      <c r="B3444" s="1" t="s">
        <v>10</v>
      </c>
      <c r="C3444" s="1" t="s">
        <v>12512</v>
      </c>
      <c r="D3444" s="1" t="s">
        <v>1231</v>
      </c>
      <c r="E3444" s="1" t="s">
        <v>1208</v>
      </c>
      <c r="F3444" s="1" t="s">
        <v>30</v>
      </c>
      <c r="G3444" s="1" t="s">
        <v>12513</v>
      </c>
      <c r="H3444" s="1" t="s">
        <v>1762</v>
      </c>
      <c r="I3444" t="b">
        <f>COUNTIF(Estadísticas!I:I,'centraldecomunicacion.es'!H3444)&gt;0</f>
        <v>0</v>
      </c>
    </row>
    <row r="3445" spans="1:9" hidden="1">
      <c r="A3445" s="1" t="s">
        <v>12514</v>
      </c>
      <c r="B3445" s="1" t="s">
        <v>10</v>
      </c>
      <c r="C3445" s="1" t="s">
        <v>12515</v>
      </c>
      <c r="D3445" s="1" t="s">
        <v>12516</v>
      </c>
      <c r="E3445" s="1" t="s">
        <v>324</v>
      </c>
      <c r="F3445" s="1" t="s">
        <v>30</v>
      </c>
      <c r="G3445" s="1" t="s">
        <v>30</v>
      </c>
      <c r="H3445" s="1" t="s">
        <v>1762</v>
      </c>
      <c r="I3445" t="b">
        <f>COUNTIF(Estadísticas!I:I,'centraldecomunicacion.es'!H3445)&gt;0</f>
        <v>0</v>
      </c>
    </row>
    <row r="3446" spans="1:9" hidden="1">
      <c r="A3446" s="1" t="s">
        <v>12517</v>
      </c>
      <c r="B3446" s="1" t="s">
        <v>10</v>
      </c>
      <c r="C3446" s="1" t="s">
        <v>12518</v>
      </c>
      <c r="D3446" s="1" t="s">
        <v>1214</v>
      </c>
      <c r="E3446" s="1" t="s">
        <v>1208</v>
      </c>
      <c r="F3446" s="1" t="s">
        <v>30</v>
      </c>
      <c r="G3446" s="1" t="s">
        <v>30</v>
      </c>
      <c r="H3446" s="1" t="s">
        <v>1762</v>
      </c>
      <c r="I3446" t="b">
        <f>COUNTIF(Estadísticas!I:I,'centraldecomunicacion.es'!H3446)&gt;0</f>
        <v>0</v>
      </c>
    </row>
    <row r="3447" spans="1:9" hidden="1">
      <c r="A3447" s="1" t="s">
        <v>12519</v>
      </c>
      <c r="B3447" s="1" t="s">
        <v>18</v>
      </c>
      <c r="C3447" s="1" t="s">
        <v>12520</v>
      </c>
      <c r="D3447" s="1" t="s">
        <v>1207</v>
      </c>
      <c r="E3447" s="1" t="s">
        <v>1208</v>
      </c>
      <c r="F3447" s="1" t="s">
        <v>30</v>
      </c>
      <c r="G3447" s="1" t="s">
        <v>12521</v>
      </c>
      <c r="H3447" s="1" t="s">
        <v>1762</v>
      </c>
      <c r="I3447" t="b">
        <f>COUNTIF(Estadísticas!I:I,'centraldecomunicacion.es'!H3447)&gt;0</f>
        <v>0</v>
      </c>
    </row>
    <row r="3448" spans="1:9" hidden="1">
      <c r="A3448" s="1" t="s">
        <v>12522</v>
      </c>
      <c r="B3448" s="1" t="s">
        <v>10</v>
      </c>
      <c r="C3448" s="1" t="s">
        <v>12523</v>
      </c>
      <c r="D3448" s="1" t="s">
        <v>4762</v>
      </c>
      <c r="E3448" s="1" t="s">
        <v>1208</v>
      </c>
      <c r="F3448" s="1" t="s">
        <v>30</v>
      </c>
      <c r="G3448" s="1" t="s">
        <v>12524</v>
      </c>
      <c r="H3448" s="1" t="s">
        <v>1762</v>
      </c>
      <c r="I3448" t="b">
        <f>COUNTIF(Estadísticas!I:I,'centraldecomunicacion.es'!H3448)&gt;0</f>
        <v>0</v>
      </c>
    </row>
    <row r="3449" spans="1:9" hidden="1">
      <c r="A3449" s="1" t="s">
        <v>12525</v>
      </c>
      <c r="B3449" s="1" t="s">
        <v>10</v>
      </c>
      <c r="C3449" s="1" t="s">
        <v>12526</v>
      </c>
      <c r="D3449" s="1" t="s">
        <v>1207</v>
      </c>
      <c r="E3449" s="1" t="s">
        <v>1208</v>
      </c>
      <c r="F3449" s="1" t="s">
        <v>30</v>
      </c>
      <c r="G3449" s="1" t="s">
        <v>12527</v>
      </c>
      <c r="H3449" s="1" t="s">
        <v>1762</v>
      </c>
      <c r="I3449" t="b">
        <f>COUNTIF(Estadísticas!I:I,'centraldecomunicacion.es'!H3449)&gt;0</f>
        <v>0</v>
      </c>
    </row>
    <row r="3450" spans="1:9" hidden="1">
      <c r="A3450" s="1" t="s">
        <v>12528</v>
      </c>
      <c r="B3450" s="1" t="s">
        <v>10</v>
      </c>
      <c r="C3450" s="1" t="s">
        <v>12529</v>
      </c>
      <c r="D3450" s="1" t="s">
        <v>12181</v>
      </c>
      <c r="E3450" s="1" t="s">
        <v>1208</v>
      </c>
      <c r="F3450" s="1" t="s">
        <v>30</v>
      </c>
      <c r="G3450" s="1" t="s">
        <v>12530</v>
      </c>
      <c r="H3450" s="1" t="s">
        <v>1762</v>
      </c>
      <c r="I3450" t="b">
        <f>COUNTIF(Estadísticas!I:I,'centraldecomunicacion.es'!H3450)&gt;0</f>
        <v>0</v>
      </c>
    </row>
    <row r="3451" spans="1:9" hidden="1">
      <c r="A3451" s="1" t="s">
        <v>12531</v>
      </c>
      <c r="B3451" s="1" t="s">
        <v>10</v>
      </c>
      <c r="C3451" s="1" t="s">
        <v>12532</v>
      </c>
      <c r="D3451" s="1" t="s">
        <v>12402</v>
      </c>
      <c r="E3451" s="1" t="s">
        <v>1208</v>
      </c>
      <c r="F3451" s="1" t="s">
        <v>30</v>
      </c>
      <c r="G3451" s="1" t="s">
        <v>12533</v>
      </c>
      <c r="H3451" s="1" t="s">
        <v>1762</v>
      </c>
      <c r="I3451" t="b">
        <f>COUNTIF(Estadísticas!I:I,'centraldecomunicacion.es'!H3451)&gt;0</f>
        <v>0</v>
      </c>
    </row>
    <row r="3452" spans="1:9" hidden="1">
      <c r="A3452" s="1" t="s">
        <v>12534</v>
      </c>
      <c r="B3452" s="1" t="s">
        <v>10</v>
      </c>
      <c r="C3452" s="1" t="s">
        <v>12535</v>
      </c>
      <c r="D3452" s="1" t="s">
        <v>4762</v>
      </c>
      <c r="E3452" s="1" t="s">
        <v>1208</v>
      </c>
      <c r="F3452" s="1" t="s">
        <v>30</v>
      </c>
      <c r="G3452" s="1" t="s">
        <v>12536</v>
      </c>
      <c r="H3452" s="1" t="s">
        <v>1762</v>
      </c>
      <c r="I3452" t="b">
        <f>COUNTIF(Estadísticas!I:I,'centraldecomunicacion.es'!H3452)&gt;0</f>
        <v>0</v>
      </c>
    </row>
    <row r="3453" spans="1:9" hidden="1">
      <c r="A3453" s="1" t="s">
        <v>12537</v>
      </c>
      <c r="B3453" s="1" t="s">
        <v>10</v>
      </c>
      <c r="C3453" s="1" t="s">
        <v>12538</v>
      </c>
      <c r="D3453" s="1" t="s">
        <v>12539</v>
      </c>
      <c r="E3453" s="1" t="s">
        <v>324</v>
      </c>
      <c r="F3453" s="1" t="s">
        <v>30</v>
      </c>
      <c r="G3453" s="1" t="s">
        <v>30</v>
      </c>
      <c r="H3453" s="1" t="s">
        <v>1762</v>
      </c>
      <c r="I3453" t="b">
        <f>COUNTIF(Estadísticas!I:I,'centraldecomunicacion.es'!H3453)&gt;0</f>
        <v>0</v>
      </c>
    </row>
    <row r="3454" spans="1:9" hidden="1">
      <c r="A3454" s="1" t="s">
        <v>12540</v>
      </c>
      <c r="B3454" s="1" t="s">
        <v>10</v>
      </c>
      <c r="C3454" s="1" t="s">
        <v>12541</v>
      </c>
      <c r="D3454" s="1" t="s">
        <v>12495</v>
      </c>
      <c r="E3454" s="1" t="s">
        <v>324</v>
      </c>
      <c r="F3454" s="1" t="s">
        <v>1984</v>
      </c>
      <c r="G3454" s="1" t="s">
        <v>12542</v>
      </c>
      <c r="H3454" s="1" t="s">
        <v>1762</v>
      </c>
      <c r="I3454" t="b">
        <f>COUNTIF(Estadísticas!I:I,'centraldecomunicacion.es'!H3454)&gt;0</f>
        <v>0</v>
      </c>
    </row>
    <row r="3455" spans="1:9" hidden="1">
      <c r="A3455" s="1" t="s">
        <v>12543</v>
      </c>
      <c r="B3455" s="1" t="s">
        <v>10</v>
      </c>
      <c r="C3455" s="1" t="s">
        <v>12544</v>
      </c>
      <c r="D3455" s="1" t="s">
        <v>1214</v>
      </c>
      <c r="E3455" s="1" t="s">
        <v>1208</v>
      </c>
      <c r="F3455" s="1" t="s">
        <v>30</v>
      </c>
      <c r="G3455" s="1" t="s">
        <v>30</v>
      </c>
      <c r="H3455" s="1" t="s">
        <v>1762</v>
      </c>
      <c r="I3455" t="b">
        <f>COUNTIF(Estadísticas!I:I,'centraldecomunicacion.es'!H3455)&gt;0</f>
        <v>0</v>
      </c>
    </row>
    <row r="3456" spans="1:9" hidden="1">
      <c r="A3456" s="1" t="s">
        <v>12545</v>
      </c>
      <c r="B3456" s="1" t="s">
        <v>10</v>
      </c>
      <c r="C3456" s="1" t="s">
        <v>12546</v>
      </c>
      <c r="D3456" s="1" t="s">
        <v>1207</v>
      </c>
      <c r="E3456" s="1" t="s">
        <v>1208</v>
      </c>
      <c r="F3456" s="1" t="s">
        <v>30</v>
      </c>
      <c r="G3456" s="1" t="s">
        <v>12547</v>
      </c>
      <c r="H3456" s="1" t="s">
        <v>1762</v>
      </c>
      <c r="I3456" t="b">
        <f>COUNTIF(Estadísticas!I:I,'centraldecomunicacion.es'!H3456)&gt;0</f>
        <v>0</v>
      </c>
    </row>
    <row r="3457" spans="1:9" hidden="1">
      <c r="A3457" s="1" t="s">
        <v>12548</v>
      </c>
      <c r="B3457" s="1" t="s">
        <v>10</v>
      </c>
      <c r="C3457" s="1" t="s">
        <v>12549</v>
      </c>
      <c r="D3457" s="1" t="s">
        <v>12550</v>
      </c>
      <c r="E3457" s="1" t="s">
        <v>1208</v>
      </c>
      <c r="F3457" s="1" t="s">
        <v>30</v>
      </c>
      <c r="G3457" s="1" t="s">
        <v>30</v>
      </c>
      <c r="H3457" s="1" t="s">
        <v>1762</v>
      </c>
      <c r="I3457" t="b">
        <f>COUNTIF(Estadísticas!I:I,'centraldecomunicacion.es'!H3457)&gt;0</f>
        <v>0</v>
      </c>
    </row>
    <row r="3458" spans="1:9" hidden="1">
      <c r="A3458" s="1" t="s">
        <v>12551</v>
      </c>
      <c r="B3458" s="1" t="s">
        <v>10</v>
      </c>
      <c r="C3458" s="1" t="s">
        <v>12552</v>
      </c>
      <c r="D3458" s="1" t="s">
        <v>1207</v>
      </c>
      <c r="E3458" s="1" t="s">
        <v>324</v>
      </c>
      <c r="F3458" s="1" t="s">
        <v>30</v>
      </c>
      <c r="G3458" s="1" t="s">
        <v>12553</v>
      </c>
      <c r="H3458" s="1" t="s">
        <v>1762</v>
      </c>
      <c r="I3458" t="b">
        <f>COUNTIF(Estadísticas!I:I,'centraldecomunicacion.es'!H3458)&gt;0</f>
        <v>0</v>
      </c>
    </row>
    <row r="3459" spans="1:9" hidden="1">
      <c r="A3459" s="1" t="s">
        <v>12554</v>
      </c>
      <c r="B3459" s="1" t="s">
        <v>10</v>
      </c>
      <c r="C3459" s="1" t="s">
        <v>12555</v>
      </c>
      <c r="D3459" s="1" t="s">
        <v>4762</v>
      </c>
      <c r="E3459" s="1" t="s">
        <v>324</v>
      </c>
      <c r="F3459" s="1" t="s">
        <v>30</v>
      </c>
      <c r="G3459" s="1" t="s">
        <v>30</v>
      </c>
      <c r="H3459" s="1" t="s">
        <v>1762</v>
      </c>
      <c r="I3459" t="b">
        <f>COUNTIF(Estadísticas!I:I,'centraldecomunicacion.es'!H3459)&gt;0</f>
        <v>0</v>
      </c>
    </row>
    <row r="3460" spans="1:9" hidden="1">
      <c r="A3460" s="1" t="s">
        <v>12556</v>
      </c>
      <c r="B3460" s="1" t="s">
        <v>10</v>
      </c>
      <c r="C3460" s="1" t="s">
        <v>12557</v>
      </c>
      <c r="D3460" s="1" t="s">
        <v>12558</v>
      </c>
      <c r="E3460" s="1" t="s">
        <v>324</v>
      </c>
      <c r="F3460" s="1" t="s">
        <v>30</v>
      </c>
      <c r="G3460" s="1" t="s">
        <v>12559</v>
      </c>
      <c r="H3460" s="1" t="s">
        <v>1762</v>
      </c>
      <c r="I3460" t="b">
        <f>COUNTIF(Estadísticas!I:I,'centraldecomunicacion.es'!H3460)&gt;0</f>
        <v>0</v>
      </c>
    </row>
    <row r="3461" spans="1:9" hidden="1">
      <c r="A3461" s="1" t="s">
        <v>12560</v>
      </c>
      <c r="B3461" s="1" t="s">
        <v>10</v>
      </c>
      <c r="C3461" s="1" t="s">
        <v>12561</v>
      </c>
      <c r="D3461" s="1" t="s">
        <v>1237</v>
      </c>
      <c r="E3461" s="1" t="s">
        <v>1237</v>
      </c>
      <c r="F3461" s="1" t="s">
        <v>12562</v>
      </c>
      <c r="G3461" s="1" t="s">
        <v>12563</v>
      </c>
      <c r="H3461" s="1" t="s">
        <v>1762</v>
      </c>
      <c r="I3461" t="b">
        <f>COUNTIF(Estadísticas!I:I,'centraldecomunicacion.es'!H3461)&gt;0</f>
        <v>0</v>
      </c>
    </row>
    <row r="3462" spans="1:9" hidden="1">
      <c r="A3462" s="1" t="s">
        <v>12564</v>
      </c>
      <c r="B3462" s="1" t="s">
        <v>10</v>
      </c>
      <c r="C3462" s="1" t="s">
        <v>12565</v>
      </c>
      <c r="D3462" s="1" t="s">
        <v>1237</v>
      </c>
      <c r="E3462" s="1" t="s">
        <v>1237</v>
      </c>
      <c r="F3462" s="1" t="s">
        <v>12566</v>
      </c>
      <c r="G3462" s="1" t="s">
        <v>12567</v>
      </c>
      <c r="H3462" s="1" t="s">
        <v>1762</v>
      </c>
      <c r="I3462" t="b">
        <f>COUNTIF(Estadísticas!I:I,'centraldecomunicacion.es'!H3462)&gt;0</f>
        <v>0</v>
      </c>
    </row>
    <row r="3463" spans="1:9" hidden="1">
      <c r="A3463" s="1" t="s">
        <v>12568</v>
      </c>
      <c r="B3463" s="1" t="s">
        <v>10</v>
      </c>
      <c r="C3463" s="1" t="s">
        <v>30</v>
      </c>
      <c r="D3463" s="1" t="s">
        <v>1267</v>
      </c>
      <c r="E3463" s="1" t="s">
        <v>30</v>
      </c>
      <c r="F3463" s="1" t="s">
        <v>7771</v>
      </c>
      <c r="G3463" s="1" t="s">
        <v>12569</v>
      </c>
      <c r="H3463" s="1" t="s">
        <v>7773</v>
      </c>
      <c r="I3463" t="b">
        <f>COUNTIF(Estadísticas!I:I,'centraldecomunicacion.es'!H3463)&gt;0</f>
        <v>0</v>
      </c>
    </row>
    <row r="3464" spans="1:9" hidden="1">
      <c r="A3464" s="1" t="s">
        <v>12570</v>
      </c>
      <c r="B3464" s="1" t="s">
        <v>10</v>
      </c>
      <c r="C3464" s="1" t="s">
        <v>30</v>
      </c>
      <c r="D3464" s="1" t="s">
        <v>1267</v>
      </c>
      <c r="E3464" s="1" t="s">
        <v>30</v>
      </c>
      <c r="F3464" s="1" t="s">
        <v>7771</v>
      </c>
      <c r="G3464" s="1" t="s">
        <v>12571</v>
      </c>
      <c r="H3464" s="1" t="s">
        <v>7773</v>
      </c>
      <c r="I3464" t="b">
        <f>COUNTIF(Estadísticas!I:I,'centraldecomunicacion.es'!H3464)&gt;0</f>
        <v>0</v>
      </c>
    </row>
    <row r="3465" spans="1:9" hidden="1">
      <c r="A3465" s="1" t="s">
        <v>12572</v>
      </c>
      <c r="B3465" s="1" t="s">
        <v>10</v>
      </c>
      <c r="C3465" s="1" t="s">
        <v>12573</v>
      </c>
      <c r="D3465" s="1" t="s">
        <v>1237</v>
      </c>
      <c r="E3465" s="1" t="s">
        <v>1237</v>
      </c>
      <c r="F3465" s="1" t="s">
        <v>7771</v>
      </c>
      <c r="G3465" s="1" t="s">
        <v>12574</v>
      </c>
      <c r="H3465" s="1" t="s">
        <v>7773</v>
      </c>
      <c r="I3465" t="b">
        <f>COUNTIF(Estadísticas!I:I,'centraldecomunicacion.es'!H3465)&gt;0</f>
        <v>0</v>
      </c>
    </row>
    <row r="3466" spans="1:9" hidden="1">
      <c r="A3466" s="1" t="s">
        <v>12575</v>
      </c>
      <c r="B3466" s="1" t="s">
        <v>10</v>
      </c>
      <c r="C3466" s="1" t="s">
        <v>12576</v>
      </c>
      <c r="D3466" s="1" t="s">
        <v>1237</v>
      </c>
      <c r="E3466" s="1" t="s">
        <v>1237</v>
      </c>
      <c r="F3466" s="1" t="s">
        <v>7771</v>
      </c>
      <c r="G3466" s="1" t="s">
        <v>12577</v>
      </c>
      <c r="H3466" s="1" t="s">
        <v>7773</v>
      </c>
      <c r="I3466" t="b">
        <f>COUNTIF(Estadísticas!I:I,'centraldecomunicacion.es'!H3466)&gt;0</f>
        <v>0</v>
      </c>
    </row>
    <row r="3467" spans="1:9" hidden="1">
      <c r="A3467" s="1" t="s">
        <v>12578</v>
      </c>
      <c r="B3467" s="1" t="s">
        <v>10</v>
      </c>
      <c r="C3467" s="1" t="s">
        <v>12579</v>
      </c>
      <c r="D3467" s="1" t="s">
        <v>12580</v>
      </c>
      <c r="E3467" s="1" t="s">
        <v>1237</v>
      </c>
      <c r="F3467" s="1" t="s">
        <v>12581</v>
      </c>
      <c r="G3467" s="1" t="s">
        <v>12582</v>
      </c>
      <c r="H3467" s="1" t="s">
        <v>12583</v>
      </c>
      <c r="I3467" t="b">
        <f>COUNTIF(Estadísticas!I:I,'centraldecomunicacion.es'!H3467)&gt;0</f>
        <v>0</v>
      </c>
    </row>
    <row r="3468" spans="1:9" hidden="1">
      <c r="A3468" s="1" t="s">
        <v>12584</v>
      </c>
      <c r="B3468" s="1" t="s">
        <v>10</v>
      </c>
      <c r="C3468" s="1" t="s">
        <v>12585</v>
      </c>
      <c r="D3468" s="1" t="s">
        <v>1237</v>
      </c>
      <c r="E3468" s="1" t="s">
        <v>1237</v>
      </c>
      <c r="F3468" s="1" t="s">
        <v>12586</v>
      </c>
      <c r="G3468" s="1" t="s">
        <v>12587</v>
      </c>
      <c r="H3468" s="1" t="s">
        <v>12588</v>
      </c>
      <c r="I3468" t="b">
        <f>COUNTIF(Estadísticas!I:I,'centraldecomunicacion.es'!H3468)&gt;0</f>
        <v>0</v>
      </c>
    </row>
    <row r="3469" spans="1:9" hidden="1">
      <c r="A3469" s="1" t="s">
        <v>12589</v>
      </c>
      <c r="B3469" s="1" t="s">
        <v>10</v>
      </c>
      <c r="C3469" s="1" t="s">
        <v>12590</v>
      </c>
      <c r="D3469" s="1" t="s">
        <v>1237</v>
      </c>
      <c r="E3469" s="1" t="s">
        <v>1237</v>
      </c>
      <c r="F3469" s="1" t="s">
        <v>12591</v>
      </c>
      <c r="G3469" s="1" t="s">
        <v>12592</v>
      </c>
      <c r="H3469" s="1" t="s">
        <v>1762</v>
      </c>
      <c r="I3469" t="b">
        <f>COUNTIF(Estadísticas!I:I,'centraldecomunicacion.es'!H3469)&gt;0</f>
        <v>0</v>
      </c>
    </row>
    <row r="3470" spans="1:9">
      <c r="A3470" s="1" t="s">
        <v>1235</v>
      </c>
      <c r="B3470" s="1" t="s">
        <v>10</v>
      </c>
      <c r="C3470" s="1" t="s">
        <v>1236</v>
      </c>
      <c r="D3470" s="1" t="s">
        <v>1237</v>
      </c>
      <c r="E3470" s="1" t="s">
        <v>1237</v>
      </c>
      <c r="F3470" s="1" t="s">
        <v>1238</v>
      </c>
      <c r="G3470" s="1" t="s">
        <v>1239</v>
      </c>
      <c r="H3470" s="1" t="s">
        <v>1240</v>
      </c>
      <c r="I3470" t="b">
        <f>COUNTIF(Estadísticas!I:I,'centraldecomunicacion.es'!H3470)&gt;0</f>
        <v>1</v>
      </c>
    </row>
    <row r="3471" spans="1:9" hidden="1">
      <c r="A3471" s="1" t="s">
        <v>12593</v>
      </c>
      <c r="B3471" s="1" t="s">
        <v>10</v>
      </c>
      <c r="C3471" s="1" t="s">
        <v>12594</v>
      </c>
      <c r="D3471" s="1" t="s">
        <v>1237</v>
      </c>
      <c r="E3471" s="1" t="s">
        <v>1237</v>
      </c>
      <c r="F3471" s="1" t="s">
        <v>12595</v>
      </c>
      <c r="G3471" s="1" t="s">
        <v>12596</v>
      </c>
      <c r="H3471" s="1" t="s">
        <v>12597</v>
      </c>
      <c r="I3471" t="b">
        <f>COUNTIF(Estadísticas!I:I,'centraldecomunicacion.es'!H3471)&gt;0</f>
        <v>0</v>
      </c>
    </row>
    <row r="3472" spans="1:9" hidden="1">
      <c r="A3472" s="1" t="s">
        <v>12598</v>
      </c>
      <c r="B3472" s="1" t="s">
        <v>10</v>
      </c>
      <c r="C3472" s="1" t="s">
        <v>12599</v>
      </c>
      <c r="D3472" s="1" t="s">
        <v>1237</v>
      </c>
      <c r="E3472" s="1" t="s">
        <v>1237</v>
      </c>
      <c r="F3472" s="1" t="s">
        <v>12600</v>
      </c>
      <c r="G3472" s="1" t="s">
        <v>12601</v>
      </c>
      <c r="H3472" s="1" t="s">
        <v>12602</v>
      </c>
      <c r="I3472" t="b">
        <f>COUNTIF(Estadísticas!I:I,'centraldecomunicacion.es'!H3472)&gt;0</f>
        <v>0</v>
      </c>
    </row>
    <row r="3473" spans="1:9" hidden="1">
      <c r="A3473" s="1" t="s">
        <v>6565</v>
      </c>
      <c r="B3473" s="1" t="s">
        <v>10</v>
      </c>
      <c r="C3473" s="1" t="s">
        <v>12603</v>
      </c>
      <c r="D3473" s="1" t="s">
        <v>1237</v>
      </c>
      <c r="E3473" s="1" t="s">
        <v>1237</v>
      </c>
      <c r="F3473" s="1" t="s">
        <v>30</v>
      </c>
      <c r="G3473" s="1" t="s">
        <v>12604</v>
      </c>
      <c r="H3473" s="1" t="s">
        <v>1762</v>
      </c>
      <c r="I3473" t="b">
        <f>COUNTIF(Estadísticas!I:I,'centraldecomunicacion.es'!H3473)&gt;0</f>
        <v>0</v>
      </c>
    </row>
    <row r="3474" spans="1:9">
      <c r="A3474" s="1" t="s">
        <v>1241</v>
      </c>
      <c r="B3474" s="1" t="s">
        <v>10</v>
      </c>
      <c r="C3474" s="1" t="s">
        <v>1242</v>
      </c>
      <c r="D3474" s="1" t="s">
        <v>1237</v>
      </c>
      <c r="E3474" s="1" t="s">
        <v>1237</v>
      </c>
      <c r="F3474" s="1" t="s">
        <v>1243</v>
      </c>
      <c r="G3474" s="1" t="s">
        <v>1244</v>
      </c>
      <c r="H3474" s="1" t="s">
        <v>1245</v>
      </c>
      <c r="I3474" t="b">
        <f>COUNTIF(Estadísticas!I:I,'centraldecomunicacion.es'!H3474)&gt;0</f>
        <v>1</v>
      </c>
    </row>
    <row r="3475" spans="1:9" hidden="1">
      <c r="A3475" s="1" t="s">
        <v>12605</v>
      </c>
      <c r="B3475" s="1" t="s">
        <v>10</v>
      </c>
      <c r="C3475" s="1" t="s">
        <v>12606</v>
      </c>
      <c r="D3475" s="1" t="s">
        <v>1237</v>
      </c>
      <c r="E3475" s="1" t="s">
        <v>1237</v>
      </c>
      <c r="F3475" s="1" t="s">
        <v>30</v>
      </c>
      <c r="G3475" s="1" t="s">
        <v>12607</v>
      </c>
      <c r="H3475" s="1" t="s">
        <v>1762</v>
      </c>
      <c r="I3475" t="b">
        <f>COUNTIF(Estadísticas!I:I,'centraldecomunicacion.es'!H3475)&gt;0</f>
        <v>0</v>
      </c>
    </row>
    <row r="3476" spans="1:9" hidden="1">
      <c r="A3476" s="1" t="s">
        <v>12608</v>
      </c>
      <c r="B3476" s="1" t="s">
        <v>10</v>
      </c>
      <c r="C3476" s="1" t="s">
        <v>12609</v>
      </c>
      <c r="D3476" s="1" t="s">
        <v>1237</v>
      </c>
      <c r="E3476" s="1" t="s">
        <v>1237</v>
      </c>
      <c r="F3476" s="1" t="s">
        <v>30</v>
      </c>
      <c r="G3476" s="1" t="s">
        <v>12610</v>
      </c>
      <c r="H3476" s="1" t="s">
        <v>1762</v>
      </c>
      <c r="I3476" t="b">
        <f>COUNTIF(Estadísticas!I:I,'centraldecomunicacion.es'!H3476)&gt;0</f>
        <v>0</v>
      </c>
    </row>
    <row r="3477" spans="1:9" hidden="1">
      <c r="A3477" s="1" t="s">
        <v>12611</v>
      </c>
      <c r="B3477" s="1" t="s">
        <v>10</v>
      </c>
      <c r="C3477" s="1" t="s">
        <v>12612</v>
      </c>
      <c r="D3477" s="1" t="s">
        <v>1237</v>
      </c>
      <c r="E3477" s="1" t="s">
        <v>1237</v>
      </c>
      <c r="F3477" s="1" t="s">
        <v>30</v>
      </c>
      <c r="G3477" s="1" t="s">
        <v>12613</v>
      </c>
      <c r="H3477" s="1" t="s">
        <v>1762</v>
      </c>
      <c r="I3477" t="b">
        <f>COUNTIF(Estadísticas!I:I,'centraldecomunicacion.es'!H3477)&gt;0</f>
        <v>0</v>
      </c>
    </row>
    <row r="3478" spans="1:9" hidden="1">
      <c r="A3478" s="1" t="s">
        <v>12614</v>
      </c>
      <c r="B3478" s="1" t="s">
        <v>10</v>
      </c>
      <c r="C3478" s="1" t="s">
        <v>12615</v>
      </c>
      <c r="D3478" s="1" t="s">
        <v>1237</v>
      </c>
      <c r="E3478" s="1" t="s">
        <v>1237</v>
      </c>
      <c r="F3478" s="1" t="s">
        <v>30</v>
      </c>
      <c r="G3478" s="1" t="s">
        <v>12616</v>
      </c>
      <c r="H3478" s="1" t="s">
        <v>1762</v>
      </c>
      <c r="I3478" t="b">
        <f>COUNTIF(Estadísticas!I:I,'centraldecomunicacion.es'!H3478)&gt;0</f>
        <v>0</v>
      </c>
    </row>
    <row r="3479" spans="1:9" hidden="1">
      <c r="A3479" s="1" t="s">
        <v>12617</v>
      </c>
      <c r="B3479" s="1" t="s">
        <v>18</v>
      </c>
      <c r="C3479" s="1" t="s">
        <v>12618</v>
      </c>
      <c r="D3479" s="1" t="s">
        <v>1237</v>
      </c>
      <c r="E3479" s="1" t="s">
        <v>1237</v>
      </c>
      <c r="F3479" s="1" t="s">
        <v>1984</v>
      </c>
      <c r="G3479" s="1" t="s">
        <v>12619</v>
      </c>
      <c r="H3479" s="1" t="s">
        <v>1762</v>
      </c>
      <c r="I3479" t="b">
        <f>COUNTIF(Estadísticas!I:I,'centraldecomunicacion.es'!H3479)&gt;0</f>
        <v>0</v>
      </c>
    </row>
    <row r="3480" spans="1:9" hidden="1">
      <c r="A3480" s="1" t="s">
        <v>12620</v>
      </c>
      <c r="B3480" s="1" t="s">
        <v>10</v>
      </c>
      <c r="C3480" s="1" t="s">
        <v>12621</v>
      </c>
      <c r="D3480" s="1" t="s">
        <v>1237</v>
      </c>
      <c r="E3480" s="1" t="s">
        <v>1237</v>
      </c>
      <c r="F3480" s="1" t="s">
        <v>30</v>
      </c>
      <c r="G3480" s="1" t="s">
        <v>12622</v>
      </c>
      <c r="H3480" s="1" t="s">
        <v>1762</v>
      </c>
      <c r="I3480" t="b">
        <f>COUNTIF(Estadísticas!I:I,'centraldecomunicacion.es'!H3480)&gt;0</f>
        <v>0</v>
      </c>
    </row>
    <row r="3481" spans="1:9" hidden="1">
      <c r="A3481" s="1" t="s">
        <v>12623</v>
      </c>
      <c r="B3481" s="1" t="s">
        <v>10</v>
      </c>
      <c r="C3481" s="1" t="s">
        <v>12624</v>
      </c>
      <c r="D3481" s="1" t="s">
        <v>1237</v>
      </c>
      <c r="E3481" s="1" t="s">
        <v>1237</v>
      </c>
      <c r="F3481" s="1" t="s">
        <v>12625</v>
      </c>
      <c r="G3481" s="1" t="s">
        <v>12626</v>
      </c>
      <c r="H3481" s="1" t="s">
        <v>12627</v>
      </c>
      <c r="I3481" t="b">
        <f>COUNTIF(Estadísticas!I:I,'centraldecomunicacion.es'!H3481)&gt;0</f>
        <v>0</v>
      </c>
    </row>
    <row r="3482" spans="1:9" hidden="1">
      <c r="A3482" s="1" t="s">
        <v>12628</v>
      </c>
      <c r="B3482" s="1" t="s">
        <v>10</v>
      </c>
      <c r="C3482" s="1" t="s">
        <v>12629</v>
      </c>
      <c r="D3482" s="1" t="s">
        <v>12630</v>
      </c>
      <c r="E3482" s="1" t="s">
        <v>1237</v>
      </c>
      <c r="F3482" s="1" t="s">
        <v>12631</v>
      </c>
      <c r="G3482" s="1" t="s">
        <v>12632</v>
      </c>
      <c r="H3482" s="1" t="s">
        <v>12633</v>
      </c>
      <c r="I3482" t="b">
        <f>COUNTIF(Estadísticas!I:I,'centraldecomunicacion.es'!H3482)&gt;0</f>
        <v>0</v>
      </c>
    </row>
    <row r="3483" spans="1:9" hidden="1">
      <c r="A3483" s="1" t="s">
        <v>12634</v>
      </c>
      <c r="B3483" s="1" t="s">
        <v>18</v>
      </c>
      <c r="C3483" s="1" t="s">
        <v>12635</v>
      </c>
      <c r="D3483" s="1" t="s">
        <v>1237</v>
      </c>
      <c r="E3483" s="1" t="s">
        <v>1237</v>
      </c>
      <c r="F3483" s="1" t="s">
        <v>12636</v>
      </c>
      <c r="G3483" s="1" t="s">
        <v>12637</v>
      </c>
      <c r="H3483" s="1" t="s">
        <v>1762</v>
      </c>
      <c r="I3483" t="b">
        <f>COUNTIF(Estadísticas!I:I,'centraldecomunicacion.es'!H3483)&gt;0</f>
        <v>0</v>
      </c>
    </row>
    <row r="3484" spans="1:9" hidden="1">
      <c r="A3484" s="1" t="s">
        <v>12638</v>
      </c>
      <c r="B3484" s="1" t="s">
        <v>10</v>
      </c>
      <c r="C3484" s="1" t="s">
        <v>30</v>
      </c>
      <c r="D3484" s="1" t="s">
        <v>31</v>
      </c>
      <c r="E3484" s="1" t="s">
        <v>30</v>
      </c>
      <c r="F3484" s="1" t="s">
        <v>30</v>
      </c>
      <c r="G3484" s="1" t="s">
        <v>1778</v>
      </c>
      <c r="H3484" s="1" t="s">
        <v>1762</v>
      </c>
      <c r="I3484" t="b">
        <f>COUNTIF(Estadísticas!I:I,'centraldecomunicacion.es'!H3484)&gt;0</f>
        <v>0</v>
      </c>
    </row>
    <row r="3485" spans="1:9" hidden="1">
      <c r="A3485" s="1" t="s">
        <v>12639</v>
      </c>
      <c r="B3485" s="1" t="s">
        <v>10</v>
      </c>
      <c r="C3485" s="1" t="s">
        <v>12640</v>
      </c>
      <c r="D3485" s="1" t="s">
        <v>1237</v>
      </c>
      <c r="E3485" s="1" t="s">
        <v>1237</v>
      </c>
      <c r="F3485" s="1" t="s">
        <v>12641</v>
      </c>
      <c r="G3485" s="1" t="s">
        <v>12642</v>
      </c>
      <c r="H3485" s="1" t="s">
        <v>1762</v>
      </c>
      <c r="I3485" t="b">
        <f>COUNTIF(Estadísticas!I:I,'centraldecomunicacion.es'!H3485)&gt;0</f>
        <v>0</v>
      </c>
    </row>
    <row r="3486" spans="1:9" hidden="1">
      <c r="A3486" s="1" t="s">
        <v>12643</v>
      </c>
      <c r="B3486" s="1" t="s">
        <v>10</v>
      </c>
      <c r="C3486" s="1" t="s">
        <v>12644</v>
      </c>
      <c r="D3486" s="1" t="s">
        <v>12645</v>
      </c>
      <c r="E3486" s="1" t="s">
        <v>1237</v>
      </c>
      <c r="F3486" s="1" t="s">
        <v>12646</v>
      </c>
      <c r="G3486" s="1" t="s">
        <v>12647</v>
      </c>
      <c r="H3486" s="1" t="s">
        <v>12648</v>
      </c>
      <c r="I3486" t="b">
        <f>COUNTIF(Estadísticas!I:I,'centraldecomunicacion.es'!H3486)&gt;0</f>
        <v>0</v>
      </c>
    </row>
    <row r="3487" spans="1:9" hidden="1">
      <c r="A3487" s="1" t="s">
        <v>12649</v>
      </c>
      <c r="B3487" s="1" t="s">
        <v>10</v>
      </c>
      <c r="C3487" s="1" t="s">
        <v>12650</v>
      </c>
      <c r="D3487" s="1" t="s">
        <v>1237</v>
      </c>
      <c r="E3487" s="1" t="s">
        <v>1237</v>
      </c>
      <c r="F3487" s="1" t="s">
        <v>12651</v>
      </c>
      <c r="G3487" s="1" t="s">
        <v>12652</v>
      </c>
      <c r="H3487" s="1" t="s">
        <v>12653</v>
      </c>
      <c r="I3487" t="b">
        <f>COUNTIF(Estadísticas!I:I,'centraldecomunicacion.es'!H3487)&gt;0</f>
        <v>0</v>
      </c>
    </row>
    <row r="3488" spans="1:9" hidden="1">
      <c r="A3488" s="1" t="s">
        <v>12654</v>
      </c>
      <c r="B3488" s="1" t="s">
        <v>18</v>
      </c>
      <c r="C3488" s="1" t="s">
        <v>12655</v>
      </c>
      <c r="D3488" s="1" t="s">
        <v>1237</v>
      </c>
      <c r="E3488" s="1" t="s">
        <v>1237</v>
      </c>
      <c r="F3488" s="1" t="s">
        <v>12656</v>
      </c>
      <c r="G3488" s="1" t="s">
        <v>12657</v>
      </c>
      <c r="H3488" s="1" t="s">
        <v>12658</v>
      </c>
      <c r="I3488" t="b">
        <f>COUNTIF(Estadísticas!I:I,'centraldecomunicacion.es'!H3488)&gt;0</f>
        <v>0</v>
      </c>
    </row>
    <row r="3489" spans="1:9" hidden="1">
      <c r="A3489" s="1" t="s">
        <v>12659</v>
      </c>
      <c r="B3489" s="1" t="s">
        <v>10</v>
      </c>
      <c r="C3489" s="1" t="s">
        <v>12660</v>
      </c>
      <c r="D3489" s="1" t="s">
        <v>1237</v>
      </c>
      <c r="E3489" s="1" t="s">
        <v>1237</v>
      </c>
      <c r="F3489" s="1" t="s">
        <v>12661</v>
      </c>
      <c r="G3489" s="1" t="s">
        <v>12662</v>
      </c>
      <c r="H3489" s="1" t="s">
        <v>1762</v>
      </c>
      <c r="I3489" t="b">
        <f>COUNTIF(Estadísticas!I:I,'centraldecomunicacion.es'!H3489)&gt;0</f>
        <v>0</v>
      </c>
    </row>
    <row r="3490" spans="1:9" hidden="1">
      <c r="A3490" s="1" t="s">
        <v>12663</v>
      </c>
      <c r="B3490" s="1" t="s">
        <v>18</v>
      </c>
      <c r="C3490" s="1" t="s">
        <v>12664</v>
      </c>
      <c r="D3490" s="1" t="s">
        <v>1237</v>
      </c>
      <c r="E3490" s="1" t="s">
        <v>1237</v>
      </c>
      <c r="F3490" s="1" t="s">
        <v>12665</v>
      </c>
      <c r="G3490" s="1" t="s">
        <v>12666</v>
      </c>
      <c r="H3490" s="1" t="s">
        <v>12667</v>
      </c>
      <c r="I3490" t="b">
        <f>COUNTIF(Estadísticas!I:I,'centraldecomunicacion.es'!H3490)&gt;0</f>
        <v>0</v>
      </c>
    </row>
    <row r="3491" spans="1:9" hidden="1">
      <c r="A3491" s="1" t="s">
        <v>12668</v>
      </c>
      <c r="B3491" s="1" t="s">
        <v>18</v>
      </c>
      <c r="C3491" s="1" t="s">
        <v>12669</v>
      </c>
      <c r="D3491" s="1" t="s">
        <v>1237</v>
      </c>
      <c r="E3491" s="1" t="s">
        <v>1237</v>
      </c>
      <c r="F3491" s="1" t="s">
        <v>12670</v>
      </c>
      <c r="G3491" s="1" t="s">
        <v>12671</v>
      </c>
      <c r="H3491" s="1" t="s">
        <v>1762</v>
      </c>
      <c r="I3491" t="b">
        <f>COUNTIF(Estadísticas!I:I,'centraldecomunicacion.es'!H3491)&gt;0</f>
        <v>0</v>
      </c>
    </row>
    <row r="3492" spans="1:9" hidden="1">
      <c r="A3492" s="1" t="s">
        <v>12672</v>
      </c>
      <c r="B3492" s="1" t="s">
        <v>10</v>
      </c>
      <c r="C3492" s="1" t="s">
        <v>12673</v>
      </c>
      <c r="D3492" s="1" t="s">
        <v>1237</v>
      </c>
      <c r="E3492" s="1" t="s">
        <v>1237</v>
      </c>
      <c r="F3492" s="1" t="s">
        <v>30</v>
      </c>
      <c r="G3492" s="1" t="s">
        <v>12674</v>
      </c>
      <c r="H3492" s="1" t="s">
        <v>1762</v>
      </c>
      <c r="I3492" t="b">
        <f>COUNTIF(Estadísticas!I:I,'centraldecomunicacion.es'!H3492)&gt;0</f>
        <v>0</v>
      </c>
    </row>
    <row r="3493" spans="1:9" hidden="1">
      <c r="A3493" s="1" t="s">
        <v>12675</v>
      </c>
      <c r="B3493" s="1" t="s">
        <v>10</v>
      </c>
      <c r="C3493" s="1" t="s">
        <v>12676</v>
      </c>
      <c r="D3493" s="1" t="s">
        <v>1237</v>
      </c>
      <c r="E3493" s="1" t="s">
        <v>1237</v>
      </c>
      <c r="F3493" s="1" t="s">
        <v>30</v>
      </c>
      <c r="G3493" s="1" t="s">
        <v>12677</v>
      </c>
      <c r="H3493" s="1" t="s">
        <v>1762</v>
      </c>
      <c r="I3493" t="b">
        <f>COUNTIF(Estadísticas!I:I,'centraldecomunicacion.es'!H3493)&gt;0</f>
        <v>0</v>
      </c>
    </row>
    <row r="3494" spans="1:9" hidden="1">
      <c r="A3494" s="1" t="s">
        <v>12678</v>
      </c>
      <c r="B3494" s="1" t="s">
        <v>10</v>
      </c>
      <c r="C3494" s="1" t="s">
        <v>12679</v>
      </c>
      <c r="D3494" s="1" t="s">
        <v>1237</v>
      </c>
      <c r="E3494" s="1" t="s">
        <v>1237</v>
      </c>
      <c r="F3494" s="1" t="s">
        <v>12680</v>
      </c>
      <c r="G3494" s="1" t="s">
        <v>12681</v>
      </c>
      <c r="H3494" s="1" t="s">
        <v>1762</v>
      </c>
      <c r="I3494" t="b">
        <f>COUNTIF(Estadísticas!I:I,'centraldecomunicacion.es'!H3494)&gt;0</f>
        <v>0</v>
      </c>
    </row>
    <row r="3495" spans="1:9" hidden="1">
      <c r="A3495" s="1" t="s">
        <v>12682</v>
      </c>
      <c r="B3495" s="1" t="s">
        <v>10</v>
      </c>
      <c r="C3495" s="1" t="s">
        <v>12683</v>
      </c>
      <c r="D3495" s="1" t="s">
        <v>6208</v>
      </c>
      <c r="E3495" s="1" t="s">
        <v>1237</v>
      </c>
      <c r="F3495" s="1" t="s">
        <v>12684</v>
      </c>
      <c r="G3495" s="1" t="s">
        <v>12685</v>
      </c>
      <c r="H3495" s="1" t="s">
        <v>1875</v>
      </c>
      <c r="I3495" t="b">
        <f>COUNTIF(Estadísticas!I:I,'centraldecomunicacion.es'!H3495)&gt;0</f>
        <v>0</v>
      </c>
    </row>
    <row r="3496" spans="1:9" hidden="1">
      <c r="A3496" s="1" t="s">
        <v>12686</v>
      </c>
      <c r="B3496" s="1" t="s">
        <v>10</v>
      </c>
      <c r="C3496" s="1" t="s">
        <v>30</v>
      </c>
      <c r="D3496" s="1" t="s">
        <v>1267</v>
      </c>
      <c r="E3496" s="1" t="s">
        <v>30</v>
      </c>
      <c r="F3496" s="1" t="s">
        <v>12687</v>
      </c>
      <c r="G3496" s="1" t="s">
        <v>12688</v>
      </c>
      <c r="H3496" s="1" t="s">
        <v>1762</v>
      </c>
      <c r="I3496" t="b">
        <f>COUNTIF(Estadísticas!I:I,'centraldecomunicacion.es'!H3496)&gt;0</f>
        <v>0</v>
      </c>
    </row>
    <row r="3497" spans="1:9" hidden="1">
      <c r="A3497" s="1" t="s">
        <v>12689</v>
      </c>
      <c r="B3497" s="1" t="s">
        <v>18</v>
      </c>
      <c r="C3497" s="1" t="s">
        <v>12690</v>
      </c>
      <c r="D3497" s="1" t="s">
        <v>1237</v>
      </c>
      <c r="E3497" s="1" t="s">
        <v>1237</v>
      </c>
      <c r="F3497" s="1" t="s">
        <v>12691</v>
      </c>
      <c r="G3497" s="1" t="s">
        <v>12692</v>
      </c>
      <c r="H3497" s="1" t="s">
        <v>12693</v>
      </c>
      <c r="I3497" t="b">
        <f>COUNTIF(Estadísticas!I:I,'centraldecomunicacion.es'!H3497)&gt;0</f>
        <v>0</v>
      </c>
    </row>
    <row r="3498" spans="1:9" hidden="1">
      <c r="A3498" s="1" t="s">
        <v>12694</v>
      </c>
      <c r="B3498" s="1" t="s">
        <v>10</v>
      </c>
      <c r="C3498" s="1" t="s">
        <v>12695</v>
      </c>
      <c r="D3498" s="1" t="s">
        <v>6208</v>
      </c>
      <c r="E3498" s="1" t="s">
        <v>1237</v>
      </c>
      <c r="F3498" s="1" t="s">
        <v>30</v>
      </c>
      <c r="G3498" s="1" t="s">
        <v>12696</v>
      </c>
      <c r="H3498" s="1" t="s">
        <v>1762</v>
      </c>
      <c r="I3498" t="b">
        <f>COUNTIF(Estadísticas!I:I,'centraldecomunicacion.es'!H3498)&gt;0</f>
        <v>0</v>
      </c>
    </row>
    <row r="3499" spans="1:9" hidden="1">
      <c r="A3499" s="1" t="s">
        <v>12697</v>
      </c>
      <c r="B3499" s="1" t="s">
        <v>10</v>
      </c>
      <c r="C3499" s="1" t="s">
        <v>12698</v>
      </c>
      <c r="D3499" s="1" t="s">
        <v>1237</v>
      </c>
      <c r="E3499" s="1" t="s">
        <v>1237</v>
      </c>
      <c r="F3499" s="1" t="s">
        <v>30</v>
      </c>
      <c r="G3499" s="1" t="s">
        <v>12699</v>
      </c>
      <c r="H3499" s="1" t="s">
        <v>1762</v>
      </c>
      <c r="I3499" t="b">
        <f>COUNTIF(Estadísticas!I:I,'centraldecomunicacion.es'!H3499)&gt;0</f>
        <v>0</v>
      </c>
    </row>
    <row r="3500" spans="1:9" hidden="1">
      <c r="A3500" s="1" t="s">
        <v>12700</v>
      </c>
      <c r="B3500" s="1" t="s">
        <v>18</v>
      </c>
      <c r="C3500" s="1" t="s">
        <v>12701</v>
      </c>
      <c r="D3500" s="1" t="s">
        <v>1237</v>
      </c>
      <c r="E3500" s="1" t="s">
        <v>1237</v>
      </c>
      <c r="F3500" s="1" t="s">
        <v>2692</v>
      </c>
      <c r="G3500" s="1" t="s">
        <v>12702</v>
      </c>
      <c r="H3500" s="1" t="s">
        <v>1762</v>
      </c>
      <c r="I3500" t="b">
        <f>COUNTIF(Estadísticas!I:I,'centraldecomunicacion.es'!H3500)&gt;0</f>
        <v>0</v>
      </c>
    </row>
    <row r="3501" spans="1:9" hidden="1">
      <c r="A3501" s="1" t="s">
        <v>12703</v>
      </c>
      <c r="B3501" s="1" t="s">
        <v>10</v>
      </c>
      <c r="C3501" s="1" t="s">
        <v>12704</v>
      </c>
      <c r="D3501" s="1" t="s">
        <v>12580</v>
      </c>
      <c r="E3501" s="1" t="s">
        <v>1237</v>
      </c>
      <c r="F3501" s="1" t="s">
        <v>30</v>
      </c>
      <c r="G3501" s="1" t="s">
        <v>12705</v>
      </c>
      <c r="H3501" s="1" t="s">
        <v>1762</v>
      </c>
      <c r="I3501" t="b">
        <f>COUNTIF(Estadísticas!I:I,'centraldecomunicacion.es'!H3501)&gt;0</f>
        <v>0</v>
      </c>
    </row>
    <row r="3502" spans="1:9" hidden="1">
      <c r="A3502" s="1" t="s">
        <v>12706</v>
      </c>
      <c r="B3502" s="1" t="s">
        <v>10</v>
      </c>
      <c r="C3502" s="1" t="s">
        <v>12707</v>
      </c>
      <c r="D3502" s="1" t="s">
        <v>12708</v>
      </c>
      <c r="E3502" s="1" t="s">
        <v>1237</v>
      </c>
      <c r="F3502" s="1" t="s">
        <v>30</v>
      </c>
      <c r="G3502" s="1" t="s">
        <v>12709</v>
      </c>
      <c r="H3502" s="1" t="s">
        <v>1762</v>
      </c>
      <c r="I3502" t="b">
        <f>COUNTIF(Estadísticas!I:I,'centraldecomunicacion.es'!H3502)&gt;0</f>
        <v>0</v>
      </c>
    </row>
    <row r="3503" spans="1:9" hidden="1">
      <c r="A3503" s="1" t="s">
        <v>12710</v>
      </c>
      <c r="B3503" s="1" t="s">
        <v>10</v>
      </c>
      <c r="C3503" s="1" t="s">
        <v>12711</v>
      </c>
      <c r="D3503" s="1" t="s">
        <v>1237</v>
      </c>
      <c r="E3503" s="1" t="s">
        <v>1237</v>
      </c>
      <c r="F3503" s="1" t="s">
        <v>12712</v>
      </c>
      <c r="G3503" s="1" t="s">
        <v>12713</v>
      </c>
      <c r="H3503" s="1" t="s">
        <v>1875</v>
      </c>
      <c r="I3503" t="b">
        <f>COUNTIF(Estadísticas!I:I,'centraldecomunicacion.es'!H3503)&gt;0</f>
        <v>0</v>
      </c>
    </row>
    <row r="3504" spans="1:9" hidden="1">
      <c r="A3504" s="1" t="s">
        <v>12714</v>
      </c>
      <c r="B3504" s="1" t="s">
        <v>10</v>
      </c>
      <c r="C3504" s="1" t="s">
        <v>12715</v>
      </c>
      <c r="D3504" s="1" t="s">
        <v>1237</v>
      </c>
      <c r="E3504" s="1" t="s">
        <v>1237</v>
      </c>
      <c r="F3504" s="1" t="s">
        <v>30</v>
      </c>
      <c r="G3504" s="1" t="s">
        <v>12716</v>
      </c>
      <c r="H3504" s="1" t="s">
        <v>1762</v>
      </c>
      <c r="I3504" t="b">
        <f>COUNTIF(Estadísticas!I:I,'centraldecomunicacion.es'!H3504)&gt;0</f>
        <v>0</v>
      </c>
    </row>
    <row r="3505" spans="1:9" hidden="1">
      <c r="A3505" s="1" t="s">
        <v>12717</v>
      </c>
      <c r="B3505" s="1" t="s">
        <v>10</v>
      </c>
      <c r="C3505" s="1" t="s">
        <v>12718</v>
      </c>
      <c r="D3505" s="1" t="s">
        <v>12708</v>
      </c>
      <c r="E3505" s="1" t="s">
        <v>1237</v>
      </c>
      <c r="F3505" s="1" t="s">
        <v>30</v>
      </c>
      <c r="G3505" s="1" t="s">
        <v>12719</v>
      </c>
      <c r="H3505" s="1" t="s">
        <v>1762</v>
      </c>
      <c r="I3505" t="b">
        <f>COUNTIF(Estadísticas!I:I,'centraldecomunicacion.es'!H3505)&gt;0</f>
        <v>0</v>
      </c>
    </row>
    <row r="3506" spans="1:9" hidden="1">
      <c r="A3506" s="1" t="s">
        <v>12720</v>
      </c>
      <c r="B3506" s="1" t="s">
        <v>10</v>
      </c>
      <c r="C3506" s="1" t="s">
        <v>12721</v>
      </c>
      <c r="D3506" s="1" t="s">
        <v>12722</v>
      </c>
      <c r="E3506" s="1" t="s">
        <v>1237</v>
      </c>
      <c r="F3506" s="1" t="s">
        <v>30</v>
      </c>
      <c r="G3506" s="1" t="s">
        <v>12723</v>
      </c>
      <c r="H3506" s="1" t="s">
        <v>1762</v>
      </c>
      <c r="I3506" t="b">
        <f>COUNTIF(Estadísticas!I:I,'centraldecomunicacion.es'!H3506)&gt;0</f>
        <v>0</v>
      </c>
    </row>
    <row r="3507" spans="1:9" hidden="1">
      <c r="A3507" s="1" t="s">
        <v>12724</v>
      </c>
      <c r="B3507" s="1" t="s">
        <v>10</v>
      </c>
      <c r="C3507" s="1" t="s">
        <v>12725</v>
      </c>
      <c r="D3507" s="1" t="s">
        <v>1237</v>
      </c>
      <c r="E3507" s="1" t="s">
        <v>1237</v>
      </c>
      <c r="F3507" s="1" t="s">
        <v>30</v>
      </c>
      <c r="G3507" s="1" t="s">
        <v>12726</v>
      </c>
      <c r="H3507" s="1" t="s">
        <v>1762</v>
      </c>
      <c r="I3507" t="b">
        <f>COUNTIF(Estadísticas!I:I,'centraldecomunicacion.es'!H3507)&gt;0</f>
        <v>0</v>
      </c>
    </row>
    <row r="3508" spans="1:9" hidden="1">
      <c r="A3508" s="1" t="s">
        <v>12727</v>
      </c>
      <c r="B3508" s="1" t="s">
        <v>10</v>
      </c>
      <c r="C3508" s="1" t="s">
        <v>12728</v>
      </c>
      <c r="D3508" s="1" t="s">
        <v>1237</v>
      </c>
      <c r="E3508" s="1" t="s">
        <v>1237</v>
      </c>
      <c r="F3508" s="1" t="s">
        <v>30</v>
      </c>
      <c r="G3508" s="1" t="s">
        <v>12729</v>
      </c>
      <c r="H3508" s="1" t="s">
        <v>1762</v>
      </c>
      <c r="I3508" t="b">
        <f>COUNTIF(Estadísticas!I:I,'centraldecomunicacion.es'!H3508)&gt;0</f>
        <v>0</v>
      </c>
    </row>
    <row r="3509" spans="1:9" hidden="1">
      <c r="A3509" s="1" t="s">
        <v>12730</v>
      </c>
      <c r="B3509" s="1" t="s">
        <v>10</v>
      </c>
      <c r="C3509" s="1" t="s">
        <v>12731</v>
      </c>
      <c r="D3509" s="1" t="s">
        <v>1237</v>
      </c>
      <c r="E3509" s="1" t="s">
        <v>1237</v>
      </c>
      <c r="F3509" s="1" t="s">
        <v>12732</v>
      </c>
      <c r="G3509" s="1" t="s">
        <v>12733</v>
      </c>
      <c r="H3509" s="1" t="s">
        <v>1762</v>
      </c>
      <c r="I3509" t="b">
        <f>COUNTIF(Estadísticas!I:I,'centraldecomunicacion.es'!H3509)&gt;0</f>
        <v>0</v>
      </c>
    </row>
    <row r="3510" spans="1:9" hidden="1">
      <c r="A3510" s="1" t="s">
        <v>12734</v>
      </c>
      <c r="B3510" s="1" t="s">
        <v>10</v>
      </c>
      <c r="C3510" s="1" t="s">
        <v>12735</v>
      </c>
      <c r="D3510" s="1" t="s">
        <v>1237</v>
      </c>
      <c r="E3510" s="1" t="s">
        <v>1237</v>
      </c>
      <c r="F3510" s="1" t="s">
        <v>30</v>
      </c>
      <c r="G3510" s="1" t="s">
        <v>12736</v>
      </c>
      <c r="H3510" s="1" t="s">
        <v>1762</v>
      </c>
      <c r="I3510" t="b">
        <f>COUNTIF(Estadísticas!I:I,'centraldecomunicacion.es'!H3510)&gt;0</f>
        <v>0</v>
      </c>
    </row>
    <row r="3511" spans="1:9" hidden="1">
      <c r="A3511" s="1" t="s">
        <v>12737</v>
      </c>
      <c r="B3511" s="1" t="s">
        <v>18</v>
      </c>
      <c r="C3511" s="1" t="s">
        <v>12738</v>
      </c>
      <c r="D3511" s="1" t="s">
        <v>1237</v>
      </c>
      <c r="E3511" s="1" t="s">
        <v>1237</v>
      </c>
      <c r="F3511" s="1" t="s">
        <v>30</v>
      </c>
      <c r="G3511" s="1" t="s">
        <v>12739</v>
      </c>
      <c r="H3511" s="1" t="s">
        <v>1762</v>
      </c>
      <c r="I3511" t="b">
        <f>COUNTIF(Estadísticas!I:I,'centraldecomunicacion.es'!H3511)&gt;0</f>
        <v>0</v>
      </c>
    </row>
    <row r="3512" spans="1:9" hidden="1">
      <c r="A3512" s="1" t="s">
        <v>12740</v>
      </c>
      <c r="B3512" s="1" t="s">
        <v>10</v>
      </c>
      <c r="C3512" s="1" t="s">
        <v>12741</v>
      </c>
      <c r="D3512" s="1" t="s">
        <v>1237</v>
      </c>
      <c r="E3512" s="1" t="s">
        <v>1237</v>
      </c>
      <c r="F3512" s="1" t="s">
        <v>30</v>
      </c>
      <c r="G3512" s="1" t="s">
        <v>12742</v>
      </c>
      <c r="H3512" s="1" t="s">
        <v>1762</v>
      </c>
      <c r="I3512" t="b">
        <f>COUNTIF(Estadísticas!I:I,'centraldecomunicacion.es'!H3512)&gt;0</f>
        <v>0</v>
      </c>
    </row>
    <row r="3513" spans="1:9">
      <c r="A3513" s="1" t="s">
        <v>1246</v>
      </c>
      <c r="B3513" s="1" t="s">
        <v>18</v>
      </c>
      <c r="C3513" s="1" t="s">
        <v>1247</v>
      </c>
      <c r="D3513" s="1" t="s">
        <v>1237</v>
      </c>
      <c r="E3513" s="1" t="s">
        <v>1237</v>
      </c>
      <c r="F3513" s="1" t="s">
        <v>1248</v>
      </c>
      <c r="G3513" s="1" t="s">
        <v>1249</v>
      </c>
      <c r="H3513" s="1" t="s">
        <v>1250</v>
      </c>
      <c r="I3513" t="b">
        <f>COUNTIF(Estadísticas!I:I,'centraldecomunicacion.es'!H3513)&gt;0</f>
        <v>1</v>
      </c>
    </row>
    <row r="3514" spans="1:9" hidden="1">
      <c r="A3514" s="1" t="s">
        <v>12743</v>
      </c>
      <c r="B3514" s="1" t="s">
        <v>10</v>
      </c>
      <c r="C3514" s="1" t="s">
        <v>12744</v>
      </c>
      <c r="D3514" s="1" t="s">
        <v>1237</v>
      </c>
      <c r="E3514" s="1" t="s">
        <v>1237</v>
      </c>
      <c r="F3514" s="1" t="s">
        <v>30</v>
      </c>
      <c r="G3514" s="1" t="s">
        <v>12745</v>
      </c>
      <c r="H3514" s="1" t="s">
        <v>1762</v>
      </c>
      <c r="I3514" t="b">
        <f>COUNTIF(Estadísticas!I:I,'centraldecomunicacion.es'!H3514)&gt;0</f>
        <v>0</v>
      </c>
    </row>
    <row r="3515" spans="1:9" hidden="1">
      <c r="A3515" s="1" t="s">
        <v>12689</v>
      </c>
      <c r="B3515" s="1" t="s">
        <v>18</v>
      </c>
      <c r="C3515" s="1" t="s">
        <v>12746</v>
      </c>
      <c r="D3515" s="1" t="s">
        <v>12708</v>
      </c>
      <c r="E3515" s="1" t="s">
        <v>1237</v>
      </c>
      <c r="F3515" s="1" t="s">
        <v>12691</v>
      </c>
      <c r="G3515" s="1" t="s">
        <v>12747</v>
      </c>
      <c r="H3515" s="1" t="s">
        <v>12693</v>
      </c>
      <c r="I3515" t="b">
        <f>COUNTIF(Estadísticas!I:I,'centraldecomunicacion.es'!H3515)&gt;0</f>
        <v>0</v>
      </c>
    </row>
    <row r="3516" spans="1:9" hidden="1">
      <c r="A3516" s="1" t="s">
        <v>12748</v>
      </c>
      <c r="B3516" s="1" t="s">
        <v>10</v>
      </c>
      <c r="C3516" s="1" t="s">
        <v>12749</v>
      </c>
      <c r="D3516" s="1" t="s">
        <v>1237</v>
      </c>
      <c r="E3516" s="1" t="s">
        <v>1237</v>
      </c>
      <c r="F3516" s="1" t="s">
        <v>30</v>
      </c>
      <c r="G3516" s="1" t="s">
        <v>12750</v>
      </c>
      <c r="H3516" s="1" t="s">
        <v>1762</v>
      </c>
      <c r="I3516" t="b">
        <f>COUNTIF(Estadísticas!I:I,'centraldecomunicacion.es'!H3516)&gt;0</f>
        <v>0</v>
      </c>
    </row>
    <row r="3517" spans="1:9" hidden="1">
      <c r="A3517" s="1" t="s">
        <v>12751</v>
      </c>
      <c r="B3517" s="1" t="s">
        <v>10</v>
      </c>
      <c r="C3517" s="1" t="s">
        <v>12752</v>
      </c>
      <c r="D3517" s="1" t="s">
        <v>1237</v>
      </c>
      <c r="E3517" s="1" t="s">
        <v>1237</v>
      </c>
      <c r="F3517" s="1" t="s">
        <v>12753</v>
      </c>
      <c r="G3517" s="1" t="s">
        <v>12754</v>
      </c>
      <c r="H3517" s="1" t="s">
        <v>12755</v>
      </c>
      <c r="I3517" t="b">
        <f>COUNTIF(Estadísticas!I:I,'centraldecomunicacion.es'!H3517)&gt;0</f>
        <v>0</v>
      </c>
    </row>
    <row r="3518" spans="1:9" hidden="1">
      <c r="A3518" s="1" t="s">
        <v>12756</v>
      </c>
      <c r="B3518" s="1" t="s">
        <v>10</v>
      </c>
      <c r="C3518" s="1" t="s">
        <v>12757</v>
      </c>
      <c r="D3518" s="1" t="s">
        <v>1237</v>
      </c>
      <c r="E3518" s="1" t="s">
        <v>1237</v>
      </c>
      <c r="F3518" s="1" t="s">
        <v>12758</v>
      </c>
      <c r="G3518" s="1" t="s">
        <v>12759</v>
      </c>
      <c r="H3518" s="1" t="s">
        <v>1762</v>
      </c>
      <c r="I3518" t="b">
        <f>COUNTIF(Estadísticas!I:I,'centraldecomunicacion.es'!H3518)&gt;0</f>
        <v>0</v>
      </c>
    </row>
    <row r="3519" spans="1:9" hidden="1">
      <c r="A3519" s="1" t="s">
        <v>12760</v>
      </c>
      <c r="B3519" s="1" t="s">
        <v>10</v>
      </c>
      <c r="C3519" s="1" t="s">
        <v>12761</v>
      </c>
      <c r="D3519" s="1" t="s">
        <v>12580</v>
      </c>
      <c r="E3519" s="1" t="s">
        <v>1237</v>
      </c>
      <c r="F3519" s="1" t="s">
        <v>12762</v>
      </c>
      <c r="G3519" s="1" t="s">
        <v>12763</v>
      </c>
      <c r="H3519" s="1" t="s">
        <v>1762</v>
      </c>
      <c r="I3519" t="b">
        <f>COUNTIF(Estadísticas!I:I,'centraldecomunicacion.es'!H3519)&gt;0</f>
        <v>0</v>
      </c>
    </row>
    <row r="3520" spans="1:9" hidden="1">
      <c r="A3520" s="1" t="s">
        <v>12764</v>
      </c>
      <c r="B3520" s="1" t="s">
        <v>10</v>
      </c>
      <c r="C3520" s="1" t="s">
        <v>12765</v>
      </c>
      <c r="D3520" s="1" t="s">
        <v>12708</v>
      </c>
      <c r="E3520" s="1" t="s">
        <v>1237</v>
      </c>
      <c r="F3520" s="1" t="s">
        <v>12766</v>
      </c>
      <c r="G3520" s="1" t="s">
        <v>12767</v>
      </c>
      <c r="H3520" s="1" t="s">
        <v>1762</v>
      </c>
      <c r="I3520" t="b">
        <f>COUNTIF(Estadísticas!I:I,'centraldecomunicacion.es'!H3520)&gt;0</f>
        <v>0</v>
      </c>
    </row>
    <row r="3521" spans="1:9" hidden="1">
      <c r="A3521" s="1" t="s">
        <v>12768</v>
      </c>
      <c r="B3521" s="1" t="s">
        <v>10</v>
      </c>
      <c r="C3521" s="1" t="s">
        <v>12769</v>
      </c>
      <c r="D3521" s="1" t="s">
        <v>1237</v>
      </c>
      <c r="E3521" s="1" t="s">
        <v>1237</v>
      </c>
      <c r="F3521" s="1" t="s">
        <v>30</v>
      </c>
      <c r="G3521" s="1" t="s">
        <v>12770</v>
      </c>
      <c r="H3521" s="1" t="s">
        <v>1762</v>
      </c>
      <c r="I3521" t="b">
        <f>COUNTIF(Estadísticas!I:I,'centraldecomunicacion.es'!H3521)&gt;0</f>
        <v>0</v>
      </c>
    </row>
    <row r="3522" spans="1:9" hidden="1">
      <c r="A3522" s="1" t="s">
        <v>12771</v>
      </c>
      <c r="B3522" s="1" t="s">
        <v>10</v>
      </c>
      <c r="C3522" s="1" t="s">
        <v>12772</v>
      </c>
      <c r="D3522" s="1" t="s">
        <v>1237</v>
      </c>
      <c r="E3522" s="1" t="s">
        <v>1237</v>
      </c>
      <c r="F3522" s="1" t="s">
        <v>30</v>
      </c>
      <c r="G3522" s="1" t="s">
        <v>12773</v>
      </c>
      <c r="H3522" s="1" t="s">
        <v>1762</v>
      </c>
      <c r="I3522" t="b">
        <f>COUNTIF(Estadísticas!I:I,'centraldecomunicacion.es'!H3522)&gt;0</f>
        <v>0</v>
      </c>
    </row>
    <row r="3523" spans="1:9" hidden="1">
      <c r="A3523" s="1" t="s">
        <v>12774</v>
      </c>
      <c r="B3523" s="1" t="s">
        <v>10</v>
      </c>
      <c r="C3523" s="1" t="s">
        <v>12775</v>
      </c>
      <c r="D3523" s="1" t="s">
        <v>12776</v>
      </c>
      <c r="E3523" s="1" t="s">
        <v>1237</v>
      </c>
      <c r="F3523" s="1" t="s">
        <v>12777</v>
      </c>
      <c r="G3523" s="1" t="s">
        <v>12778</v>
      </c>
      <c r="H3523" s="1" t="s">
        <v>12779</v>
      </c>
      <c r="I3523" t="b">
        <f>COUNTIF(Estadísticas!I:I,'centraldecomunicacion.es'!H3523)&gt;0</f>
        <v>0</v>
      </c>
    </row>
    <row r="3524" spans="1:9" hidden="1">
      <c r="A3524" s="1" t="s">
        <v>12780</v>
      </c>
      <c r="B3524" s="1" t="s">
        <v>10</v>
      </c>
      <c r="C3524" s="1" t="s">
        <v>12781</v>
      </c>
      <c r="D3524" s="1" t="s">
        <v>12645</v>
      </c>
      <c r="E3524" s="1" t="s">
        <v>1237</v>
      </c>
      <c r="F3524" s="1" t="s">
        <v>30</v>
      </c>
      <c r="G3524" s="1" t="s">
        <v>12782</v>
      </c>
      <c r="H3524" s="1" t="s">
        <v>1762</v>
      </c>
      <c r="I3524" t="b">
        <f>COUNTIF(Estadísticas!I:I,'centraldecomunicacion.es'!H3524)&gt;0</f>
        <v>0</v>
      </c>
    </row>
    <row r="3525" spans="1:9" hidden="1">
      <c r="A3525" s="1" t="s">
        <v>12783</v>
      </c>
      <c r="B3525" s="1" t="s">
        <v>10</v>
      </c>
      <c r="C3525" s="1" t="s">
        <v>12784</v>
      </c>
      <c r="D3525" s="1" t="s">
        <v>1237</v>
      </c>
      <c r="E3525" s="1" t="s">
        <v>1237</v>
      </c>
      <c r="F3525" s="1" t="s">
        <v>30</v>
      </c>
      <c r="G3525" s="1" t="s">
        <v>12785</v>
      </c>
      <c r="H3525" s="1" t="s">
        <v>1762</v>
      </c>
      <c r="I3525" t="b">
        <f>COUNTIF(Estadísticas!I:I,'centraldecomunicacion.es'!H3525)&gt;0</f>
        <v>0</v>
      </c>
    </row>
    <row r="3526" spans="1:9" hidden="1">
      <c r="A3526" s="1" t="s">
        <v>12786</v>
      </c>
      <c r="B3526" s="1" t="s">
        <v>10</v>
      </c>
      <c r="C3526" s="1" t="s">
        <v>12787</v>
      </c>
      <c r="D3526" s="1" t="s">
        <v>1237</v>
      </c>
      <c r="E3526" s="1" t="s">
        <v>1237</v>
      </c>
      <c r="F3526" s="1" t="s">
        <v>12788</v>
      </c>
      <c r="G3526" s="1" t="s">
        <v>12789</v>
      </c>
      <c r="H3526" s="1" t="s">
        <v>1762</v>
      </c>
      <c r="I3526" t="b">
        <f>COUNTIF(Estadísticas!I:I,'centraldecomunicacion.es'!H3526)&gt;0</f>
        <v>0</v>
      </c>
    </row>
    <row r="3527" spans="1:9" hidden="1">
      <c r="A3527" s="1" t="s">
        <v>12790</v>
      </c>
      <c r="B3527" s="1" t="s">
        <v>10</v>
      </c>
      <c r="C3527" s="1" t="s">
        <v>12791</v>
      </c>
      <c r="D3527" s="1" t="s">
        <v>1237</v>
      </c>
      <c r="E3527" s="1" t="s">
        <v>1237</v>
      </c>
      <c r="F3527" s="1" t="s">
        <v>30</v>
      </c>
      <c r="G3527" s="1" t="s">
        <v>12792</v>
      </c>
      <c r="H3527" s="1" t="s">
        <v>1762</v>
      </c>
      <c r="I3527" t="b">
        <f>COUNTIF(Estadísticas!I:I,'centraldecomunicacion.es'!H3527)&gt;0</f>
        <v>0</v>
      </c>
    </row>
    <row r="3528" spans="1:9">
      <c r="A3528" s="1" t="s">
        <v>1251</v>
      </c>
      <c r="B3528" s="1" t="s">
        <v>10</v>
      </c>
      <c r="C3528" s="1" t="s">
        <v>1252</v>
      </c>
      <c r="D3528" s="1" t="s">
        <v>1237</v>
      </c>
      <c r="E3528" s="1" t="s">
        <v>1237</v>
      </c>
      <c r="F3528" s="1" t="s">
        <v>1253</v>
      </c>
      <c r="G3528" s="1" t="s">
        <v>1254</v>
      </c>
      <c r="H3528" s="1" t="s">
        <v>1255</v>
      </c>
      <c r="I3528" t="b">
        <f>COUNTIF(Estadísticas!I:I,'centraldecomunicacion.es'!H3528)&gt;0</f>
        <v>1</v>
      </c>
    </row>
    <row r="3529" spans="1:9" hidden="1">
      <c r="A3529" s="1" t="s">
        <v>12793</v>
      </c>
      <c r="B3529" s="1" t="s">
        <v>10</v>
      </c>
      <c r="C3529" s="1" t="s">
        <v>12794</v>
      </c>
      <c r="D3529" s="1" t="s">
        <v>1237</v>
      </c>
      <c r="E3529" s="1" t="s">
        <v>1237</v>
      </c>
      <c r="F3529" s="1" t="s">
        <v>30</v>
      </c>
      <c r="G3529" s="1" t="s">
        <v>12795</v>
      </c>
      <c r="H3529" s="1" t="s">
        <v>1762</v>
      </c>
      <c r="I3529" t="b">
        <f>COUNTIF(Estadísticas!I:I,'centraldecomunicacion.es'!H3529)&gt;0</f>
        <v>0</v>
      </c>
    </row>
    <row r="3530" spans="1:9" hidden="1">
      <c r="A3530" s="1" t="s">
        <v>12796</v>
      </c>
      <c r="B3530" s="1" t="s">
        <v>10</v>
      </c>
      <c r="C3530" s="1" t="s">
        <v>12797</v>
      </c>
      <c r="D3530" s="1" t="s">
        <v>1237</v>
      </c>
      <c r="E3530" s="1" t="s">
        <v>1237</v>
      </c>
      <c r="F3530" s="1" t="s">
        <v>12798</v>
      </c>
      <c r="G3530" s="1" t="s">
        <v>12799</v>
      </c>
      <c r="H3530" s="1" t="s">
        <v>1762</v>
      </c>
      <c r="I3530" t="b">
        <f>COUNTIF(Estadísticas!I:I,'centraldecomunicacion.es'!H3530)&gt;0</f>
        <v>0</v>
      </c>
    </row>
    <row r="3531" spans="1:9" hidden="1">
      <c r="A3531" s="1" t="s">
        <v>12800</v>
      </c>
      <c r="B3531" s="1" t="s">
        <v>10</v>
      </c>
      <c r="C3531" s="1" t="s">
        <v>12801</v>
      </c>
      <c r="D3531" s="1" t="s">
        <v>12776</v>
      </c>
      <c r="E3531" s="1" t="s">
        <v>1237</v>
      </c>
      <c r="F3531" s="1" t="s">
        <v>12802</v>
      </c>
      <c r="G3531" s="1" t="s">
        <v>12803</v>
      </c>
      <c r="H3531" s="1" t="s">
        <v>1762</v>
      </c>
      <c r="I3531" t="b">
        <f>COUNTIF(Estadísticas!I:I,'centraldecomunicacion.es'!H3531)&gt;0</f>
        <v>0</v>
      </c>
    </row>
    <row r="3532" spans="1:9" hidden="1">
      <c r="A3532" s="1" t="s">
        <v>12804</v>
      </c>
      <c r="B3532" s="1" t="s">
        <v>10</v>
      </c>
      <c r="C3532" s="1" t="s">
        <v>12805</v>
      </c>
      <c r="D3532" s="1" t="s">
        <v>1237</v>
      </c>
      <c r="E3532" s="1" t="s">
        <v>1237</v>
      </c>
      <c r="F3532" s="1" t="s">
        <v>30</v>
      </c>
      <c r="G3532" s="1" t="s">
        <v>12806</v>
      </c>
      <c r="H3532" s="1" t="s">
        <v>1762</v>
      </c>
      <c r="I3532" t="b">
        <f>COUNTIF(Estadísticas!I:I,'centraldecomunicacion.es'!H3532)&gt;0</f>
        <v>0</v>
      </c>
    </row>
    <row r="3533" spans="1:9" hidden="1">
      <c r="A3533" s="1" t="s">
        <v>12807</v>
      </c>
      <c r="B3533" s="1" t="s">
        <v>10</v>
      </c>
      <c r="C3533" s="1" t="s">
        <v>12808</v>
      </c>
      <c r="D3533" s="1" t="s">
        <v>1237</v>
      </c>
      <c r="E3533" s="1" t="s">
        <v>1237</v>
      </c>
      <c r="F3533" s="1" t="s">
        <v>30</v>
      </c>
      <c r="G3533" s="1" t="s">
        <v>12809</v>
      </c>
      <c r="H3533" s="1" t="s">
        <v>1762</v>
      </c>
      <c r="I3533" t="b">
        <f>COUNTIF(Estadísticas!I:I,'centraldecomunicacion.es'!H3533)&gt;0</f>
        <v>0</v>
      </c>
    </row>
    <row r="3534" spans="1:9" hidden="1">
      <c r="A3534" s="1" t="s">
        <v>12810</v>
      </c>
      <c r="B3534" s="1" t="s">
        <v>10</v>
      </c>
      <c r="C3534" s="1" t="s">
        <v>12811</v>
      </c>
      <c r="D3534" s="1" t="s">
        <v>12812</v>
      </c>
      <c r="E3534" s="1" t="s">
        <v>1237</v>
      </c>
      <c r="F3534" s="1" t="s">
        <v>12813</v>
      </c>
      <c r="G3534" s="1" t="s">
        <v>30</v>
      </c>
      <c r="H3534" s="1" t="s">
        <v>12814</v>
      </c>
      <c r="I3534" t="b">
        <f>COUNTIF(Estadísticas!I:I,'centraldecomunicacion.es'!H3534)&gt;0</f>
        <v>0</v>
      </c>
    </row>
    <row r="3535" spans="1:9" hidden="1">
      <c r="A3535" s="1" t="s">
        <v>12815</v>
      </c>
      <c r="B3535" s="1" t="s">
        <v>10</v>
      </c>
      <c r="C3535" s="1" t="s">
        <v>12816</v>
      </c>
      <c r="D3535" s="1" t="s">
        <v>1237</v>
      </c>
      <c r="E3535" s="1" t="s">
        <v>1237</v>
      </c>
      <c r="F3535" s="1" t="s">
        <v>1984</v>
      </c>
      <c r="G3535" s="1" t="s">
        <v>12817</v>
      </c>
      <c r="H3535" s="1" t="s">
        <v>1762</v>
      </c>
      <c r="I3535" t="b">
        <f>COUNTIF(Estadísticas!I:I,'centraldecomunicacion.es'!H3535)&gt;0</f>
        <v>0</v>
      </c>
    </row>
    <row r="3536" spans="1:9" hidden="1">
      <c r="A3536" s="1" t="s">
        <v>12818</v>
      </c>
      <c r="B3536" s="1" t="s">
        <v>10</v>
      </c>
      <c r="C3536" s="1" t="s">
        <v>12819</v>
      </c>
      <c r="D3536" s="1" t="s">
        <v>12776</v>
      </c>
      <c r="E3536" s="1" t="s">
        <v>1237</v>
      </c>
      <c r="F3536" s="1" t="s">
        <v>30</v>
      </c>
      <c r="G3536" s="1" t="s">
        <v>12820</v>
      </c>
      <c r="H3536" s="1" t="s">
        <v>1762</v>
      </c>
      <c r="I3536" t="b">
        <f>COUNTIF(Estadísticas!I:I,'centraldecomunicacion.es'!H3536)&gt;0</f>
        <v>0</v>
      </c>
    </row>
    <row r="3537" spans="1:9" hidden="1">
      <c r="A3537" s="1" t="s">
        <v>2083</v>
      </c>
      <c r="B3537" s="1" t="s">
        <v>10</v>
      </c>
      <c r="C3537" s="1" t="s">
        <v>12821</v>
      </c>
      <c r="D3537" s="1" t="s">
        <v>1237</v>
      </c>
      <c r="E3537" s="1" t="s">
        <v>1237</v>
      </c>
      <c r="F3537" s="1" t="s">
        <v>30</v>
      </c>
      <c r="G3537" s="1" t="s">
        <v>12822</v>
      </c>
      <c r="H3537" s="1" t="s">
        <v>1762</v>
      </c>
      <c r="I3537" t="b">
        <f>COUNTIF(Estadísticas!I:I,'centraldecomunicacion.es'!H3537)&gt;0</f>
        <v>0</v>
      </c>
    </row>
    <row r="3538" spans="1:9" hidden="1">
      <c r="A3538" s="1" t="s">
        <v>12823</v>
      </c>
      <c r="B3538" s="1" t="s">
        <v>10</v>
      </c>
      <c r="C3538" s="1" t="s">
        <v>12824</v>
      </c>
      <c r="D3538" s="1" t="s">
        <v>12812</v>
      </c>
      <c r="E3538" s="1" t="s">
        <v>1237</v>
      </c>
      <c r="F3538" s="1" t="s">
        <v>30</v>
      </c>
      <c r="G3538" s="1" t="s">
        <v>12825</v>
      </c>
      <c r="H3538" s="1" t="s">
        <v>1762</v>
      </c>
      <c r="I3538" t="b">
        <f>COUNTIF(Estadísticas!I:I,'centraldecomunicacion.es'!H3538)&gt;0</f>
        <v>0</v>
      </c>
    </row>
    <row r="3539" spans="1:9" hidden="1">
      <c r="A3539" s="1" t="s">
        <v>12826</v>
      </c>
      <c r="B3539" s="1" t="s">
        <v>10</v>
      </c>
      <c r="C3539" s="1" t="s">
        <v>12827</v>
      </c>
      <c r="D3539" s="1" t="s">
        <v>1237</v>
      </c>
      <c r="E3539" s="1" t="s">
        <v>1237</v>
      </c>
      <c r="F3539" s="1" t="s">
        <v>30</v>
      </c>
      <c r="G3539" s="1" t="s">
        <v>30</v>
      </c>
      <c r="H3539" s="1" t="s">
        <v>1762</v>
      </c>
      <c r="I3539" t="b">
        <f>COUNTIF(Estadísticas!I:I,'centraldecomunicacion.es'!H3539)&gt;0</f>
        <v>0</v>
      </c>
    </row>
    <row r="3540" spans="1:9" hidden="1">
      <c r="A3540" s="1" t="s">
        <v>12828</v>
      </c>
      <c r="B3540" s="1" t="s">
        <v>10</v>
      </c>
      <c r="C3540" s="1" t="s">
        <v>12829</v>
      </c>
      <c r="D3540" s="1" t="s">
        <v>1237</v>
      </c>
      <c r="E3540" s="1" t="s">
        <v>1237</v>
      </c>
      <c r="F3540" s="1" t="s">
        <v>1984</v>
      </c>
      <c r="G3540" s="1" t="s">
        <v>12830</v>
      </c>
      <c r="H3540" s="1" t="s">
        <v>1762</v>
      </c>
      <c r="I3540" t="b">
        <f>COUNTIF(Estadísticas!I:I,'centraldecomunicacion.es'!H3540)&gt;0</f>
        <v>0</v>
      </c>
    </row>
    <row r="3541" spans="1:9">
      <c r="A3541" s="1" t="s">
        <v>1256</v>
      </c>
      <c r="B3541" s="1" t="s">
        <v>10</v>
      </c>
      <c r="C3541" s="1" t="s">
        <v>1257</v>
      </c>
      <c r="D3541" s="1" t="s">
        <v>1237</v>
      </c>
      <c r="E3541" s="1" t="s">
        <v>1237</v>
      </c>
      <c r="F3541" s="1" t="s">
        <v>1258</v>
      </c>
      <c r="G3541" s="1" t="s">
        <v>1259</v>
      </c>
      <c r="H3541" s="1" t="s">
        <v>1260</v>
      </c>
      <c r="I3541" t="b">
        <f>COUNTIF(Estadísticas!I:I,'centraldecomunicacion.es'!H3541)&gt;0</f>
        <v>1</v>
      </c>
    </row>
    <row r="3542" spans="1:9" hidden="1">
      <c r="A3542" s="1" t="s">
        <v>12831</v>
      </c>
      <c r="B3542" s="1" t="s">
        <v>10</v>
      </c>
      <c r="C3542" s="1" t="s">
        <v>12832</v>
      </c>
      <c r="D3542" s="1" t="s">
        <v>6208</v>
      </c>
      <c r="E3542" s="1" t="s">
        <v>1237</v>
      </c>
      <c r="F3542" s="1" t="s">
        <v>30</v>
      </c>
      <c r="G3542" s="1" t="s">
        <v>30</v>
      </c>
      <c r="H3542" s="1" t="s">
        <v>1762</v>
      </c>
      <c r="I3542" t="b">
        <f>COUNTIF(Estadísticas!I:I,'centraldecomunicacion.es'!H3542)&gt;0</f>
        <v>0</v>
      </c>
    </row>
    <row r="3543" spans="1:9">
      <c r="A3543" s="1" t="s">
        <v>1261</v>
      </c>
      <c r="B3543" s="1" t="s">
        <v>10</v>
      </c>
      <c r="C3543" s="1" t="s">
        <v>1262</v>
      </c>
      <c r="D3543" s="1" t="s">
        <v>1237</v>
      </c>
      <c r="E3543" s="1" t="s">
        <v>1237</v>
      </c>
      <c r="F3543" s="1" t="s">
        <v>1263</v>
      </c>
      <c r="G3543" s="1" t="s">
        <v>1264</v>
      </c>
      <c r="H3543" s="1" t="s">
        <v>1265</v>
      </c>
      <c r="I3543" t="b">
        <f>COUNTIF(Estadísticas!I:I,'centraldecomunicacion.es'!H3543)&gt;0</f>
        <v>1</v>
      </c>
    </row>
    <row r="3544" spans="1:9" hidden="1">
      <c r="A3544" s="1" t="s">
        <v>12833</v>
      </c>
      <c r="B3544" s="1" t="s">
        <v>10</v>
      </c>
      <c r="C3544" s="1" t="s">
        <v>12834</v>
      </c>
      <c r="D3544" s="1" t="s">
        <v>12835</v>
      </c>
      <c r="E3544" s="1" t="s">
        <v>1237</v>
      </c>
      <c r="F3544" s="1" t="s">
        <v>30</v>
      </c>
      <c r="G3544" s="1" t="s">
        <v>12836</v>
      </c>
      <c r="H3544" s="1" t="s">
        <v>1762</v>
      </c>
      <c r="I3544" t="b">
        <f>COUNTIF(Estadísticas!I:I,'centraldecomunicacion.es'!H3544)&gt;0</f>
        <v>0</v>
      </c>
    </row>
    <row r="3545" spans="1:9" hidden="1">
      <c r="A3545" s="1" t="s">
        <v>12837</v>
      </c>
      <c r="B3545" s="1" t="s">
        <v>10</v>
      </c>
      <c r="C3545" s="1" t="s">
        <v>30</v>
      </c>
      <c r="D3545" s="1" t="s">
        <v>1267</v>
      </c>
      <c r="E3545" s="1" t="s">
        <v>30</v>
      </c>
      <c r="F3545" s="1" t="s">
        <v>12838</v>
      </c>
      <c r="G3545" s="1" t="s">
        <v>12839</v>
      </c>
      <c r="H3545" s="1" t="s">
        <v>1762</v>
      </c>
      <c r="I3545" t="b">
        <f>COUNTIF(Estadísticas!I:I,'centraldecomunicacion.es'!H3545)&gt;0</f>
        <v>0</v>
      </c>
    </row>
    <row r="3546" spans="1:9" hidden="1">
      <c r="A3546" s="1" t="s">
        <v>12840</v>
      </c>
      <c r="B3546" s="1" t="s">
        <v>10</v>
      </c>
      <c r="C3546" s="1" t="s">
        <v>12841</v>
      </c>
      <c r="D3546" s="1" t="s">
        <v>1237</v>
      </c>
      <c r="E3546" s="1" t="s">
        <v>1237</v>
      </c>
      <c r="F3546" s="1" t="s">
        <v>30</v>
      </c>
      <c r="G3546" s="1" t="s">
        <v>12842</v>
      </c>
      <c r="H3546" s="1" t="s">
        <v>1762</v>
      </c>
      <c r="I3546" t="b">
        <f>COUNTIF(Estadísticas!I:I,'centraldecomunicacion.es'!H3546)&gt;0</f>
        <v>0</v>
      </c>
    </row>
    <row r="3547" spans="1:9" hidden="1">
      <c r="A3547" s="1" t="s">
        <v>12843</v>
      </c>
      <c r="B3547" s="1" t="s">
        <v>10</v>
      </c>
      <c r="C3547" s="1" t="s">
        <v>12844</v>
      </c>
      <c r="D3547" s="1" t="s">
        <v>1237</v>
      </c>
      <c r="E3547" s="1" t="s">
        <v>1237</v>
      </c>
      <c r="F3547" s="1" t="s">
        <v>12845</v>
      </c>
      <c r="G3547" s="1" t="s">
        <v>12846</v>
      </c>
      <c r="H3547" s="1" t="s">
        <v>1762</v>
      </c>
      <c r="I3547" t="b">
        <f>COUNTIF(Estadísticas!I:I,'centraldecomunicacion.es'!H3547)&gt;0</f>
        <v>0</v>
      </c>
    </row>
    <row r="3548" spans="1:9">
      <c r="A3548" s="1" t="s">
        <v>12847</v>
      </c>
      <c r="B3548" s="1" t="s">
        <v>10</v>
      </c>
      <c r="C3548" s="1" t="s">
        <v>30</v>
      </c>
      <c r="D3548" s="1" t="s">
        <v>1267</v>
      </c>
      <c r="E3548" s="1" t="s">
        <v>30</v>
      </c>
      <c r="F3548" s="1" t="s">
        <v>888</v>
      </c>
      <c r="G3548" s="1" t="s">
        <v>12848</v>
      </c>
      <c r="H3548" s="1" t="s">
        <v>890</v>
      </c>
      <c r="I3548" t="b">
        <f>COUNTIF(Estadísticas!I:I,'centraldecomunicacion.es'!H3548)&gt;0</f>
        <v>1</v>
      </c>
    </row>
    <row r="3549" spans="1:9" hidden="1">
      <c r="A3549" s="1" t="s">
        <v>12849</v>
      </c>
      <c r="B3549" s="1" t="s">
        <v>10</v>
      </c>
      <c r="C3549" s="1" t="s">
        <v>12850</v>
      </c>
      <c r="D3549" s="1" t="s">
        <v>1237</v>
      </c>
      <c r="E3549" s="1" t="s">
        <v>1237</v>
      </c>
      <c r="F3549" s="1" t="s">
        <v>30</v>
      </c>
      <c r="G3549" s="1" t="s">
        <v>12851</v>
      </c>
      <c r="H3549" s="1" t="s">
        <v>1762</v>
      </c>
      <c r="I3549" t="b">
        <f>COUNTIF(Estadísticas!I:I,'centraldecomunicacion.es'!H3549)&gt;0</f>
        <v>0</v>
      </c>
    </row>
    <row r="3550" spans="1:9">
      <c r="A3550" s="1" t="s">
        <v>12852</v>
      </c>
      <c r="B3550" s="1" t="s">
        <v>10</v>
      </c>
      <c r="C3550" s="1" t="s">
        <v>12853</v>
      </c>
      <c r="D3550" s="1" t="s">
        <v>1237</v>
      </c>
      <c r="E3550" s="1" t="s">
        <v>1237</v>
      </c>
      <c r="F3550" s="1" t="s">
        <v>1258</v>
      </c>
      <c r="G3550" s="1" t="s">
        <v>1259</v>
      </c>
      <c r="H3550" s="1" t="s">
        <v>1260</v>
      </c>
      <c r="I3550" t="b">
        <f>COUNTIF(Estadísticas!I:I,'centraldecomunicacion.es'!H3550)&gt;0</f>
        <v>1</v>
      </c>
    </row>
    <row r="3551" spans="1:9" hidden="1">
      <c r="A3551" s="1" t="s">
        <v>12854</v>
      </c>
      <c r="B3551" s="1" t="s">
        <v>10</v>
      </c>
      <c r="C3551" s="1" t="s">
        <v>12855</v>
      </c>
      <c r="D3551" s="1" t="s">
        <v>1237</v>
      </c>
      <c r="E3551" s="1" t="s">
        <v>1237</v>
      </c>
      <c r="F3551" s="1" t="s">
        <v>30</v>
      </c>
      <c r="G3551" s="1" t="s">
        <v>12856</v>
      </c>
      <c r="H3551" s="1" t="s">
        <v>1762</v>
      </c>
      <c r="I3551" t="b">
        <f>COUNTIF(Estadísticas!I:I,'centraldecomunicacion.es'!H3551)&gt;0</f>
        <v>0</v>
      </c>
    </row>
    <row r="3552" spans="1:9" hidden="1">
      <c r="A3552" s="1" t="s">
        <v>12857</v>
      </c>
      <c r="B3552" s="1" t="s">
        <v>10</v>
      </c>
      <c r="C3552" s="1" t="s">
        <v>12858</v>
      </c>
      <c r="D3552" s="1" t="s">
        <v>1273</v>
      </c>
      <c r="E3552" s="1" t="s">
        <v>1237</v>
      </c>
      <c r="F3552" s="1" t="s">
        <v>12859</v>
      </c>
      <c r="G3552" s="1" t="s">
        <v>12860</v>
      </c>
      <c r="H3552" s="1" t="s">
        <v>12861</v>
      </c>
      <c r="I3552" t="b">
        <f>COUNTIF(Estadísticas!I:I,'centraldecomunicacion.es'!H3552)&gt;0</f>
        <v>0</v>
      </c>
    </row>
    <row r="3553" spans="1:9" hidden="1">
      <c r="A3553" s="1" t="s">
        <v>12862</v>
      </c>
      <c r="B3553" s="1" t="s">
        <v>10</v>
      </c>
      <c r="C3553" s="1" t="s">
        <v>12863</v>
      </c>
      <c r="D3553" s="1" t="s">
        <v>6208</v>
      </c>
      <c r="E3553" s="1" t="s">
        <v>1237</v>
      </c>
      <c r="F3553" s="1" t="s">
        <v>30</v>
      </c>
      <c r="G3553" s="1" t="s">
        <v>12864</v>
      </c>
      <c r="H3553" s="1" t="s">
        <v>1762</v>
      </c>
      <c r="I3553" t="b">
        <f>COUNTIF(Estadísticas!I:I,'centraldecomunicacion.es'!H3553)&gt;0</f>
        <v>0</v>
      </c>
    </row>
    <row r="3554" spans="1:9" hidden="1">
      <c r="A3554" s="1" t="s">
        <v>12865</v>
      </c>
      <c r="B3554" s="1" t="s">
        <v>10</v>
      </c>
      <c r="C3554" s="1" t="s">
        <v>30</v>
      </c>
      <c r="D3554" s="1" t="s">
        <v>1267</v>
      </c>
      <c r="E3554" s="1" t="s">
        <v>30</v>
      </c>
      <c r="F3554" s="1" t="s">
        <v>30</v>
      </c>
      <c r="G3554" s="1" t="s">
        <v>12866</v>
      </c>
      <c r="H3554" s="1" t="s">
        <v>1762</v>
      </c>
      <c r="I3554" t="b">
        <f>COUNTIF(Estadísticas!I:I,'centraldecomunicacion.es'!H3554)&gt;0</f>
        <v>0</v>
      </c>
    </row>
    <row r="3555" spans="1:9" hidden="1">
      <c r="A3555" s="1" t="s">
        <v>12867</v>
      </c>
      <c r="B3555" s="1" t="s">
        <v>10</v>
      </c>
      <c r="C3555" s="1" t="s">
        <v>12868</v>
      </c>
      <c r="D3555" s="1" t="s">
        <v>1237</v>
      </c>
      <c r="E3555" s="1" t="s">
        <v>1237</v>
      </c>
      <c r="F3555" s="1" t="s">
        <v>1984</v>
      </c>
      <c r="G3555" s="1" t="s">
        <v>12869</v>
      </c>
      <c r="H3555" s="1" t="s">
        <v>1762</v>
      </c>
      <c r="I3555" t="b">
        <f>COUNTIF(Estadísticas!I:I,'centraldecomunicacion.es'!H3555)&gt;0</f>
        <v>0</v>
      </c>
    </row>
    <row r="3556" spans="1:9" hidden="1">
      <c r="A3556" s="1" t="s">
        <v>12870</v>
      </c>
      <c r="B3556" s="1" t="s">
        <v>10</v>
      </c>
      <c r="C3556" s="1" t="s">
        <v>12871</v>
      </c>
      <c r="D3556" s="1" t="s">
        <v>1237</v>
      </c>
      <c r="E3556" s="1" t="s">
        <v>1237</v>
      </c>
      <c r="F3556" s="1" t="s">
        <v>30</v>
      </c>
      <c r="G3556" s="1" t="s">
        <v>12872</v>
      </c>
      <c r="H3556" s="1" t="s">
        <v>1762</v>
      </c>
      <c r="I3556" t="b">
        <f>COUNTIF(Estadísticas!I:I,'centraldecomunicacion.es'!H3556)&gt;0</f>
        <v>0</v>
      </c>
    </row>
    <row r="3557" spans="1:9" hidden="1">
      <c r="A3557" s="1" t="s">
        <v>12873</v>
      </c>
      <c r="B3557" s="1" t="s">
        <v>10</v>
      </c>
      <c r="C3557" s="1" t="s">
        <v>12874</v>
      </c>
      <c r="D3557" s="1" t="s">
        <v>1237</v>
      </c>
      <c r="E3557" s="1" t="s">
        <v>1237</v>
      </c>
      <c r="F3557" s="1" t="s">
        <v>30</v>
      </c>
      <c r="G3557" s="1" t="s">
        <v>30</v>
      </c>
      <c r="H3557" s="1" t="s">
        <v>1762</v>
      </c>
      <c r="I3557" t="b">
        <f>COUNTIF(Estadísticas!I:I,'centraldecomunicacion.es'!H3557)&gt;0</f>
        <v>0</v>
      </c>
    </row>
    <row r="3558" spans="1:9" hidden="1">
      <c r="A3558" s="1" t="s">
        <v>12875</v>
      </c>
      <c r="B3558" s="1" t="s">
        <v>10</v>
      </c>
      <c r="C3558" s="1" t="s">
        <v>12590</v>
      </c>
      <c r="D3558" s="1" t="s">
        <v>1237</v>
      </c>
      <c r="E3558" s="1" t="s">
        <v>1237</v>
      </c>
      <c r="F3558" s="1" t="s">
        <v>12876</v>
      </c>
      <c r="G3558" s="1" t="s">
        <v>12877</v>
      </c>
      <c r="H3558" s="1" t="s">
        <v>1762</v>
      </c>
      <c r="I3558" t="b">
        <f>COUNTIF(Estadísticas!I:I,'centraldecomunicacion.es'!H3558)&gt;0</f>
        <v>0</v>
      </c>
    </row>
    <row r="3559" spans="1:9" hidden="1">
      <c r="A3559" s="1" t="s">
        <v>12663</v>
      </c>
      <c r="B3559" s="1" t="s">
        <v>18</v>
      </c>
      <c r="C3559" s="1" t="s">
        <v>12878</v>
      </c>
      <c r="D3559" s="1" t="s">
        <v>12835</v>
      </c>
      <c r="E3559" s="1" t="s">
        <v>1237</v>
      </c>
      <c r="F3559" s="1" t="s">
        <v>12665</v>
      </c>
      <c r="G3559" s="1" t="s">
        <v>12879</v>
      </c>
      <c r="H3559" s="1" t="s">
        <v>12667</v>
      </c>
      <c r="I3559" t="b">
        <f>COUNTIF(Estadísticas!I:I,'centraldecomunicacion.es'!H3559)&gt;0</f>
        <v>0</v>
      </c>
    </row>
    <row r="3560" spans="1:9" hidden="1">
      <c r="A3560" s="1" t="s">
        <v>12880</v>
      </c>
      <c r="B3560" s="1" t="s">
        <v>10</v>
      </c>
      <c r="C3560" s="1" t="s">
        <v>12881</v>
      </c>
      <c r="D3560" s="1" t="s">
        <v>1237</v>
      </c>
      <c r="E3560" s="1" t="s">
        <v>1237</v>
      </c>
      <c r="F3560" s="1" t="s">
        <v>1984</v>
      </c>
      <c r="G3560" s="1" t="s">
        <v>12882</v>
      </c>
      <c r="H3560" s="1" t="s">
        <v>1762</v>
      </c>
      <c r="I3560" t="b">
        <f>COUNTIF(Estadísticas!I:I,'centraldecomunicacion.es'!H3560)&gt;0</f>
        <v>0</v>
      </c>
    </row>
    <row r="3561" spans="1:9" hidden="1">
      <c r="A3561" s="1" t="s">
        <v>12883</v>
      </c>
      <c r="B3561" s="1" t="s">
        <v>10</v>
      </c>
      <c r="C3561" s="1" t="s">
        <v>30</v>
      </c>
      <c r="D3561" s="1" t="s">
        <v>1267</v>
      </c>
      <c r="E3561" s="1" t="s">
        <v>30</v>
      </c>
      <c r="F3561" s="1" t="s">
        <v>30</v>
      </c>
      <c r="G3561" s="1" t="s">
        <v>12884</v>
      </c>
      <c r="H3561" s="1" t="s">
        <v>1762</v>
      </c>
      <c r="I3561" t="b">
        <f>COUNTIF(Estadísticas!I:I,'centraldecomunicacion.es'!H3561)&gt;0</f>
        <v>0</v>
      </c>
    </row>
    <row r="3562" spans="1:9" hidden="1">
      <c r="A3562" s="1" t="s">
        <v>12689</v>
      </c>
      <c r="B3562" s="1" t="s">
        <v>18</v>
      </c>
      <c r="C3562" s="1" t="s">
        <v>12885</v>
      </c>
      <c r="D3562" s="1" t="s">
        <v>1237</v>
      </c>
      <c r="E3562" s="1" t="s">
        <v>1237</v>
      </c>
      <c r="F3562" s="1" t="s">
        <v>12691</v>
      </c>
      <c r="G3562" s="1" t="s">
        <v>12886</v>
      </c>
      <c r="H3562" s="1" t="s">
        <v>12693</v>
      </c>
      <c r="I3562" t="b">
        <f>COUNTIF(Estadísticas!I:I,'centraldecomunicacion.es'!H3562)&gt;0</f>
        <v>0</v>
      </c>
    </row>
    <row r="3563" spans="1:9" hidden="1">
      <c r="A3563" s="1" t="s">
        <v>12887</v>
      </c>
      <c r="B3563" s="1" t="s">
        <v>10</v>
      </c>
      <c r="C3563" s="1" t="s">
        <v>12888</v>
      </c>
      <c r="D3563" s="1" t="s">
        <v>1279</v>
      </c>
      <c r="E3563" s="1" t="s">
        <v>1237</v>
      </c>
      <c r="F3563" s="1" t="s">
        <v>30</v>
      </c>
      <c r="G3563" s="1" t="s">
        <v>12889</v>
      </c>
      <c r="H3563" s="1" t="s">
        <v>1762</v>
      </c>
      <c r="I3563" t="b">
        <f>COUNTIF(Estadísticas!I:I,'centraldecomunicacion.es'!H3563)&gt;0</f>
        <v>0</v>
      </c>
    </row>
    <row r="3564" spans="1:9" hidden="1">
      <c r="A3564" s="1" t="s">
        <v>12890</v>
      </c>
      <c r="B3564" s="1" t="s">
        <v>18</v>
      </c>
      <c r="C3564" s="1" t="s">
        <v>12609</v>
      </c>
      <c r="D3564" s="1" t="s">
        <v>1237</v>
      </c>
      <c r="E3564" s="1" t="s">
        <v>1237</v>
      </c>
      <c r="F3564" s="1" t="s">
        <v>30</v>
      </c>
      <c r="G3564" s="1" t="s">
        <v>12610</v>
      </c>
      <c r="H3564" s="1" t="s">
        <v>1762</v>
      </c>
      <c r="I3564" t="b">
        <f>COUNTIF(Estadísticas!I:I,'centraldecomunicacion.es'!H3564)&gt;0</f>
        <v>0</v>
      </c>
    </row>
    <row r="3565" spans="1:9" hidden="1">
      <c r="A3565" s="1" t="s">
        <v>12891</v>
      </c>
      <c r="B3565" s="1" t="s">
        <v>10</v>
      </c>
      <c r="C3565" s="1" t="s">
        <v>12892</v>
      </c>
      <c r="D3565" s="1" t="s">
        <v>1237</v>
      </c>
      <c r="E3565" s="1" t="s">
        <v>1237</v>
      </c>
      <c r="F3565" s="1" t="s">
        <v>30</v>
      </c>
      <c r="G3565" s="1" t="s">
        <v>30</v>
      </c>
      <c r="H3565" s="1" t="s">
        <v>1762</v>
      </c>
      <c r="I3565" t="b">
        <f>COUNTIF(Estadísticas!I:I,'centraldecomunicacion.es'!H3565)&gt;0</f>
        <v>0</v>
      </c>
    </row>
    <row r="3566" spans="1:9" hidden="1">
      <c r="A3566" s="1" t="s">
        <v>12893</v>
      </c>
      <c r="B3566" s="1" t="s">
        <v>10</v>
      </c>
      <c r="C3566" s="1" t="s">
        <v>12894</v>
      </c>
      <c r="D3566" s="1" t="s">
        <v>1237</v>
      </c>
      <c r="E3566" s="1" t="s">
        <v>1237</v>
      </c>
      <c r="F3566" s="1" t="s">
        <v>30</v>
      </c>
      <c r="G3566" s="1" t="s">
        <v>12895</v>
      </c>
      <c r="H3566" s="1" t="s">
        <v>1762</v>
      </c>
      <c r="I3566" t="b">
        <f>COUNTIF(Estadísticas!I:I,'centraldecomunicacion.es'!H3566)&gt;0</f>
        <v>0</v>
      </c>
    </row>
    <row r="3567" spans="1:9" hidden="1">
      <c r="A3567" s="1" t="s">
        <v>12896</v>
      </c>
      <c r="B3567" s="1" t="s">
        <v>10</v>
      </c>
      <c r="C3567" s="1" t="s">
        <v>12897</v>
      </c>
      <c r="D3567" s="1" t="s">
        <v>1237</v>
      </c>
      <c r="E3567" s="1" t="s">
        <v>1237</v>
      </c>
      <c r="F3567" s="1" t="s">
        <v>12732</v>
      </c>
      <c r="G3567" s="1" t="s">
        <v>12898</v>
      </c>
      <c r="H3567" s="1" t="s">
        <v>1762</v>
      </c>
      <c r="I3567" t="b">
        <f>COUNTIF(Estadísticas!I:I,'centraldecomunicacion.es'!H3567)&gt;0</f>
        <v>0</v>
      </c>
    </row>
    <row r="3568" spans="1:9">
      <c r="A3568" s="1" t="s">
        <v>1266</v>
      </c>
      <c r="B3568" s="1" t="s">
        <v>10</v>
      </c>
      <c r="C3568" s="1" t="s">
        <v>30</v>
      </c>
      <c r="D3568" s="1" t="s">
        <v>1267</v>
      </c>
      <c r="E3568" s="1" t="s">
        <v>30</v>
      </c>
      <c r="F3568" s="1" t="s">
        <v>1268</v>
      </c>
      <c r="G3568" s="1" t="s">
        <v>1269</v>
      </c>
      <c r="H3568" s="1" t="s">
        <v>1270</v>
      </c>
      <c r="I3568" t="b">
        <f>COUNTIF(Estadísticas!I:I,'centraldecomunicacion.es'!H3568)&gt;0</f>
        <v>1</v>
      </c>
    </row>
    <row r="3569" spans="1:9" hidden="1">
      <c r="A3569" s="1" t="s">
        <v>12899</v>
      </c>
      <c r="B3569" s="1" t="s">
        <v>10</v>
      </c>
      <c r="C3569" s="1" t="s">
        <v>12900</v>
      </c>
      <c r="D3569" s="1" t="s">
        <v>1237</v>
      </c>
      <c r="E3569" s="1" t="s">
        <v>1237</v>
      </c>
      <c r="F3569" s="1" t="s">
        <v>1984</v>
      </c>
      <c r="G3569" s="1" t="s">
        <v>12901</v>
      </c>
      <c r="H3569" s="1" t="s">
        <v>1762</v>
      </c>
      <c r="I3569" t="b">
        <f>COUNTIF(Estadísticas!I:I,'centraldecomunicacion.es'!H3569)&gt;0</f>
        <v>0</v>
      </c>
    </row>
    <row r="3570" spans="1:9" hidden="1">
      <c r="A3570" s="1" t="s">
        <v>12902</v>
      </c>
      <c r="B3570" s="1" t="s">
        <v>10</v>
      </c>
      <c r="C3570" s="1" t="s">
        <v>12903</v>
      </c>
      <c r="D3570" s="1" t="s">
        <v>1273</v>
      </c>
      <c r="E3570" s="1" t="s">
        <v>1237</v>
      </c>
      <c r="F3570" s="1" t="s">
        <v>12904</v>
      </c>
      <c r="G3570" s="1" t="s">
        <v>12905</v>
      </c>
      <c r="H3570" s="1" t="s">
        <v>12906</v>
      </c>
      <c r="I3570" t="b">
        <f>COUNTIF(Estadísticas!I:I,'centraldecomunicacion.es'!H3570)&gt;0</f>
        <v>0</v>
      </c>
    </row>
    <row r="3571" spans="1:9" hidden="1">
      <c r="A3571" s="1" t="s">
        <v>12907</v>
      </c>
      <c r="B3571" s="1" t="s">
        <v>10</v>
      </c>
      <c r="C3571" s="1" t="s">
        <v>12908</v>
      </c>
      <c r="D3571" s="1" t="s">
        <v>1237</v>
      </c>
      <c r="E3571" s="1" t="s">
        <v>1237</v>
      </c>
      <c r="F3571" s="1" t="s">
        <v>30</v>
      </c>
      <c r="G3571" s="1" t="s">
        <v>12909</v>
      </c>
      <c r="H3571" s="1" t="s">
        <v>1762</v>
      </c>
      <c r="I3571" t="b">
        <f>COUNTIF(Estadísticas!I:I,'centraldecomunicacion.es'!H3571)&gt;0</f>
        <v>0</v>
      </c>
    </row>
    <row r="3572" spans="1:9" hidden="1">
      <c r="A3572" s="1" t="s">
        <v>12910</v>
      </c>
      <c r="B3572" s="1" t="s">
        <v>10</v>
      </c>
      <c r="C3572" s="1" t="s">
        <v>12911</v>
      </c>
      <c r="D3572" s="1" t="s">
        <v>12912</v>
      </c>
      <c r="E3572" s="1" t="s">
        <v>1237</v>
      </c>
      <c r="F3572" s="1" t="s">
        <v>1984</v>
      </c>
      <c r="G3572" s="1" t="s">
        <v>12913</v>
      </c>
      <c r="H3572" s="1" t="s">
        <v>1762</v>
      </c>
      <c r="I3572" t="b">
        <f>COUNTIF(Estadísticas!I:I,'centraldecomunicacion.es'!H3572)&gt;0</f>
        <v>0</v>
      </c>
    </row>
    <row r="3573" spans="1:9" hidden="1">
      <c r="A3573" s="1" t="s">
        <v>12914</v>
      </c>
      <c r="B3573" s="1" t="s">
        <v>10</v>
      </c>
      <c r="C3573" s="1" t="s">
        <v>12915</v>
      </c>
      <c r="D3573" s="1" t="s">
        <v>1237</v>
      </c>
      <c r="E3573" s="1" t="s">
        <v>1237</v>
      </c>
      <c r="F3573" s="1" t="s">
        <v>30</v>
      </c>
      <c r="G3573" s="1" t="s">
        <v>12916</v>
      </c>
      <c r="H3573" s="1" t="s">
        <v>1762</v>
      </c>
      <c r="I3573" t="b">
        <f>COUNTIF(Estadísticas!I:I,'centraldecomunicacion.es'!H3573)&gt;0</f>
        <v>0</v>
      </c>
    </row>
    <row r="3574" spans="1:9" hidden="1">
      <c r="A3574" s="1" t="s">
        <v>12917</v>
      </c>
      <c r="B3574" s="1" t="s">
        <v>10</v>
      </c>
      <c r="C3574" s="1" t="s">
        <v>12918</v>
      </c>
      <c r="D3574" s="1" t="s">
        <v>4768</v>
      </c>
      <c r="E3574" s="1" t="s">
        <v>1237</v>
      </c>
      <c r="F3574" s="1" t="s">
        <v>12919</v>
      </c>
      <c r="G3574" s="1" t="s">
        <v>12920</v>
      </c>
      <c r="H3574" s="1" t="s">
        <v>12921</v>
      </c>
      <c r="I3574" t="b">
        <f>COUNTIF(Estadísticas!I:I,'centraldecomunicacion.es'!H3574)&gt;0</f>
        <v>0</v>
      </c>
    </row>
    <row r="3575" spans="1:9" hidden="1">
      <c r="A3575" s="1" t="s">
        <v>12922</v>
      </c>
      <c r="B3575" s="1" t="s">
        <v>10</v>
      </c>
      <c r="C3575" s="1" t="s">
        <v>12923</v>
      </c>
      <c r="D3575" s="1" t="s">
        <v>6208</v>
      </c>
      <c r="E3575" s="1" t="s">
        <v>1237</v>
      </c>
      <c r="F3575" s="1" t="s">
        <v>30</v>
      </c>
      <c r="G3575" s="1" t="s">
        <v>30</v>
      </c>
      <c r="H3575" s="1" t="s">
        <v>1762</v>
      </c>
      <c r="I3575" t="b">
        <f>COUNTIF(Estadísticas!I:I,'centraldecomunicacion.es'!H3575)&gt;0</f>
        <v>0</v>
      </c>
    </row>
    <row r="3576" spans="1:9">
      <c r="A3576" s="1" t="s">
        <v>1271</v>
      </c>
      <c r="B3576" s="1" t="s">
        <v>10</v>
      </c>
      <c r="C3576" s="1" t="s">
        <v>1272</v>
      </c>
      <c r="D3576" s="1" t="s">
        <v>1273</v>
      </c>
      <c r="E3576" s="1" t="s">
        <v>1237</v>
      </c>
      <c r="F3576" s="1" t="s">
        <v>1274</v>
      </c>
      <c r="G3576" s="1" t="s">
        <v>1275</v>
      </c>
      <c r="H3576" s="1" t="s">
        <v>1276</v>
      </c>
      <c r="I3576" t="b">
        <f>COUNTIF(Estadísticas!I:I,'centraldecomunicacion.es'!H3576)&gt;0</f>
        <v>1</v>
      </c>
    </row>
    <row r="3577" spans="1:9" hidden="1">
      <c r="A3577" s="1" t="s">
        <v>12689</v>
      </c>
      <c r="B3577" s="1" t="s">
        <v>18</v>
      </c>
      <c r="C3577" s="1" t="s">
        <v>12924</v>
      </c>
      <c r="D3577" s="1" t="s">
        <v>12645</v>
      </c>
      <c r="E3577" s="1" t="s">
        <v>1237</v>
      </c>
      <c r="F3577" s="1" t="s">
        <v>12691</v>
      </c>
      <c r="G3577" s="1" t="s">
        <v>12925</v>
      </c>
      <c r="H3577" s="1" t="s">
        <v>12693</v>
      </c>
      <c r="I3577" t="b">
        <f>COUNTIF(Estadísticas!I:I,'centraldecomunicacion.es'!H3577)&gt;0</f>
        <v>0</v>
      </c>
    </row>
    <row r="3578" spans="1:9" hidden="1">
      <c r="A3578" s="1" t="s">
        <v>12926</v>
      </c>
      <c r="B3578" s="1" t="s">
        <v>10</v>
      </c>
      <c r="C3578" s="1" t="s">
        <v>12927</v>
      </c>
      <c r="D3578" s="1" t="s">
        <v>1273</v>
      </c>
      <c r="E3578" s="1" t="s">
        <v>1237</v>
      </c>
      <c r="F3578" s="1" t="s">
        <v>30</v>
      </c>
      <c r="G3578" s="1" t="s">
        <v>12928</v>
      </c>
      <c r="H3578" s="1" t="s">
        <v>1762</v>
      </c>
      <c r="I3578" t="b">
        <f>COUNTIF(Estadísticas!I:I,'centraldecomunicacion.es'!H3578)&gt;0</f>
        <v>0</v>
      </c>
    </row>
    <row r="3579" spans="1:9" hidden="1">
      <c r="A3579" s="1" t="s">
        <v>12929</v>
      </c>
      <c r="B3579" s="1" t="s">
        <v>10</v>
      </c>
      <c r="C3579" s="1" t="s">
        <v>12930</v>
      </c>
      <c r="D3579" s="1" t="s">
        <v>12580</v>
      </c>
      <c r="E3579" s="1" t="s">
        <v>1237</v>
      </c>
      <c r="F3579" s="1" t="s">
        <v>12931</v>
      </c>
      <c r="G3579" s="1" t="s">
        <v>12932</v>
      </c>
      <c r="H3579" s="1" t="s">
        <v>1762</v>
      </c>
      <c r="I3579" t="b">
        <f>COUNTIF(Estadísticas!I:I,'centraldecomunicacion.es'!H3579)&gt;0</f>
        <v>0</v>
      </c>
    </row>
    <row r="3580" spans="1:9" hidden="1">
      <c r="A3580" s="1" t="s">
        <v>12933</v>
      </c>
      <c r="B3580" s="1" t="s">
        <v>10</v>
      </c>
      <c r="C3580" s="1" t="s">
        <v>30</v>
      </c>
      <c r="D3580" s="1" t="s">
        <v>1267</v>
      </c>
      <c r="E3580" s="1" t="s">
        <v>30</v>
      </c>
      <c r="F3580" s="1" t="s">
        <v>12934</v>
      </c>
      <c r="G3580" s="1" t="s">
        <v>12935</v>
      </c>
      <c r="H3580" s="1" t="s">
        <v>12936</v>
      </c>
      <c r="I3580" t="b">
        <f>COUNTIF(Estadísticas!I:I,'centraldecomunicacion.es'!H3580)&gt;0</f>
        <v>0</v>
      </c>
    </row>
    <row r="3581" spans="1:9" hidden="1">
      <c r="A3581" s="1" t="s">
        <v>12937</v>
      </c>
      <c r="B3581" s="1" t="s">
        <v>18</v>
      </c>
      <c r="C3581" s="1" t="s">
        <v>12938</v>
      </c>
      <c r="D3581" s="1" t="s">
        <v>12939</v>
      </c>
      <c r="E3581" s="1" t="s">
        <v>1237</v>
      </c>
      <c r="F3581" s="1" t="s">
        <v>30</v>
      </c>
      <c r="G3581" s="1" t="s">
        <v>12940</v>
      </c>
      <c r="H3581" s="1" t="s">
        <v>1762</v>
      </c>
      <c r="I3581" t="b">
        <f>COUNTIF(Estadísticas!I:I,'centraldecomunicacion.es'!H3581)&gt;0</f>
        <v>0</v>
      </c>
    </row>
    <row r="3582" spans="1:9" hidden="1">
      <c r="A3582" s="1" t="s">
        <v>12941</v>
      </c>
      <c r="B3582" s="1" t="s">
        <v>10</v>
      </c>
      <c r="C3582" s="1" t="s">
        <v>12942</v>
      </c>
      <c r="D3582" s="1" t="s">
        <v>4768</v>
      </c>
      <c r="E3582" s="1" t="s">
        <v>1237</v>
      </c>
      <c r="F3582" s="1" t="s">
        <v>30</v>
      </c>
      <c r="G3582" s="1" t="s">
        <v>30</v>
      </c>
      <c r="H3582" s="1" t="s">
        <v>1762</v>
      </c>
      <c r="I3582" t="b">
        <f>COUNTIF(Estadísticas!I:I,'centraldecomunicacion.es'!H3582)&gt;0</f>
        <v>0</v>
      </c>
    </row>
    <row r="3583" spans="1:9" hidden="1">
      <c r="A3583" s="1" t="s">
        <v>12943</v>
      </c>
      <c r="B3583" s="1" t="s">
        <v>10</v>
      </c>
      <c r="C3583" s="1" t="s">
        <v>12944</v>
      </c>
      <c r="D3583" s="1" t="s">
        <v>12722</v>
      </c>
      <c r="E3583" s="1" t="s">
        <v>1237</v>
      </c>
      <c r="F3583" s="1" t="s">
        <v>30</v>
      </c>
      <c r="G3583" s="1" t="s">
        <v>12945</v>
      </c>
      <c r="H3583" s="1" t="s">
        <v>1762</v>
      </c>
      <c r="I3583" t="b">
        <f>COUNTIF(Estadísticas!I:I,'centraldecomunicacion.es'!H3583)&gt;0</f>
        <v>0</v>
      </c>
    </row>
    <row r="3584" spans="1:9" hidden="1">
      <c r="A3584" s="1" t="s">
        <v>12946</v>
      </c>
      <c r="B3584" s="1" t="s">
        <v>10</v>
      </c>
      <c r="C3584" s="1" t="s">
        <v>12947</v>
      </c>
      <c r="D3584" s="1" t="s">
        <v>12912</v>
      </c>
      <c r="E3584" s="1" t="s">
        <v>1237</v>
      </c>
      <c r="F3584" s="1" t="s">
        <v>30</v>
      </c>
      <c r="G3584" s="1" t="s">
        <v>12948</v>
      </c>
      <c r="H3584" s="1" t="s">
        <v>1762</v>
      </c>
      <c r="I3584" t="b">
        <f>COUNTIF(Estadísticas!I:I,'centraldecomunicacion.es'!H3584)&gt;0</f>
        <v>0</v>
      </c>
    </row>
    <row r="3585" spans="1:9" hidden="1">
      <c r="A3585" s="1" t="s">
        <v>12949</v>
      </c>
      <c r="B3585" s="1" t="s">
        <v>10</v>
      </c>
      <c r="C3585" s="1" t="s">
        <v>12950</v>
      </c>
      <c r="D3585" s="1" t="s">
        <v>12951</v>
      </c>
      <c r="E3585" s="1" t="s">
        <v>1237</v>
      </c>
      <c r="F3585" s="1" t="s">
        <v>12952</v>
      </c>
      <c r="G3585" s="1" t="s">
        <v>12953</v>
      </c>
      <c r="H3585" s="1" t="s">
        <v>1875</v>
      </c>
      <c r="I3585" t="b">
        <f>COUNTIF(Estadísticas!I:I,'centraldecomunicacion.es'!H3585)&gt;0</f>
        <v>0</v>
      </c>
    </row>
    <row r="3586" spans="1:9" hidden="1">
      <c r="A3586" s="1" t="s">
        <v>12954</v>
      </c>
      <c r="B3586" s="1" t="s">
        <v>10</v>
      </c>
      <c r="C3586" s="1" t="s">
        <v>12955</v>
      </c>
      <c r="D3586" s="1" t="s">
        <v>12580</v>
      </c>
      <c r="E3586" s="1" t="s">
        <v>1237</v>
      </c>
      <c r="F3586" s="1" t="s">
        <v>30</v>
      </c>
      <c r="G3586" s="1" t="s">
        <v>12956</v>
      </c>
      <c r="H3586" s="1" t="s">
        <v>1762</v>
      </c>
      <c r="I3586" t="b">
        <f>COUNTIF(Estadísticas!I:I,'centraldecomunicacion.es'!H3586)&gt;0</f>
        <v>0</v>
      </c>
    </row>
    <row r="3587" spans="1:9" hidden="1">
      <c r="A3587" s="1" t="s">
        <v>12957</v>
      </c>
      <c r="B3587" s="1" t="s">
        <v>10</v>
      </c>
      <c r="C3587" s="1" t="s">
        <v>12958</v>
      </c>
      <c r="D3587" s="1" t="s">
        <v>1237</v>
      </c>
      <c r="E3587" s="1" t="s">
        <v>1237</v>
      </c>
      <c r="F3587" s="1" t="s">
        <v>30</v>
      </c>
      <c r="G3587" s="1" t="s">
        <v>12959</v>
      </c>
      <c r="H3587" s="1" t="s">
        <v>1762</v>
      </c>
      <c r="I3587" t="b">
        <f>COUNTIF(Estadísticas!I:I,'centraldecomunicacion.es'!H3587)&gt;0</f>
        <v>0</v>
      </c>
    </row>
    <row r="3588" spans="1:9" hidden="1">
      <c r="A3588" s="1" t="s">
        <v>12960</v>
      </c>
      <c r="B3588" s="1" t="s">
        <v>10</v>
      </c>
      <c r="C3588" s="1" t="s">
        <v>12961</v>
      </c>
      <c r="D3588" s="1" t="s">
        <v>12722</v>
      </c>
      <c r="E3588" s="1" t="s">
        <v>1237</v>
      </c>
      <c r="F3588" s="1" t="s">
        <v>30</v>
      </c>
      <c r="G3588" s="1" t="s">
        <v>30</v>
      </c>
      <c r="H3588" s="1" t="s">
        <v>1762</v>
      </c>
      <c r="I3588" t="b">
        <f>COUNTIF(Estadísticas!I:I,'centraldecomunicacion.es'!H3588)&gt;0</f>
        <v>0</v>
      </c>
    </row>
    <row r="3589" spans="1:9" hidden="1">
      <c r="A3589" s="1" t="s">
        <v>12962</v>
      </c>
      <c r="B3589" s="1" t="s">
        <v>18</v>
      </c>
      <c r="C3589" s="1" t="s">
        <v>12963</v>
      </c>
      <c r="D3589" s="1" t="s">
        <v>4768</v>
      </c>
      <c r="E3589" s="1" t="s">
        <v>1237</v>
      </c>
      <c r="F3589" s="1" t="s">
        <v>12964</v>
      </c>
      <c r="G3589" s="1" t="s">
        <v>12965</v>
      </c>
      <c r="H3589" s="1" t="s">
        <v>1762</v>
      </c>
      <c r="I3589" t="b">
        <f>COUNTIF(Estadísticas!I:I,'centraldecomunicacion.es'!H3589)&gt;0</f>
        <v>0</v>
      </c>
    </row>
    <row r="3590" spans="1:9" hidden="1">
      <c r="A3590" s="1" t="s">
        <v>12966</v>
      </c>
      <c r="B3590" s="1" t="s">
        <v>10</v>
      </c>
      <c r="C3590" s="1" t="s">
        <v>12967</v>
      </c>
      <c r="D3590" s="1" t="s">
        <v>12722</v>
      </c>
      <c r="E3590" s="1" t="s">
        <v>1237</v>
      </c>
      <c r="F3590" s="1" t="s">
        <v>30</v>
      </c>
      <c r="G3590" s="1" t="s">
        <v>12968</v>
      </c>
      <c r="H3590" s="1" t="s">
        <v>1762</v>
      </c>
      <c r="I3590" t="b">
        <f>COUNTIF(Estadísticas!I:I,'centraldecomunicacion.es'!H3590)&gt;0</f>
        <v>0</v>
      </c>
    </row>
    <row r="3591" spans="1:9" hidden="1">
      <c r="A3591" s="1" t="s">
        <v>12969</v>
      </c>
      <c r="B3591" s="1" t="s">
        <v>10</v>
      </c>
      <c r="C3591" s="1" t="s">
        <v>12970</v>
      </c>
      <c r="D3591" s="1" t="s">
        <v>12722</v>
      </c>
      <c r="E3591" s="1" t="s">
        <v>1237</v>
      </c>
      <c r="F3591" s="1" t="s">
        <v>30</v>
      </c>
      <c r="G3591" s="1" t="s">
        <v>30</v>
      </c>
      <c r="H3591" s="1" t="s">
        <v>1762</v>
      </c>
      <c r="I3591" t="b">
        <f>COUNTIF(Estadísticas!I:I,'centraldecomunicacion.es'!H3591)&gt;0</f>
        <v>0</v>
      </c>
    </row>
    <row r="3592" spans="1:9" hidden="1">
      <c r="A3592" s="1" t="s">
        <v>12971</v>
      </c>
      <c r="B3592" s="1" t="s">
        <v>10</v>
      </c>
      <c r="C3592" s="1" t="s">
        <v>12972</v>
      </c>
      <c r="D3592" s="1" t="s">
        <v>1273</v>
      </c>
      <c r="E3592" s="1" t="s">
        <v>1237</v>
      </c>
      <c r="F3592" s="1" t="s">
        <v>30</v>
      </c>
      <c r="G3592" s="1" t="s">
        <v>12973</v>
      </c>
      <c r="H3592" s="1" t="s">
        <v>1762</v>
      </c>
      <c r="I3592" t="b">
        <f>COUNTIF(Estadísticas!I:I,'centraldecomunicacion.es'!H3592)&gt;0</f>
        <v>0</v>
      </c>
    </row>
    <row r="3593" spans="1:9" hidden="1">
      <c r="A3593" s="1" t="s">
        <v>12974</v>
      </c>
      <c r="B3593" s="1" t="s">
        <v>10</v>
      </c>
      <c r="C3593" s="1" t="s">
        <v>12975</v>
      </c>
      <c r="D3593" s="1" t="s">
        <v>12939</v>
      </c>
      <c r="E3593" s="1" t="s">
        <v>1237</v>
      </c>
      <c r="F3593" s="1" t="s">
        <v>12976</v>
      </c>
      <c r="G3593" s="1" t="s">
        <v>12977</v>
      </c>
      <c r="H3593" s="1" t="s">
        <v>12978</v>
      </c>
      <c r="I3593" t="b">
        <f>COUNTIF(Estadísticas!I:I,'centraldecomunicacion.es'!H3593)&gt;0</f>
        <v>0</v>
      </c>
    </row>
    <row r="3594" spans="1:9" hidden="1">
      <c r="A3594" s="1" t="s">
        <v>12979</v>
      </c>
      <c r="B3594" s="1" t="s">
        <v>10</v>
      </c>
      <c r="C3594" s="1" t="s">
        <v>12980</v>
      </c>
      <c r="D3594" s="1" t="s">
        <v>1273</v>
      </c>
      <c r="E3594" s="1" t="s">
        <v>1237</v>
      </c>
      <c r="F3594" s="1" t="s">
        <v>12981</v>
      </c>
      <c r="G3594" s="1" t="s">
        <v>12982</v>
      </c>
      <c r="H3594" s="1" t="s">
        <v>1783</v>
      </c>
      <c r="I3594" t="b">
        <f>COUNTIF(Estadísticas!I:I,'centraldecomunicacion.es'!H3594)&gt;0</f>
        <v>0</v>
      </c>
    </row>
    <row r="3595" spans="1:9" hidden="1">
      <c r="A3595" s="1" t="s">
        <v>12983</v>
      </c>
      <c r="B3595" s="1" t="s">
        <v>10</v>
      </c>
      <c r="C3595" s="1" t="s">
        <v>12984</v>
      </c>
      <c r="D3595" s="1" t="s">
        <v>12912</v>
      </c>
      <c r="E3595" s="1" t="s">
        <v>1237</v>
      </c>
      <c r="F3595" s="1" t="s">
        <v>30</v>
      </c>
      <c r="G3595" s="1" t="s">
        <v>30</v>
      </c>
      <c r="H3595" s="1" t="s">
        <v>1762</v>
      </c>
      <c r="I3595" t="b">
        <f>COUNTIF(Estadísticas!I:I,'centraldecomunicacion.es'!H3595)&gt;0</f>
        <v>0</v>
      </c>
    </row>
    <row r="3596" spans="1:9" hidden="1">
      <c r="A3596" s="1" t="s">
        <v>3050</v>
      </c>
      <c r="B3596" s="1" t="s">
        <v>10</v>
      </c>
      <c r="C3596" s="1" t="s">
        <v>12985</v>
      </c>
      <c r="D3596" s="1" t="s">
        <v>12912</v>
      </c>
      <c r="E3596" s="1" t="s">
        <v>1237</v>
      </c>
      <c r="F3596" s="1" t="s">
        <v>30</v>
      </c>
      <c r="G3596" s="1" t="s">
        <v>30</v>
      </c>
      <c r="H3596" s="1" t="s">
        <v>1762</v>
      </c>
      <c r="I3596" t="b">
        <f>COUNTIF(Estadísticas!I:I,'centraldecomunicacion.es'!H3596)&gt;0</f>
        <v>0</v>
      </c>
    </row>
    <row r="3597" spans="1:9" hidden="1">
      <c r="A3597" s="1" t="s">
        <v>12986</v>
      </c>
      <c r="B3597" s="1" t="s">
        <v>10</v>
      </c>
      <c r="C3597" s="1" t="s">
        <v>12987</v>
      </c>
      <c r="D3597" s="1" t="s">
        <v>12912</v>
      </c>
      <c r="E3597" s="1" t="s">
        <v>1237</v>
      </c>
      <c r="F3597" s="1" t="s">
        <v>1984</v>
      </c>
      <c r="G3597" s="1" t="s">
        <v>12988</v>
      </c>
      <c r="H3597" s="1" t="s">
        <v>1762</v>
      </c>
      <c r="I3597" t="b">
        <f>COUNTIF(Estadísticas!I:I,'centraldecomunicacion.es'!H3597)&gt;0</f>
        <v>0</v>
      </c>
    </row>
    <row r="3598" spans="1:9" hidden="1">
      <c r="A3598" s="1" t="s">
        <v>286</v>
      </c>
      <c r="B3598" s="1" t="s">
        <v>18</v>
      </c>
      <c r="C3598" s="1" t="s">
        <v>12989</v>
      </c>
      <c r="D3598" s="1" t="s">
        <v>4768</v>
      </c>
      <c r="E3598" s="1" t="s">
        <v>1237</v>
      </c>
      <c r="F3598" s="1" t="s">
        <v>30</v>
      </c>
      <c r="G3598" s="1" t="s">
        <v>12990</v>
      </c>
      <c r="H3598" s="1" t="s">
        <v>1762</v>
      </c>
      <c r="I3598" t="b">
        <f>COUNTIF(Estadísticas!I:I,'centraldecomunicacion.es'!H3598)&gt;0</f>
        <v>0</v>
      </c>
    </row>
    <row r="3599" spans="1:9" hidden="1">
      <c r="A3599" s="1" t="s">
        <v>12991</v>
      </c>
      <c r="B3599" s="1" t="s">
        <v>18</v>
      </c>
      <c r="C3599" s="1" t="s">
        <v>12992</v>
      </c>
      <c r="D3599" s="1" t="s">
        <v>12776</v>
      </c>
      <c r="E3599" s="1" t="s">
        <v>1237</v>
      </c>
      <c r="F3599" s="1" t="s">
        <v>12993</v>
      </c>
      <c r="G3599" s="1" t="s">
        <v>12994</v>
      </c>
      <c r="H3599" s="1" t="s">
        <v>12995</v>
      </c>
      <c r="I3599" t="b">
        <f>COUNTIF(Estadísticas!I:I,'centraldecomunicacion.es'!H3599)&gt;0</f>
        <v>0</v>
      </c>
    </row>
    <row r="3600" spans="1:9">
      <c r="A3600" s="1" t="s">
        <v>1277</v>
      </c>
      <c r="B3600" s="1" t="s">
        <v>10</v>
      </c>
      <c r="C3600" s="1" t="s">
        <v>1278</v>
      </c>
      <c r="D3600" s="1" t="s">
        <v>1279</v>
      </c>
      <c r="E3600" s="1" t="s">
        <v>1237</v>
      </c>
      <c r="F3600" s="1" t="s">
        <v>1280</v>
      </c>
      <c r="G3600" s="1" t="s">
        <v>1281</v>
      </c>
      <c r="H3600" s="1" t="s">
        <v>1282</v>
      </c>
      <c r="I3600" t="b">
        <f>COUNTIF(Estadísticas!I:I,'centraldecomunicacion.es'!H3600)&gt;0</f>
        <v>1</v>
      </c>
    </row>
    <row r="3601" spans="1:9" hidden="1">
      <c r="A3601" s="1" t="s">
        <v>12996</v>
      </c>
      <c r="B3601" s="1" t="s">
        <v>10</v>
      </c>
      <c r="C3601" s="1" t="s">
        <v>12997</v>
      </c>
      <c r="D3601" s="1" t="s">
        <v>1273</v>
      </c>
      <c r="E3601" s="1" t="s">
        <v>1237</v>
      </c>
      <c r="F3601" s="1" t="s">
        <v>30</v>
      </c>
      <c r="G3601" s="1" t="s">
        <v>30</v>
      </c>
      <c r="H3601" s="1" t="s">
        <v>1762</v>
      </c>
      <c r="I3601" t="b">
        <f>COUNTIF(Estadísticas!I:I,'centraldecomunicacion.es'!H3601)&gt;0</f>
        <v>0</v>
      </c>
    </row>
    <row r="3602" spans="1:9" hidden="1">
      <c r="A3602" s="1" t="s">
        <v>12998</v>
      </c>
      <c r="B3602" s="1" t="s">
        <v>10</v>
      </c>
      <c r="C3602" s="1" t="s">
        <v>12999</v>
      </c>
      <c r="D3602" s="1" t="s">
        <v>13000</v>
      </c>
      <c r="E3602" s="1" t="s">
        <v>1237</v>
      </c>
      <c r="F3602" s="1" t="s">
        <v>30</v>
      </c>
      <c r="G3602" s="1" t="s">
        <v>13001</v>
      </c>
      <c r="H3602" s="1" t="s">
        <v>1762</v>
      </c>
      <c r="I3602" t="b">
        <f>COUNTIF(Estadísticas!I:I,'centraldecomunicacion.es'!H3602)&gt;0</f>
        <v>0</v>
      </c>
    </row>
    <row r="3603" spans="1:9" hidden="1">
      <c r="A3603" s="1" t="s">
        <v>13002</v>
      </c>
      <c r="B3603" s="1" t="s">
        <v>10</v>
      </c>
      <c r="C3603" s="1" t="s">
        <v>13003</v>
      </c>
      <c r="D3603" s="1" t="s">
        <v>12912</v>
      </c>
      <c r="E3603" s="1" t="s">
        <v>1237</v>
      </c>
      <c r="F3603" s="1" t="s">
        <v>30</v>
      </c>
      <c r="G3603" s="1" t="s">
        <v>13004</v>
      </c>
      <c r="H3603" s="1" t="s">
        <v>1762</v>
      </c>
      <c r="I3603" t="b">
        <f>COUNTIF(Estadísticas!I:I,'centraldecomunicacion.es'!H3603)&gt;0</f>
        <v>0</v>
      </c>
    </row>
    <row r="3604" spans="1:9" hidden="1">
      <c r="A3604" s="1" t="s">
        <v>13005</v>
      </c>
      <c r="B3604" s="1" t="s">
        <v>10</v>
      </c>
      <c r="C3604" s="1" t="s">
        <v>13006</v>
      </c>
      <c r="D3604" s="1" t="s">
        <v>13007</v>
      </c>
      <c r="E3604" s="1" t="s">
        <v>1237</v>
      </c>
      <c r="F3604" s="1" t="s">
        <v>13008</v>
      </c>
      <c r="G3604" s="1" t="s">
        <v>13009</v>
      </c>
      <c r="H3604" s="1" t="s">
        <v>13010</v>
      </c>
      <c r="I3604" t="b">
        <f>COUNTIF(Estadísticas!I:I,'centraldecomunicacion.es'!H3604)&gt;0</f>
        <v>0</v>
      </c>
    </row>
    <row r="3605" spans="1:9" hidden="1">
      <c r="A3605" s="1" t="s">
        <v>13011</v>
      </c>
      <c r="B3605" s="1" t="s">
        <v>18</v>
      </c>
      <c r="C3605" s="1" t="s">
        <v>13012</v>
      </c>
      <c r="D3605" s="1" t="s">
        <v>1237</v>
      </c>
      <c r="E3605" s="1" t="s">
        <v>1237</v>
      </c>
      <c r="F3605" s="1" t="s">
        <v>30</v>
      </c>
      <c r="G3605" s="1" t="s">
        <v>13013</v>
      </c>
      <c r="H3605" s="1" t="s">
        <v>1762</v>
      </c>
      <c r="I3605" t="b">
        <f>COUNTIF(Estadísticas!I:I,'centraldecomunicacion.es'!H3605)&gt;0</f>
        <v>0</v>
      </c>
    </row>
    <row r="3606" spans="1:9" hidden="1">
      <c r="A3606" s="1" t="s">
        <v>13014</v>
      </c>
      <c r="B3606" s="1" t="s">
        <v>10</v>
      </c>
      <c r="C3606" s="1" t="s">
        <v>13015</v>
      </c>
      <c r="D3606" s="1" t="s">
        <v>12722</v>
      </c>
      <c r="E3606" s="1" t="s">
        <v>1237</v>
      </c>
      <c r="F3606" s="1" t="s">
        <v>30</v>
      </c>
      <c r="G3606" s="1" t="s">
        <v>13016</v>
      </c>
      <c r="H3606" s="1" t="s">
        <v>1762</v>
      </c>
      <c r="I3606" t="b">
        <f>COUNTIF(Estadísticas!I:I,'centraldecomunicacion.es'!H3606)&gt;0</f>
        <v>0</v>
      </c>
    </row>
    <row r="3607" spans="1:9" hidden="1">
      <c r="A3607" s="1" t="s">
        <v>13017</v>
      </c>
      <c r="B3607" s="1" t="s">
        <v>18</v>
      </c>
      <c r="C3607" s="1" t="s">
        <v>13018</v>
      </c>
      <c r="D3607" s="1" t="s">
        <v>12912</v>
      </c>
      <c r="E3607" s="1" t="s">
        <v>1237</v>
      </c>
      <c r="F3607" s="1" t="s">
        <v>30</v>
      </c>
      <c r="G3607" s="1" t="s">
        <v>13019</v>
      </c>
      <c r="H3607" s="1" t="s">
        <v>1762</v>
      </c>
      <c r="I3607" t="b">
        <f>COUNTIF(Estadísticas!I:I,'centraldecomunicacion.es'!H3607)&gt;0</f>
        <v>0</v>
      </c>
    </row>
    <row r="3608" spans="1:9">
      <c r="A3608" s="1" t="s">
        <v>1283</v>
      </c>
      <c r="B3608" s="1" t="s">
        <v>10</v>
      </c>
      <c r="C3608" s="1" t="s">
        <v>1284</v>
      </c>
      <c r="D3608" s="1" t="s">
        <v>1285</v>
      </c>
      <c r="E3608" s="1" t="s">
        <v>1237</v>
      </c>
      <c r="F3608" s="1" t="s">
        <v>1286</v>
      </c>
      <c r="G3608" s="1" t="s">
        <v>1287</v>
      </c>
      <c r="H3608" s="1" t="s">
        <v>1288</v>
      </c>
      <c r="I3608" t="b">
        <f>COUNTIF(Estadísticas!I:I,'centraldecomunicacion.es'!H3608)&gt;0</f>
        <v>1</v>
      </c>
    </row>
    <row r="3609" spans="1:9" hidden="1">
      <c r="A3609" s="1" t="s">
        <v>13020</v>
      </c>
      <c r="B3609" s="1" t="s">
        <v>10</v>
      </c>
      <c r="C3609" s="1" t="s">
        <v>13021</v>
      </c>
      <c r="D3609" s="1" t="s">
        <v>1285</v>
      </c>
      <c r="E3609" s="1" t="s">
        <v>1237</v>
      </c>
      <c r="F3609" s="1" t="s">
        <v>13022</v>
      </c>
      <c r="G3609" s="1" t="s">
        <v>13023</v>
      </c>
      <c r="H3609" s="1" t="s">
        <v>13024</v>
      </c>
      <c r="I3609" t="b">
        <f>COUNTIF(Estadísticas!I:I,'centraldecomunicacion.es'!H3609)&gt;0</f>
        <v>0</v>
      </c>
    </row>
    <row r="3610" spans="1:9" hidden="1">
      <c r="A3610" s="1" t="s">
        <v>13025</v>
      </c>
      <c r="B3610" s="1" t="s">
        <v>10</v>
      </c>
      <c r="C3610" s="1" t="s">
        <v>13026</v>
      </c>
      <c r="D3610" s="1" t="s">
        <v>13027</v>
      </c>
      <c r="E3610" s="1" t="s">
        <v>1237</v>
      </c>
      <c r="F3610" s="1" t="s">
        <v>4170</v>
      </c>
      <c r="G3610" s="1" t="s">
        <v>13028</v>
      </c>
      <c r="H3610" s="1" t="s">
        <v>1762</v>
      </c>
      <c r="I3610" t="b">
        <f>COUNTIF(Estadísticas!I:I,'centraldecomunicacion.es'!H3610)&gt;0</f>
        <v>0</v>
      </c>
    </row>
    <row r="3611" spans="1:9" hidden="1">
      <c r="A3611" s="1" t="s">
        <v>13029</v>
      </c>
      <c r="B3611" s="1" t="s">
        <v>10</v>
      </c>
      <c r="C3611" s="1" t="s">
        <v>13030</v>
      </c>
      <c r="D3611" s="1" t="s">
        <v>1285</v>
      </c>
      <c r="E3611" s="1" t="s">
        <v>1237</v>
      </c>
      <c r="F3611" s="1" t="s">
        <v>30</v>
      </c>
      <c r="G3611" s="1" t="s">
        <v>13031</v>
      </c>
      <c r="H3611" s="1" t="s">
        <v>1762</v>
      </c>
      <c r="I3611" t="b">
        <f>COUNTIF(Estadísticas!I:I,'centraldecomunicacion.es'!H3611)&gt;0</f>
        <v>0</v>
      </c>
    </row>
    <row r="3612" spans="1:9" hidden="1">
      <c r="A3612" s="1" t="s">
        <v>13032</v>
      </c>
      <c r="B3612" s="1" t="s">
        <v>10</v>
      </c>
      <c r="C3612" s="1" t="s">
        <v>13033</v>
      </c>
      <c r="D3612" s="1" t="s">
        <v>1273</v>
      </c>
      <c r="E3612" s="1" t="s">
        <v>1237</v>
      </c>
      <c r="F3612" s="1" t="s">
        <v>30</v>
      </c>
      <c r="G3612" s="1" t="s">
        <v>30</v>
      </c>
      <c r="H3612" s="1" t="s">
        <v>1762</v>
      </c>
      <c r="I3612" t="b">
        <f>COUNTIF(Estadísticas!I:I,'centraldecomunicacion.es'!H3612)&gt;0</f>
        <v>0</v>
      </c>
    </row>
    <row r="3613" spans="1:9" hidden="1">
      <c r="A3613" s="1" t="s">
        <v>13034</v>
      </c>
      <c r="B3613" s="1" t="s">
        <v>10</v>
      </c>
      <c r="C3613" s="1" t="s">
        <v>13035</v>
      </c>
      <c r="D3613" s="1" t="s">
        <v>1279</v>
      </c>
      <c r="E3613" s="1" t="s">
        <v>1237</v>
      </c>
      <c r="F3613" s="1" t="s">
        <v>30</v>
      </c>
      <c r="G3613" s="1" t="s">
        <v>13036</v>
      </c>
      <c r="H3613" s="1" t="s">
        <v>1762</v>
      </c>
      <c r="I3613" t="b">
        <f>COUNTIF(Estadísticas!I:I,'centraldecomunicacion.es'!H3613)&gt;0</f>
        <v>0</v>
      </c>
    </row>
    <row r="3614" spans="1:9" hidden="1">
      <c r="A3614" s="1" t="s">
        <v>13037</v>
      </c>
      <c r="B3614" s="1" t="s">
        <v>18</v>
      </c>
      <c r="C3614" s="1" t="s">
        <v>13038</v>
      </c>
      <c r="D3614" s="1" t="s">
        <v>13039</v>
      </c>
      <c r="E3614" s="1" t="s">
        <v>1237</v>
      </c>
      <c r="F3614" s="1" t="s">
        <v>13040</v>
      </c>
      <c r="G3614" s="1" t="s">
        <v>13041</v>
      </c>
      <c r="H3614" s="1" t="s">
        <v>1762</v>
      </c>
      <c r="I3614" t="b">
        <f>COUNTIF(Estadísticas!I:I,'centraldecomunicacion.es'!H3614)&gt;0</f>
        <v>0</v>
      </c>
    </row>
    <row r="3615" spans="1:9" hidden="1">
      <c r="A3615" s="1" t="s">
        <v>13042</v>
      </c>
      <c r="B3615" s="1" t="s">
        <v>10</v>
      </c>
      <c r="C3615" s="1" t="s">
        <v>30</v>
      </c>
      <c r="D3615" s="1" t="s">
        <v>1267</v>
      </c>
      <c r="E3615" s="1" t="s">
        <v>30</v>
      </c>
      <c r="F3615" s="1" t="s">
        <v>13043</v>
      </c>
      <c r="G3615" s="1" t="s">
        <v>13044</v>
      </c>
      <c r="H3615" s="1" t="s">
        <v>1762</v>
      </c>
      <c r="I3615" t="b">
        <f>COUNTIF(Estadísticas!I:I,'centraldecomunicacion.es'!H3615)&gt;0</f>
        <v>0</v>
      </c>
    </row>
    <row r="3616" spans="1:9" hidden="1">
      <c r="A3616" s="1" t="s">
        <v>13045</v>
      </c>
      <c r="B3616" s="1" t="s">
        <v>10</v>
      </c>
      <c r="C3616" s="1" t="s">
        <v>13046</v>
      </c>
      <c r="D3616" s="1" t="s">
        <v>13027</v>
      </c>
      <c r="E3616" s="1" t="s">
        <v>1237</v>
      </c>
      <c r="F3616" s="1" t="s">
        <v>13047</v>
      </c>
      <c r="G3616" s="1" t="s">
        <v>13048</v>
      </c>
      <c r="H3616" s="1" t="s">
        <v>1762</v>
      </c>
      <c r="I3616" t="b">
        <f>COUNTIF(Estadísticas!I:I,'centraldecomunicacion.es'!H3616)&gt;0</f>
        <v>0</v>
      </c>
    </row>
    <row r="3617" spans="1:9" hidden="1">
      <c r="A3617" s="1" t="s">
        <v>13049</v>
      </c>
      <c r="B3617" s="1" t="s">
        <v>10</v>
      </c>
      <c r="C3617" s="1" t="s">
        <v>13050</v>
      </c>
      <c r="D3617" s="1" t="s">
        <v>13051</v>
      </c>
      <c r="E3617" s="1" t="s">
        <v>1237</v>
      </c>
      <c r="F3617" s="1" t="s">
        <v>30</v>
      </c>
      <c r="G3617" s="1" t="s">
        <v>13052</v>
      </c>
      <c r="H3617" s="1" t="s">
        <v>1762</v>
      </c>
      <c r="I3617" t="b">
        <f>COUNTIF(Estadísticas!I:I,'centraldecomunicacion.es'!H3617)&gt;0</f>
        <v>0</v>
      </c>
    </row>
    <row r="3618" spans="1:9" hidden="1">
      <c r="A3618" s="1" t="s">
        <v>13053</v>
      </c>
      <c r="B3618" s="1" t="s">
        <v>18</v>
      </c>
      <c r="C3618" s="1" t="s">
        <v>13054</v>
      </c>
      <c r="D3618" s="1" t="s">
        <v>1267</v>
      </c>
      <c r="E3618" s="1" t="s">
        <v>1237</v>
      </c>
      <c r="F3618" s="1" t="s">
        <v>30</v>
      </c>
      <c r="G3618" s="1" t="s">
        <v>30</v>
      </c>
      <c r="H3618" s="1" t="s">
        <v>1762</v>
      </c>
      <c r="I3618" t="b">
        <f>COUNTIF(Estadísticas!I:I,'centraldecomunicacion.es'!H3618)&gt;0</f>
        <v>0</v>
      </c>
    </row>
    <row r="3619" spans="1:9" hidden="1">
      <c r="A3619" s="1" t="s">
        <v>13055</v>
      </c>
      <c r="B3619" s="1" t="s">
        <v>10</v>
      </c>
      <c r="C3619" s="1" t="s">
        <v>13056</v>
      </c>
      <c r="D3619" s="1" t="s">
        <v>13007</v>
      </c>
      <c r="E3619" s="1" t="s">
        <v>1237</v>
      </c>
      <c r="F3619" s="1" t="s">
        <v>30</v>
      </c>
      <c r="G3619" s="1" t="s">
        <v>13057</v>
      </c>
      <c r="H3619" s="1" t="s">
        <v>1762</v>
      </c>
      <c r="I3619" t="b">
        <f>COUNTIF(Estadísticas!I:I,'centraldecomunicacion.es'!H3619)&gt;0</f>
        <v>0</v>
      </c>
    </row>
    <row r="3620" spans="1:9" hidden="1">
      <c r="A3620" s="1" t="s">
        <v>13058</v>
      </c>
      <c r="B3620" s="1" t="s">
        <v>18</v>
      </c>
      <c r="C3620" s="1" t="s">
        <v>13059</v>
      </c>
      <c r="D3620" s="1" t="s">
        <v>1273</v>
      </c>
      <c r="E3620" s="1" t="s">
        <v>1237</v>
      </c>
      <c r="F3620" s="1" t="s">
        <v>30</v>
      </c>
      <c r="G3620" s="1" t="s">
        <v>13060</v>
      </c>
      <c r="H3620" s="1" t="s">
        <v>1762</v>
      </c>
      <c r="I3620" t="b">
        <f>COUNTIF(Estadísticas!I:I,'centraldecomunicacion.es'!H3620)&gt;0</f>
        <v>0</v>
      </c>
    </row>
    <row r="3621" spans="1:9" hidden="1">
      <c r="A3621" s="1" t="s">
        <v>13061</v>
      </c>
      <c r="B3621" s="1" t="s">
        <v>10</v>
      </c>
      <c r="C3621" s="1" t="s">
        <v>13062</v>
      </c>
      <c r="D3621" s="1" t="s">
        <v>13039</v>
      </c>
      <c r="E3621" s="1" t="s">
        <v>1237</v>
      </c>
      <c r="F3621" s="1" t="s">
        <v>13063</v>
      </c>
      <c r="G3621" s="1" t="s">
        <v>13064</v>
      </c>
      <c r="H3621" s="1" t="s">
        <v>1762</v>
      </c>
      <c r="I3621" t="b">
        <f>COUNTIF(Estadísticas!I:I,'centraldecomunicacion.es'!H3621)&gt;0</f>
        <v>0</v>
      </c>
    </row>
    <row r="3622" spans="1:9" hidden="1">
      <c r="A3622" s="1" t="s">
        <v>13065</v>
      </c>
      <c r="B3622" s="1" t="s">
        <v>10</v>
      </c>
      <c r="C3622" s="1" t="s">
        <v>13066</v>
      </c>
      <c r="D3622" s="1" t="s">
        <v>1237</v>
      </c>
      <c r="E3622" s="1" t="s">
        <v>1237</v>
      </c>
      <c r="F3622" s="1" t="s">
        <v>30</v>
      </c>
      <c r="G3622" s="1" t="s">
        <v>13067</v>
      </c>
      <c r="H3622" s="1" t="s">
        <v>1762</v>
      </c>
      <c r="I3622" t="b">
        <f>COUNTIF(Estadísticas!I:I,'centraldecomunicacion.es'!H3622)&gt;0</f>
        <v>0</v>
      </c>
    </row>
    <row r="3623" spans="1:9" hidden="1">
      <c r="A3623" s="1" t="s">
        <v>13068</v>
      </c>
      <c r="B3623" s="1" t="s">
        <v>10</v>
      </c>
      <c r="C3623" s="1" t="s">
        <v>13069</v>
      </c>
      <c r="D3623" s="1" t="s">
        <v>1279</v>
      </c>
      <c r="E3623" s="1" t="s">
        <v>1237</v>
      </c>
      <c r="F3623" s="1" t="s">
        <v>30</v>
      </c>
      <c r="G3623" s="1" t="s">
        <v>30</v>
      </c>
      <c r="H3623" s="1" t="s">
        <v>1762</v>
      </c>
      <c r="I3623" t="b">
        <f>COUNTIF(Estadísticas!I:I,'centraldecomunicacion.es'!H3623)&gt;0</f>
        <v>0</v>
      </c>
    </row>
    <row r="3624" spans="1:9" hidden="1">
      <c r="A3624" s="1" t="s">
        <v>13070</v>
      </c>
      <c r="B3624" s="1" t="s">
        <v>10</v>
      </c>
      <c r="C3624" s="1" t="s">
        <v>13071</v>
      </c>
      <c r="D3624" s="1" t="s">
        <v>13072</v>
      </c>
      <c r="E3624" s="1" t="s">
        <v>1237</v>
      </c>
      <c r="F3624" s="1" t="s">
        <v>30</v>
      </c>
      <c r="G3624" s="1" t="s">
        <v>13073</v>
      </c>
      <c r="H3624" s="1" t="s">
        <v>1762</v>
      </c>
      <c r="I3624" t="b">
        <f>COUNTIF(Estadísticas!I:I,'centraldecomunicacion.es'!H3624)&gt;0</f>
        <v>0</v>
      </c>
    </row>
    <row r="3625" spans="1:9" hidden="1">
      <c r="A3625" s="1" t="s">
        <v>13074</v>
      </c>
      <c r="B3625" s="1" t="s">
        <v>10</v>
      </c>
      <c r="C3625" s="1" t="s">
        <v>13075</v>
      </c>
      <c r="D3625" s="1" t="s">
        <v>13076</v>
      </c>
      <c r="E3625" s="1" t="s">
        <v>1237</v>
      </c>
      <c r="F3625" s="1" t="s">
        <v>30</v>
      </c>
      <c r="G3625" s="1" t="s">
        <v>30</v>
      </c>
      <c r="H3625" s="1" t="s">
        <v>1762</v>
      </c>
      <c r="I3625" t="b">
        <f>COUNTIF(Estadísticas!I:I,'centraldecomunicacion.es'!H3625)&gt;0</f>
        <v>0</v>
      </c>
    </row>
    <row r="3626" spans="1:9" hidden="1">
      <c r="A3626" s="1" t="s">
        <v>13077</v>
      </c>
      <c r="B3626" s="1" t="s">
        <v>10</v>
      </c>
      <c r="C3626" s="1" t="s">
        <v>13078</v>
      </c>
      <c r="D3626" s="1" t="s">
        <v>13027</v>
      </c>
      <c r="E3626" s="1" t="s">
        <v>1237</v>
      </c>
      <c r="F3626" s="1" t="s">
        <v>30</v>
      </c>
      <c r="G3626" s="1" t="s">
        <v>13079</v>
      </c>
      <c r="H3626" s="1" t="s">
        <v>1762</v>
      </c>
      <c r="I3626" t="b">
        <f>COUNTIF(Estadísticas!I:I,'centraldecomunicacion.es'!H3626)&gt;0</f>
        <v>0</v>
      </c>
    </row>
    <row r="3627" spans="1:9" hidden="1">
      <c r="A3627" s="1" t="s">
        <v>13080</v>
      </c>
      <c r="B3627" s="1" t="s">
        <v>18</v>
      </c>
      <c r="C3627" s="1" t="s">
        <v>13081</v>
      </c>
      <c r="D3627" s="1" t="s">
        <v>13027</v>
      </c>
      <c r="E3627" s="1" t="s">
        <v>1237</v>
      </c>
      <c r="F3627" s="1" t="s">
        <v>13082</v>
      </c>
      <c r="G3627" s="1" t="s">
        <v>13083</v>
      </c>
      <c r="H3627" s="1" t="s">
        <v>1762</v>
      </c>
      <c r="I3627" t="b">
        <f>COUNTIF(Estadísticas!I:I,'centraldecomunicacion.es'!H3627)&gt;0</f>
        <v>0</v>
      </c>
    </row>
    <row r="3628" spans="1:9" hidden="1">
      <c r="A3628" s="1" t="s">
        <v>13084</v>
      </c>
      <c r="B3628" s="1" t="s">
        <v>10</v>
      </c>
      <c r="C3628" s="1" t="s">
        <v>13085</v>
      </c>
      <c r="D3628" s="1" t="s">
        <v>13027</v>
      </c>
      <c r="E3628" s="1" t="s">
        <v>1237</v>
      </c>
      <c r="F3628" s="1" t="s">
        <v>30</v>
      </c>
      <c r="G3628" s="1" t="s">
        <v>30</v>
      </c>
      <c r="H3628" s="1" t="s">
        <v>1762</v>
      </c>
      <c r="I3628" t="b">
        <f>COUNTIF(Estadísticas!I:I,'centraldecomunicacion.es'!H3628)&gt;0</f>
        <v>0</v>
      </c>
    </row>
    <row r="3629" spans="1:9" hidden="1">
      <c r="A3629" s="1" t="s">
        <v>13086</v>
      </c>
      <c r="B3629" s="1" t="s">
        <v>10</v>
      </c>
      <c r="C3629" s="1" t="s">
        <v>13087</v>
      </c>
      <c r="D3629" s="1" t="s">
        <v>13088</v>
      </c>
      <c r="E3629" s="1" t="s">
        <v>1237</v>
      </c>
      <c r="F3629" s="1" t="s">
        <v>30</v>
      </c>
      <c r="G3629" s="1" t="s">
        <v>13089</v>
      </c>
      <c r="H3629" s="1" t="s">
        <v>1762</v>
      </c>
      <c r="I3629" t="b">
        <f>COUNTIF(Estadísticas!I:I,'centraldecomunicacion.es'!H3629)&gt;0</f>
        <v>0</v>
      </c>
    </row>
    <row r="3630" spans="1:9" hidden="1">
      <c r="A3630" s="1" t="s">
        <v>13090</v>
      </c>
      <c r="B3630" s="1" t="s">
        <v>10</v>
      </c>
      <c r="C3630" s="1" t="s">
        <v>13091</v>
      </c>
      <c r="D3630" s="1" t="s">
        <v>13092</v>
      </c>
      <c r="E3630" s="1" t="s">
        <v>1237</v>
      </c>
      <c r="F3630" s="1" t="s">
        <v>13093</v>
      </c>
      <c r="G3630" s="1" t="s">
        <v>13094</v>
      </c>
      <c r="H3630" s="1" t="s">
        <v>1762</v>
      </c>
      <c r="I3630" t="b">
        <f>COUNTIF(Estadísticas!I:I,'centraldecomunicacion.es'!H3630)&gt;0</f>
        <v>0</v>
      </c>
    </row>
    <row r="3631" spans="1:9" hidden="1">
      <c r="A3631" s="1" t="s">
        <v>13095</v>
      </c>
      <c r="B3631" s="1" t="s">
        <v>10</v>
      </c>
      <c r="C3631" s="1" t="s">
        <v>13096</v>
      </c>
      <c r="D3631" s="1" t="s">
        <v>13000</v>
      </c>
      <c r="E3631" s="1" t="s">
        <v>1237</v>
      </c>
      <c r="F3631" s="1" t="s">
        <v>30</v>
      </c>
      <c r="G3631" s="1" t="s">
        <v>13097</v>
      </c>
      <c r="H3631" s="1" t="s">
        <v>1762</v>
      </c>
      <c r="I3631" t="b">
        <f>COUNTIF(Estadísticas!I:I,'centraldecomunicacion.es'!H3631)&gt;0</f>
        <v>0</v>
      </c>
    </row>
    <row r="3632" spans="1:9" hidden="1">
      <c r="A3632" s="1" t="s">
        <v>13098</v>
      </c>
      <c r="B3632" s="1" t="s">
        <v>10</v>
      </c>
      <c r="C3632" s="1" t="s">
        <v>13099</v>
      </c>
      <c r="D3632" s="1" t="s">
        <v>1267</v>
      </c>
      <c r="E3632" s="1" t="s">
        <v>1237</v>
      </c>
      <c r="F3632" s="1" t="s">
        <v>30</v>
      </c>
      <c r="G3632" s="1" t="s">
        <v>13100</v>
      </c>
      <c r="H3632" s="1" t="s">
        <v>1762</v>
      </c>
      <c r="I3632" t="b">
        <f>COUNTIF(Estadísticas!I:I,'centraldecomunicacion.es'!H3632)&gt;0</f>
        <v>0</v>
      </c>
    </row>
    <row r="3633" spans="1:9" hidden="1">
      <c r="A3633" s="1" t="s">
        <v>13101</v>
      </c>
      <c r="B3633" s="1" t="s">
        <v>18</v>
      </c>
      <c r="C3633" s="1" t="s">
        <v>13102</v>
      </c>
      <c r="D3633" s="1" t="s">
        <v>13103</v>
      </c>
      <c r="E3633" s="1" t="s">
        <v>1237</v>
      </c>
      <c r="F3633" s="1" t="s">
        <v>3929</v>
      </c>
      <c r="G3633" s="1" t="s">
        <v>30</v>
      </c>
      <c r="H3633" s="1" t="s">
        <v>3931</v>
      </c>
      <c r="I3633" t="b">
        <f>COUNTIF(Estadísticas!I:I,'centraldecomunicacion.es'!H3633)&gt;0</f>
        <v>0</v>
      </c>
    </row>
    <row r="3634" spans="1:9" hidden="1">
      <c r="A3634" s="1" t="s">
        <v>13104</v>
      </c>
      <c r="B3634" s="1" t="s">
        <v>10</v>
      </c>
      <c r="C3634" s="1" t="s">
        <v>13105</v>
      </c>
      <c r="D3634" s="1" t="s">
        <v>13088</v>
      </c>
      <c r="E3634" s="1" t="s">
        <v>1237</v>
      </c>
      <c r="F3634" s="1" t="s">
        <v>30</v>
      </c>
      <c r="G3634" s="1" t="s">
        <v>30</v>
      </c>
      <c r="H3634" s="1" t="s">
        <v>1762</v>
      </c>
      <c r="I3634" t="b">
        <f>COUNTIF(Estadísticas!I:I,'centraldecomunicacion.es'!H3634)&gt;0</f>
        <v>0</v>
      </c>
    </row>
    <row r="3635" spans="1:9" hidden="1">
      <c r="A3635" s="1" t="s">
        <v>13106</v>
      </c>
      <c r="B3635" s="1" t="s">
        <v>18</v>
      </c>
      <c r="C3635" s="1" t="s">
        <v>13107</v>
      </c>
      <c r="D3635" s="1" t="s">
        <v>13088</v>
      </c>
      <c r="E3635" s="1" t="s">
        <v>1237</v>
      </c>
      <c r="F3635" s="1" t="s">
        <v>4288</v>
      </c>
      <c r="G3635" s="1" t="s">
        <v>13108</v>
      </c>
      <c r="H3635" s="1" t="s">
        <v>4290</v>
      </c>
      <c r="I3635" t="b">
        <f>COUNTIF(Estadísticas!I:I,'centraldecomunicacion.es'!H3635)&gt;0</f>
        <v>0</v>
      </c>
    </row>
    <row r="3636" spans="1:9" hidden="1">
      <c r="A3636" s="1" t="s">
        <v>13109</v>
      </c>
      <c r="B3636" s="1" t="s">
        <v>18</v>
      </c>
      <c r="C3636" s="1" t="s">
        <v>13110</v>
      </c>
      <c r="D3636" s="1" t="s">
        <v>13027</v>
      </c>
      <c r="E3636" s="1" t="s">
        <v>1237</v>
      </c>
      <c r="F3636" s="1" t="s">
        <v>30</v>
      </c>
      <c r="G3636" s="1" t="s">
        <v>13111</v>
      </c>
      <c r="H3636" s="1" t="s">
        <v>1762</v>
      </c>
      <c r="I3636" t="b">
        <f>COUNTIF(Estadísticas!I:I,'centraldecomunicacion.es'!H3636)&gt;0</f>
        <v>0</v>
      </c>
    </row>
    <row r="3637" spans="1:9" hidden="1">
      <c r="A3637" s="1" t="s">
        <v>13112</v>
      </c>
      <c r="B3637" s="1" t="s">
        <v>10</v>
      </c>
      <c r="C3637" s="1" t="s">
        <v>13113</v>
      </c>
      <c r="D3637" s="1" t="s">
        <v>13114</v>
      </c>
      <c r="E3637" s="1" t="s">
        <v>1237</v>
      </c>
      <c r="F3637" s="1" t="s">
        <v>30</v>
      </c>
      <c r="G3637" s="1" t="s">
        <v>30</v>
      </c>
      <c r="H3637" s="1" t="s">
        <v>1762</v>
      </c>
      <c r="I3637" t="b">
        <f>COUNTIF(Estadísticas!I:I,'centraldecomunicacion.es'!H3637)&gt;0</f>
        <v>0</v>
      </c>
    </row>
    <row r="3638" spans="1:9" hidden="1">
      <c r="A3638" s="1" t="s">
        <v>13115</v>
      </c>
      <c r="B3638" s="1" t="s">
        <v>10</v>
      </c>
      <c r="C3638" s="1" t="s">
        <v>13116</v>
      </c>
      <c r="D3638" s="1" t="s">
        <v>13117</v>
      </c>
      <c r="E3638" s="1" t="s">
        <v>1237</v>
      </c>
      <c r="F3638" s="1" t="s">
        <v>30</v>
      </c>
      <c r="G3638" s="1" t="s">
        <v>13118</v>
      </c>
      <c r="H3638" s="1" t="s">
        <v>1762</v>
      </c>
      <c r="I3638" t="b">
        <f>COUNTIF(Estadísticas!I:I,'centraldecomunicacion.es'!H3638)&gt;0</f>
        <v>0</v>
      </c>
    </row>
    <row r="3639" spans="1:9" hidden="1">
      <c r="A3639" s="1" t="s">
        <v>10</v>
      </c>
      <c r="B3639" s="1" t="s">
        <v>10</v>
      </c>
      <c r="C3639" s="1" t="s">
        <v>30</v>
      </c>
      <c r="D3639" s="1" t="s">
        <v>1267</v>
      </c>
      <c r="E3639" s="1" t="s">
        <v>30</v>
      </c>
      <c r="F3639" s="1" t="s">
        <v>1984</v>
      </c>
      <c r="G3639" s="1" t="s">
        <v>13119</v>
      </c>
      <c r="H3639" s="1" t="s">
        <v>1762</v>
      </c>
      <c r="I3639" t="b">
        <f>COUNTIF(Estadísticas!I:I,'centraldecomunicacion.es'!H3639)&gt;0</f>
        <v>0</v>
      </c>
    </row>
    <row r="3640" spans="1:9" hidden="1">
      <c r="A3640" s="1" t="s">
        <v>13120</v>
      </c>
      <c r="B3640" s="1" t="s">
        <v>10</v>
      </c>
      <c r="C3640" s="1" t="s">
        <v>13121</v>
      </c>
      <c r="D3640" s="1" t="s">
        <v>13122</v>
      </c>
      <c r="E3640" s="1" t="s">
        <v>1237</v>
      </c>
      <c r="F3640" s="1" t="s">
        <v>30</v>
      </c>
      <c r="G3640" s="1" t="s">
        <v>13123</v>
      </c>
      <c r="H3640" s="1" t="s">
        <v>1762</v>
      </c>
      <c r="I3640" t="b">
        <f>COUNTIF(Estadísticas!I:I,'centraldecomunicacion.es'!H3640)&gt;0</f>
        <v>0</v>
      </c>
    </row>
    <row r="3641" spans="1:9" hidden="1">
      <c r="A3641" s="1" t="s">
        <v>13124</v>
      </c>
      <c r="B3641" s="1" t="s">
        <v>10</v>
      </c>
      <c r="C3641" s="1" t="s">
        <v>13125</v>
      </c>
      <c r="D3641" s="1" t="s">
        <v>13117</v>
      </c>
      <c r="E3641" s="1" t="s">
        <v>1237</v>
      </c>
      <c r="F3641" s="1" t="s">
        <v>30</v>
      </c>
      <c r="G3641" s="1" t="s">
        <v>30</v>
      </c>
      <c r="H3641" s="1" t="s">
        <v>1762</v>
      </c>
      <c r="I3641" t="b">
        <f>COUNTIF(Estadísticas!I:I,'centraldecomunicacion.es'!H3641)&gt;0</f>
        <v>0</v>
      </c>
    </row>
    <row r="3642" spans="1:9" hidden="1">
      <c r="A3642" s="1" t="s">
        <v>13126</v>
      </c>
      <c r="B3642" s="1" t="s">
        <v>18</v>
      </c>
      <c r="C3642" s="1" t="s">
        <v>13127</v>
      </c>
      <c r="D3642" s="1" t="s">
        <v>13128</v>
      </c>
      <c r="E3642" s="1" t="s">
        <v>1237</v>
      </c>
      <c r="F3642" s="1" t="s">
        <v>13129</v>
      </c>
      <c r="G3642" s="1" t="s">
        <v>30</v>
      </c>
      <c r="H3642" s="1" t="s">
        <v>1762</v>
      </c>
      <c r="I3642" t="b">
        <f>COUNTIF(Estadísticas!I:I,'centraldecomunicacion.es'!H3642)&gt;0</f>
        <v>0</v>
      </c>
    </row>
    <row r="3643" spans="1:9" hidden="1">
      <c r="A3643" s="1" t="s">
        <v>13130</v>
      </c>
      <c r="B3643" s="1" t="s">
        <v>10</v>
      </c>
      <c r="C3643" s="1" t="s">
        <v>13131</v>
      </c>
      <c r="D3643" s="1" t="s">
        <v>13132</v>
      </c>
      <c r="E3643" s="1" t="s">
        <v>1237</v>
      </c>
      <c r="F3643" s="1" t="s">
        <v>30</v>
      </c>
      <c r="G3643" s="1" t="s">
        <v>30</v>
      </c>
      <c r="H3643" s="1" t="s">
        <v>1762</v>
      </c>
      <c r="I3643" t="b">
        <f>COUNTIF(Estadísticas!I:I,'centraldecomunicacion.es'!H3643)&gt;0</f>
        <v>0</v>
      </c>
    </row>
    <row r="3644" spans="1:9" hidden="1">
      <c r="A3644" s="1" t="s">
        <v>13133</v>
      </c>
      <c r="B3644" s="1" t="s">
        <v>10</v>
      </c>
      <c r="C3644" s="1" t="s">
        <v>13134</v>
      </c>
      <c r="D3644" s="1" t="s">
        <v>13135</v>
      </c>
      <c r="E3644" s="1" t="s">
        <v>1237</v>
      </c>
      <c r="F3644" s="1" t="s">
        <v>30</v>
      </c>
      <c r="G3644" s="1" t="s">
        <v>13136</v>
      </c>
      <c r="H3644" s="1" t="s">
        <v>1762</v>
      </c>
      <c r="I3644" t="b">
        <f>COUNTIF(Estadísticas!I:I,'centraldecomunicacion.es'!H3644)&gt;0</f>
        <v>0</v>
      </c>
    </row>
    <row r="3645" spans="1:9" hidden="1">
      <c r="A3645" s="1" t="s">
        <v>13137</v>
      </c>
      <c r="B3645" s="1" t="s">
        <v>18</v>
      </c>
      <c r="C3645" s="1" t="s">
        <v>13138</v>
      </c>
      <c r="D3645" s="1" t="s">
        <v>13139</v>
      </c>
      <c r="E3645" s="1" t="s">
        <v>1237</v>
      </c>
      <c r="F3645" s="1" t="s">
        <v>30</v>
      </c>
      <c r="G3645" s="1" t="s">
        <v>13140</v>
      </c>
      <c r="H3645" s="1" t="s">
        <v>1762</v>
      </c>
      <c r="I3645" t="b">
        <f>COUNTIF(Estadísticas!I:I,'centraldecomunicacion.es'!H3645)&gt;0</f>
        <v>0</v>
      </c>
    </row>
    <row r="3646" spans="1:9" hidden="1">
      <c r="A3646" s="1" t="s">
        <v>13141</v>
      </c>
      <c r="B3646" s="1" t="s">
        <v>10</v>
      </c>
      <c r="C3646" s="1" t="s">
        <v>13142</v>
      </c>
      <c r="D3646" s="1" t="s">
        <v>13143</v>
      </c>
      <c r="E3646" s="1" t="s">
        <v>1237</v>
      </c>
      <c r="F3646" s="1" t="s">
        <v>30</v>
      </c>
      <c r="G3646" s="1" t="s">
        <v>30</v>
      </c>
      <c r="H3646" s="1" t="s">
        <v>1762</v>
      </c>
      <c r="I3646" t="b">
        <f>COUNTIF(Estadísticas!I:I,'centraldecomunicacion.es'!H3646)&gt;0</f>
        <v>0</v>
      </c>
    </row>
    <row r="3647" spans="1:9" hidden="1">
      <c r="A3647" s="1" t="s">
        <v>13144</v>
      </c>
      <c r="B3647" s="1" t="s">
        <v>10</v>
      </c>
      <c r="C3647" s="1" t="s">
        <v>13145</v>
      </c>
      <c r="D3647" s="1" t="s">
        <v>13146</v>
      </c>
      <c r="E3647" s="1" t="s">
        <v>1237</v>
      </c>
      <c r="F3647" s="1" t="s">
        <v>30</v>
      </c>
      <c r="G3647" s="1" t="s">
        <v>13147</v>
      </c>
      <c r="H3647" s="1" t="s">
        <v>1762</v>
      </c>
      <c r="I3647" t="b">
        <f>COUNTIF(Estadísticas!I:I,'centraldecomunicacion.es'!H3647)&gt;0</f>
        <v>0</v>
      </c>
    </row>
    <row r="3648" spans="1:9" hidden="1">
      <c r="A3648" s="1" t="s">
        <v>13148</v>
      </c>
      <c r="B3648" s="1" t="s">
        <v>18</v>
      </c>
      <c r="C3648" s="1" t="s">
        <v>13149</v>
      </c>
      <c r="D3648" s="1" t="s">
        <v>13150</v>
      </c>
      <c r="E3648" s="1" t="s">
        <v>1237</v>
      </c>
      <c r="F3648" s="1" t="s">
        <v>30</v>
      </c>
      <c r="G3648" s="1" t="s">
        <v>13151</v>
      </c>
      <c r="H3648" s="1" t="s">
        <v>1762</v>
      </c>
      <c r="I3648" t="b">
        <f>COUNTIF(Estadísticas!I:I,'centraldecomunicacion.es'!H3648)&gt;0</f>
        <v>0</v>
      </c>
    </row>
    <row r="3649" spans="1:9" hidden="1">
      <c r="A3649" s="1" t="s">
        <v>13152</v>
      </c>
      <c r="B3649" s="1" t="s">
        <v>10</v>
      </c>
      <c r="C3649" s="1" t="s">
        <v>13153</v>
      </c>
      <c r="D3649" s="1" t="s">
        <v>13154</v>
      </c>
      <c r="E3649" s="1" t="s">
        <v>1237</v>
      </c>
      <c r="F3649" s="1" t="s">
        <v>30</v>
      </c>
      <c r="G3649" s="1" t="s">
        <v>13155</v>
      </c>
      <c r="H3649" s="1" t="s">
        <v>1762</v>
      </c>
      <c r="I3649" t="b">
        <f>COUNTIF(Estadísticas!I:I,'centraldecomunicacion.es'!H3649)&gt;0</f>
        <v>0</v>
      </c>
    </row>
    <row r="3650" spans="1:9" hidden="1">
      <c r="A3650" s="1" t="s">
        <v>13156</v>
      </c>
      <c r="B3650" s="1" t="s">
        <v>10</v>
      </c>
      <c r="C3650" s="1" t="s">
        <v>13157</v>
      </c>
      <c r="D3650" s="1" t="s">
        <v>13146</v>
      </c>
      <c r="E3650" s="1" t="s">
        <v>1237</v>
      </c>
      <c r="F3650" s="1" t="s">
        <v>30</v>
      </c>
      <c r="G3650" s="1" t="s">
        <v>30</v>
      </c>
      <c r="H3650" s="1" t="s">
        <v>1762</v>
      </c>
      <c r="I3650" t="b">
        <f>COUNTIF(Estadísticas!I:I,'centraldecomunicacion.es'!H3650)&gt;0</f>
        <v>0</v>
      </c>
    </row>
    <row r="3651" spans="1:9" hidden="1">
      <c r="A3651" s="1" t="s">
        <v>13158</v>
      </c>
      <c r="B3651" s="1" t="s">
        <v>10</v>
      </c>
      <c r="C3651" s="1" t="s">
        <v>13159</v>
      </c>
      <c r="D3651" s="1" t="s">
        <v>13160</v>
      </c>
      <c r="E3651" s="1" t="s">
        <v>945</v>
      </c>
      <c r="F3651" s="1" t="s">
        <v>30</v>
      </c>
      <c r="G3651" s="1" t="s">
        <v>13161</v>
      </c>
      <c r="H3651" s="1" t="s">
        <v>1762</v>
      </c>
      <c r="I3651" t="b">
        <f>COUNTIF(Estadísticas!I:I,'centraldecomunicacion.es'!H3651)&gt;0</f>
        <v>0</v>
      </c>
    </row>
    <row r="3652" spans="1:9">
      <c r="A3652" s="1" t="s">
        <v>1289</v>
      </c>
      <c r="B3652" s="1" t="s">
        <v>10</v>
      </c>
      <c r="C3652" s="1" t="s">
        <v>1290</v>
      </c>
      <c r="D3652" s="1" t="s">
        <v>1291</v>
      </c>
      <c r="E3652" s="1" t="s">
        <v>1291</v>
      </c>
      <c r="F3652" s="1" t="s">
        <v>1292</v>
      </c>
      <c r="G3652" s="1" t="s">
        <v>1293</v>
      </c>
      <c r="H3652" s="1" t="s">
        <v>1294</v>
      </c>
      <c r="I3652" t="b">
        <f>COUNTIF(Estadísticas!I:I,'centraldecomunicacion.es'!H3652)&gt;0</f>
        <v>1</v>
      </c>
    </row>
    <row r="3653" spans="1:9" hidden="1">
      <c r="A3653" s="1" t="s">
        <v>13162</v>
      </c>
      <c r="B3653" s="1" t="s">
        <v>10</v>
      </c>
      <c r="C3653" s="1" t="s">
        <v>13163</v>
      </c>
      <c r="D3653" s="1" t="s">
        <v>1291</v>
      </c>
      <c r="E3653" s="1" t="s">
        <v>1291</v>
      </c>
      <c r="F3653" s="1" t="s">
        <v>30</v>
      </c>
      <c r="G3653" s="1" t="s">
        <v>13164</v>
      </c>
      <c r="H3653" s="1" t="s">
        <v>1762</v>
      </c>
      <c r="I3653" t="b">
        <f>COUNTIF(Estadísticas!I:I,'centraldecomunicacion.es'!H3653)&gt;0</f>
        <v>0</v>
      </c>
    </row>
    <row r="3654" spans="1:9" hidden="1">
      <c r="A3654" s="1" t="s">
        <v>13165</v>
      </c>
      <c r="B3654" s="1" t="s">
        <v>10</v>
      </c>
      <c r="C3654" s="1" t="s">
        <v>13166</v>
      </c>
      <c r="D3654" s="1" t="s">
        <v>1291</v>
      </c>
      <c r="E3654" s="1" t="s">
        <v>1291</v>
      </c>
      <c r="F3654" s="1" t="s">
        <v>30</v>
      </c>
      <c r="G3654" s="1" t="s">
        <v>13167</v>
      </c>
      <c r="H3654" s="1" t="s">
        <v>1762</v>
      </c>
      <c r="I3654" t="b">
        <f>COUNTIF(Estadísticas!I:I,'centraldecomunicacion.es'!H3654)&gt;0</f>
        <v>0</v>
      </c>
    </row>
    <row r="3655" spans="1:9">
      <c r="A3655" s="1" t="s">
        <v>1295</v>
      </c>
      <c r="B3655" s="1" t="s">
        <v>18</v>
      </c>
      <c r="C3655" s="1" t="s">
        <v>1296</v>
      </c>
      <c r="D3655" s="1" t="s">
        <v>1291</v>
      </c>
      <c r="E3655" s="1" t="s">
        <v>1291</v>
      </c>
      <c r="F3655" s="1" t="s">
        <v>1297</v>
      </c>
      <c r="G3655" s="1" t="s">
        <v>1298</v>
      </c>
      <c r="H3655" s="1" t="s">
        <v>1299</v>
      </c>
      <c r="I3655" t="b">
        <f>COUNTIF(Estadísticas!I:I,'centraldecomunicacion.es'!H3655)&gt;0</f>
        <v>1</v>
      </c>
    </row>
    <row r="3656" spans="1:9" hidden="1">
      <c r="A3656" s="1" t="s">
        <v>13168</v>
      </c>
      <c r="B3656" s="1" t="s">
        <v>10</v>
      </c>
      <c r="C3656" s="1" t="s">
        <v>30</v>
      </c>
      <c r="D3656" s="1" t="s">
        <v>13169</v>
      </c>
      <c r="E3656" s="1" t="s">
        <v>30</v>
      </c>
      <c r="F3656" s="1" t="s">
        <v>1984</v>
      </c>
      <c r="G3656" s="1" t="s">
        <v>13170</v>
      </c>
      <c r="H3656" s="1" t="s">
        <v>1762</v>
      </c>
      <c r="I3656" t="b">
        <f>COUNTIF(Estadísticas!I:I,'centraldecomunicacion.es'!H3656)&gt;0</f>
        <v>0</v>
      </c>
    </row>
    <row r="3657" spans="1:9" hidden="1">
      <c r="A3657" s="1" t="s">
        <v>13171</v>
      </c>
      <c r="B3657" s="1" t="s">
        <v>18</v>
      </c>
      <c r="C3657" s="1" t="s">
        <v>13172</v>
      </c>
      <c r="D3657" s="1" t="s">
        <v>1291</v>
      </c>
      <c r="E3657" s="1" t="s">
        <v>1291</v>
      </c>
      <c r="F3657" s="1" t="s">
        <v>13173</v>
      </c>
      <c r="G3657" s="1" t="s">
        <v>13174</v>
      </c>
      <c r="H3657" s="1" t="s">
        <v>13175</v>
      </c>
      <c r="I3657" t="b">
        <f>COUNTIF(Estadísticas!I:I,'centraldecomunicacion.es'!H3657)&gt;0</f>
        <v>0</v>
      </c>
    </row>
    <row r="3658" spans="1:9">
      <c r="A3658" s="1" t="s">
        <v>1300</v>
      </c>
      <c r="B3658" s="1" t="s">
        <v>10</v>
      </c>
      <c r="C3658" s="1" t="s">
        <v>1301</v>
      </c>
      <c r="D3658" s="1" t="s">
        <v>1291</v>
      </c>
      <c r="E3658" s="1" t="s">
        <v>1291</v>
      </c>
      <c r="F3658" s="1" t="s">
        <v>1302</v>
      </c>
      <c r="G3658" s="1" t="s">
        <v>1303</v>
      </c>
      <c r="H3658" s="1" t="s">
        <v>1304</v>
      </c>
      <c r="I3658" t="b">
        <f>COUNTIF(Estadísticas!I:I,'centraldecomunicacion.es'!H3658)&gt;0</f>
        <v>1</v>
      </c>
    </row>
    <row r="3659" spans="1:9" hidden="1">
      <c r="A3659" s="1" t="s">
        <v>13176</v>
      </c>
      <c r="B3659" s="1" t="s">
        <v>10</v>
      </c>
      <c r="C3659" s="1" t="s">
        <v>13177</v>
      </c>
      <c r="D3659" s="1" t="s">
        <v>1291</v>
      </c>
      <c r="E3659" s="1" t="s">
        <v>1291</v>
      </c>
      <c r="F3659" s="1" t="s">
        <v>30</v>
      </c>
      <c r="G3659" s="1" t="s">
        <v>13178</v>
      </c>
      <c r="H3659" s="1" t="s">
        <v>1762</v>
      </c>
      <c r="I3659" t="b">
        <f>COUNTIF(Estadísticas!I:I,'centraldecomunicacion.es'!H3659)&gt;0</f>
        <v>0</v>
      </c>
    </row>
    <row r="3660" spans="1:9" hidden="1">
      <c r="A3660" s="1" t="s">
        <v>13179</v>
      </c>
      <c r="B3660" s="1" t="s">
        <v>10</v>
      </c>
      <c r="C3660" s="1" t="s">
        <v>13180</v>
      </c>
      <c r="D3660" s="1" t="s">
        <v>1291</v>
      </c>
      <c r="E3660" s="1" t="s">
        <v>1291</v>
      </c>
      <c r="F3660" s="1" t="s">
        <v>13181</v>
      </c>
      <c r="G3660" s="1" t="s">
        <v>13182</v>
      </c>
      <c r="H3660" s="1" t="s">
        <v>1762</v>
      </c>
      <c r="I3660" t="b">
        <f>COUNTIF(Estadísticas!I:I,'centraldecomunicacion.es'!H3660)&gt;0</f>
        <v>0</v>
      </c>
    </row>
    <row r="3661" spans="1:9" hidden="1">
      <c r="A3661" s="1" t="s">
        <v>13183</v>
      </c>
      <c r="B3661" s="1" t="s">
        <v>10</v>
      </c>
      <c r="C3661" s="1" t="s">
        <v>13184</v>
      </c>
      <c r="D3661" s="1" t="s">
        <v>1291</v>
      </c>
      <c r="E3661" s="1" t="s">
        <v>1291</v>
      </c>
      <c r="F3661" s="1" t="s">
        <v>30</v>
      </c>
      <c r="G3661" s="1" t="s">
        <v>13185</v>
      </c>
      <c r="H3661" s="1" t="s">
        <v>1762</v>
      </c>
      <c r="I3661" t="b">
        <f>COUNTIF(Estadísticas!I:I,'centraldecomunicacion.es'!H3661)&gt;0</f>
        <v>0</v>
      </c>
    </row>
    <row r="3662" spans="1:9">
      <c r="A3662" s="1" t="s">
        <v>13186</v>
      </c>
      <c r="B3662" s="1" t="s">
        <v>10</v>
      </c>
      <c r="C3662" s="1" t="s">
        <v>13187</v>
      </c>
      <c r="D3662" s="1" t="s">
        <v>1291</v>
      </c>
      <c r="E3662" s="1" t="s">
        <v>1291</v>
      </c>
      <c r="F3662" s="1" t="s">
        <v>1302</v>
      </c>
      <c r="G3662" s="1" t="s">
        <v>13188</v>
      </c>
      <c r="H3662" s="1" t="s">
        <v>1304</v>
      </c>
      <c r="I3662" t="b">
        <f>COUNTIF(Estadísticas!I:I,'centraldecomunicacion.es'!H3662)&gt;0</f>
        <v>1</v>
      </c>
    </row>
    <row r="3663" spans="1:9" hidden="1">
      <c r="A3663" s="1" t="s">
        <v>13189</v>
      </c>
      <c r="B3663" s="1" t="s">
        <v>10</v>
      </c>
      <c r="C3663" s="1" t="s">
        <v>13190</v>
      </c>
      <c r="D3663" s="1" t="s">
        <v>1291</v>
      </c>
      <c r="E3663" s="1" t="s">
        <v>1291</v>
      </c>
      <c r="F3663" s="1" t="s">
        <v>1984</v>
      </c>
      <c r="G3663" s="1" t="s">
        <v>13191</v>
      </c>
      <c r="H3663" s="1" t="s">
        <v>1762</v>
      </c>
      <c r="I3663" t="b">
        <f>COUNTIF(Estadísticas!I:I,'centraldecomunicacion.es'!H3663)&gt;0</f>
        <v>0</v>
      </c>
    </row>
    <row r="3664" spans="1:9" hidden="1">
      <c r="A3664" s="1" t="s">
        <v>13192</v>
      </c>
      <c r="B3664" s="1" t="s">
        <v>10</v>
      </c>
      <c r="C3664" s="1" t="s">
        <v>13193</v>
      </c>
      <c r="D3664" s="1" t="s">
        <v>1291</v>
      </c>
      <c r="E3664" s="1" t="s">
        <v>1291</v>
      </c>
      <c r="F3664" s="1" t="s">
        <v>13194</v>
      </c>
      <c r="G3664" s="1" t="s">
        <v>13195</v>
      </c>
      <c r="H3664" s="1" t="s">
        <v>1783</v>
      </c>
      <c r="I3664" t="b">
        <f>COUNTIF(Estadísticas!I:I,'centraldecomunicacion.es'!H3664)&gt;0</f>
        <v>0</v>
      </c>
    </row>
    <row r="3665" spans="1:9" hidden="1">
      <c r="A3665" s="1" t="s">
        <v>13196</v>
      </c>
      <c r="B3665" s="1" t="s">
        <v>10</v>
      </c>
      <c r="C3665" s="1" t="s">
        <v>13197</v>
      </c>
      <c r="D3665" s="1" t="s">
        <v>1291</v>
      </c>
      <c r="E3665" s="1" t="s">
        <v>1291</v>
      </c>
      <c r="F3665" s="1" t="s">
        <v>30</v>
      </c>
      <c r="G3665" s="1" t="s">
        <v>13198</v>
      </c>
      <c r="H3665" s="1" t="s">
        <v>1762</v>
      </c>
      <c r="I3665" t="b">
        <f>COUNTIF(Estadísticas!I:I,'centraldecomunicacion.es'!H3665)&gt;0</f>
        <v>0</v>
      </c>
    </row>
    <row r="3666" spans="1:9">
      <c r="A3666" s="1" t="s">
        <v>1305</v>
      </c>
      <c r="B3666" s="1" t="s">
        <v>18</v>
      </c>
      <c r="C3666" s="1" t="s">
        <v>1306</v>
      </c>
      <c r="D3666" s="1" t="s">
        <v>1291</v>
      </c>
      <c r="E3666" s="1" t="s">
        <v>1291</v>
      </c>
      <c r="F3666" s="1" t="s">
        <v>1307</v>
      </c>
      <c r="G3666" s="1" t="s">
        <v>1308</v>
      </c>
      <c r="H3666" s="1" t="s">
        <v>1309</v>
      </c>
      <c r="I3666" t="b">
        <f>COUNTIF(Estadísticas!I:I,'centraldecomunicacion.es'!H3666)&gt;0</f>
        <v>1</v>
      </c>
    </row>
    <row r="3667" spans="1:9" hidden="1">
      <c r="A3667" s="1" t="s">
        <v>13199</v>
      </c>
      <c r="B3667" s="1" t="s">
        <v>10</v>
      </c>
      <c r="C3667" s="1" t="s">
        <v>13200</v>
      </c>
      <c r="D3667" s="1" t="s">
        <v>1291</v>
      </c>
      <c r="E3667" s="1" t="s">
        <v>1291</v>
      </c>
      <c r="F3667" s="1" t="s">
        <v>1984</v>
      </c>
      <c r="G3667" s="1" t="s">
        <v>13170</v>
      </c>
      <c r="H3667" s="1" t="s">
        <v>1762</v>
      </c>
      <c r="I3667" t="b">
        <f>COUNTIF(Estadísticas!I:I,'centraldecomunicacion.es'!H3667)&gt;0</f>
        <v>0</v>
      </c>
    </row>
    <row r="3668" spans="1:9" hidden="1">
      <c r="A3668" s="1" t="s">
        <v>13201</v>
      </c>
      <c r="B3668" s="1" t="s">
        <v>18</v>
      </c>
      <c r="C3668" s="1" t="s">
        <v>13202</v>
      </c>
      <c r="D3668" s="1" t="s">
        <v>1291</v>
      </c>
      <c r="E3668" s="1" t="s">
        <v>1291</v>
      </c>
      <c r="F3668" s="1" t="s">
        <v>30</v>
      </c>
      <c r="G3668" s="1" t="s">
        <v>13191</v>
      </c>
      <c r="H3668" s="1" t="s">
        <v>1762</v>
      </c>
      <c r="I3668" t="b">
        <f>COUNTIF(Estadísticas!I:I,'centraldecomunicacion.es'!H3668)&gt;0</f>
        <v>0</v>
      </c>
    </row>
    <row r="3669" spans="1:9" hidden="1">
      <c r="A3669" s="1" t="s">
        <v>13203</v>
      </c>
      <c r="B3669" s="1" t="s">
        <v>10</v>
      </c>
      <c r="C3669" s="1" t="s">
        <v>13204</v>
      </c>
      <c r="D3669" s="1" t="s">
        <v>1291</v>
      </c>
      <c r="E3669" s="1" t="s">
        <v>1291</v>
      </c>
      <c r="F3669" s="1" t="s">
        <v>30</v>
      </c>
      <c r="G3669" s="1" t="s">
        <v>13205</v>
      </c>
      <c r="H3669" s="1" t="s">
        <v>1762</v>
      </c>
      <c r="I3669" t="b">
        <f>COUNTIF(Estadísticas!I:I,'centraldecomunicacion.es'!H3669)&gt;0</f>
        <v>0</v>
      </c>
    </row>
    <row r="3670" spans="1:9" hidden="1">
      <c r="A3670" s="1" t="s">
        <v>13206</v>
      </c>
      <c r="B3670" s="1" t="s">
        <v>10</v>
      </c>
      <c r="C3670" s="1" t="s">
        <v>13207</v>
      </c>
      <c r="D3670" s="1" t="s">
        <v>1291</v>
      </c>
      <c r="E3670" s="1" t="s">
        <v>1291</v>
      </c>
      <c r="F3670" s="1" t="s">
        <v>30</v>
      </c>
      <c r="G3670" s="1" t="s">
        <v>13208</v>
      </c>
      <c r="H3670" s="1" t="s">
        <v>1762</v>
      </c>
      <c r="I3670" t="b">
        <f>COUNTIF(Estadísticas!I:I,'centraldecomunicacion.es'!H3670)&gt;0</f>
        <v>0</v>
      </c>
    </row>
    <row r="3671" spans="1:9" hidden="1">
      <c r="A3671" s="1" t="s">
        <v>13209</v>
      </c>
      <c r="B3671" s="1" t="s">
        <v>10</v>
      </c>
      <c r="C3671" s="1" t="s">
        <v>13210</v>
      </c>
      <c r="D3671" s="1" t="s">
        <v>1291</v>
      </c>
      <c r="E3671" s="1" t="s">
        <v>1291</v>
      </c>
      <c r="F3671" s="1" t="s">
        <v>30</v>
      </c>
      <c r="G3671" s="1" t="s">
        <v>13211</v>
      </c>
      <c r="H3671" s="1" t="s">
        <v>1762</v>
      </c>
      <c r="I3671" t="b">
        <f>COUNTIF(Estadísticas!I:I,'centraldecomunicacion.es'!H3671)&gt;0</f>
        <v>0</v>
      </c>
    </row>
    <row r="3672" spans="1:9" hidden="1">
      <c r="A3672" s="1" t="s">
        <v>13212</v>
      </c>
      <c r="B3672" s="1" t="s">
        <v>10</v>
      </c>
      <c r="C3672" s="1" t="s">
        <v>13213</v>
      </c>
      <c r="D3672" s="1" t="s">
        <v>1291</v>
      </c>
      <c r="E3672" s="1" t="s">
        <v>1291</v>
      </c>
      <c r="F3672" s="1" t="s">
        <v>13214</v>
      </c>
      <c r="G3672" s="1" t="s">
        <v>30</v>
      </c>
      <c r="H3672" s="1" t="s">
        <v>1762</v>
      </c>
      <c r="I3672" t="b">
        <f>COUNTIF(Estadísticas!I:I,'centraldecomunicacion.es'!H3672)&gt;0</f>
        <v>0</v>
      </c>
    </row>
    <row r="3673" spans="1:9" hidden="1">
      <c r="A3673" s="1" t="s">
        <v>13215</v>
      </c>
      <c r="B3673" s="1" t="s">
        <v>10</v>
      </c>
      <c r="C3673" s="1" t="s">
        <v>13216</v>
      </c>
      <c r="D3673" s="1" t="s">
        <v>1291</v>
      </c>
      <c r="E3673" s="1" t="s">
        <v>1291</v>
      </c>
      <c r="F3673" s="1" t="s">
        <v>30</v>
      </c>
      <c r="G3673" s="1" t="s">
        <v>13217</v>
      </c>
      <c r="H3673" s="1" t="s">
        <v>1762</v>
      </c>
      <c r="I3673" t="b">
        <f>COUNTIF(Estadísticas!I:I,'centraldecomunicacion.es'!H3673)&gt;0</f>
        <v>0</v>
      </c>
    </row>
    <row r="3674" spans="1:9" hidden="1">
      <c r="A3674" s="1" t="s">
        <v>13218</v>
      </c>
      <c r="B3674" s="1" t="s">
        <v>10</v>
      </c>
      <c r="C3674" s="1" t="s">
        <v>13219</v>
      </c>
      <c r="D3674" s="1" t="s">
        <v>1291</v>
      </c>
      <c r="E3674" s="1" t="s">
        <v>1291</v>
      </c>
      <c r="F3674" s="1" t="s">
        <v>30</v>
      </c>
      <c r="G3674" s="1" t="s">
        <v>30</v>
      </c>
      <c r="H3674" s="1" t="s">
        <v>1762</v>
      </c>
      <c r="I3674" t="b">
        <f>COUNTIF(Estadísticas!I:I,'centraldecomunicacion.es'!H3674)&gt;0</f>
        <v>0</v>
      </c>
    </row>
    <row r="3675" spans="1:9" hidden="1">
      <c r="A3675" s="1" t="s">
        <v>13220</v>
      </c>
      <c r="B3675" s="1" t="s">
        <v>10</v>
      </c>
      <c r="C3675" s="1" t="s">
        <v>13221</v>
      </c>
      <c r="D3675" s="1" t="s">
        <v>1291</v>
      </c>
      <c r="E3675" s="1" t="s">
        <v>1291</v>
      </c>
      <c r="F3675" s="1" t="s">
        <v>30</v>
      </c>
      <c r="G3675" s="1" t="s">
        <v>30</v>
      </c>
      <c r="H3675" s="1" t="s">
        <v>1762</v>
      </c>
      <c r="I3675" t="b">
        <f>COUNTIF(Estadísticas!I:I,'centraldecomunicacion.es'!H3675)&gt;0</f>
        <v>0</v>
      </c>
    </row>
    <row r="3676" spans="1:9" hidden="1">
      <c r="A3676" s="1" t="s">
        <v>13222</v>
      </c>
      <c r="B3676" s="1" t="s">
        <v>10</v>
      </c>
      <c r="C3676" s="1" t="s">
        <v>13223</v>
      </c>
      <c r="D3676" s="1" t="s">
        <v>1291</v>
      </c>
      <c r="E3676" s="1" t="s">
        <v>1291</v>
      </c>
      <c r="F3676" s="1" t="s">
        <v>30</v>
      </c>
      <c r="G3676" s="1" t="s">
        <v>13224</v>
      </c>
      <c r="H3676" s="1" t="s">
        <v>1762</v>
      </c>
      <c r="I3676" t="b">
        <f>COUNTIF(Estadísticas!I:I,'centraldecomunicacion.es'!H3676)&gt;0</f>
        <v>0</v>
      </c>
    </row>
    <row r="3677" spans="1:9" hidden="1">
      <c r="A3677" s="1" t="s">
        <v>13225</v>
      </c>
      <c r="B3677" s="1" t="s">
        <v>10</v>
      </c>
      <c r="C3677" s="1" t="s">
        <v>13226</v>
      </c>
      <c r="D3677" s="1" t="s">
        <v>1291</v>
      </c>
      <c r="E3677" s="1" t="s">
        <v>1291</v>
      </c>
      <c r="F3677" s="1" t="s">
        <v>30</v>
      </c>
      <c r="G3677" s="1" t="s">
        <v>13227</v>
      </c>
      <c r="H3677" s="1" t="s">
        <v>1762</v>
      </c>
      <c r="I3677" t="b">
        <f>COUNTIF(Estadísticas!I:I,'centraldecomunicacion.es'!H3677)&gt;0</f>
        <v>0</v>
      </c>
    </row>
    <row r="3678" spans="1:9" hidden="1">
      <c r="A3678" s="1" t="s">
        <v>13228</v>
      </c>
      <c r="B3678" s="1" t="s">
        <v>10</v>
      </c>
      <c r="C3678" s="1" t="s">
        <v>13229</v>
      </c>
      <c r="D3678" s="1" t="s">
        <v>1291</v>
      </c>
      <c r="E3678" s="1" t="s">
        <v>1291</v>
      </c>
      <c r="F3678" s="1" t="s">
        <v>1984</v>
      </c>
      <c r="G3678" s="1" t="s">
        <v>13230</v>
      </c>
      <c r="H3678" s="1" t="s">
        <v>1762</v>
      </c>
      <c r="I3678" t="b">
        <f>COUNTIF(Estadísticas!I:I,'centraldecomunicacion.es'!H3678)&gt;0</f>
        <v>0</v>
      </c>
    </row>
    <row r="3679" spans="1:9" hidden="1">
      <c r="A3679" s="1" t="s">
        <v>13231</v>
      </c>
      <c r="B3679" s="1" t="s">
        <v>10</v>
      </c>
      <c r="C3679" s="1" t="s">
        <v>13232</v>
      </c>
      <c r="D3679" s="1" t="s">
        <v>1291</v>
      </c>
      <c r="E3679" s="1" t="s">
        <v>1291</v>
      </c>
      <c r="F3679" s="1" t="s">
        <v>30</v>
      </c>
      <c r="G3679" s="1" t="s">
        <v>30</v>
      </c>
      <c r="H3679" s="1" t="s">
        <v>1762</v>
      </c>
      <c r="I3679" t="b">
        <f>COUNTIF(Estadísticas!I:I,'centraldecomunicacion.es'!H3679)&gt;0</f>
        <v>0</v>
      </c>
    </row>
    <row r="3680" spans="1:9" hidden="1">
      <c r="A3680" s="1" t="s">
        <v>13233</v>
      </c>
      <c r="B3680" s="1" t="s">
        <v>10</v>
      </c>
      <c r="C3680" s="1" t="s">
        <v>13234</v>
      </c>
      <c r="D3680" s="1" t="s">
        <v>1291</v>
      </c>
      <c r="E3680" s="1" t="s">
        <v>1291</v>
      </c>
      <c r="F3680" s="1" t="s">
        <v>13235</v>
      </c>
      <c r="G3680" s="1" t="s">
        <v>30</v>
      </c>
      <c r="H3680" s="1" t="s">
        <v>13236</v>
      </c>
      <c r="I3680" t="b">
        <f>COUNTIF(Estadísticas!I:I,'centraldecomunicacion.es'!H3680)&gt;0</f>
        <v>0</v>
      </c>
    </row>
    <row r="3681" spans="1:9" hidden="1">
      <c r="A3681" s="1" t="s">
        <v>13237</v>
      </c>
      <c r="B3681" s="1" t="s">
        <v>10</v>
      </c>
      <c r="C3681" s="1" t="s">
        <v>13238</v>
      </c>
      <c r="D3681" s="1" t="s">
        <v>1291</v>
      </c>
      <c r="E3681" s="1" t="s">
        <v>1291</v>
      </c>
      <c r="F3681" s="1" t="s">
        <v>30</v>
      </c>
      <c r="G3681" s="1" t="s">
        <v>30</v>
      </c>
      <c r="H3681" s="1" t="s">
        <v>1762</v>
      </c>
      <c r="I3681" t="b">
        <f>COUNTIF(Estadísticas!I:I,'centraldecomunicacion.es'!H3681)&gt;0</f>
        <v>0</v>
      </c>
    </row>
    <row r="3682" spans="1:9" hidden="1">
      <c r="A3682" s="1" t="s">
        <v>13239</v>
      </c>
      <c r="B3682" s="1" t="s">
        <v>10</v>
      </c>
      <c r="C3682" s="1" t="s">
        <v>13240</v>
      </c>
      <c r="D3682" s="1" t="s">
        <v>1291</v>
      </c>
      <c r="E3682" s="1" t="s">
        <v>1291</v>
      </c>
      <c r="F3682" s="1" t="s">
        <v>30</v>
      </c>
      <c r="G3682" s="1" t="s">
        <v>13241</v>
      </c>
      <c r="H3682" s="1" t="s">
        <v>1762</v>
      </c>
      <c r="I3682" t="b">
        <f>COUNTIF(Estadísticas!I:I,'centraldecomunicacion.es'!H3682)&gt;0</f>
        <v>0</v>
      </c>
    </row>
    <row r="3683" spans="1:9" hidden="1">
      <c r="A3683" s="1" t="s">
        <v>13242</v>
      </c>
      <c r="B3683" s="1" t="s">
        <v>10</v>
      </c>
      <c r="C3683" s="1" t="s">
        <v>13243</v>
      </c>
      <c r="D3683" s="1" t="s">
        <v>1291</v>
      </c>
      <c r="E3683" s="1" t="s">
        <v>1291</v>
      </c>
      <c r="F3683" s="1" t="s">
        <v>1984</v>
      </c>
      <c r="G3683" s="1" t="s">
        <v>13185</v>
      </c>
      <c r="H3683" s="1" t="s">
        <v>1762</v>
      </c>
      <c r="I3683" t="b">
        <f>COUNTIF(Estadísticas!I:I,'centraldecomunicacion.es'!H3683)&gt;0</f>
        <v>0</v>
      </c>
    </row>
    <row r="3684" spans="1:9" hidden="1">
      <c r="A3684" s="1" t="s">
        <v>13244</v>
      </c>
      <c r="B3684" s="1" t="s">
        <v>10</v>
      </c>
      <c r="C3684" s="1" t="s">
        <v>13245</v>
      </c>
      <c r="D3684" s="1" t="s">
        <v>1291</v>
      </c>
      <c r="E3684" s="1" t="s">
        <v>1291</v>
      </c>
      <c r="F3684" s="1" t="s">
        <v>30</v>
      </c>
      <c r="G3684" s="1" t="s">
        <v>13246</v>
      </c>
      <c r="H3684" s="1" t="s">
        <v>1762</v>
      </c>
      <c r="I3684" t="b">
        <f>COUNTIF(Estadísticas!I:I,'centraldecomunicacion.es'!H3684)&gt;0</f>
        <v>0</v>
      </c>
    </row>
    <row r="3685" spans="1:9" hidden="1">
      <c r="A3685" s="1" t="s">
        <v>13247</v>
      </c>
      <c r="B3685" s="1" t="s">
        <v>10</v>
      </c>
      <c r="C3685" s="1" t="s">
        <v>13248</v>
      </c>
      <c r="D3685" s="1" t="s">
        <v>13249</v>
      </c>
      <c r="E3685" s="1" t="s">
        <v>1291</v>
      </c>
      <c r="F3685" s="1" t="s">
        <v>30</v>
      </c>
      <c r="G3685" s="1" t="s">
        <v>13170</v>
      </c>
      <c r="H3685" s="1" t="s">
        <v>1762</v>
      </c>
      <c r="I3685" t="b">
        <f>COUNTIF(Estadísticas!I:I,'centraldecomunicacion.es'!H3685)&gt;0</f>
        <v>0</v>
      </c>
    </row>
    <row r="3686" spans="1:9" hidden="1">
      <c r="A3686" s="1" t="s">
        <v>13250</v>
      </c>
      <c r="B3686" s="1" t="s">
        <v>10</v>
      </c>
      <c r="C3686" s="1" t="s">
        <v>13251</v>
      </c>
      <c r="D3686" s="1" t="s">
        <v>13252</v>
      </c>
      <c r="E3686" s="1" t="s">
        <v>1291</v>
      </c>
      <c r="F3686" s="1" t="s">
        <v>30</v>
      </c>
      <c r="G3686" s="1" t="s">
        <v>13253</v>
      </c>
      <c r="H3686" s="1" t="s">
        <v>1762</v>
      </c>
      <c r="I3686" t="b">
        <f>COUNTIF(Estadísticas!I:I,'centraldecomunicacion.es'!H3686)&gt;0</f>
        <v>0</v>
      </c>
    </row>
    <row r="3687" spans="1:9" hidden="1">
      <c r="A3687" s="1" t="s">
        <v>13254</v>
      </c>
      <c r="B3687" s="1" t="s">
        <v>10</v>
      </c>
      <c r="C3687" s="1" t="s">
        <v>13255</v>
      </c>
      <c r="D3687" s="1" t="s">
        <v>13256</v>
      </c>
      <c r="E3687" s="1" t="s">
        <v>1291</v>
      </c>
      <c r="F3687" s="1" t="s">
        <v>13257</v>
      </c>
      <c r="G3687" s="1" t="s">
        <v>13258</v>
      </c>
      <c r="H3687" s="1" t="s">
        <v>1762</v>
      </c>
      <c r="I3687" t="b">
        <f>COUNTIF(Estadísticas!I:I,'centraldecomunicacion.es'!H3687)&gt;0</f>
        <v>0</v>
      </c>
    </row>
    <row r="3688" spans="1:9" hidden="1">
      <c r="A3688" s="1" t="s">
        <v>13259</v>
      </c>
      <c r="B3688" s="1" t="s">
        <v>10</v>
      </c>
      <c r="C3688" s="1" t="s">
        <v>13260</v>
      </c>
      <c r="D3688" s="1" t="s">
        <v>13261</v>
      </c>
      <c r="E3688" s="1" t="s">
        <v>1291</v>
      </c>
      <c r="F3688" s="1" t="s">
        <v>30</v>
      </c>
      <c r="G3688" s="1" t="s">
        <v>13262</v>
      </c>
      <c r="H3688" s="1" t="s">
        <v>1762</v>
      </c>
      <c r="I3688" t="b">
        <f>COUNTIF(Estadísticas!I:I,'centraldecomunicacion.es'!H3688)&gt;0</f>
        <v>0</v>
      </c>
    </row>
    <row r="3689" spans="1:9" hidden="1">
      <c r="A3689" s="1" t="s">
        <v>13263</v>
      </c>
      <c r="B3689" s="1" t="s">
        <v>10</v>
      </c>
      <c r="C3689" s="1" t="s">
        <v>13264</v>
      </c>
      <c r="D3689" s="1" t="s">
        <v>13252</v>
      </c>
      <c r="E3689" s="1" t="s">
        <v>1291</v>
      </c>
      <c r="F3689" s="1" t="s">
        <v>30</v>
      </c>
      <c r="G3689" s="1" t="s">
        <v>13265</v>
      </c>
      <c r="H3689" s="1" t="s">
        <v>1762</v>
      </c>
      <c r="I3689" t="b">
        <f>COUNTIF(Estadísticas!I:I,'centraldecomunicacion.es'!H3689)&gt;0</f>
        <v>0</v>
      </c>
    </row>
    <row r="3690" spans="1:9" hidden="1">
      <c r="A3690" s="1" t="s">
        <v>13266</v>
      </c>
      <c r="B3690" s="1" t="s">
        <v>10</v>
      </c>
      <c r="C3690" s="1" t="s">
        <v>13267</v>
      </c>
      <c r="D3690" s="1" t="s">
        <v>13268</v>
      </c>
      <c r="E3690" s="1" t="s">
        <v>1291</v>
      </c>
      <c r="F3690" s="1" t="s">
        <v>30</v>
      </c>
      <c r="G3690" s="1" t="s">
        <v>13269</v>
      </c>
      <c r="H3690" s="1" t="s">
        <v>1762</v>
      </c>
      <c r="I3690" t="b">
        <f>COUNTIF(Estadísticas!I:I,'centraldecomunicacion.es'!H3690)&gt;0</f>
        <v>0</v>
      </c>
    </row>
    <row r="3691" spans="1:9" hidden="1">
      <c r="A3691" s="1" t="s">
        <v>13270</v>
      </c>
      <c r="B3691" s="1" t="s">
        <v>10</v>
      </c>
      <c r="C3691" s="1" t="s">
        <v>13271</v>
      </c>
      <c r="D3691" s="1" t="s">
        <v>13268</v>
      </c>
      <c r="E3691" s="1" t="s">
        <v>1291</v>
      </c>
      <c r="F3691" s="1" t="s">
        <v>13272</v>
      </c>
      <c r="G3691" s="1" t="s">
        <v>13273</v>
      </c>
      <c r="H3691" s="1" t="s">
        <v>1762</v>
      </c>
      <c r="I3691" t="b">
        <f>COUNTIF(Estadísticas!I:I,'centraldecomunicacion.es'!H3691)&gt;0</f>
        <v>0</v>
      </c>
    </row>
    <row r="3692" spans="1:9" hidden="1">
      <c r="A3692" s="1" t="s">
        <v>13274</v>
      </c>
      <c r="B3692" s="1" t="s">
        <v>10</v>
      </c>
      <c r="C3692" s="1" t="s">
        <v>13275</v>
      </c>
      <c r="D3692" s="1" t="s">
        <v>13268</v>
      </c>
      <c r="E3692" s="1" t="s">
        <v>1291</v>
      </c>
      <c r="F3692" s="1" t="s">
        <v>13276</v>
      </c>
      <c r="G3692" s="1" t="s">
        <v>13277</v>
      </c>
      <c r="H3692" s="1" t="s">
        <v>1762</v>
      </c>
      <c r="I3692" t="b">
        <f>COUNTIF(Estadísticas!I:I,'centraldecomunicacion.es'!H3692)&gt;0</f>
        <v>0</v>
      </c>
    </row>
    <row r="3693" spans="1:9" hidden="1">
      <c r="A3693" s="1" t="s">
        <v>13278</v>
      </c>
      <c r="B3693" s="1" t="s">
        <v>10</v>
      </c>
      <c r="C3693" s="1" t="s">
        <v>13279</v>
      </c>
      <c r="D3693" s="1" t="s">
        <v>13268</v>
      </c>
      <c r="E3693" s="1" t="s">
        <v>1291</v>
      </c>
      <c r="F3693" s="1" t="s">
        <v>30</v>
      </c>
      <c r="G3693" s="1" t="s">
        <v>13280</v>
      </c>
      <c r="H3693" s="1" t="s">
        <v>1762</v>
      </c>
      <c r="I3693" t="b">
        <f>COUNTIF(Estadísticas!I:I,'centraldecomunicacion.es'!H3693)&gt;0</f>
        <v>0</v>
      </c>
    </row>
    <row r="3694" spans="1:9" hidden="1">
      <c r="A3694" s="1" t="s">
        <v>13281</v>
      </c>
      <c r="B3694" s="1" t="s">
        <v>18</v>
      </c>
      <c r="C3694" s="1" t="s">
        <v>13282</v>
      </c>
      <c r="D3694" s="1" t="s">
        <v>13268</v>
      </c>
      <c r="E3694" s="1" t="s">
        <v>1291</v>
      </c>
      <c r="F3694" s="1" t="s">
        <v>13283</v>
      </c>
      <c r="G3694" s="1" t="s">
        <v>13284</v>
      </c>
      <c r="H3694" s="1" t="s">
        <v>13285</v>
      </c>
      <c r="I3694" t="b">
        <f>COUNTIF(Estadísticas!I:I,'centraldecomunicacion.es'!H3694)&gt;0</f>
        <v>0</v>
      </c>
    </row>
    <row r="3695" spans="1:9" hidden="1">
      <c r="A3695" s="1" t="s">
        <v>13286</v>
      </c>
      <c r="B3695" s="1" t="s">
        <v>10</v>
      </c>
      <c r="C3695" s="1" t="s">
        <v>13287</v>
      </c>
      <c r="D3695" s="1" t="s">
        <v>13288</v>
      </c>
      <c r="E3695" s="1" t="s">
        <v>1291</v>
      </c>
      <c r="F3695" s="1" t="s">
        <v>13289</v>
      </c>
      <c r="G3695" s="1" t="s">
        <v>13290</v>
      </c>
      <c r="H3695" s="1" t="s">
        <v>1762</v>
      </c>
      <c r="I3695" t="b">
        <f>COUNTIF(Estadísticas!I:I,'centraldecomunicacion.es'!H3695)&gt;0</f>
        <v>0</v>
      </c>
    </row>
    <row r="3696" spans="1:9" hidden="1">
      <c r="A3696" s="1" t="s">
        <v>13291</v>
      </c>
      <c r="B3696" s="1" t="s">
        <v>10</v>
      </c>
      <c r="C3696" s="1" t="s">
        <v>13292</v>
      </c>
      <c r="D3696" s="1" t="s">
        <v>13268</v>
      </c>
      <c r="E3696" s="1" t="s">
        <v>1291</v>
      </c>
      <c r="F3696" s="1" t="s">
        <v>30</v>
      </c>
      <c r="G3696" s="1" t="s">
        <v>13293</v>
      </c>
      <c r="H3696" s="1" t="s">
        <v>1762</v>
      </c>
      <c r="I3696" t="b">
        <f>COUNTIF(Estadísticas!I:I,'centraldecomunicacion.es'!H3696)&gt;0</f>
        <v>0</v>
      </c>
    </row>
    <row r="3697" spans="1:9" hidden="1">
      <c r="A3697" s="1" t="s">
        <v>13294</v>
      </c>
      <c r="B3697" s="1" t="s">
        <v>10</v>
      </c>
      <c r="C3697" s="1" t="s">
        <v>13295</v>
      </c>
      <c r="D3697" s="1" t="s">
        <v>13268</v>
      </c>
      <c r="E3697" s="1" t="s">
        <v>1291</v>
      </c>
      <c r="F3697" s="1" t="s">
        <v>30</v>
      </c>
      <c r="G3697" s="1" t="s">
        <v>13296</v>
      </c>
      <c r="H3697" s="1" t="s">
        <v>1762</v>
      </c>
      <c r="I3697" t="b">
        <f>COUNTIF(Estadísticas!I:I,'centraldecomunicacion.es'!H3697)&gt;0</f>
        <v>0</v>
      </c>
    </row>
    <row r="3698" spans="1:9" hidden="1">
      <c r="A3698" s="1" t="s">
        <v>13297</v>
      </c>
      <c r="B3698" s="1" t="s">
        <v>10</v>
      </c>
      <c r="C3698" s="1" t="s">
        <v>13298</v>
      </c>
      <c r="D3698" s="1" t="s">
        <v>13299</v>
      </c>
      <c r="E3698" s="1" t="s">
        <v>1291</v>
      </c>
      <c r="F3698" s="1" t="s">
        <v>30</v>
      </c>
      <c r="G3698" s="1" t="s">
        <v>13300</v>
      </c>
      <c r="H3698" s="1" t="s">
        <v>1762</v>
      </c>
      <c r="I3698" t="b">
        <f>COUNTIF(Estadísticas!I:I,'centraldecomunicacion.es'!H3698)&gt;0</f>
        <v>0</v>
      </c>
    </row>
    <row r="3699" spans="1:9" hidden="1">
      <c r="A3699" s="1" t="s">
        <v>13301</v>
      </c>
      <c r="B3699" s="1" t="s">
        <v>10</v>
      </c>
      <c r="C3699" s="1" t="s">
        <v>13302</v>
      </c>
      <c r="D3699" s="1" t="s">
        <v>13303</v>
      </c>
      <c r="E3699" s="1" t="s">
        <v>1291</v>
      </c>
      <c r="F3699" s="1" t="s">
        <v>30</v>
      </c>
      <c r="G3699" s="1" t="s">
        <v>13304</v>
      </c>
      <c r="H3699" s="1" t="s">
        <v>1762</v>
      </c>
      <c r="I3699" t="b">
        <f>COUNTIF(Estadísticas!I:I,'centraldecomunicacion.es'!H3699)&gt;0</f>
        <v>0</v>
      </c>
    </row>
    <row r="3700" spans="1:9" hidden="1">
      <c r="A3700" s="1" t="s">
        <v>13305</v>
      </c>
      <c r="B3700" s="1" t="s">
        <v>10</v>
      </c>
      <c r="C3700" s="1" t="s">
        <v>13306</v>
      </c>
      <c r="D3700" s="1" t="s">
        <v>13268</v>
      </c>
      <c r="E3700" s="1" t="s">
        <v>1291</v>
      </c>
      <c r="F3700" s="1" t="s">
        <v>30</v>
      </c>
      <c r="G3700" s="1" t="s">
        <v>13307</v>
      </c>
      <c r="H3700" s="1" t="s">
        <v>1762</v>
      </c>
      <c r="I3700" t="b">
        <f>COUNTIF(Estadísticas!I:I,'centraldecomunicacion.es'!H3700)&gt;0</f>
        <v>0</v>
      </c>
    </row>
    <row r="3701" spans="1:9" hidden="1">
      <c r="A3701" s="1" t="s">
        <v>13308</v>
      </c>
      <c r="B3701" s="1" t="s">
        <v>18</v>
      </c>
      <c r="C3701" s="1" t="s">
        <v>13309</v>
      </c>
      <c r="D3701" s="1" t="s">
        <v>1318</v>
      </c>
      <c r="E3701" s="1" t="s">
        <v>1291</v>
      </c>
      <c r="F3701" s="1" t="s">
        <v>1830</v>
      </c>
      <c r="G3701" s="1" t="s">
        <v>13310</v>
      </c>
      <c r="H3701" s="1" t="s">
        <v>1762</v>
      </c>
      <c r="I3701" t="b">
        <f>COUNTIF(Estadísticas!I:I,'centraldecomunicacion.es'!H3701)&gt;0</f>
        <v>0</v>
      </c>
    </row>
    <row r="3702" spans="1:9" hidden="1">
      <c r="A3702" s="1" t="s">
        <v>13311</v>
      </c>
      <c r="B3702" s="1" t="s">
        <v>10</v>
      </c>
      <c r="C3702" s="1" t="s">
        <v>13312</v>
      </c>
      <c r="D3702" s="1" t="s">
        <v>13303</v>
      </c>
      <c r="E3702" s="1" t="s">
        <v>1291</v>
      </c>
      <c r="F3702" s="1" t="s">
        <v>30</v>
      </c>
      <c r="G3702" s="1" t="s">
        <v>13313</v>
      </c>
      <c r="H3702" s="1" t="s">
        <v>1762</v>
      </c>
      <c r="I3702" t="b">
        <f>COUNTIF(Estadísticas!I:I,'centraldecomunicacion.es'!H3702)&gt;0</f>
        <v>0</v>
      </c>
    </row>
    <row r="3703" spans="1:9">
      <c r="A3703" s="1" t="s">
        <v>1310</v>
      </c>
      <c r="B3703" s="1" t="s">
        <v>10</v>
      </c>
      <c r="C3703" s="1" t="s">
        <v>1311</v>
      </c>
      <c r="D3703" s="1" t="s">
        <v>1312</v>
      </c>
      <c r="E3703" s="1" t="s">
        <v>1291</v>
      </c>
      <c r="F3703" s="1" t="s">
        <v>1313</v>
      </c>
      <c r="G3703" s="1" t="s">
        <v>1314</v>
      </c>
      <c r="H3703" s="1" t="s">
        <v>1315</v>
      </c>
      <c r="I3703" t="b">
        <f>COUNTIF(Estadísticas!I:I,'centraldecomunicacion.es'!H3703)&gt;0</f>
        <v>1</v>
      </c>
    </row>
    <row r="3704" spans="1:9" hidden="1">
      <c r="A3704" s="1" t="s">
        <v>3441</v>
      </c>
      <c r="B3704" s="1" t="s">
        <v>10</v>
      </c>
      <c r="C3704" s="1" t="s">
        <v>13314</v>
      </c>
      <c r="D3704" s="1" t="s">
        <v>13268</v>
      </c>
      <c r="E3704" s="1" t="s">
        <v>1291</v>
      </c>
      <c r="F3704" s="1" t="s">
        <v>30</v>
      </c>
      <c r="G3704" s="1" t="s">
        <v>13315</v>
      </c>
      <c r="H3704" s="1" t="s">
        <v>1762</v>
      </c>
      <c r="I3704" t="b">
        <f>COUNTIF(Estadísticas!I:I,'centraldecomunicacion.es'!H3704)&gt;0</f>
        <v>0</v>
      </c>
    </row>
    <row r="3705" spans="1:9" hidden="1">
      <c r="A3705" s="1" t="s">
        <v>13316</v>
      </c>
      <c r="B3705" s="1" t="s">
        <v>18</v>
      </c>
      <c r="C3705" s="1" t="s">
        <v>13317</v>
      </c>
      <c r="D3705" s="1" t="s">
        <v>13318</v>
      </c>
      <c r="E3705" s="1" t="s">
        <v>1291</v>
      </c>
      <c r="F3705" s="1" t="s">
        <v>30</v>
      </c>
      <c r="G3705" s="1" t="s">
        <v>30</v>
      </c>
      <c r="H3705" s="1" t="s">
        <v>1762</v>
      </c>
      <c r="I3705" t="b">
        <f>COUNTIF(Estadísticas!I:I,'centraldecomunicacion.es'!H3705)&gt;0</f>
        <v>0</v>
      </c>
    </row>
    <row r="3706" spans="1:9" hidden="1">
      <c r="A3706" s="1" t="s">
        <v>13319</v>
      </c>
      <c r="B3706" s="1" t="s">
        <v>10</v>
      </c>
      <c r="C3706" s="1" t="s">
        <v>13320</v>
      </c>
      <c r="D3706" s="1" t="s">
        <v>1318</v>
      </c>
      <c r="E3706" s="1" t="s">
        <v>1291</v>
      </c>
      <c r="F3706" s="1" t="s">
        <v>30</v>
      </c>
      <c r="G3706" s="1" t="s">
        <v>13321</v>
      </c>
      <c r="H3706" s="1" t="s">
        <v>1762</v>
      </c>
      <c r="I3706" t="b">
        <f>COUNTIF(Estadísticas!I:I,'centraldecomunicacion.es'!H3706)&gt;0</f>
        <v>0</v>
      </c>
    </row>
    <row r="3707" spans="1:9" hidden="1">
      <c r="A3707" s="1" t="s">
        <v>13322</v>
      </c>
      <c r="B3707" s="1" t="s">
        <v>18</v>
      </c>
      <c r="C3707" s="1" t="s">
        <v>13323</v>
      </c>
      <c r="D3707" s="1" t="s">
        <v>13288</v>
      </c>
      <c r="E3707" s="1" t="s">
        <v>1291</v>
      </c>
      <c r="F3707" s="1" t="s">
        <v>1984</v>
      </c>
      <c r="G3707" s="1" t="s">
        <v>13324</v>
      </c>
      <c r="H3707" s="1" t="s">
        <v>1762</v>
      </c>
      <c r="I3707" t="b">
        <f>COUNTIF(Estadísticas!I:I,'centraldecomunicacion.es'!H3707)&gt;0</f>
        <v>0</v>
      </c>
    </row>
    <row r="3708" spans="1:9" hidden="1">
      <c r="A3708" s="1" t="s">
        <v>13325</v>
      </c>
      <c r="B3708" s="1" t="s">
        <v>10</v>
      </c>
      <c r="C3708" s="1" t="s">
        <v>13326</v>
      </c>
      <c r="D3708" s="1" t="s">
        <v>13327</v>
      </c>
      <c r="E3708" s="1" t="s">
        <v>1291</v>
      </c>
      <c r="F3708" s="1" t="s">
        <v>30</v>
      </c>
      <c r="G3708" s="1" t="s">
        <v>13328</v>
      </c>
      <c r="H3708" s="1" t="s">
        <v>1762</v>
      </c>
      <c r="I3708" t="b">
        <f>COUNTIF(Estadísticas!I:I,'centraldecomunicacion.es'!H3708)&gt;0</f>
        <v>0</v>
      </c>
    </row>
    <row r="3709" spans="1:9" hidden="1">
      <c r="A3709" s="1" t="s">
        <v>13329</v>
      </c>
      <c r="B3709" s="1" t="s">
        <v>10</v>
      </c>
      <c r="C3709" s="1" t="s">
        <v>13330</v>
      </c>
      <c r="D3709" s="1" t="s">
        <v>13268</v>
      </c>
      <c r="E3709" s="1" t="s">
        <v>1291</v>
      </c>
      <c r="F3709" s="1" t="s">
        <v>13331</v>
      </c>
      <c r="G3709" s="1" t="s">
        <v>13332</v>
      </c>
      <c r="H3709" s="1" t="s">
        <v>1762</v>
      </c>
      <c r="I3709" t="b">
        <f>COUNTIF(Estadísticas!I:I,'centraldecomunicacion.es'!H3709)&gt;0</f>
        <v>0</v>
      </c>
    </row>
    <row r="3710" spans="1:9" hidden="1">
      <c r="A3710" s="1" t="s">
        <v>13333</v>
      </c>
      <c r="B3710" s="1" t="s">
        <v>10</v>
      </c>
      <c r="C3710" s="1" t="s">
        <v>13334</v>
      </c>
      <c r="D3710" s="1" t="s">
        <v>13335</v>
      </c>
      <c r="E3710" s="1" t="s">
        <v>1291</v>
      </c>
      <c r="F3710" s="1" t="s">
        <v>30</v>
      </c>
      <c r="G3710" s="1" t="s">
        <v>30</v>
      </c>
      <c r="H3710" s="1" t="s">
        <v>1762</v>
      </c>
      <c r="I3710" t="b">
        <f>COUNTIF(Estadísticas!I:I,'centraldecomunicacion.es'!H3710)&gt;0</f>
        <v>0</v>
      </c>
    </row>
    <row r="3711" spans="1:9" hidden="1">
      <c r="A3711" s="1" t="s">
        <v>13336</v>
      </c>
      <c r="B3711" s="1" t="s">
        <v>10</v>
      </c>
      <c r="C3711" s="1" t="s">
        <v>13337</v>
      </c>
      <c r="D3711" s="1" t="s">
        <v>13268</v>
      </c>
      <c r="E3711" s="1" t="s">
        <v>1291</v>
      </c>
      <c r="F3711" s="1" t="s">
        <v>30</v>
      </c>
      <c r="G3711" s="1" t="s">
        <v>13338</v>
      </c>
      <c r="H3711" s="1" t="s">
        <v>1762</v>
      </c>
      <c r="I3711" t="b">
        <f>COUNTIF(Estadísticas!I:I,'centraldecomunicacion.es'!H3711)&gt;0</f>
        <v>0</v>
      </c>
    </row>
    <row r="3712" spans="1:9" hidden="1">
      <c r="A3712" s="1" t="s">
        <v>13339</v>
      </c>
      <c r="B3712" s="1" t="s">
        <v>10</v>
      </c>
      <c r="C3712" s="1" t="s">
        <v>13340</v>
      </c>
      <c r="D3712" s="1" t="s">
        <v>13341</v>
      </c>
      <c r="E3712" s="1" t="s">
        <v>1291</v>
      </c>
      <c r="F3712" s="1" t="s">
        <v>13342</v>
      </c>
      <c r="G3712" s="1" t="s">
        <v>13343</v>
      </c>
      <c r="H3712" s="1" t="s">
        <v>13344</v>
      </c>
      <c r="I3712" t="b">
        <f>COUNTIF(Estadísticas!I:I,'centraldecomunicacion.es'!H3712)&gt;0</f>
        <v>0</v>
      </c>
    </row>
    <row r="3713" spans="1:9" hidden="1">
      <c r="A3713" s="1" t="s">
        <v>13345</v>
      </c>
      <c r="B3713" s="1" t="s">
        <v>10</v>
      </c>
      <c r="C3713" s="1" t="s">
        <v>13346</v>
      </c>
      <c r="D3713" s="1" t="s">
        <v>1318</v>
      </c>
      <c r="E3713" s="1" t="s">
        <v>1291</v>
      </c>
      <c r="F3713" s="1" t="s">
        <v>30</v>
      </c>
      <c r="G3713" s="1" t="s">
        <v>13347</v>
      </c>
      <c r="H3713" s="1" t="s">
        <v>1762</v>
      </c>
      <c r="I3713" t="b">
        <f>COUNTIF(Estadísticas!I:I,'centraldecomunicacion.es'!H3713)&gt;0</f>
        <v>0</v>
      </c>
    </row>
    <row r="3714" spans="1:9" hidden="1">
      <c r="A3714" s="1" t="s">
        <v>13348</v>
      </c>
      <c r="B3714" s="1" t="s">
        <v>10</v>
      </c>
      <c r="C3714" s="1" t="s">
        <v>13349</v>
      </c>
      <c r="D3714" s="1" t="s">
        <v>1312</v>
      </c>
      <c r="E3714" s="1" t="s">
        <v>1291</v>
      </c>
      <c r="F3714" s="1" t="s">
        <v>30</v>
      </c>
      <c r="G3714" s="1" t="s">
        <v>13350</v>
      </c>
      <c r="H3714" s="1" t="s">
        <v>1762</v>
      </c>
      <c r="I3714" t="b">
        <f>COUNTIF(Estadísticas!I:I,'centraldecomunicacion.es'!H3714)&gt;0</f>
        <v>0</v>
      </c>
    </row>
    <row r="3715" spans="1:9" hidden="1">
      <c r="A3715" s="1" t="s">
        <v>12960</v>
      </c>
      <c r="B3715" s="1" t="s">
        <v>10</v>
      </c>
      <c r="C3715" s="1" t="s">
        <v>13351</v>
      </c>
      <c r="D3715" s="1" t="s">
        <v>13352</v>
      </c>
      <c r="E3715" s="1" t="s">
        <v>1291</v>
      </c>
      <c r="F3715" s="1" t="s">
        <v>30</v>
      </c>
      <c r="G3715" s="1" t="s">
        <v>13353</v>
      </c>
      <c r="H3715" s="1" t="s">
        <v>1762</v>
      </c>
      <c r="I3715" t="b">
        <f>COUNTIF(Estadísticas!I:I,'centraldecomunicacion.es'!H3715)&gt;0</f>
        <v>0</v>
      </c>
    </row>
    <row r="3716" spans="1:9" hidden="1">
      <c r="A3716" s="1" t="s">
        <v>13354</v>
      </c>
      <c r="B3716" s="1" t="s">
        <v>10</v>
      </c>
      <c r="C3716" s="1" t="s">
        <v>13355</v>
      </c>
      <c r="D3716" s="1" t="s">
        <v>13356</v>
      </c>
      <c r="E3716" s="1" t="s">
        <v>1291</v>
      </c>
      <c r="F3716" s="1" t="s">
        <v>13357</v>
      </c>
      <c r="G3716" s="1" t="s">
        <v>13358</v>
      </c>
      <c r="H3716" s="1" t="s">
        <v>13359</v>
      </c>
      <c r="I3716" t="b">
        <f>COUNTIF(Estadísticas!I:I,'centraldecomunicacion.es'!H3716)&gt;0</f>
        <v>0</v>
      </c>
    </row>
    <row r="3717" spans="1:9" hidden="1">
      <c r="A3717" s="1" t="s">
        <v>13360</v>
      </c>
      <c r="B3717" s="1" t="s">
        <v>10</v>
      </c>
      <c r="C3717" s="1" t="s">
        <v>13361</v>
      </c>
      <c r="D3717" s="1" t="s">
        <v>1318</v>
      </c>
      <c r="E3717" s="1" t="s">
        <v>1291</v>
      </c>
      <c r="F3717" s="1" t="s">
        <v>30</v>
      </c>
      <c r="G3717" s="1" t="s">
        <v>13362</v>
      </c>
      <c r="H3717" s="1" t="s">
        <v>1762</v>
      </c>
      <c r="I3717" t="b">
        <f>COUNTIF(Estadísticas!I:I,'centraldecomunicacion.es'!H3717)&gt;0</f>
        <v>0</v>
      </c>
    </row>
    <row r="3718" spans="1:9" hidden="1">
      <c r="A3718" s="1" t="s">
        <v>13363</v>
      </c>
      <c r="B3718" s="1" t="s">
        <v>10</v>
      </c>
      <c r="C3718" s="1" t="s">
        <v>13364</v>
      </c>
      <c r="D3718" s="1" t="s">
        <v>13341</v>
      </c>
      <c r="E3718" s="1" t="s">
        <v>1291</v>
      </c>
      <c r="F3718" s="1" t="s">
        <v>13365</v>
      </c>
      <c r="G3718" s="1" t="s">
        <v>13366</v>
      </c>
      <c r="H3718" s="1" t="s">
        <v>13367</v>
      </c>
      <c r="I3718" t="b">
        <f>COUNTIF(Estadísticas!I:I,'centraldecomunicacion.es'!H3718)&gt;0</f>
        <v>0</v>
      </c>
    </row>
    <row r="3719" spans="1:9" hidden="1">
      <c r="A3719" s="1" t="s">
        <v>13368</v>
      </c>
      <c r="B3719" s="1" t="s">
        <v>10</v>
      </c>
      <c r="C3719" s="1" t="s">
        <v>13369</v>
      </c>
      <c r="D3719" s="1" t="s">
        <v>13261</v>
      </c>
      <c r="E3719" s="1" t="s">
        <v>1291</v>
      </c>
      <c r="F3719" s="1" t="s">
        <v>30</v>
      </c>
      <c r="G3719" s="1" t="s">
        <v>30</v>
      </c>
      <c r="H3719" s="1" t="s">
        <v>1762</v>
      </c>
      <c r="I3719" t="b">
        <f>COUNTIF(Estadísticas!I:I,'centraldecomunicacion.es'!H3719)&gt;0</f>
        <v>0</v>
      </c>
    </row>
    <row r="3720" spans="1:9">
      <c r="A3720" s="1" t="s">
        <v>1316</v>
      </c>
      <c r="B3720" s="1" t="s">
        <v>10</v>
      </c>
      <c r="C3720" s="1" t="s">
        <v>1317</v>
      </c>
      <c r="D3720" s="1" t="s">
        <v>1318</v>
      </c>
      <c r="E3720" s="1" t="s">
        <v>1291</v>
      </c>
      <c r="F3720" s="1" t="s">
        <v>1319</v>
      </c>
      <c r="G3720" s="1" t="s">
        <v>1320</v>
      </c>
      <c r="H3720" s="1" t="s">
        <v>1321</v>
      </c>
      <c r="I3720" t="b">
        <f>COUNTIF(Estadísticas!I:I,'centraldecomunicacion.es'!H3720)&gt;0</f>
        <v>1</v>
      </c>
    </row>
    <row r="3721" spans="1:9" hidden="1">
      <c r="A3721" s="1" t="s">
        <v>13370</v>
      </c>
      <c r="B3721" s="1" t="s">
        <v>10</v>
      </c>
      <c r="C3721" s="1" t="s">
        <v>13371</v>
      </c>
      <c r="D3721" s="1" t="s">
        <v>1324</v>
      </c>
      <c r="E3721" s="1" t="s">
        <v>1324</v>
      </c>
      <c r="F3721" s="1" t="s">
        <v>30</v>
      </c>
      <c r="G3721" s="1" t="s">
        <v>13372</v>
      </c>
      <c r="H3721" s="1" t="s">
        <v>1762</v>
      </c>
      <c r="I3721" t="b">
        <f>COUNTIF(Estadísticas!I:I,'centraldecomunicacion.es'!H3721)&gt;0</f>
        <v>0</v>
      </c>
    </row>
    <row r="3722" spans="1:9" hidden="1">
      <c r="A3722" s="1" t="s">
        <v>13373</v>
      </c>
      <c r="B3722" s="1" t="s">
        <v>10</v>
      </c>
      <c r="C3722" s="1" t="s">
        <v>13374</v>
      </c>
      <c r="D3722" s="1" t="s">
        <v>13268</v>
      </c>
      <c r="E3722" s="1" t="s">
        <v>1291</v>
      </c>
      <c r="F3722" s="1" t="s">
        <v>30</v>
      </c>
      <c r="G3722" s="1" t="s">
        <v>13375</v>
      </c>
      <c r="H3722" s="1" t="s">
        <v>1762</v>
      </c>
      <c r="I3722" t="b">
        <f>COUNTIF(Estadísticas!I:I,'centraldecomunicacion.es'!H3722)&gt;0</f>
        <v>0</v>
      </c>
    </row>
    <row r="3723" spans="1:9" hidden="1">
      <c r="A3723" s="1" t="s">
        <v>13376</v>
      </c>
      <c r="B3723" s="1" t="s">
        <v>10</v>
      </c>
      <c r="C3723" s="1" t="s">
        <v>13377</v>
      </c>
      <c r="D3723" s="1" t="s">
        <v>13378</v>
      </c>
      <c r="E3723" s="1" t="s">
        <v>1291</v>
      </c>
      <c r="F3723" s="1" t="s">
        <v>30</v>
      </c>
      <c r="G3723" s="1" t="s">
        <v>30</v>
      </c>
      <c r="H3723" s="1" t="s">
        <v>1762</v>
      </c>
      <c r="I3723" t="b">
        <f>COUNTIF(Estadísticas!I:I,'centraldecomunicacion.es'!H3723)&gt;0</f>
        <v>0</v>
      </c>
    </row>
    <row r="3724" spans="1:9" hidden="1">
      <c r="A3724" s="1" t="s">
        <v>13379</v>
      </c>
      <c r="B3724" s="1" t="s">
        <v>18</v>
      </c>
      <c r="C3724" s="1" t="s">
        <v>13380</v>
      </c>
      <c r="D3724" s="1" t="s">
        <v>13381</v>
      </c>
      <c r="E3724" s="1" t="s">
        <v>1291</v>
      </c>
      <c r="F3724" s="1" t="s">
        <v>30</v>
      </c>
      <c r="G3724" s="1" t="s">
        <v>13382</v>
      </c>
      <c r="H3724" s="1" t="s">
        <v>1762</v>
      </c>
      <c r="I3724" t="b">
        <f>COUNTIF(Estadísticas!I:I,'centraldecomunicacion.es'!H3724)&gt;0</f>
        <v>0</v>
      </c>
    </row>
    <row r="3725" spans="1:9" hidden="1">
      <c r="A3725" s="1" t="s">
        <v>13383</v>
      </c>
      <c r="B3725" s="1" t="s">
        <v>18</v>
      </c>
      <c r="C3725" s="1" t="s">
        <v>13384</v>
      </c>
      <c r="D3725" s="1" t="s">
        <v>13303</v>
      </c>
      <c r="E3725" s="1" t="s">
        <v>1291</v>
      </c>
      <c r="F3725" s="1" t="s">
        <v>13385</v>
      </c>
      <c r="G3725" s="1" t="s">
        <v>13386</v>
      </c>
      <c r="H3725" s="1" t="s">
        <v>1762</v>
      </c>
      <c r="I3725" t="b">
        <f>COUNTIF(Estadísticas!I:I,'centraldecomunicacion.es'!H3725)&gt;0</f>
        <v>0</v>
      </c>
    </row>
    <row r="3726" spans="1:9" hidden="1">
      <c r="A3726" s="1" t="s">
        <v>13387</v>
      </c>
      <c r="B3726" s="1" t="s">
        <v>10</v>
      </c>
      <c r="C3726" s="1" t="s">
        <v>13388</v>
      </c>
      <c r="D3726" s="1" t="s">
        <v>13389</v>
      </c>
      <c r="E3726" s="1" t="s">
        <v>1291</v>
      </c>
      <c r="F3726" s="1" t="s">
        <v>30</v>
      </c>
      <c r="G3726" s="1" t="s">
        <v>30</v>
      </c>
      <c r="H3726" s="1" t="s">
        <v>1762</v>
      </c>
      <c r="I3726" t="b">
        <f>COUNTIF(Estadísticas!I:I,'centraldecomunicacion.es'!H3726)&gt;0</f>
        <v>0</v>
      </c>
    </row>
    <row r="3727" spans="1:9" hidden="1">
      <c r="A3727" s="1" t="s">
        <v>13390</v>
      </c>
      <c r="B3727" s="1" t="s">
        <v>10</v>
      </c>
      <c r="C3727" s="1" t="s">
        <v>13391</v>
      </c>
      <c r="D3727" s="1" t="s">
        <v>13381</v>
      </c>
      <c r="E3727" s="1" t="s">
        <v>1291</v>
      </c>
      <c r="F3727" s="1" t="s">
        <v>30</v>
      </c>
      <c r="G3727" s="1" t="s">
        <v>13392</v>
      </c>
      <c r="H3727" s="1" t="s">
        <v>1762</v>
      </c>
      <c r="I3727" t="b">
        <f>COUNTIF(Estadísticas!I:I,'centraldecomunicacion.es'!H3727)&gt;0</f>
        <v>0</v>
      </c>
    </row>
    <row r="3728" spans="1:9" hidden="1">
      <c r="A3728" s="1" t="s">
        <v>13393</v>
      </c>
      <c r="B3728" s="1" t="s">
        <v>10</v>
      </c>
      <c r="C3728" s="1" t="s">
        <v>13394</v>
      </c>
      <c r="D3728" s="1" t="s">
        <v>1312</v>
      </c>
      <c r="E3728" s="1" t="s">
        <v>1291</v>
      </c>
      <c r="F3728" s="1" t="s">
        <v>13395</v>
      </c>
      <c r="G3728" s="1" t="s">
        <v>30</v>
      </c>
      <c r="H3728" s="1" t="s">
        <v>13396</v>
      </c>
      <c r="I3728" t="b">
        <f>COUNTIF(Estadísticas!I:I,'centraldecomunicacion.es'!H3728)&gt;0</f>
        <v>0</v>
      </c>
    </row>
    <row r="3729" spans="1:9" hidden="1">
      <c r="A3729" s="1" t="s">
        <v>13397</v>
      </c>
      <c r="B3729" s="1" t="s">
        <v>10</v>
      </c>
      <c r="C3729" s="1" t="s">
        <v>13398</v>
      </c>
      <c r="D3729" s="1" t="s">
        <v>1312</v>
      </c>
      <c r="E3729" s="1" t="s">
        <v>1291</v>
      </c>
      <c r="F3729" s="1" t="s">
        <v>30</v>
      </c>
      <c r="G3729" s="1" t="s">
        <v>30</v>
      </c>
      <c r="H3729" s="1" t="s">
        <v>1762</v>
      </c>
      <c r="I3729" t="b">
        <f>COUNTIF(Estadísticas!I:I,'centraldecomunicacion.es'!H3729)&gt;0</f>
        <v>0</v>
      </c>
    </row>
    <row r="3730" spans="1:9" hidden="1">
      <c r="A3730" s="1" t="s">
        <v>13399</v>
      </c>
      <c r="B3730" s="1" t="s">
        <v>10</v>
      </c>
      <c r="C3730" s="1" t="s">
        <v>13400</v>
      </c>
      <c r="D3730" s="1" t="s">
        <v>13303</v>
      </c>
      <c r="E3730" s="1" t="s">
        <v>1291</v>
      </c>
      <c r="F3730" s="1" t="s">
        <v>30</v>
      </c>
      <c r="G3730" s="1" t="s">
        <v>13401</v>
      </c>
      <c r="H3730" s="1" t="s">
        <v>1762</v>
      </c>
      <c r="I3730" t="b">
        <f>COUNTIF(Estadísticas!I:I,'centraldecomunicacion.es'!H3730)&gt;0</f>
        <v>0</v>
      </c>
    </row>
    <row r="3731" spans="1:9" hidden="1">
      <c r="A3731" s="1" t="s">
        <v>13402</v>
      </c>
      <c r="B3731" s="1" t="s">
        <v>18</v>
      </c>
      <c r="C3731" s="1" t="s">
        <v>13403</v>
      </c>
      <c r="D3731" s="1" t="s">
        <v>13404</v>
      </c>
      <c r="E3731" s="1" t="s">
        <v>1291</v>
      </c>
      <c r="F3731" s="1" t="s">
        <v>30</v>
      </c>
      <c r="G3731" s="1" t="s">
        <v>30</v>
      </c>
      <c r="H3731" s="1" t="s">
        <v>1762</v>
      </c>
      <c r="I3731" t="b">
        <f>COUNTIF(Estadísticas!I:I,'centraldecomunicacion.es'!H3731)&gt;0</f>
        <v>0</v>
      </c>
    </row>
    <row r="3732" spans="1:9" hidden="1">
      <c r="A3732" s="1" t="s">
        <v>13405</v>
      </c>
      <c r="B3732" s="1" t="s">
        <v>10</v>
      </c>
      <c r="C3732" s="1" t="s">
        <v>13406</v>
      </c>
      <c r="D3732" s="1" t="s">
        <v>13341</v>
      </c>
      <c r="E3732" s="1" t="s">
        <v>1291</v>
      </c>
      <c r="F3732" s="1" t="s">
        <v>30</v>
      </c>
      <c r="G3732" s="1" t="s">
        <v>13407</v>
      </c>
      <c r="H3732" s="1" t="s">
        <v>1762</v>
      </c>
      <c r="I3732" t="b">
        <f>COUNTIF(Estadísticas!I:I,'centraldecomunicacion.es'!H3732)&gt;0</f>
        <v>0</v>
      </c>
    </row>
    <row r="3733" spans="1:9" hidden="1">
      <c r="A3733" s="1" t="s">
        <v>13408</v>
      </c>
      <c r="B3733" s="1" t="s">
        <v>10</v>
      </c>
      <c r="C3733" s="1" t="s">
        <v>13409</v>
      </c>
      <c r="D3733" s="1" t="s">
        <v>13410</v>
      </c>
      <c r="E3733" s="1" t="s">
        <v>1291</v>
      </c>
      <c r="F3733" s="1" t="s">
        <v>30</v>
      </c>
      <c r="G3733" s="1" t="s">
        <v>30</v>
      </c>
      <c r="H3733" s="1" t="s">
        <v>1762</v>
      </c>
      <c r="I3733" t="b">
        <f>COUNTIF(Estadísticas!I:I,'centraldecomunicacion.es'!H3733)&gt;0</f>
        <v>0</v>
      </c>
    </row>
    <row r="3734" spans="1:9" hidden="1">
      <c r="A3734" s="1" t="s">
        <v>13411</v>
      </c>
      <c r="B3734" s="1" t="s">
        <v>18</v>
      </c>
      <c r="C3734" s="1" t="s">
        <v>13412</v>
      </c>
      <c r="D3734" s="1" t="s">
        <v>1318</v>
      </c>
      <c r="E3734" s="1" t="s">
        <v>1291</v>
      </c>
      <c r="F3734" s="1" t="s">
        <v>13413</v>
      </c>
      <c r="G3734" s="1" t="s">
        <v>13414</v>
      </c>
      <c r="H3734" s="1" t="s">
        <v>1762</v>
      </c>
      <c r="I3734" t="b">
        <f>COUNTIF(Estadísticas!I:I,'centraldecomunicacion.es'!H3734)&gt;0</f>
        <v>0</v>
      </c>
    </row>
    <row r="3735" spans="1:9" hidden="1">
      <c r="A3735" s="1" t="s">
        <v>13415</v>
      </c>
      <c r="B3735" s="1" t="s">
        <v>18</v>
      </c>
      <c r="C3735" s="1" t="s">
        <v>13416</v>
      </c>
      <c r="D3735" s="1" t="s">
        <v>13318</v>
      </c>
      <c r="E3735" s="1" t="s">
        <v>1291</v>
      </c>
      <c r="F3735" s="1" t="s">
        <v>30</v>
      </c>
      <c r="G3735" s="1" t="s">
        <v>13417</v>
      </c>
      <c r="H3735" s="1" t="s">
        <v>1762</v>
      </c>
      <c r="I3735" t="b">
        <f>COUNTIF(Estadísticas!I:I,'centraldecomunicacion.es'!H3735)&gt;0</f>
        <v>0</v>
      </c>
    </row>
    <row r="3736" spans="1:9" hidden="1">
      <c r="A3736" s="1" t="s">
        <v>13418</v>
      </c>
      <c r="B3736" s="1" t="s">
        <v>10</v>
      </c>
      <c r="C3736" s="1" t="s">
        <v>13419</v>
      </c>
      <c r="D3736" s="1" t="s">
        <v>13341</v>
      </c>
      <c r="E3736" s="1" t="s">
        <v>1291</v>
      </c>
      <c r="F3736" s="1" t="s">
        <v>30</v>
      </c>
      <c r="G3736" s="1" t="s">
        <v>13420</v>
      </c>
      <c r="H3736" s="1" t="s">
        <v>1762</v>
      </c>
      <c r="I3736" t="b">
        <f>COUNTIF(Estadísticas!I:I,'centraldecomunicacion.es'!H3736)&gt;0</f>
        <v>0</v>
      </c>
    </row>
    <row r="3737" spans="1:9" hidden="1">
      <c r="A3737" s="1" t="s">
        <v>13421</v>
      </c>
      <c r="B3737" s="1" t="s">
        <v>10</v>
      </c>
      <c r="C3737" s="1" t="s">
        <v>13422</v>
      </c>
      <c r="D3737" s="1" t="s">
        <v>13423</v>
      </c>
      <c r="E3737" s="1" t="s">
        <v>1291</v>
      </c>
      <c r="F3737" s="1" t="s">
        <v>30</v>
      </c>
      <c r="G3737" s="1" t="s">
        <v>30</v>
      </c>
      <c r="H3737" s="1" t="s">
        <v>1762</v>
      </c>
      <c r="I3737" t="b">
        <f>COUNTIF(Estadísticas!I:I,'centraldecomunicacion.es'!H3737)&gt;0</f>
        <v>0</v>
      </c>
    </row>
    <row r="3738" spans="1:9" hidden="1">
      <c r="A3738" s="1" t="s">
        <v>13424</v>
      </c>
      <c r="B3738" s="1" t="s">
        <v>10</v>
      </c>
      <c r="C3738" s="1" t="s">
        <v>13425</v>
      </c>
      <c r="D3738" s="1" t="s">
        <v>1324</v>
      </c>
      <c r="E3738" s="1" t="s">
        <v>1324</v>
      </c>
      <c r="F3738" s="1" t="s">
        <v>13426</v>
      </c>
      <c r="G3738" s="1" t="s">
        <v>13427</v>
      </c>
      <c r="H3738" s="1" t="s">
        <v>1762</v>
      </c>
      <c r="I3738" t="b">
        <f>COUNTIF(Estadísticas!I:I,'centraldecomunicacion.es'!H3738)&gt;0</f>
        <v>0</v>
      </c>
    </row>
    <row r="3739" spans="1:9" hidden="1">
      <c r="A3739" s="1" t="s">
        <v>13428</v>
      </c>
      <c r="B3739" s="1" t="s">
        <v>10</v>
      </c>
      <c r="C3739" s="1" t="s">
        <v>13429</v>
      </c>
      <c r="D3739" s="1" t="s">
        <v>1324</v>
      </c>
      <c r="E3739" s="1" t="s">
        <v>1324</v>
      </c>
      <c r="F3739" s="1" t="s">
        <v>30</v>
      </c>
      <c r="G3739" s="1" t="s">
        <v>13430</v>
      </c>
      <c r="H3739" s="1" t="s">
        <v>1762</v>
      </c>
      <c r="I3739" t="b">
        <f>COUNTIF(Estadísticas!I:I,'centraldecomunicacion.es'!H3739)&gt;0</f>
        <v>0</v>
      </c>
    </row>
    <row r="3740" spans="1:9" hidden="1">
      <c r="A3740" s="1" t="s">
        <v>13431</v>
      </c>
      <c r="B3740" s="1" t="s">
        <v>10</v>
      </c>
      <c r="C3740" s="1" t="s">
        <v>13432</v>
      </c>
      <c r="D3740" s="1" t="s">
        <v>1324</v>
      </c>
      <c r="E3740" s="1" t="s">
        <v>1324</v>
      </c>
      <c r="F3740" s="1" t="s">
        <v>13433</v>
      </c>
      <c r="G3740" s="1" t="s">
        <v>13434</v>
      </c>
      <c r="H3740" s="1" t="s">
        <v>1762</v>
      </c>
      <c r="I3740" t="b">
        <f>COUNTIF(Estadísticas!I:I,'centraldecomunicacion.es'!H3740)&gt;0</f>
        <v>0</v>
      </c>
    </row>
    <row r="3741" spans="1:9" hidden="1">
      <c r="A3741" s="1" t="s">
        <v>13435</v>
      </c>
      <c r="B3741" s="1" t="s">
        <v>10</v>
      </c>
      <c r="C3741" s="1" t="s">
        <v>13436</v>
      </c>
      <c r="D3741" s="1" t="s">
        <v>1324</v>
      </c>
      <c r="E3741" s="1" t="s">
        <v>1324</v>
      </c>
      <c r="F3741" s="1" t="s">
        <v>9231</v>
      </c>
      <c r="G3741" s="1" t="s">
        <v>13437</v>
      </c>
      <c r="H3741" s="1" t="s">
        <v>9233</v>
      </c>
      <c r="I3741" t="b">
        <f>COUNTIF(Estadísticas!I:I,'centraldecomunicacion.es'!H3741)&gt;0</f>
        <v>0</v>
      </c>
    </row>
    <row r="3742" spans="1:9" hidden="1">
      <c r="A3742" s="1" t="s">
        <v>13438</v>
      </c>
      <c r="B3742" s="1" t="s">
        <v>18</v>
      </c>
      <c r="C3742" s="1" t="s">
        <v>13439</v>
      </c>
      <c r="D3742" s="1" t="s">
        <v>1324</v>
      </c>
      <c r="E3742" s="1" t="s">
        <v>1324</v>
      </c>
      <c r="F3742" s="1" t="s">
        <v>13440</v>
      </c>
      <c r="G3742" s="1" t="s">
        <v>13441</v>
      </c>
      <c r="H3742" s="1" t="s">
        <v>1762</v>
      </c>
      <c r="I3742" t="b">
        <f>COUNTIF(Estadísticas!I:I,'centraldecomunicacion.es'!H3742)&gt;0</f>
        <v>0</v>
      </c>
    </row>
    <row r="3743" spans="1:9" hidden="1">
      <c r="A3743" s="1" t="s">
        <v>13442</v>
      </c>
      <c r="B3743" s="1" t="s">
        <v>18</v>
      </c>
      <c r="C3743" s="1" t="s">
        <v>13443</v>
      </c>
      <c r="D3743" s="1" t="s">
        <v>1324</v>
      </c>
      <c r="E3743" s="1" t="s">
        <v>1324</v>
      </c>
      <c r="F3743" s="1" t="s">
        <v>13444</v>
      </c>
      <c r="G3743" s="1" t="s">
        <v>13445</v>
      </c>
      <c r="H3743" s="1" t="s">
        <v>13446</v>
      </c>
      <c r="I3743" t="b">
        <f>COUNTIF(Estadísticas!I:I,'centraldecomunicacion.es'!H3743)&gt;0</f>
        <v>0</v>
      </c>
    </row>
    <row r="3744" spans="1:9" hidden="1">
      <c r="A3744" s="1" t="s">
        <v>13447</v>
      </c>
      <c r="B3744" s="1" t="s">
        <v>10</v>
      </c>
      <c r="C3744" s="1" t="s">
        <v>13448</v>
      </c>
      <c r="D3744" s="1" t="s">
        <v>1324</v>
      </c>
      <c r="E3744" s="1" t="s">
        <v>1324</v>
      </c>
      <c r="F3744" s="1" t="s">
        <v>13449</v>
      </c>
      <c r="G3744" s="1" t="s">
        <v>13450</v>
      </c>
      <c r="H3744" s="1" t="s">
        <v>13451</v>
      </c>
      <c r="I3744" t="b">
        <f>COUNTIF(Estadísticas!I:I,'centraldecomunicacion.es'!H3744)&gt;0</f>
        <v>0</v>
      </c>
    </row>
    <row r="3745" spans="1:9" hidden="1">
      <c r="A3745" s="1" t="s">
        <v>13452</v>
      </c>
      <c r="B3745" s="1" t="s">
        <v>18</v>
      </c>
      <c r="C3745" s="1" t="s">
        <v>13453</v>
      </c>
      <c r="D3745" s="1" t="s">
        <v>1324</v>
      </c>
      <c r="E3745" s="1" t="s">
        <v>1324</v>
      </c>
      <c r="F3745" s="1" t="s">
        <v>13283</v>
      </c>
      <c r="G3745" s="1" t="s">
        <v>13454</v>
      </c>
      <c r="H3745" s="1" t="s">
        <v>13285</v>
      </c>
      <c r="I3745" t="b">
        <f>COUNTIF(Estadísticas!I:I,'centraldecomunicacion.es'!H3745)&gt;0</f>
        <v>0</v>
      </c>
    </row>
    <row r="3746" spans="1:9" hidden="1">
      <c r="A3746" s="1" t="s">
        <v>13455</v>
      </c>
      <c r="B3746" s="1" t="s">
        <v>10</v>
      </c>
      <c r="C3746" s="1" t="s">
        <v>13456</v>
      </c>
      <c r="D3746" s="1" t="s">
        <v>1324</v>
      </c>
      <c r="E3746" s="1" t="s">
        <v>1324</v>
      </c>
      <c r="F3746" s="1" t="s">
        <v>30</v>
      </c>
      <c r="G3746" s="1" t="s">
        <v>13457</v>
      </c>
      <c r="H3746" s="1" t="s">
        <v>1762</v>
      </c>
      <c r="I3746" t="b">
        <f>COUNTIF(Estadísticas!I:I,'centraldecomunicacion.es'!H3746)&gt;0</f>
        <v>0</v>
      </c>
    </row>
    <row r="3747" spans="1:9" hidden="1">
      <c r="A3747" s="1" t="s">
        <v>13458</v>
      </c>
      <c r="B3747" s="1" t="s">
        <v>10</v>
      </c>
      <c r="C3747" s="1" t="s">
        <v>13459</v>
      </c>
      <c r="D3747" s="1" t="s">
        <v>1324</v>
      </c>
      <c r="E3747" s="1" t="s">
        <v>1324</v>
      </c>
      <c r="F3747" s="1" t="s">
        <v>30</v>
      </c>
      <c r="G3747" s="1" t="s">
        <v>13460</v>
      </c>
      <c r="H3747" s="1" t="s">
        <v>1762</v>
      </c>
      <c r="I3747" t="b">
        <f>COUNTIF(Estadísticas!I:I,'centraldecomunicacion.es'!H3747)&gt;0</f>
        <v>0</v>
      </c>
    </row>
    <row r="3748" spans="1:9" hidden="1">
      <c r="A3748" s="1" t="s">
        <v>13461</v>
      </c>
      <c r="B3748" s="1" t="s">
        <v>10</v>
      </c>
      <c r="C3748" s="1" t="s">
        <v>13462</v>
      </c>
      <c r="D3748" s="1" t="s">
        <v>1324</v>
      </c>
      <c r="E3748" s="1" t="s">
        <v>1324</v>
      </c>
      <c r="F3748" s="1" t="s">
        <v>30</v>
      </c>
      <c r="G3748" s="1" t="s">
        <v>30</v>
      </c>
      <c r="H3748" s="1" t="s">
        <v>1762</v>
      </c>
      <c r="I3748" t="b">
        <f>COUNTIF(Estadísticas!I:I,'centraldecomunicacion.es'!H3748)&gt;0</f>
        <v>0</v>
      </c>
    </row>
    <row r="3749" spans="1:9" hidden="1">
      <c r="A3749" s="1" t="s">
        <v>13463</v>
      </c>
      <c r="B3749" s="1" t="s">
        <v>10</v>
      </c>
      <c r="C3749" s="1" t="s">
        <v>13464</v>
      </c>
      <c r="D3749" s="1" t="s">
        <v>1324</v>
      </c>
      <c r="E3749" s="1" t="s">
        <v>1324</v>
      </c>
      <c r="F3749" s="1" t="s">
        <v>30</v>
      </c>
      <c r="G3749" s="1" t="s">
        <v>13465</v>
      </c>
      <c r="H3749" s="1" t="s">
        <v>1762</v>
      </c>
      <c r="I3749" t="b">
        <f>COUNTIF(Estadísticas!I:I,'centraldecomunicacion.es'!H3749)&gt;0</f>
        <v>0</v>
      </c>
    </row>
    <row r="3750" spans="1:9" hidden="1">
      <c r="A3750" s="1" t="s">
        <v>13466</v>
      </c>
      <c r="B3750" s="1" t="s">
        <v>10</v>
      </c>
      <c r="C3750" s="1" t="s">
        <v>13467</v>
      </c>
      <c r="D3750" s="1" t="s">
        <v>1324</v>
      </c>
      <c r="E3750" s="1" t="s">
        <v>1324</v>
      </c>
      <c r="F3750" s="1" t="s">
        <v>30</v>
      </c>
      <c r="G3750" s="1" t="s">
        <v>13468</v>
      </c>
      <c r="H3750" s="1" t="s">
        <v>1762</v>
      </c>
      <c r="I3750" t="b">
        <f>COUNTIF(Estadísticas!I:I,'centraldecomunicacion.es'!H3750)&gt;0</f>
        <v>0</v>
      </c>
    </row>
    <row r="3751" spans="1:9" hidden="1">
      <c r="A3751" s="1" t="s">
        <v>13469</v>
      </c>
      <c r="B3751" s="1" t="s">
        <v>10</v>
      </c>
      <c r="C3751" s="1" t="s">
        <v>13470</v>
      </c>
      <c r="D3751" s="1" t="s">
        <v>1324</v>
      </c>
      <c r="E3751" s="1" t="s">
        <v>1324</v>
      </c>
      <c r="F3751" s="1" t="s">
        <v>30</v>
      </c>
      <c r="G3751" s="1" t="s">
        <v>30</v>
      </c>
      <c r="H3751" s="1" t="s">
        <v>1762</v>
      </c>
      <c r="I3751" t="b">
        <f>COUNTIF(Estadísticas!I:I,'centraldecomunicacion.es'!H3751)&gt;0</f>
        <v>0</v>
      </c>
    </row>
    <row r="3752" spans="1:9" hidden="1">
      <c r="A3752" s="1" t="s">
        <v>13471</v>
      </c>
      <c r="B3752" s="1" t="s">
        <v>10</v>
      </c>
      <c r="C3752" s="1" t="s">
        <v>13472</v>
      </c>
      <c r="D3752" s="1" t="s">
        <v>1324</v>
      </c>
      <c r="E3752" s="1" t="s">
        <v>1324</v>
      </c>
      <c r="F3752" s="1" t="s">
        <v>30</v>
      </c>
      <c r="G3752" s="1" t="s">
        <v>30</v>
      </c>
      <c r="H3752" s="1" t="s">
        <v>1762</v>
      </c>
      <c r="I3752" t="b">
        <f>COUNTIF(Estadísticas!I:I,'centraldecomunicacion.es'!H3752)&gt;0</f>
        <v>0</v>
      </c>
    </row>
    <row r="3753" spans="1:9" hidden="1">
      <c r="A3753" s="1" t="s">
        <v>13473</v>
      </c>
      <c r="B3753" s="1" t="s">
        <v>10</v>
      </c>
      <c r="C3753" s="1" t="s">
        <v>13474</v>
      </c>
      <c r="D3753" s="1" t="s">
        <v>1324</v>
      </c>
      <c r="E3753" s="1" t="s">
        <v>1324</v>
      </c>
      <c r="F3753" s="1" t="s">
        <v>30</v>
      </c>
      <c r="G3753" s="1" t="s">
        <v>13475</v>
      </c>
      <c r="H3753" s="1" t="s">
        <v>1762</v>
      </c>
      <c r="I3753" t="b">
        <f>COUNTIF(Estadísticas!I:I,'centraldecomunicacion.es'!H3753)&gt;0</f>
        <v>0</v>
      </c>
    </row>
    <row r="3754" spans="1:9" hidden="1">
      <c r="A3754" s="1" t="s">
        <v>13476</v>
      </c>
      <c r="B3754" s="1" t="s">
        <v>10</v>
      </c>
      <c r="C3754" s="1" t="s">
        <v>13477</v>
      </c>
      <c r="D3754" s="1" t="s">
        <v>1324</v>
      </c>
      <c r="E3754" s="1" t="s">
        <v>1324</v>
      </c>
      <c r="F3754" s="1" t="s">
        <v>30</v>
      </c>
      <c r="G3754" s="1" t="s">
        <v>30</v>
      </c>
      <c r="H3754" s="1" t="s">
        <v>1762</v>
      </c>
      <c r="I3754" t="b">
        <f>COUNTIF(Estadísticas!I:I,'centraldecomunicacion.es'!H3754)&gt;0</f>
        <v>0</v>
      </c>
    </row>
    <row r="3755" spans="1:9" hidden="1">
      <c r="A3755" s="1" t="s">
        <v>13478</v>
      </c>
      <c r="B3755" s="1" t="s">
        <v>10</v>
      </c>
      <c r="C3755" s="1" t="s">
        <v>13479</v>
      </c>
      <c r="D3755" s="1" t="s">
        <v>1324</v>
      </c>
      <c r="E3755" s="1" t="s">
        <v>1324</v>
      </c>
      <c r="F3755" s="1" t="s">
        <v>30</v>
      </c>
      <c r="G3755" s="1" t="s">
        <v>13480</v>
      </c>
      <c r="H3755" s="1" t="s">
        <v>1762</v>
      </c>
      <c r="I3755" t="b">
        <f>COUNTIF(Estadísticas!I:I,'centraldecomunicacion.es'!H3755)&gt;0</f>
        <v>0</v>
      </c>
    </row>
    <row r="3756" spans="1:9" hidden="1">
      <c r="A3756" s="1" t="s">
        <v>13481</v>
      </c>
      <c r="B3756" s="1" t="s">
        <v>10</v>
      </c>
      <c r="C3756" s="1" t="s">
        <v>13482</v>
      </c>
      <c r="D3756" s="1" t="s">
        <v>1324</v>
      </c>
      <c r="E3756" s="1" t="s">
        <v>1324</v>
      </c>
      <c r="F3756" s="1" t="s">
        <v>30</v>
      </c>
      <c r="G3756" s="1" t="s">
        <v>13483</v>
      </c>
      <c r="H3756" s="1" t="s">
        <v>1762</v>
      </c>
      <c r="I3756" t="b">
        <f>COUNTIF(Estadísticas!I:I,'centraldecomunicacion.es'!H3756)&gt;0</f>
        <v>0</v>
      </c>
    </row>
    <row r="3757" spans="1:9">
      <c r="A3757" s="1" t="s">
        <v>1322</v>
      </c>
      <c r="B3757" s="1" t="s">
        <v>18</v>
      </c>
      <c r="C3757" s="1" t="s">
        <v>1323</v>
      </c>
      <c r="D3757" s="1" t="s">
        <v>1324</v>
      </c>
      <c r="E3757" s="1" t="s">
        <v>1324</v>
      </c>
      <c r="F3757" s="1" t="s">
        <v>1325</v>
      </c>
      <c r="G3757" s="1" t="s">
        <v>1326</v>
      </c>
      <c r="H3757" s="1" t="s">
        <v>1327</v>
      </c>
      <c r="I3757" t="b">
        <f>COUNTIF(Estadísticas!I:I,'centraldecomunicacion.es'!H3757)&gt;0</f>
        <v>1</v>
      </c>
    </row>
    <row r="3758" spans="1:9" hidden="1">
      <c r="A3758" s="1" t="s">
        <v>13484</v>
      </c>
      <c r="B3758" s="1" t="s">
        <v>10</v>
      </c>
      <c r="C3758" s="1" t="s">
        <v>13485</v>
      </c>
      <c r="D3758" s="1" t="s">
        <v>1324</v>
      </c>
      <c r="E3758" s="1" t="s">
        <v>1324</v>
      </c>
      <c r="F3758" s="1" t="s">
        <v>30</v>
      </c>
      <c r="G3758" s="1" t="s">
        <v>30</v>
      </c>
      <c r="H3758" s="1" t="s">
        <v>1762</v>
      </c>
      <c r="I3758" t="b">
        <f>COUNTIF(Estadísticas!I:I,'centraldecomunicacion.es'!H3758)&gt;0</f>
        <v>0</v>
      </c>
    </row>
    <row r="3759" spans="1:9" hidden="1">
      <c r="A3759" s="1" t="s">
        <v>2787</v>
      </c>
      <c r="B3759" s="1" t="s">
        <v>10</v>
      </c>
      <c r="C3759" s="1" t="s">
        <v>13486</v>
      </c>
      <c r="D3759" s="1" t="s">
        <v>1324</v>
      </c>
      <c r="E3759" s="1" t="s">
        <v>1324</v>
      </c>
      <c r="F3759" s="1" t="s">
        <v>30</v>
      </c>
      <c r="G3759" s="1" t="s">
        <v>30</v>
      </c>
      <c r="H3759" s="1" t="s">
        <v>1762</v>
      </c>
      <c r="I3759" t="b">
        <f>COUNTIF(Estadísticas!I:I,'centraldecomunicacion.es'!H3759)&gt;0</f>
        <v>0</v>
      </c>
    </row>
    <row r="3760" spans="1:9" hidden="1">
      <c r="A3760" s="1" t="s">
        <v>13487</v>
      </c>
      <c r="B3760" s="1" t="s">
        <v>10</v>
      </c>
      <c r="C3760" s="1" t="s">
        <v>30</v>
      </c>
      <c r="D3760" s="1" t="s">
        <v>13488</v>
      </c>
      <c r="E3760" s="1" t="s">
        <v>30</v>
      </c>
      <c r="F3760" s="1" t="s">
        <v>13489</v>
      </c>
      <c r="G3760" s="1" t="s">
        <v>13490</v>
      </c>
      <c r="H3760" s="1" t="s">
        <v>1762</v>
      </c>
      <c r="I3760" t="b">
        <f>COUNTIF(Estadísticas!I:I,'centraldecomunicacion.es'!H3760)&gt;0</f>
        <v>0</v>
      </c>
    </row>
    <row r="3761" spans="1:9" hidden="1">
      <c r="A3761" s="1" t="s">
        <v>13491</v>
      </c>
      <c r="B3761" s="1" t="s">
        <v>10</v>
      </c>
      <c r="C3761" s="1" t="s">
        <v>13492</v>
      </c>
      <c r="D3761" s="1" t="s">
        <v>13488</v>
      </c>
      <c r="E3761" s="1" t="s">
        <v>1324</v>
      </c>
      <c r="F3761" s="1" t="s">
        <v>30</v>
      </c>
      <c r="G3761" s="1" t="s">
        <v>13493</v>
      </c>
      <c r="H3761" s="1" t="s">
        <v>1762</v>
      </c>
      <c r="I3761" t="b">
        <f>COUNTIF(Estadísticas!I:I,'centraldecomunicacion.es'!H3761)&gt;0</f>
        <v>0</v>
      </c>
    </row>
    <row r="3762" spans="1:9" hidden="1">
      <c r="A3762" s="1" t="s">
        <v>13494</v>
      </c>
      <c r="B3762" s="1" t="s">
        <v>10</v>
      </c>
      <c r="C3762" s="1" t="s">
        <v>13495</v>
      </c>
      <c r="D3762" s="1" t="s">
        <v>1324</v>
      </c>
      <c r="E3762" s="1" t="s">
        <v>1324</v>
      </c>
      <c r="F3762" s="1" t="s">
        <v>30</v>
      </c>
      <c r="G3762" s="1" t="s">
        <v>30</v>
      </c>
      <c r="H3762" s="1" t="s">
        <v>1762</v>
      </c>
      <c r="I3762" t="b">
        <f>COUNTIF(Estadísticas!I:I,'centraldecomunicacion.es'!H3762)&gt;0</f>
        <v>0</v>
      </c>
    </row>
    <row r="3763" spans="1:9" hidden="1">
      <c r="A3763" s="1" t="s">
        <v>13496</v>
      </c>
      <c r="B3763" s="1" t="s">
        <v>10</v>
      </c>
      <c r="C3763" s="1" t="s">
        <v>13497</v>
      </c>
      <c r="D3763" s="1" t="s">
        <v>13498</v>
      </c>
      <c r="E3763" s="1" t="s">
        <v>1324</v>
      </c>
      <c r="F3763" s="1" t="s">
        <v>30</v>
      </c>
      <c r="G3763" s="1" t="s">
        <v>30</v>
      </c>
      <c r="H3763" s="1" t="s">
        <v>1762</v>
      </c>
      <c r="I3763" t="b">
        <f>COUNTIF(Estadísticas!I:I,'centraldecomunicacion.es'!H3763)&gt;0</f>
        <v>0</v>
      </c>
    </row>
    <row r="3764" spans="1:9" hidden="1">
      <c r="A3764" s="1" t="s">
        <v>13499</v>
      </c>
      <c r="B3764" s="1" t="s">
        <v>10</v>
      </c>
      <c r="C3764" s="1" t="s">
        <v>13500</v>
      </c>
      <c r="D3764" s="1" t="s">
        <v>1324</v>
      </c>
      <c r="E3764" s="1" t="s">
        <v>1324</v>
      </c>
      <c r="F3764" s="1" t="s">
        <v>30</v>
      </c>
      <c r="G3764" s="1" t="s">
        <v>13501</v>
      </c>
      <c r="H3764" s="1" t="s">
        <v>1762</v>
      </c>
      <c r="I3764" t="b">
        <f>COUNTIF(Estadísticas!I:I,'centraldecomunicacion.es'!H3764)&gt;0</f>
        <v>0</v>
      </c>
    </row>
    <row r="3765" spans="1:9" hidden="1">
      <c r="A3765" s="1" t="s">
        <v>13502</v>
      </c>
      <c r="B3765" s="1" t="s">
        <v>10</v>
      </c>
      <c r="C3765" s="1" t="s">
        <v>13503</v>
      </c>
      <c r="D3765" s="1" t="s">
        <v>13504</v>
      </c>
      <c r="E3765" s="1" t="s">
        <v>1324</v>
      </c>
      <c r="F3765" s="1" t="s">
        <v>30</v>
      </c>
      <c r="G3765" s="1" t="s">
        <v>13505</v>
      </c>
      <c r="H3765" s="1" t="s">
        <v>1762</v>
      </c>
      <c r="I3765" t="b">
        <f>COUNTIF(Estadísticas!I:I,'centraldecomunicacion.es'!H3765)&gt;0</f>
        <v>0</v>
      </c>
    </row>
    <row r="3766" spans="1:9" hidden="1">
      <c r="A3766" s="1" t="s">
        <v>13506</v>
      </c>
      <c r="B3766" s="1" t="s">
        <v>10</v>
      </c>
      <c r="C3766" s="1" t="s">
        <v>13507</v>
      </c>
      <c r="D3766" s="1" t="s">
        <v>4269</v>
      </c>
      <c r="E3766" s="1" t="s">
        <v>1324</v>
      </c>
      <c r="F3766" s="1" t="s">
        <v>13508</v>
      </c>
      <c r="G3766" s="1" t="s">
        <v>13509</v>
      </c>
      <c r="H3766" s="1" t="s">
        <v>13510</v>
      </c>
      <c r="I3766" t="b">
        <f>COUNTIF(Estadísticas!I:I,'centraldecomunicacion.es'!H3766)&gt;0</f>
        <v>0</v>
      </c>
    </row>
    <row r="3767" spans="1:9" hidden="1">
      <c r="A3767" s="1" t="s">
        <v>13511</v>
      </c>
      <c r="B3767" s="1" t="s">
        <v>10</v>
      </c>
      <c r="C3767" s="1" t="s">
        <v>13512</v>
      </c>
      <c r="D3767" s="1" t="s">
        <v>13504</v>
      </c>
      <c r="E3767" s="1" t="s">
        <v>1324</v>
      </c>
      <c r="F3767" s="1" t="s">
        <v>30</v>
      </c>
      <c r="G3767" s="1" t="s">
        <v>13513</v>
      </c>
      <c r="H3767" s="1" t="s">
        <v>1762</v>
      </c>
      <c r="I3767" t="b">
        <f>COUNTIF(Estadísticas!I:I,'centraldecomunicacion.es'!H3767)&gt;0</f>
        <v>0</v>
      </c>
    </row>
    <row r="3768" spans="1:9" hidden="1">
      <c r="A3768" s="1" t="s">
        <v>13514</v>
      </c>
      <c r="B3768" s="1" t="s">
        <v>18</v>
      </c>
      <c r="C3768" s="1" t="s">
        <v>13515</v>
      </c>
      <c r="D3768" s="1" t="s">
        <v>13504</v>
      </c>
      <c r="E3768" s="1" t="s">
        <v>1324</v>
      </c>
      <c r="F3768" s="1" t="s">
        <v>13413</v>
      </c>
      <c r="G3768" s="1" t="s">
        <v>13516</v>
      </c>
      <c r="H3768" s="1" t="s">
        <v>1762</v>
      </c>
      <c r="I3768" t="b">
        <f>COUNTIF(Estadísticas!I:I,'centraldecomunicacion.es'!H3768)&gt;0</f>
        <v>0</v>
      </c>
    </row>
    <row r="3769" spans="1:9" hidden="1">
      <c r="A3769" s="1" t="s">
        <v>13499</v>
      </c>
      <c r="B3769" s="1" t="s">
        <v>10</v>
      </c>
      <c r="C3769" s="1" t="s">
        <v>13517</v>
      </c>
      <c r="D3769" s="1" t="s">
        <v>13518</v>
      </c>
      <c r="E3769" s="1" t="s">
        <v>1324</v>
      </c>
      <c r="F3769" s="1" t="s">
        <v>30</v>
      </c>
      <c r="G3769" s="1" t="s">
        <v>13501</v>
      </c>
      <c r="H3769" s="1" t="s">
        <v>1762</v>
      </c>
      <c r="I3769" t="b">
        <f>COUNTIF(Estadísticas!I:I,'centraldecomunicacion.es'!H3769)&gt;0</f>
        <v>0</v>
      </c>
    </row>
    <row r="3770" spans="1:9" hidden="1">
      <c r="A3770" s="1" t="s">
        <v>13519</v>
      </c>
      <c r="B3770" s="1" t="s">
        <v>10</v>
      </c>
      <c r="C3770" s="1" t="s">
        <v>13520</v>
      </c>
      <c r="D3770" s="1" t="s">
        <v>4269</v>
      </c>
      <c r="E3770" s="1" t="s">
        <v>1324</v>
      </c>
      <c r="F3770" s="1" t="s">
        <v>13521</v>
      </c>
      <c r="G3770" s="1" t="s">
        <v>13522</v>
      </c>
      <c r="H3770" s="1" t="s">
        <v>1762</v>
      </c>
      <c r="I3770" t="b">
        <f>COUNTIF(Estadísticas!I:I,'centraldecomunicacion.es'!H3770)&gt;0</f>
        <v>0</v>
      </c>
    </row>
    <row r="3771" spans="1:9" hidden="1">
      <c r="A3771" s="1" t="s">
        <v>13523</v>
      </c>
      <c r="B3771" s="1" t="s">
        <v>10</v>
      </c>
      <c r="C3771" s="1" t="s">
        <v>13524</v>
      </c>
      <c r="D3771" s="1" t="s">
        <v>13525</v>
      </c>
      <c r="E3771" s="1" t="s">
        <v>1324</v>
      </c>
      <c r="F3771" s="1" t="s">
        <v>30</v>
      </c>
      <c r="G3771" s="1" t="s">
        <v>13526</v>
      </c>
      <c r="H3771" s="1" t="s">
        <v>1762</v>
      </c>
      <c r="I3771" t="b">
        <f>COUNTIF(Estadísticas!I:I,'centraldecomunicacion.es'!H3771)&gt;0</f>
        <v>0</v>
      </c>
    </row>
    <row r="3772" spans="1:9" hidden="1">
      <c r="A3772" s="1" t="s">
        <v>3947</v>
      </c>
      <c r="B3772" s="1" t="s">
        <v>10</v>
      </c>
      <c r="C3772" s="1" t="s">
        <v>13527</v>
      </c>
      <c r="D3772" s="1" t="s">
        <v>13504</v>
      </c>
      <c r="E3772" s="1" t="s">
        <v>1324</v>
      </c>
      <c r="F3772" s="1" t="s">
        <v>13528</v>
      </c>
      <c r="G3772" s="1" t="s">
        <v>30</v>
      </c>
      <c r="H3772" s="1" t="s">
        <v>1762</v>
      </c>
      <c r="I3772" t="b">
        <f>COUNTIF(Estadísticas!I:I,'centraldecomunicacion.es'!H3772)&gt;0</f>
        <v>0</v>
      </c>
    </row>
    <row r="3773" spans="1:9" hidden="1">
      <c r="A3773" s="1" t="s">
        <v>13529</v>
      </c>
      <c r="B3773" s="1" t="s">
        <v>10</v>
      </c>
      <c r="C3773" s="1" t="s">
        <v>13530</v>
      </c>
      <c r="D3773" s="1" t="s">
        <v>13531</v>
      </c>
      <c r="E3773" s="1" t="s">
        <v>1324</v>
      </c>
      <c r="F3773" s="1" t="s">
        <v>1984</v>
      </c>
      <c r="G3773" s="1" t="s">
        <v>13532</v>
      </c>
      <c r="H3773" s="1" t="s">
        <v>1762</v>
      </c>
      <c r="I3773" t="b">
        <f>COUNTIF(Estadísticas!I:I,'centraldecomunicacion.es'!H3773)&gt;0</f>
        <v>0</v>
      </c>
    </row>
    <row r="3774" spans="1:9" hidden="1">
      <c r="A3774" s="1" t="s">
        <v>13533</v>
      </c>
      <c r="B3774" s="1" t="s">
        <v>10</v>
      </c>
      <c r="C3774" s="1" t="s">
        <v>13534</v>
      </c>
      <c r="D3774" s="1" t="s">
        <v>13531</v>
      </c>
      <c r="E3774" s="1" t="s">
        <v>1324</v>
      </c>
      <c r="F3774" s="1" t="s">
        <v>13413</v>
      </c>
      <c r="G3774" s="1" t="s">
        <v>13535</v>
      </c>
      <c r="H3774" s="1" t="s">
        <v>1762</v>
      </c>
      <c r="I3774" t="b">
        <f>COUNTIF(Estadísticas!I:I,'centraldecomunicacion.es'!H3774)&gt;0</f>
        <v>0</v>
      </c>
    </row>
    <row r="3775" spans="1:9" hidden="1">
      <c r="A3775" s="1" t="s">
        <v>13536</v>
      </c>
      <c r="B3775" s="1" t="s">
        <v>10</v>
      </c>
      <c r="C3775" s="1" t="s">
        <v>13537</v>
      </c>
      <c r="D3775" s="1" t="s">
        <v>13504</v>
      </c>
      <c r="E3775" s="1" t="s">
        <v>1324</v>
      </c>
      <c r="F3775" s="1" t="s">
        <v>30</v>
      </c>
      <c r="G3775" s="1" t="s">
        <v>30</v>
      </c>
      <c r="H3775" s="1" t="s">
        <v>1762</v>
      </c>
      <c r="I3775" t="b">
        <f>COUNTIF(Estadísticas!I:I,'centraldecomunicacion.es'!H3775)&gt;0</f>
        <v>0</v>
      </c>
    </row>
    <row r="3776" spans="1:9" hidden="1">
      <c r="A3776" s="1" t="s">
        <v>13538</v>
      </c>
      <c r="B3776" s="1" t="s">
        <v>10</v>
      </c>
      <c r="C3776" s="1" t="s">
        <v>13539</v>
      </c>
      <c r="D3776" s="1" t="s">
        <v>13540</v>
      </c>
      <c r="E3776" s="1" t="s">
        <v>1324</v>
      </c>
      <c r="F3776" s="1" t="s">
        <v>30</v>
      </c>
      <c r="G3776" s="1" t="s">
        <v>13541</v>
      </c>
      <c r="H3776" s="1" t="s">
        <v>1762</v>
      </c>
      <c r="I3776" t="b">
        <f>COUNTIF(Estadísticas!I:I,'centraldecomunicacion.es'!H3776)&gt;0</f>
        <v>0</v>
      </c>
    </row>
    <row r="3777" spans="1:9" hidden="1">
      <c r="A3777" s="1" t="s">
        <v>13542</v>
      </c>
      <c r="B3777" s="1" t="s">
        <v>10</v>
      </c>
      <c r="C3777" s="1" t="s">
        <v>13543</v>
      </c>
      <c r="D3777" s="1" t="s">
        <v>13544</v>
      </c>
      <c r="E3777" s="1" t="s">
        <v>1324</v>
      </c>
      <c r="F3777" s="1" t="s">
        <v>13545</v>
      </c>
      <c r="G3777" s="1" t="s">
        <v>13546</v>
      </c>
      <c r="H3777" s="1" t="s">
        <v>13547</v>
      </c>
      <c r="I3777" t="b">
        <f>COUNTIF(Estadísticas!I:I,'centraldecomunicacion.es'!H3777)&gt;0</f>
        <v>0</v>
      </c>
    </row>
    <row r="3778" spans="1:9" hidden="1">
      <c r="A3778" s="1" t="s">
        <v>13548</v>
      </c>
      <c r="B3778" s="1" t="s">
        <v>10</v>
      </c>
      <c r="C3778" s="1" t="s">
        <v>13549</v>
      </c>
      <c r="D3778" s="1" t="s">
        <v>13550</v>
      </c>
      <c r="E3778" s="1" t="s">
        <v>1324</v>
      </c>
      <c r="F3778" s="1" t="s">
        <v>30</v>
      </c>
      <c r="G3778" s="1" t="s">
        <v>13551</v>
      </c>
      <c r="H3778" s="1" t="s">
        <v>1762</v>
      </c>
      <c r="I3778" t="b">
        <f>COUNTIF(Estadísticas!I:I,'centraldecomunicacion.es'!H3778)&gt;0</f>
        <v>0</v>
      </c>
    </row>
    <row r="3779" spans="1:9">
      <c r="A3779" s="1" t="s">
        <v>1328</v>
      </c>
      <c r="B3779" s="1" t="s">
        <v>10</v>
      </c>
      <c r="C3779" s="1" t="s">
        <v>1329</v>
      </c>
      <c r="D3779" s="1" t="s">
        <v>1330</v>
      </c>
      <c r="E3779" s="1" t="s">
        <v>1324</v>
      </c>
      <c r="F3779" s="1" t="s">
        <v>1331</v>
      </c>
      <c r="G3779" s="1" t="s">
        <v>1332</v>
      </c>
      <c r="H3779" s="1" t="s">
        <v>1333</v>
      </c>
      <c r="I3779" t="b">
        <f>COUNTIF(Estadísticas!I:I,'centraldecomunicacion.es'!H3779)&gt;0</f>
        <v>1</v>
      </c>
    </row>
    <row r="3780" spans="1:9" hidden="1">
      <c r="A3780" s="1" t="s">
        <v>13552</v>
      </c>
      <c r="B3780" s="1" t="s">
        <v>18</v>
      </c>
      <c r="C3780" s="1" t="s">
        <v>13553</v>
      </c>
      <c r="D3780" s="1" t="s">
        <v>4269</v>
      </c>
      <c r="E3780" s="1" t="s">
        <v>1324</v>
      </c>
      <c r="F3780" s="1" t="s">
        <v>13554</v>
      </c>
      <c r="G3780" s="1" t="s">
        <v>13555</v>
      </c>
      <c r="H3780" s="1" t="s">
        <v>9178</v>
      </c>
      <c r="I3780" t="b">
        <f>COUNTIF(Estadísticas!I:I,'centraldecomunicacion.es'!H3780)&gt;0</f>
        <v>0</v>
      </c>
    </row>
    <row r="3781" spans="1:9" hidden="1">
      <c r="A3781" s="1" t="s">
        <v>13556</v>
      </c>
      <c r="B3781" s="1" t="s">
        <v>10</v>
      </c>
      <c r="C3781" s="1" t="s">
        <v>13557</v>
      </c>
      <c r="D3781" s="1" t="s">
        <v>4269</v>
      </c>
      <c r="E3781" s="1" t="s">
        <v>1324</v>
      </c>
      <c r="F3781" s="1" t="s">
        <v>30</v>
      </c>
      <c r="G3781" s="1" t="s">
        <v>13558</v>
      </c>
      <c r="H3781" s="1" t="s">
        <v>1762</v>
      </c>
      <c r="I3781" t="b">
        <f>COUNTIF(Estadísticas!I:I,'centraldecomunicacion.es'!H3781)&gt;0</f>
        <v>0</v>
      </c>
    </row>
    <row r="3782" spans="1:9" hidden="1">
      <c r="A3782" s="1" t="s">
        <v>13559</v>
      </c>
      <c r="B3782" s="1" t="s">
        <v>10</v>
      </c>
      <c r="C3782" s="1" t="s">
        <v>13560</v>
      </c>
      <c r="D3782" s="1" t="s">
        <v>13544</v>
      </c>
      <c r="E3782" s="1" t="s">
        <v>1324</v>
      </c>
      <c r="F3782" s="1" t="s">
        <v>30</v>
      </c>
      <c r="G3782" s="1" t="s">
        <v>13561</v>
      </c>
      <c r="H3782" s="1" t="s">
        <v>1762</v>
      </c>
      <c r="I3782" t="b">
        <f>COUNTIF(Estadísticas!I:I,'centraldecomunicacion.es'!H3782)&gt;0</f>
        <v>0</v>
      </c>
    </row>
    <row r="3783" spans="1:9" hidden="1">
      <c r="A3783" s="1" t="s">
        <v>13562</v>
      </c>
      <c r="B3783" s="1" t="s">
        <v>10</v>
      </c>
      <c r="C3783" s="1" t="s">
        <v>13563</v>
      </c>
      <c r="D3783" s="1" t="s">
        <v>4269</v>
      </c>
      <c r="E3783" s="1" t="s">
        <v>1324</v>
      </c>
      <c r="F3783" s="1" t="s">
        <v>13564</v>
      </c>
      <c r="G3783" s="1" t="s">
        <v>13565</v>
      </c>
      <c r="H3783" s="1" t="s">
        <v>1762</v>
      </c>
      <c r="I3783" t="b">
        <f>COUNTIF(Estadísticas!I:I,'centraldecomunicacion.es'!H3783)&gt;0</f>
        <v>0</v>
      </c>
    </row>
    <row r="3784" spans="1:9" hidden="1">
      <c r="A3784" s="1" t="s">
        <v>13566</v>
      </c>
      <c r="B3784" s="1" t="s">
        <v>10</v>
      </c>
      <c r="C3784" s="1" t="s">
        <v>13567</v>
      </c>
      <c r="D3784" s="1" t="s">
        <v>13488</v>
      </c>
      <c r="E3784" s="1" t="s">
        <v>1324</v>
      </c>
      <c r="F3784" s="1" t="s">
        <v>30</v>
      </c>
      <c r="G3784" s="1" t="s">
        <v>30</v>
      </c>
      <c r="H3784" s="1" t="s">
        <v>1762</v>
      </c>
      <c r="I3784" t="b">
        <f>COUNTIF(Estadísticas!I:I,'centraldecomunicacion.es'!H3784)&gt;0</f>
        <v>0</v>
      </c>
    </row>
    <row r="3785" spans="1:9" hidden="1">
      <c r="A3785" s="1" t="s">
        <v>13568</v>
      </c>
      <c r="B3785" s="1" t="s">
        <v>10</v>
      </c>
      <c r="C3785" s="1" t="s">
        <v>13569</v>
      </c>
      <c r="D3785" s="1" t="s">
        <v>13570</v>
      </c>
      <c r="E3785" s="1" t="s">
        <v>1324</v>
      </c>
      <c r="F3785" s="1" t="s">
        <v>6237</v>
      </c>
      <c r="G3785" s="1" t="s">
        <v>13571</v>
      </c>
      <c r="H3785" s="1" t="s">
        <v>1762</v>
      </c>
      <c r="I3785" t="b">
        <f>COUNTIF(Estadísticas!I:I,'centraldecomunicacion.es'!H3785)&gt;0</f>
        <v>0</v>
      </c>
    </row>
    <row r="3786" spans="1:9" hidden="1">
      <c r="A3786" s="1" t="s">
        <v>13572</v>
      </c>
      <c r="B3786" s="1" t="s">
        <v>10</v>
      </c>
      <c r="C3786" s="1" t="s">
        <v>13573</v>
      </c>
      <c r="D3786" s="1" t="s">
        <v>13574</v>
      </c>
      <c r="E3786" s="1" t="s">
        <v>1324</v>
      </c>
      <c r="F3786" s="1" t="s">
        <v>13575</v>
      </c>
      <c r="G3786" s="1" t="s">
        <v>13576</v>
      </c>
      <c r="H3786" s="1" t="s">
        <v>1762</v>
      </c>
      <c r="I3786" t="b">
        <f>COUNTIF(Estadísticas!I:I,'centraldecomunicacion.es'!H3786)&gt;0</f>
        <v>0</v>
      </c>
    </row>
    <row r="3787" spans="1:9" hidden="1">
      <c r="A3787" s="1" t="s">
        <v>13577</v>
      </c>
      <c r="B3787" s="1" t="s">
        <v>10</v>
      </c>
      <c r="C3787" s="1" t="s">
        <v>13578</v>
      </c>
      <c r="D3787" s="1" t="s">
        <v>13579</v>
      </c>
      <c r="E3787" s="1" t="s">
        <v>1324</v>
      </c>
      <c r="F3787" s="1" t="s">
        <v>30</v>
      </c>
      <c r="G3787" s="1" t="s">
        <v>13580</v>
      </c>
      <c r="H3787" s="1" t="s">
        <v>1762</v>
      </c>
      <c r="I3787" t="b">
        <f>COUNTIF(Estadísticas!I:I,'centraldecomunicacion.es'!H3787)&gt;0</f>
        <v>0</v>
      </c>
    </row>
    <row r="3788" spans="1:9" hidden="1">
      <c r="A3788" s="1" t="s">
        <v>13581</v>
      </c>
      <c r="B3788" s="1" t="s">
        <v>10</v>
      </c>
      <c r="C3788" s="1" t="s">
        <v>13582</v>
      </c>
      <c r="D3788" s="1" t="s">
        <v>13583</v>
      </c>
      <c r="E3788" s="1" t="s">
        <v>1324</v>
      </c>
      <c r="F3788" s="1" t="s">
        <v>30</v>
      </c>
      <c r="G3788" s="1" t="s">
        <v>30</v>
      </c>
      <c r="H3788" s="1" t="s">
        <v>1762</v>
      </c>
      <c r="I3788" t="b">
        <f>COUNTIF(Estadísticas!I:I,'centraldecomunicacion.es'!H3788)&gt;0</f>
        <v>0</v>
      </c>
    </row>
    <row r="3789" spans="1:9" hidden="1">
      <c r="A3789" s="1" t="s">
        <v>13584</v>
      </c>
      <c r="B3789" s="1" t="s">
        <v>18</v>
      </c>
      <c r="C3789" s="1" t="s">
        <v>13585</v>
      </c>
      <c r="D3789" s="1" t="s">
        <v>13504</v>
      </c>
      <c r="E3789" s="1" t="s">
        <v>1324</v>
      </c>
      <c r="F3789" s="1" t="s">
        <v>13586</v>
      </c>
      <c r="G3789" s="1" t="s">
        <v>13587</v>
      </c>
      <c r="H3789" s="1" t="s">
        <v>13588</v>
      </c>
      <c r="I3789" t="b">
        <f>COUNTIF(Estadísticas!I:I,'centraldecomunicacion.es'!H3789)&gt;0</f>
        <v>0</v>
      </c>
    </row>
    <row r="3790" spans="1:9" hidden="1">
      <c r="A3790" s="1" t="s">
        <v>13589</v>
      </c>
      <c r="B3790" s="1" t="s">
        <v>18</v>
      </c>
      <c r="C3790" s="1" t="s">
        <v>13590</v>
      </c>
      <c r="D3790" s="1" t="s">
        <v>4269</v>
      </c>
      <c r="E3790" s="1" t="s">
        <v>1324</v>
      </c>
      <c r="F3790" s="1" t="s">
        <v>13591</v>
      </c>
      <c r="G3790" s="1" t="s">
        <v>13592</v>
      </c>
      <c r="H3790" s="1" t="s">
        <v>13593</v>
      </c>
      <c r="I3790" t="b">
        <f>COUNTIF(Estadísticas!I:I,'centraldecomunicacion.es'!H3790)&gt;0</f>
        <v>0</v>
      </c>
    </row>
    <row r="3791" spans="1:9" hidden="1">
      <c r="A3791" s="1" t="s">
        <v>13594</v>
      </c>
      <c r="B3791" s="1" t="s">
        <v>10</v>
      </c>
      <c r="C3791" s="1" t="s">
        <v>13595</v>
      </c>
      <c r="D3791" s="1" t="s">
        <v>13596</v>
      </c>
      <c r="E3791" s="1" t="s">
        <v>1324</v>
      </c>
      <c r="F3791" s="1" t="s">
        <v>30</v>
      </c>
      <c r="G3791" s="1" t="s">
        <v>13597</v>
      </c>
      <c r="H3791" s="1" t="s">
        <v>1762</v>
      </c>
      <c r="I3791" t="b">
        <f>COUNTIF(Estadísticas!I:I,'centraldecomunicacion.es'!H3791)&gt;0</f>
        <v>0</v>
      </c>
    </row>
    <row r="3792" spans="1:9">
      <c r="A3792" s="1" t="s">
        <v>1334</v>
      </c>
      <c r="B3792" s="1" t="s">
        <v>10</v>
      </c>
      <c r="C3792" s="1" t="s">
        <v>1335</v>
      </c>
      <c r="D3792" s="1" t="s">
        <v>1336</v>
      </c>
      <c r="E3792" s="1" t="s">
        <v>1324</v>
      </c>
      <c r="F3792" s="1" t="s">
        <v>1337</v>
      </c>
      <c r="G3792" s="1" t="s">
        <v>1338</v>
      </c>
      <c r="H3792" s="1" t="s">
        <v>1339</v>
      </c>
      <c r="I3792" t="b">
        <f>COUNTIF(Estadísticas!I:I,'centraldecomunicacion.es'!H3792)&gt;0</f>
        <v>1</v>
      </c>
    </row>
    <row r="3793" spans="1:9" hidden="1">
      <c r="A3793" s="1" t="s">
        <v>13598</v>
      </c>
      <c r="B3793" s="1" t="s">
        <v>10</v>
      </c>
      <c r="C3793" s="1" t="s">
        <v>13599</v>
      </c>
      <c r="D3793" s="1" t="s">
        <v>13600</v>
      </c>
      <c r="E3793" s="1" t="s">
        <v>1324</v>
      </c>
      <c r="F3793" s="1" t="s">
        <v>30</v>
      </c>
      <c r="G3793" s="1" t="s">
        <v>30</v>
      </c>
      <c r="H3793" s="1" t="s">
        <v>1762</v>
      </c>
      <c r="I3793" t="b">
        <f>COUNTIF(Estadísticas!I:I,'centraldecomunicacion.es'!H3793)&gt;0</f>
        <v>0</v>
      </c>
    </row>
    <row r="3794" spans="1:9" hidden="1">
      <c r="A3794" s="1" t="s">
        <v>13601</v>
      </c>
      <c r="B3794" s="1" t="s">
        <v>10</v>
      </c>
      <c r="C3794" s="1" t="s">
        <v>13602</v>
      </c>
      <c r="D3794" s="1" t="s">
        <v>13544</v>
      </c>
      <c r="E3794" s="1" t="s">
        <v>1324</v>
      </c>
      <c r="F3794" s="1" t="s">
        <v>30</v>
      </c>
      <c r="G3794" s="1" t="s">
        <v>13603</v>
      </c>
      <c r="H3794" s="1" t="s">
        <v>1762</v>
      </c>
      <c r="I3794" t="b">
        <f>COUNTIF(Estadísticas!I:I,'centraldecomunicacion.es'!H3794)&gt;0</f>
        <v>0</v>
      </c>
    </row>
    <row r="3795" spans="1:9" hidden="1">
      <c r="A3795" s="1" t="s">
        <v>13604</v>
      </c>
      <c r="B3795" s="1" t="s">
        <v>10</v>
      </c>
      <c r="C3795" s="1" t="s">
        <v>13605</v>
      </c>
      <c r="D3795" s="1" t="s">
        <v>13544</v>
      </c>
      <c r="E3795" s="1" t="s">
        <v>1324</v>
      </c>
      <c r="F3795" s="1" t="s">
        <v>30</v>
      </c>
      <c r="G3795" s="1" t="s">
        <v>13606</v>
      </c>
      <c r="H3795" s="1" t="s">
        <v>1762</v>
      </c>
      <c r="I3795" t="b">
        <f>COUNTIF(Estadísticas!I:I,'centraldecomunicacion.es'!H3795)&gt;0</f>
        <v>0</v>
      </c>
    </row>
    <row r="3796" spans="1:9" hidden="1">
      <c r="A3796" s="1" t="s">
        <v>13607</v>
      </c>
      <c r="B3796" s="1" t="s">
        <v>10</v>
      </c>
      <c r="C3796" s="1" t="s">
        <v>13608</v>
      </c>
      <c r="D3796" s="1" t="s">
        <v>4269</v>
      </c>
      <c r="E3796" s="1" t="s">
        <v>1324</v>
      </c>
      <c r="F3796" s="1" t="s">
        <v>30</v>
      </c>
      <c r="G3796" s="1" t="s">
        <v>30</v>
      </c>
      <c r="H3796" s="1" t="s">
        <v>1762</v>
      </c>
      <c r="I3796" t="b">
        <f>COUNTIF(Estadísticas!I:I,'centraldecomunicacion.es'!H3796)&gt;0</f>
        <v>0</v>
      </c>
    </row>
    <row r="3797" spans="1:9" hidden="1">
      <c r="A3797" s="1" t="s">
        <v>13609</v>
      </c>
      <c r="B3797" s="1" t="s">
        <v>10</v>
      </c>
      <c r="C3797" s="1" t="s">
        <v>13610</v>
      </c>
      <c r="D3797" s="1" t="s">
        <v>13579</v>
      </c>
      <c r="E3797" s="1" t="s">
        <v>1324</v>
      </c>
      <c r="F3797" s="1" t="s">
        <v>30</v>
      </c>
      <c r="G3797" s="1" t="s">
        <v>30</v>
      </c>
      <c r="H3797" s="1" t="s">
        <v>1762</v>
      </c>
      <c r="I3797" t="b">
        <f>COUNTIF(Estadísticas!I:I,'centraldecomunicacion.es'!H3797)&gt;0</f>
        <v>0</v>
      </c>
    </row>
    <row r="3798" spans="1:9" hidden="1">
      <c r="A3798" s="1" t="s">
        <v>13611</v>
      </c>
      <c r="B3798" s="1" t="s">
        <v>10</v>
      </c>
      <c r="C3798" s="1" t="s">
        <v>13612</v>
      </c>
      <c r="D3798" s="1" t="s">
        <v>13579</v>
      </c>
      <c r="E3798" s="1" t="s">
        <v>1324</v>
      </c>
      <c r="F3798" s="1" t="s">
        <v>13613</v>
      </c>
      <c r="G3798" s="1" t="s">
        <v>13614</v>
      </c>
      <c r="H3798" s="1" t="s">
        <v>13615</v>
      </c>
      <c r="I3798" t="b">
        <f>COUNTIF(Estadísticas!I:I,'centraldecomunicacion.es'!H3798)&gt;0</f>
        <v>0</v>
      </c>
    </row>
    <row r="3799" spans="1:9" hidden="1">
      <c r="A3799" s="1" t="s">
        <v>13616</v>
      </c>
      <c r="B3799" s="1" t="s">
        <v>10</v>
      </c>
      <c r="C3799" s="1" t="s">
        <v>13617</v>
      </c>
      <c r="D3799" s="1" t="s">
        <v>1330</v>
      </c>
      <c r="E3799" s="1" t="s">
        <v>1324</v>
      </c>
      <c r="F3799" s="1" t="s">
        <v>30</v>
      </c>
      <c r="G3799" s="1" t="s">
        <v>13618</v>
      </c>
      <c r="H3799" s="1" t="s">
        <v>1762</v>
      </c>
      <c r="I3799" t="b">
        <f>COUNTIF(Estadísticas!I:I,'centraldecomunicacion.es'!H3799)&gt;0</f>
        <v>0</v>
      </c>
    </row>
    <row r="3800" spans="1:9">
      <c r="A3800" s="1" t="s">
        <v>1340</v>
      </c>
      <c r="B3800" s="1" t="s">
        <v>10</v>
      </c>
      <c r="C3800" s="1" t="s">
        <v>1341</v>
      </c>
      <c r="D3800" s="1" t="s">
        <v>1342</v>
      </c>
      <c r="E3800" s="1" t="s">
        <v>1324</v>
      </c>
      <c r="F3800" s="1" t="s">
        <v>1343</v>
      </c>
      <c r="G3800" s="1" t="s">
        <v>1344</v>
      </c>
      <c r="H3800" s="1" t="s">
        <v>1345</v>
      </c>
      <c r="I3800" t="b">
        <f>COUNTIF(Estadísticas!I:I,'centraldecomunicacion.es'!H3800)&gt;0</f>
        <v>1</v>
      </c>
    </row>
    <row r="3801" spans="1:9" hidden="1">
      <c r="A3801" s="1" t="s">
        <v>13619</v>
      </c>
      <c r="B3801" s="1" t="s">
        <v>10</v>
      </c>
      <c r="C3801" s="1" t="s">
        <v>13620</v>
      </c>
      <c r="D3801" s="1" t="s">
        <v>4269</v>
      </c>
      <c r="E3801" s="1" t="s">
        <v>1324</v>
      </c>
      <c r="F3801" s="1" t="s">
        <v>30</v>
      </c>
      <c r="G3801" s="1" t="s">
        <v>13621</v>
      </c>
      <c r="H3801" s="1" t="s">
        <v>1762</v>
      </c>
      <c r="I3801" t="b">
        <f>COUNTIF(Estadísticas!I:I,'centraldecomunicacion.es'!H3801)&gt;0</f>
        <v>0</v>
      </c>
    </row>
    <row r="3802" spans="1:9" hidden="1">
      <c r="A3802" s="1" t="s">
        <v>13622</v>
      </c>
      <c r="B3802" s="1" t="s">
        <v>10</v>
      </c>
      <c r="C3802" s="1" t="s">
        <v>13623</v>
      </c>
      <c r="D3802" s="1" t="s">
        <v>4269</v>
      </c>
      <c r="E3802" s="1" t="s">
        <v>1324</v>
      </c>
      <c r="F3802" s="1" t="s">
        <v>30</v>
      </c>
      <c r="G3802" s="1" t="s">
        <v>13624</v>
      </c>
      <c r="H3802" s="1" t="s">
        <v>1762</v>
      </c>
      <c r="I3802" t="b">
        <f>COUNTIF(Estadísticas!I:I,'centraldecomunicacion.es'!H3802)&gt;0</f>
        <v>0</v>
      </c>
    </row>
    <row r="3803" spans="1:9" hidden="1">
      <c r="A3803" s="1" t="s">
        <v>13625</v>
      </c>
      <c r="B3803" s="1" t="s">
        <v>10</v>
      </c>
      <c r="C3803" s="1" t="s">
        <v>13626</v>
      </c>
      <c r="D3803" s="1" t="s">
        <v>1330</v>
      </c>
      <c r="E3803" s="1" t="s">
        <v>1324</v>
      </c>
      <c r="F3803" s="1" t="s">
        <v>30</v>
      </c>
      <c r="G3803" s="1" t="s">
        <v>30</v>
      </c>
      <c r="H3803" s="1" t="s">
        <v>1762</v>
      </c>
      <c r="I3803" t="b">
        <f>COUNTIF(Estadísticas!I:I,'centraldecomunicacion.es'!H3803)&gt;0</f>
        <v>0</v>
      </c>
    </row>
    <row r="3804" spans="1:9" hidden="1">
      <c r="A3804" s="1" t="s">
        <v>13627</v>
      </c>
      <c r="B3804" s="1" t="s">
        <v>10</v>
      </c>
      <c r="C3804" s="1" t="s">
        <v>30</v>
      </c>
      <c r="D3804" s="1" t="s">
        <v>13488</v>
      </c>
      <c r="E3804" s="1" t="s">
        <v>30</v>
      </c>
      <c r="F3804" s="1" t="s">
        <v>30</v>
      </c>
      <c r="G3804" s="1" t="s">
        <v>13628</v>
      </c>
      <c r="H3804" s="1" t="s">
        <v>1762</v>
      </c>
      <c r="I3804" t="b">
        <f>COUNTIF(Estadísticas!I:I,'centraldecomunicacion.es'!H3804)&gt;0</f>
        <v>0</v>
      </c>
    </row>
    <row r="3805" spans="1:9" hidden="1">
      <c r="A3805" s="1" t="s">
        <v>13629</v>
      </c>
      <c r="B3805" s="1" t="s">
        <v>10</v>
      </c>
      <c r="C3805" s="1" t="s">
        <v>13630</v>
      </c>
      <c r="D3805" s="1" t="s">
        <v>13579</v>
      </c>
      <c r="E3805" s="1" t="s">
        <v>1324</v>
      </c>
      <c r="F3805" s="1" t="s">
        <v>13613</v>
      </c>
      <c r="G3805" s="1" t="s">
        <v>13614</v>
      </c>
      <c r="H3805" s="1" t="s">
        <v>13615</v>
      </c>
      <c r="I3805" t="b">
        <f>COUNTIF(Estadísticas!I:I,'centraldecomunicacion.es'!H3805)&gt;0</f>
        <v>0</v>
      </c>
    </row>
    <row r="3806" spans="1:9" hidden="1">
      <c r="A3806" s="1" t="s">
        <v>13631</v>
      </c>
      <c r="B3806" s="1" t="s">
        <v>10</v>
      </c>
      <c r="C3806" s="1" t="s">
        <v>13632</v>
      </c>
      <c r="D3806" s="1" t="s">
        <v>4269</v>
      </c>
      <c r="E3806" s="1" t="s">
        <v>1324</v>
      </c>
      <c r="F3806" s="1" t="s">
        <v>13633</v>
      </c>
      <c r="G3806" s="1" t="s">
        <v>13634</v>
      </c>
      <c r="H3806" s="1" t="s">
        <v>9178</v>
      </c>
      <c r="I3806" t="b">
        <f>COUNTIF(Estadísticas!I:I,'centraldecomunicacion.es'!H3806)&gt;0</f>
        <v>0</v>
      </c>
    </row>
    <row r="3807" spans="1:9" hidden="1">
      <c r="A3807" s="1" t="s">
        <v>13635</v>
      </c>
      <c r="B3807" s="1" t="s">
        <v>10</v>
      </c>
      <c r="C3807" s="1" t="s">
        <v>13636</v>
      </c>
      <c r="D3807" s="1" t="s">
        <v>13637</v>
      </c>
      <c r="E3807" s="1" t="s">
        <v>1324</v>
      </c>
      <c r="F3807" s="1" t="s">
        <v>30</v>
      </c>
      <c r="G3807" s="1" t="s">
        <v>13638</v>
      </c>
      <c r="H3807" s="1" t="s">
        <v>1762</v>
      </c>
      <c r="I3807" t="b">
        <f>COUNTIF(Estadísticas!I:I,'centraldecomunicacion.es'!H3807)&gt;0</f>
        <v>0</v>
      </c>
    </row>
    <row r="3808" spans="1:9" hidden="1">
      <c r="A3808" s="1" t="s">
        <v>13639</v>
      </c>
      <c r="B3808" s="1" t="s">
        <v>10</v>
      </c>
      <c r="C3808" s="1" t="s">
        <v>13640</v>
      </c>
      <c r="D3808" s="1" t="s">
        <v>2164</v>
      </c>
      <c r="E3808" s="1" t="s">
        <v>1324</v>
      </c>
      <c r="F3808" s="1" t="s">
        <v>30</v>
      </c>
      <c r="G3808" s="1" t="s">
        <v>30</v>
      </c>
      <c r="H3808" s="1" t="s">
        <v>1762</v>
      </c>
      <c r="I3808" t="b">
        <f>COUNTIF(Estadísticas!I:I,'centraldecomunicacion.es'!H3808)&gt;0</f>
        <v>0</v>
      </c>
    </row>
    <row r="3809" spans="1:9" hidden="1">
      <c r="A3809" s="1" t="s">
        <v>13641</v>
      </c>
      <c r="B3809" s="1" t="s">
        <v>10</v>
      </c>
      <c r="C3809" s="1" t="s">
        <v>13642</v>
      </c>
      <c r="D3809" s="1" t="s">
        <v>1342</v>
      </c>
      <c r="E3809" s="1" t="s">
        <v>1324</v>
      </c>
      <c r="F3809" s="1" t="s">
        <v>30</v>
      </c>
      <c r="G3809" s="1" t="s">
        <v>13643</v>
      </c>
      <c r="H3809" s="1" t="s">
        <v>1762</v>
      </c>
      <c r="I3809" t="b">
        <f>COUNTIF(Estadísticas!I:I,'centraldecomunicacion.es'!H3809)&gt;0</f>
        <v>0</v>
      </c>
    </row>
    <row r="3810" spans="1:9" hidden="1">
      <c r="A3810" s="1" t="s">
        <v>13644</v>
      </c>
      <c r="B3810" s="1" t="s">
        <v>18</v>
      </c>
      <c r="C3810" s="1" t="s">
        <v>13645</v>
      </c>
      <c r="D3810" s="1" t="s">
        <v>13488</v>
      </c>
      <c r="E3810" s="1" t="s">
        <v>1324</v>
      </c>
      <c r="F3810" s="1" t="s">
        <v>13646</v>
      </c>
      <c r="G3810" s="1" t="s">
        <v>13647</v>
      </c>
      <c r="H3810" s="1" t="s">
        <v>9178</v>
      </c>
      <c r="I3810" t="b">
        <f>COUNTIF(Estadísticas!I:I,'centraldecomunicacion.es'!H3810)&gt;0</f>
        <v>0</v>
      </c>
    </row>
    <row r="3811" spans="1:9" hidden="1">
      <c r="A3811" s="1" t="s">
        <v>13648</v>
      </c>
      <c r="B3811" s="1" t="s">
        <v>10</v>
      </c>
      <c r="C3811" s="1" t="s">
        <v>13649</v>
      </c>
      <c r="D3811" s="1" t="s">
        <v>13650</v>
      </c>
      <c r="E3811" s="1" t="s">
        <v>1324</v>
      </c>
      <c r="F3811" s="1" t="s">
        <v>30</v>
      </c>
      <c r="G3811" s="1" t="s">
        <v>13651</v>
      </c>
      <c r="H3811" s="1" t="s">
        <v>1762</v>
      </c>
      <c r="I3811" t="b">
        <f>COUNTIF(Estadísticas!I:I,'centraldecomunicacion.es'!H3811)&gt;0</f>
        <v>0</v>
      </c>
    </row>
    <row r="3812" spans="1:9" hidden="1">
      <c r="A3812" s="1" t="s">
        <v>13652</v>
      </c>
      <c r="B3812" s="1" t="s">
        <v>10</v>
      </c>
      <c r="C3812" s="1" t="s">
        <v>13653</v>
      </c>
      <c r="D3812" s="1" t="s">
        <v>4269</v>
      </c>
      <c r="E3812" s="1" t="s">
        <v>1324</v>
      </c>
      <c r="F3812" s="1" t="s">
        <v>13654</v>
      </c>
      <c r="G3812" s="1" t="s">
        <v>13655</v>
      </c>
      <c r="H3812" s="1" t="s">
        <v>1762</v>
      </c>
      <c r="I3812" t="b">
        <f>COUNTIF(Estadísticas!I:I,'centraldecomunicacion.es'!H3812)&gt;0</f>
        <v>0</v>
      </c>
    </row>
    <row r="3813" spans="1:9" hidden="1">
      <c r="A3813" s="1" t="s">
        <v>13656</v>
      </c>
      <c r="B3813" s="1" t="s">
        <v>10</v>
      </c>
      <c r="C3813" s="1" t="s">
        <v>13657</v>
      </c>
      <c r="D3813" s="1" t="s">
        <v>13658</v>
      </c>
      <c r="E3813" s="1" t="s">
        <v>1324</v>
      </c>
      <c r="F3813" s="1" t="s">
        <v>13659</v>
      </c>
      <c r="G3813" s="1" t="s">
        <v>13660</v>
      </c>
      <c r="H3813" s="1" t="s">
        <v>1762</v>
      </c>
      <c r="I3813" t="b">
        <f>COUNTIF(Estadísticas!I:I,'centraldecomunicacion.es'!H3813)&gt;0</f>
        <v>0</v>
      </c>
    </row>
    <row r="3814" spans="1:9" hidden="1">
      <c r="A3814" s="1" t="s">
        <v>13661</v>
      </c>
      <c r="B3814" s="1" t="s">
        <v>10</v>
      </c>
      <c r="C3814" s="1" t="s">
        <v>13662</v>
      </c>
      <c r="D3814" s="1" t="s">
        <v>13663</v>
      </c>
      <c r="E3814" s="1" t="s">
        <v>1324</v>
      </c>
      <c r="F3814" s="1" t="s">
        <v>30</v>
      </c>
      <c r="G3814" s="1" t="s">
        <v>30</v>
      </c>
      <c r="H3814" s="1" t="s">
        <v>1762</v>
      </c>
      <c r="I3814" t="b">
        <f>COUNTIF(Estadísticas!I:I,'centraldecomunicacion.es'!H3814)&gt;0</f>
        <v>0</v>
      </c>
    </row>
    <row r="3815" spans="1:9" hidden="1">
      <c r="A3815" s="1" t="s">
        <v>13664</v>
      </c>
      <c r="B3815" s="1" t="s">
        <v>18</v>
      </c>
      <c r="C3815" s="1" t="s">
        <v>13665</v>
      </c>
      <c r="D3815" s="1" t="s">
        <v>4269</v>
      </c>
      <c r="E3815" s="1" t="s">
        <v>1324</v>
      </c>
      <c r="F3815" s="1" t="s">
        <v>1830</v>
      </c>
      <c r="G3815" s="1" t="s">
        <v>13666</v>
      </c>
      <c r="H3815" s="1" t="s">
        <v>1762</v>
      </c>
      <c r="I3815" t="b">
        <f>COUNTIF(Estadísticas!I:I,'centraldecomunicacion.es'!H3815)&gt;0</f>
        <v>0</v>
      </c>
    </row>
    <row r="3816" spans="1:9" hidden="1">
      <c r="A3816" s="1" t="s">
        <v>13667</v>
      </c>
      <c r="B3816" s="1" t="s">
        <v>10</v>
      </c>
      <c r="C3816" s="1" t="s">
        <v>13668</v>
      </c>
      <c r="D3816" s="1" t="s">
        <v>4269</v>
      </c>
      <c r="E3816" s="1" t="s">
        <v>1324</v>
      </c>
      <c r="F3816" s="1" t="s">
        <v>30</v>
      </c>
      <c r="G3816" s="1" t="s">
        <v>30</v>
      </c>
      <c r="H3816" s="1" t="s">
        <v>1762</v>
      </c>
      <c r="I3816" t="b">
        <f>COUNTIF(Estadísticas!I:I,'centraldecomunicacion.es'!H3816)&gt;0</f>
        <v>0</v>
      </c>
    </row>
    <row r="3817" spans="1:9" hidden="1">
      <c r="A3817" s="1" t="s">
        <v>13669</v>
      </c>
      <c r="B3817" s="1" t="s">
        <v>10</v>
      </c>
      <c r="C3817" s="1" t="s">
        <v>13670</v>
      </c>
      <c r="D3817" s="1" t="s">
        <v>13671</v>
      </c>
      <c r="E3817" s="1" t="s">
        <v>1324</v>
      </c>
      <c r="F3817" s="1" t="s">
        <v>30</v>
      </c>
      <c r="G3817" s="1" t="s">
        <v>13672</v>
      </c>
      <c r="H3817" s="1" t="s">
        <v>1762</v>
      </c>
      <c r="I3817" t="b">
        <f>COUNTIF(Estadísticas!I:I,'centraldecomunicacion.es'!H3817)&gt;0</f>
        <v>0</v>
      </c>
    </row>
    <row r="3818" spans="1:9" hidden="1">
      <c r="A3818" s="1" t="s">
        <v>13673</v>
      </c>
      <c r="B3818" s="1" t="s">
        <v>10</v>
      </c>
      <c r="C3818" s="1" t="s">
        <v>13674</v>
      </c>
      <c r="D3818" s="1" t="s">
        <v>13675</v>
      </c>
      <c r="E3818" s="1" t="s">
        <v>1606</v>
      </c>
      <c r="F3818" s="1" t="s">
        <v>30</v>
      </c>
      <c r="G3818" s="1" t="s">
        <v>13676</v>
      </c>
      <c r="H3818" s="1" t="s">
        <v>1762</v>
      </c>
      <c r="I3818" t="b">
        <f>COUNTIF(Estadísticas!I:I,'centraldecomunicacion.es'!H3818)&gt;0</f>
        <v>0</v>
      </c>
    </row>
    <row r="3819" spans="1:9" hidden="1">
      <c r="A3819" s="1" t="s">
        <v>13677</v>
      </c>
      <c r="B3819" s="1" t="s">
        <v>10</v>
      </c>
      <c r="C3819" s="1" t="s">
        <v>13678</v>
      </c>
      <c r="D3819" s="1" t="s">
        <v>1348</v>
      </c>
      <c r="E3819" s="1" t="s">
        <v>1348</v>
      </c>
      <c r="F3819" s="1" t="s">
        <v>13679</v>
      </c>
      <c r="G3819" s="1" t="s">
        <v>13680</v>
      </c>
      <c r="H3819" s="1" t="s">
        <v>1762</v>
      </c>
      <c r="I3819" t="b">
        <f>COUNTIF(Estadísticas!I:I,'centraldecomunicacion.es'!H3819)&gt;0</f>
        <v>0</v>
      </c>
    </row>
    <row r="3820" spans="1:9" hidden="1">
      <c r="A3820" s="1" t="s">
        <v>13681</v>
      </c>
      <c r="B3820" s="1" t="s">
        <v>10</v>
      </c>
      <c r="C3820" s="1" t="s">
        <v>13682</v>
      </c>
      <c r="D3820" s="1" t="s">
        <v>1348</v>
      </c>
      <c r="E3820" s="1" t="s">
        <v>1348</v>
      </c>
      <c r="F3820" s="1" t="s">
        <v>13683</v>
      </c>
      <c r="G3820" s="1" t="s">
        <v>13684</v>
      </c>
      <c r="H3820" s="1" t="s">
        <v>1762</v>
      </c>
      <c r="I3820" t="b">
        <f>COUNTIF(Estadísticas!I:I,'centraldecomunicacion.es'!H3820)&gt;0</f>
        <v>0</v>
      </c>
    </row>
    <row r="3821" spans="1:9" hidden="1">
      <c r="A3821" s="1" t="s">
        <v>13685</v>
      </c>
      <c r="B3821" s="1" t="s">
        <v>10</v>
      </c>
      <c r="C3821" s="1" t="s">
        <v>13686</v>
      </c>
      <c r="D3821" s="1" t="s">
        <v>1348</v>
      </c>
      <c r="E3821" s="1" t="s">
        <v>1348</v>
      </c>
      <c r="F3821" s="1" t="s">
        <v>30</v>
      </c>
      <c r="G3821" s="1" t="s">
        <v>13687</v>
      </c>
      <c r="H3821" s="1" t="s">
        <v>1762</v>
      </c>
      <c r="I3821" t="b">
        <f>COUNTIF(Estadísticas!I:I,'centraldecomunicacion.es'!H3821)&gt;0</f>
        <v>0</v>
      </c>
    </row>
    <row r="3822" spans="1:9" hidden="1">
      <c r="A3822" s="1" t="s">
        <v>13688</v>
      </c>
      <c r="B3822" s="1" t="s">
        <v>10</v>
      </c>
      <c r="C3822" s="1" t="s">
        <v>13689</v>
      </c>
      <c r="D3822" s="1" t="s">
        <v>1348</v>
      </c>
      <c r="E3822" s="1" t="s">
        <v>1348</v>
      </c>
      <c r="F3822" s="1" t="s">
        <v>30</v>
      </c>
      <c r="G3822" s="1" t="s">
        <v>30</v>
      </c>
      <c r="H3822" s="1" t="s">
        <v>1762</v>
      </c>
      <c r="I3822" t="b">
        <f>COUNTIF(Estadísticas!I:I,'centraldecomunicacion.es'!H3822)&gt;0</f>
        <v>0</v>
      </c>
    </row>
    <row r="3823" spans="1:9" hidden="1">
      <c r="A3823" s="1" t="s">
        <v>13690</v>
      </c>
      <c r="B3823" s="1" t="s">
        <v>18</v>
      </c>
      <c r="C3823" s="1" t="s">
        <v>13691</v>
      </c>
      <c r="D3823" s="1" t="s">
        <v>1348</v>
      </c>
      <c r="E3823" s="1" t="s">
        <v>1348</v>
      </c>
      <c r="F3823" s="1" t="s">
        <v>13692</v>
      </c>
      <c r="G3823" s="1" t="s">
        <v>13693</v>
      </c>
      <c r="H3823" s="1" t="s">
        <v>13694</v>
      </c>
      <c r="I3823" t="b">
        <f>COUNTIF(Estadísticas!I:I,'centraldecomunicacion.es'!H3823)&gt;0</f>
        <v>0</v>
      </c>
    </row>
    <row r="3824" spans="1:9" hidden="1">
      <c r="A3824" s="1" t="s">
        <v>13695</v>
      </c>
      <c r="B3824" s="1" t="s">
        <v>10</v>
      </c>
      <c r="C3824" s="1" t="s">
        <v>13696</v>
      </c>
      <c r="D3824" s="1" t="s">
        <v>1348</v>
      </c>
      <c r="E3824" s="1" t="s">
        <v>1348</v>
      </c>
      <c r="F3824" s="1" t="s">
        <v>1984</v>
      </c>
      <c r="G3824" s="1" t="s">
        <v>13697</v>
      </c>
      <c r="H3824" s="1" t="s">
        <v>1762</v>
      </c>
      <c r="I3824" t="b">
        <f>COUNTIF(Estadísticas!I:I,'centraldecomunicacion.es'!H3824)&gt;0</f>
        <v>0</v>
      </c>
    </row>
    <row r="3825" spans="1:9" hidden="1">
      <c r="A3825" s="1" t="s">
        <v>13698</v>
      </c>
      <c r="B3825" s="1" t="s">
        <v>10</v>
      </c>
      <c r="C3825" s="1" t="s">
        <v>13699</v>
      </c>
      <c r="D3825" s="1" t="s">
        <v>1348</v>
      </c>
      <c r="E3825" s="1" t="s">
        <v>1348</v>
      </c>
      <c r="F3825" s="1" t="s">
        <v>13700</v>
      </c>
      <c r="G3825" s="1" t="s">
        <v>13701</v>
      </c>
      <c r="H3825" s="1" t="s">
        <v>1762</v>
      </c>
      <c r="I3825" t="b">
        <f>COUNTIF(Estadísticas!I:I,'centraldecomunicacion.es'!H3825)&gt;0</f>
        <v>0</v>
      </c>
    </row>
    <row r="3826" spans="1:9">
      <c r="A3826" s="1" t="s">
        <v>1346</v>
      </c>
      <c r="B3826" s="1" t="s">
        <v>18</v>
      </c>
      <c r="C3826" s="1" t="s">
        <v>1347</v>
      </c>
      <c r="D3826" s="1" t="s">
        <v>1348</v>
      </c>
      <c r="E3826" s="1" t="s">
        <v>1348</v>
      </c>
      <c r="F3826" s="1" t="s">
        <v>1349</v>
      </c>
      <c r="G3826" s="1" t="s">
        <v>1350</v>
      </c>
      <c r="H3826" s="1" t="s">
        <v>1351</v>
      </c>
      <c r="I3826" t="b">
        <f>COUNTIF(Estadísticas!I:I,'centraldecomunicacion.es'!H3826)&gt;0</f>
        <v>1</v>
      </c>
    </row>
    <row r="3827" spans="1:9" hidden="1">
      <c r="A3827" s="1" t="s">
        <v>13702</v>
      </c>
      <c r="B3827" s="1" t="s">
        <v>10</v>
      </c>
      <c r="C3827" s="1" t="s">
        <v>13703</v>
      </c>
      <c r="D3827" s="1" t="s">
        <v>1348</v>
      </c>
      <c r="E3827" s="1" t="s">
        <v>1348</v>
      </c>
      <c r="F3827" s="1" t="s">
        <v>30</v>
      </c>
      <c r="G3827" s="1" t="s">
        <v>13704</v>
      </c>
      <c r="H3827" s="1" t="s">
        <v>1762</v>
      </c>
      <c r="I3827" t="b">
        <f>COUNTIF(Estadísticas!I:I,'centraldecomunicacion.es'!H3827)&gt;0</f>
        <v>0</v>
      </c>
    </row>
    <row r="3828" spans="1:9">
      <c r="A3828" s="1" t="s">
        <v>1352</v>
      </c>
      <c r="B3828" s="1" t="s">
        <v>18</v>
      </c>
      <c r="C3828" s="1" t="s">
        <v>1353</v>
      </c>
      <c r="D3828" s="1" t="s">
        <v>1348</v>
      </c>
      <c r="E3828" s="1" t="s">
        <v>1348</v>
      </c>
      <c r="F3828" s="1" t="s">
        <v>1354</v>
      </c>
      <c r="G3828" s="1" t="s">
        <v>1355</v>
      </c>
      <c r="H3828" s="1" t="s">
        <v>1356</v>
      </c>
      <c r="I3828" t="b">
        <f>COUNTIF(Estadísticas!I:I,'centraldecomunicacion.es'!H3828)&gt;0</f>
        <v>1</v>
      </c>
    </row>
    <row r="3829" spans="1:9" hidden="1">
      <c r="A3829" s="1" t="s">
        <v>13705</v>
      </c>
      <c r="B3829" s="1" t="s">
        <v>10</v>
      </c>
      <c r="C3829" s="1" t="s">
        <v>30</v>
      </c>
      <c r="D3829" s="1" t="s">
        <v>13706</v>
      </c>
      <c r="E3829" s="1" t="s">
        <v>30</v>
      </c>
      <c r="F3829" s="1" t="s">
        <v>1984</v>
      </c>
      <c r="G3829" s="1" t="s">
        <v>13707</v>
      </c>
      <c r="H3829" s="1" t="s">
        <v>1762</v>
      </c>
      <c r="I3829" t="b">
        <f>COUNTIF(Estadísticas!I:I,'centraldecomunicacion.es'!H3829)&gt;0</f>
        <v>0</v>
      </c>
    </row>
    <row r="3830" spans="1:9" hidden="1">
      <c r="A3830" s="1" t="s">
        <v>13708</v>
      </c>
      <c r="B3830" s="1" t="s">
        <v>10</v>
      </c>
      <c r="C3830" s="1" t="s">
        <v>13709</v>
      </c>
      <c r="D3830" s="1" t="s">
        <v>1348</v>
      </c>
      <c r="E3830" s="1" t="s">
        <v>1348</v>
      </c>
      <c r="F3830" s="1" t="s">
        <v>30</v>
      </c>
      <c r="G3830" s="1" t="s">
        <v>30</v>
      </c>
      <c r="H3830" s="1" t="s">
        <v>1762</v>
      </c>
      <c r="I3830" t="b">
        <f>COUNTIF(Estadísticas!I:I,'centraldecomunicacion.es'!H3830)&gt;0</f>
        <v>0</v>
      </c>
    </row>
    <row r="3831" spans="1:9" hidden="1">
      <c r="A3831" s="1" t="s">
        <v>13710</v>
      </c>
      <c r="B3831" s="1" t="s">
        <v>18</v>
      </c>
      <c r="C3831" s="1" t="s">
        <v>13711</v>
      </c>
      <c r="D3831" s="1" t="s">
        <v>1348</v>
      </c>
      <c r="E3831" s="1" t="s">
        <v>1348</v>
      </c>
      <c r="F3831" s="1" t="s">
        <v>30</v>
      </c>
      <c r="G3831" s="1" t="s">
        <v>13712</v>
      </c>
      <c r="H3831" s="1" t="s">
        <v>1762</v>
      </c>
      <c r="I3831" t="b">
        <f>COUNTIF(Estadísticas!I:I,'centraldecomunicacion.es'!H3831)&gt;0</f>
        <v>0</v>
      </c>
    </row>
    <row r="3832" spans="1:9" hidden="1">
      <c r="A3832" s="1" t="s">
        <v>13713</v>
      </c>
      <c r="B3832" s="1" t="s">
        <v>10</v>
      </c>
      <c r="C3832" s="1" t="s">
        <v>30</v>
      </c>
      <c r="D3832" s="1" t="s">
        <v>13706</v>
      </c>
      <c r="E3832" s="1" t="s">
        <v>30</v>
      </c>
      <c r="F3832" s="1" t="s">
        <v>30</v>
      </c>
      <c r="G3832" s="1" t="s">
        <v>13714</v>
      </c>
      <c r="H3832" s="1" t="s">
        <v>1762</v>
      </c>
      <c r="I3832" t="b">
        <f>COUNTIF(Estadísticas!I:I,'centraldecomunicacion.es'!H3832)&gt;0</f>
        <v>0</v>
      </c>
    </row>
    <row r="3833" spans="1:9" hidden="1">
      <c r="A3833" s="1" t="s">
        <v>13715</v>
      </c>
      <c r="B3833" s="1" t="s">
        <v>10</v>
      </c>
      <c r="C3833" s="1" t="s">
        <v>13716</v>
      </c>
      <c r="D3833" s="1" t="s">
        <v>1348</v>
      </c>
      <c r="E3833" s="1" t="s">
        <v>1348</v>
      </c>
      <c r="F3833" s="1" t="s">
        <v>13717</v>
      </c>
      <c r="G3833" s="1" t="s">
        <v>13718</v>
      </c>
      <c r="H3833" s="1" t="s">
        <v>13719</v>
      </c>
      <c r="I3833" t="b">
        <f>COUNTIF(Estadísticas!I:I,'centraldecomunicacion.es'!H3833)&gt;0</f>
        <v>0</v>
      </c>
    </row>
    <row r="3834" spans="1:9">
      <c r="A3834" s="1" t="s">
        <v>1357</v>
      </c>
      <c r="B3834" s="1" t="s">
        <v>18</v>
      </c>
      <c r="C3834" s="1" t="s">
        <v>1358</v>
      </c>
      <c r="D3834" s="1" t="s">
        <v>1348</v>
      </c>
      <c r="E3834" s="1" t="s">
        <v>1348</v>
      </c>
      <c r="F3834" s="1" t="s">
        <v>1359</v>
      </c>
      <c r="G3834" s="1" t="s">
        <v>1360</v>
      </c>
      <c r="H3834" s="1" t="s">
        <v>1361</v>
      </c>
      <c r="I3834" t="b">
        <f>COUNTIF(Estadísticas!I:I,'centraldecomunicacion.es'!H3834)&gt;0</f>
        <v>1</v>
      </c>
    </row>
    <row r="3835" spans="1:9" hidden="1">
      <c r="A3835" s="1" t="s">
        <v>13720</v>
      </c>
      <c r="B3835" s="1" t="s">
        <v>18</v>
      </c>
      <c r="C3835" s="1" t="s">
        <v>13721</v>
      </c>
      <c r="D3835" s="1" t="s">
        <v>1348</v>
      </c>
      <c r="E3835" s="1" t="s">
        <v>1348</v>
      </c>
      <c r="F3835" s="1" t="s">
        <v>30</v>
      </c>
      <c r="G3835" s="1" t="s">
        <v>13722</v>
      </c>
      <c r="H3835" s="1" t="s">
        <v>1762</v>
      </c>
      <c r="I3835" t="b">
        <f>COUNTIF(Estadísticas!I:I,'centraldecomunicacion.es'!H3835)&gt;0</f>
        <v>0</v>
      </c>
    </row>
    <row r="3836" spans="1:9" hidden="1">
      <c r="A3836" s="1" t="s">
        <v>13723</v>
      </c>
      <c r="B3836" s="1" t="s">
        <v>18</v>
      </c>
      <c r="C3836" s="1" t="s">
        <v>13724</v>
      </c>
      <c r="D3836" s="1" t="s">
        <v>1348</v>
      </c>
      <c r="E3836" s="1" t="s">
        <v>1348</v>
      </c>
      <c r="F3836" s="1" t="s">
        <v>30</v>
      </c>
      <c r="G3836" s="1" t="s">
        <v>13725</v>
      </c>
      <c r="H3836" s="1" t="s">
        <v>1762</v>
      </c>
      <c r="I3836" t="b">
        <f>COUNTIF(Estadísticas!I:I,'centraldecomunicacion.es'!H3836)&gt;0</f>
        <v>0</v>
      </c>
    </row>
    <row r="3837" spans="1:9" hidden="1">
      <c r="A3837" s="1" t="s">
        <v>13726</v>
      </c>
      <c r="B3837" s="1" t="s">
        <v>18</v>
      </c>
      <c r="C3837" s="1" t="s">
        <v>13727</v>
      </c>
      <c r="D3837" s="1" t="s">
        <v>13728</v>
      </c>
      <c r="E3837" s="1" t="s">
        <v>1348</v>
      </c>
      <c r="F3837" s="1" t="s">
        <v>30</v>
      </c>
      <c r="G3837" s="1" t="s">
        <v>13729</v>
      </c>
      <c r="H3837" s="1" t="s">
        <v>1762</v>
      </c>
      <c r="I3837" t="b">
        <f>COUNTIF(Estadísticas!I:I,'centraldecomunicacion.es'!H3837)&gt;0</f>
        <v>0</v>
      </c>
    </row>
    <row r="3838" spans="1:9">
      <c r="A3838" s="1" t="s">
        <v>1362</v>
      </c>
      <c r="B3838" s="1" t="s">
        <v>10</v>
      </c>
      <c r="C3838" s="1" t="s">
        <v>1363</v>
      </c>
      <c r="D3838" s="1" t="s">
        <v>1364</v>
      </c>
      <c r="E3838" s="1" t="s">
        <v>1348</v>
      </c>
      <c r="F3838" s="1" t="s">
        <v>1365</v>
      </c>
      <c r="G3838" s="1" t="s">
        <v>1366</v>
      </c>
      <c r="H3838" s="1" t="s">
        <v>1367</v>
      </c>
      <c r="I3838" t="b">
        <f>COUNTIF(Estadísticas!I:I,'centraldecomunicacion.es'!H3838)&gt;0</f>
        <v>1</v>
      </c>
    </row>
    <row r="3839" spans="1:9" hidden="1">
      <c r="A3839" s="1" t="s">
        <v>13730</v>
      </c>
      <c r="B3839" s="1" t="s">
        <v>10</v>
      </c>
      <c r="C3839" s="1" t="s">
        <v>13731</v>
      </c>
      <c r="D3839" s="1" t="s">
        <v>1348</v>
      </c>
      <c r="E3839" s="1" t="s">
        <v>1348</v>
      </c>
      <c r="F3839" s="1" t="s">
        <v>30</v>
      </c>
      <c r="G3839" s="1" t="s">
        <v>30</v>
      </c>
      <c r="H3839" s="1" t="s">
        <v>1762</v>
      </c>
      <c r="I3839" t="b">
        <f>COUNTIF(Estadísticas!I:I,'centraldecomunicacion.es'!H3839)&gt;0</f>
        <v>0</v>
      </c>
    </row>
    <row r="3840" spans="1:9" hidden="1">
      <c r="A3840" s="1" t="s">
        <v>13732</v>
      </c>
      <c r="B3840" s="1" t="s">
        <v>10</v>
      </c>
      <c r="C3840" s="1" t="s">
        <v>13733</v>
      </c>
      <c r="D3840" s="1" t="s">
        <v>13734</v>
      </c>
      <c r="E3840" s="1" t="s">
        <v>1348</v>
      </c>
      <c r="F3840" s="1" t="s">
        <v>30</v>
      </c>
      <c r="G3840" s="1" t="s">
        <v>13735</v>
      </c>
      <c r="H3840" s="1" t="s">
        <v>1762</v>
      </c>
      <c r="I3840" t="b">
        <f>COUNTIF(Estadísticas!I:I,'centraldecomunicacion.es'!H3840)&gt;0</f>
        <v>0</v>
      </c>
    </row>
    <row r="3841" spans="1:9" hidden="1">
      <c r="A3841" s="1" t="s">
        <v>13736</v>
      </c>
      <c r="B3841" s="1" t="s">
        <v>18</v>
      </c>
      <c r="C3841" s="1" t="s">
        <v>13737</v>
      </c>
      <c r="D3841" s="1" t="s">
        <v>13738</v>
      </c>
      <c r="E3841" s="1" t="s">
        <v>1348</v>
      </c>
      <c r="F3841" s="1" t="s">
        <v>13739</v>
      </c>
      <c r="G3841" s="1" t="s">
        <v>13740</v>
      </c>
      <c r="H3841" s="1" t="s">
        <v>5696</v>
      </c>
      <c r="I3841" t="b">
        <f>COUNTIF(Estadísticas!I:I,'centraldecomunicacion.es'!H3841)&gt;0</f>
        <v>0</v>
      </c>
    </row>
    <row r="3842" spans="1:9" hidden="1">
      <c r="A3842" s="1" t="s">
        <v>13741</v>
      </c>
      <c r="B3842" s="1" t="s">
        <v>10</v>
      </c>
      <c r="C3842" s="1" t="s">
        <v>13742</v>
      </c>
      <c r="D3842" s="1" t="s">
        <v>13743</v>
      </c>
      <c r="E3842" s="1" t="s">
        <v>1348</v>
      </c>
      <c r="F3842" s="1" t="s">
        <v>30</v>
      </c>
      <c r="G3842" s="1" t="s">
        <v>13744</v>
      </c>
      <c r="H3842" s="1" t="s">
        <v>1762</v>
      </c>
      <c r="I3842" t="b">
        <f>COUNTIF(Estadísticas!I:I,'centraldecomunicacion.es'!H3842)&gt;0</f>
        <v>0</v>
      </c>
    </row>
    <row r="3843" spans="1:9">
      <c r="A3843" s="1" t="s">
        <v>1368</v>
      </c>
      <c r="B3843" s="1" t="s">
        <v>10</v>
      </c>
      <c r="C3843" s="1" t="s">
        <v>1369</v>
      </c>
      <c r="D3843" s="1" t="s">
        <v>1370</v>
      </c>
      <c r="E3843" s="1" t="s">
        <v>1348</v>
      </c>
      <c r="F3843" s="1" t="s">
        <v>1371</v>
      </c>
      <c r="G3843" s="1" t="s">
        <v>1372</v>
      </c>
      <c r="H3843" s="1" t="s">
        <v>1373</v>
      </c>
      <c r="I3843" t="b">
        <f>COUNTIF(Estadísticas!I:I,'centraldecomunicacion.es'!H3843)&gt;0</f>
        <v>1</v>
      </c>
    </row>
    <row r="3844" spans="1:9" hidden="1">
      <c r="A3844" s="1" t="s">
        <v>13745</v>
      </c>
      <c r="B3844" s="1" t="s">
        <v>10</v>
      </c>
      <c r="C3844" s="1" t="s">
        <v>13746</v>
      </c>
      <c r="D3844" s="1" t="s">
        <v>13747</v>
      </c>
      <c r="E3844" s="1" t="s">
        <v>1348</v>
      </c>
      <c r="F3844" s="1" t="s">
        <v>30</v>
      </c>
      <c r="G3844" s="1" t="s">
        <v>13748</v>
      </c>
      <c r="H3844" s="1" t="s">
        <v>1762</v>
      </c>
      <c r="I3844" t="b">
        <f>COUNTIF(Estadísticas!I:I,'centraldecomunicacion.es'!H3844)&gt;0</f>
        <v>0</v>
      </c>
    </row>
    <row r="3845" spans="1:9" hidden="1">
      <c r="A3845" s="1" t="s">
        <v>13749</v>
      </c>
      <c r="B3845" s="1" t="s">
        <v>10</v>
      </c>
      <c r="C3845" s="1" t="s">
        <v>13750</v>
      </c>
      <c r="D3845" s="1" t="s">
        <v>13751</v>
      </c>
      <c r="E3845" s="1" t="s">
        <v>1348</v>
      </c>
      <c r="F3845" s="1" t="s">
        <v>30</v>
      </c>
      <c r="G3845" s="1" t="s">
        <v>13752</v>
      </c>
      <c r="H3845" s="1" t="s">
        <v>1762</v>
      </c>
      <c r="I3845" t="b">
        <f>COUNTIF(Estadísticas!I:I,'centraldecomunicacion.es'!H3845)&gt;0</f>
        <v>0</v>
      </c>
    </row>
    <row r="3846" spans="1:9" hidden="1">
      <c r="A3846" s="1" t="s">
        <v>13753</v>
      </c>
      <c r="B3846" s="1" t="s">
        <v>10</v>
      </c>
      <c r="C3846" s="1" t="s">
        <v>13754</v>
      </c>
      <c r="D3846" s="1" t="s">
        <v>13728</v>
      </c>
      <c r="E3846" s="1" t="s">
        <v>1348</v>
      </c>
      <c r="F3846" s="1" t="s">
        <v>30</v>
      </c>
      <c r="G3846" s="1" t="s">
        <v>13755</v>
      </c>
      <c r="H3846" s="1" t="s">
        <v>1762</v>
      </c>
      <c r="I3846" t="b">
        <f>COUNTIF(Estadísticas!I:I,'centraldecomunicacion.es'!H3846)&gt;0</f>
        <v>0</v>
      </c>
    </row>
    <row r="3847" spans="1:9" hidden="1">
      <c r="A3847" s="1" t="s">
        <v>13756</v>
      </c>
      <c r="B3847" s="1" t="s">
        <v>10</v>
      </c>
      <c r="C3847" s="1" t="s">
        <v>13757</v>
      </c>
      <c r="D3847" s="1" t="s">
        <v>13758</v>
      </c>
      <c r="E3847" s="1" t="s">
        <v>1383</v>
      </c>
      <c r="F3847" s="1" t="s">
        <v>30</v>
      </c>
      <c r="G3847" s="1" t="s">
        <v>13759</v>
      </c>
      <c r="H3847" s="1" t="s">
        <v>1762</v>
      </c>
      <c r="I3847" t="b">
        <f>COUNTIF(Estadísticas!I:I,'centraldecomunicacion.es'!H3847)&gt;0</f>
        <v>0</v>
      </c>
    </row>
    <row r="3848" spans="1:9" hidden="1">
      <c r="A3848" s="1" t="s">
        <v>13760</v>
      </c>
      <c r="B3848" s="1" t="s">
        <v>10</v>
      </c>
      <c r="C3848" s="1" t="s">
        <v>13761</v>
      </c>
      <c r="D3848" s="1" t="s">
        <v>13751</v>
      </c>
      <c r="E3848" s="1" t="s">
        <v>1348</v>
      </c>
      <c r="F3848" s="1" t="s">
        <v>13762</v>
      </c>
      <c r="G3848" s="1" t="s">
        <v>13763</v>
      </c>
      <c r="H3848" s="1" t="s">
        <v>13764</v>
      </c>
      <c r="I3848" t="b">
        <f>COUNTIF(Estadísticas!I:I,'centraldecomunicacion.es'!H3848)&gt;0</f>
        <v>0</v>
      </c>
    </row>
    <row r="3849" spans="1:9" hidden="1">
      <c r="A3849" s="1" t="s">
        <v>13765</v>
      </c>
      <c r="B3849" s="1" t="s">
        <v>10</v>
      </c>
      <c r="C3849" s="1" t="s">
        <v>13766</v>
      </c>
      <c r="D3849" s="1" t="s">
        <v>1376</v>
      </c>
      <c r="E3849" s="1" t="s">
        <v>1348</v>
      </c>
      <c r="F3849" s="1" t="s">
        <v>30</v>
      </c>
      <c r="G3849" s="1" t="s">
        <v>13767</v>
      </c>
      <c r="H3849" s="1" t="s">
        <v>1762</v>
      </c>
      <c r="I3849" t="b">
        <f>COUNTIF(Estadísticas!I:I,'centraldecomunicacion.es'!H3849)&gt;0</f>
        <v>0</v>
      </c>
    </row>
    <row r="3850" spans="1:9" hidden="1">
      <c r="A3850" s="1" t="s">
        <v>13768</v>
      </c>
      <c r="B3850" s="1" t="s">
        <v>10</v>
      </c>
      <c r="C3850" s="1" t="s">
        <v>13769</v>
      </c>
      <c r="D3850" s="1" t="s">
        <v>13770</v>
      </c>
      <c r="E3850" s="1" t="s">
        <v>1348</v>
      </c>
      <c r="F3850" s="1" t="s">
        <v>30</v>
      </c>
      <c r="G3850" s="1" t="s">
        <v>13771</v>
      </c>
      <c r="H3850" s="1" t="s">
        <v>1762</v>
      </c>
      <c r="I3850" t="b">
        <f>COUNTIF(Estadísticas!I:I,'centraldecomunicacion.es'!H3850)&gt;0</f>
        <v>0</v>
      </c>
    </row>
    <row r="3851" spans="1:9" hidden="1">
      <c r="A3851" s="1" t="s">
        <v>13772</v>
      </c>
      <c r="B3851" s="1" t="s">
        <v>10</v>
      </c>
      <c r="C3851" s="1" t="s">
        <v>13773</v>
      </c>
      <c r="D3851" s="1" t="s">
        <v>13774</v>
      </c>
      <c r="E3851" s="1" t="s">
        <v>1348</v>
      </c>
      <c r="F3851" s="1" t="s">
        <v>30</v>
      </c>
      <c r="G3851" s="1" t="s">
        <v>30</v>
      </c>
      <c r="H3851" s="1" t="s">
        <v>1762</v>
      </c>
      <c r="I3851" t="b">
        <f>COUNTIF(Estadísticas!I:I,'centraldecomunicacion.es'!H3851)&gt;0</f>
        <v>0</v>
      </c>
    </row>
    <row r="3852" spans="1:9" hidden="1">
      <c r="A3852" s="1" t="s">
        <v>13775</v>
      </c>
      <c r="B3852" s="1" t="s">
        <v>18</v>
      </c>
      <c r="C3852" s="1" t="s">
        <v>13776</v>
      </c>
      <c r="D3852" s="1" t="s">
        <v>11488</v>
      </c>
      <c r="E3852" s="1" t="s">
        <v>1348</v>
      </c>
      <c r="F3852" s="1" t="s">
        <v>30</v>
      </c>
      <c r="G3852" s="1" t="s">
        <v>13777</v>
      </c>
      <c r="H3852" s="1" t="s">
        <v>1762</v>
      </c>
      <c r="I3852" t="b">
        <f>COUNTIF(Estadísticas!I:I,'centraldecomunicacion.es'!H3852)&gt;0</f>
        <v>0</v>
      </c>
    </row>
    <row r="3853" spans="1:9" hidden="1">
      <c r="A3853" s="1" t="s">
        <v>13778</v>
      </c>
      <c r="B3853" s="1" t="s">
        <v>10</v>
      </c>
      <c r="C3853" s="1" t="s">
        <v>30</v>
      </c>
      <c r="D3853" s="1" t="s">
        <v>13706</v>
      </c>
      <c r="E3853" s="1" t="s">
        <v>30</v>
      </c>
      <c r="F3853" s="1" t="s">
        <v>30</v>
      </c>
      <c r="G3853" s="1" t="s">
        <v>13779</v>
      </c>
      <c r="H3853" s="1" t="s">
        <v>1762</v>
      </c>
      <c r="I3853" t="b">
        <f>COUNTIF(Estadísticas!I:I,'centraldecomunicacion.es'!H3853)&gt;0</f>
        <v>0</v>
      </c>
    </row>
    <row r="3854" spans="1:9">
      <c r="A3854" s="1" t="s">
        <v>1374</v>
      </c>
      <c r="B3854" s="1" t="s">
        <v>10</v>
      </c>
      <c r="C3854" s="1" t="s">
        <v>1375</v>
      </c>
      <c r="D3854" s="1" t="s">
        <v>1376</v>
      </c>
      <c r="E3854" s="1" t="s">
        <v>1348</v>
      </c>
      <c r="F3854" s="1" t="s">
        <v>1377</v>
      </c>
      <c r="G3854" s="1" t="s">
        <v>1378</v>
      </c>
      <c r="H3854" s="1" t="s">
        <v>1379</v>
      </c>
      <c r="I3854" t="b">
        <f>COUNTIF(Estadísticas!I:I,'centraldecomunicacion.es'!H3854)&gt;0</f>
        <v>1</v>
      </c>
    </row>
    <row r="3855" spans="1:9" hidden="1">
      <c r="A3855" s="1" t="s">
        <v>13780</v>
      </c>
      <c r="B3855" s="1" t="s">
        <v>10</v>
      </c>
      <c r="C3855" s="1" t="s">
        <v>13781</v>
      </c>
      <c r="D3855" s="1" t="s">
        <v>13782</v>
      </c>
      <c r="E3855" s="1" t="s">
        <v>1348</v>
      </c>
      <c r="F3855" s="1" t="s">
        <v>30</v>
      </c>
      <c r="G3855" s="1" t="s">
        <v>13783</v>
      </c>
      <c r="H3855" s="1" t="s">
        <v>1762</v>
      </c>
      <c r="I3855" t="b">
        <f>COUNTIF(Estadísticas!I:I,'centraldecomunicacion.es'!H3855)&gt;0</f>
        <v>0</v>
      </c>
    </row>
    <row r="3856" spans="1:9" hidden="1">
      <c r="A3856" s="1" t="s">
        <v>13784</v>
      </c>
      <c r="B3856" s="1" t="s">
        <v>10</v>
      </c>
      <c r="C3856" s="1" t="s">
        <v>13785</v>
      </c>
      <c r="D3856" s="1" t="s">
        <v>13706</v>
      </c>
      <c r="E3856" s="1" t="s">
        <v>1348</v>
      </c>
      <c r="F3856" s="1" t="s">
        <v>30</v>
      </c>
      <c r="G3856" s="1" t="s">
        <v>30</v>
      </c>
      <c r="H3856" s="1" t="s">
        <v>1762</v>
      </c>
      <c r="I3856" t="b">
        <f>COUNTIF(Estadísticas!I:I,'centraldecomunicacion.es'!H3856)&gt;0</f>
        <v>0</v>
      </c>
    </row>
    <row r="3857" spans="1:9" hidden="1">
      <c r="A3857" s="1" t="s">
        <v>13786</v>
      </c>
      <c r="B3857" s="1" t="s">
        <v>18</v>
      </c>
      <c r="C3857" s="1" t="s">
        <v>13787</v>
      </c>
      <c r="D3857" s="1" t="s">
        <v>13788</v>
      </c>
      <c r="E3857" s="1" t="s">
        <v>1383</v>
      </c>
      <c r="F3857" s="1" t="s">
        <v>13789</v>
      </c>
      <c r="G3857" s="1" t="s">
        <v>13790</v>
      </c>
      <c r="H3857" s="1" t="s">
        <v>13791</v>
      </c>
      <c r="I3857" t="b">
        <f>COUNTIF(Estadísticas!I:I,'centraldecomunicacion.es'!H3857)&gt;0</f>
        <v>0</v>
      </c>
    </row>
    <row r="3858" spans="1:9" hidden="1">
      <c r="A3858" s="1" t="s">
        <v>13792</v>
      </c>
      <c r="B3858" s="1" t="s">
        <v>10</v>
      </c>
      <c r="C3858" s="1" t="s">
        <v>13793</v>
      </c>
      <c r="D3858" s="1" t="s">
        <v>13794</v>
      </c>
      <c r="E3858" s="1" t="s">
        <v>1383</v>
      </c>
      <c r="F3858" s="1" t="s">
        <v>30</v>
      </c>
      <c r="G3858" s="1" t="s">
        <v>13795</v>
      </c>
      <c r="H3858" s="1" t="s">
        <v>1762</v>
      </c>
      <c r="I3858" t="b">
        <f>COUNTIF(Estadísticas!I:I,'centraldecomunicacion.es'!H3858)&gt;0</f>
        <v>0</v>
      </c>
    </row>
    <row r="3859" spans="1:9" hidden="1">
      <c r="A3859" s="1" t="s">
        <v>13796</v>
      </c>
      <c r="B3859" s="1" t="s">
        <v>10</v>
      </c>
      <c r="C3859" s="1" t="s">
        <v>13797</v>
      </c>
      <c r="D3859" s="1" t="s">
        <v>13798</v>
      </c>
      <c r="E3859" s="1" t="s">
        <v>1348</v>
      </c>
      <c r="F3859" s="1" t="s">
        <v>30</v>
      </c>
      <c r="G3859" s="1" t="s">
        <v>13799</v>
      </c>
      <c r="H3859" s="1" t="s">
        <v>1762</v>
      </c>
      <c r="I3859" t="b">
        <f>COUNTIF(Estadísticas!I:I,'centraldecomunicacion.es'!H3859)&gt;0</f>
        <v>0</v>
      </c>
    </row>
    <row r="3860" spans="1:9" hidden="1">
      <c r="A3860" s="1" t="s">
        <v>13800</v>
      </c>
      <c r="B3860" s="1" t="s">
        <v>10</v>
      </c>
      <c r="C3860" s="1" t="s">
        <v>13801</v>
      </c>
      <c r="D3860" s="1" t="s">
        <v>13802</v>
      </c>
      <c r="E3860" s="1" t="s">
        <v>1348</v>
      </c>
      <c r="F3860" s="1" t="s">
        <v>30</v>
      </c>
      <c r="G3860" s="1" t="s">
        <v>13803</v>
      </c>
      <c r="H3860" s="1" t="s">
        <v>1762</v>
      </c>
      <c r="I3860" t="b">
        <f>COUNTIF(Estadísticas!I:I,'centraldecomunicacion.es'!H3860)&gt;0</f>
        <v>0</v>
      </c>
    </row>
    <row r="3861" spans="1:9" hidden="1">
      <c r="A3861" s="1" t="s">
        <v>13804</v>
      </c>
      <c r="B3861" s="1" t="s">
        <v>10</v>
      </c>
      <c r="C3861" s="1" t="s">
        <v>13805</v>
      </c>
      <c r="D3861" s="1" t="s">
        <v>13806</v>
      </c>
      <c r="E3861" s="1" t="s">
        <v>1348</v>
      </c>
      <c r="F3861" s="1" t="s">
        <v>30</v>
      </c>
      <c r="G3861" s="1" t="s">
        <v>13807</v>
      </c>
      <c r="H3861" s="1" t="s">
        <v>1762</v>
      </c>
      <c r="I3861" t="b">
        <f>COUNTIF(Estadísticas!I:I,'centraldecomunicacion.es'!H3861)&gt;0</f>
        <v>0</v>
      </c>
    </row>
    <row r="3862" spans="1:9" hidden="1">
      <c r="A3862" s="1" t="s">
        <v>13808</v>
      </c>
      <c r="B3862" s="1" t="s">
        <v>10</v>
      </c>
      <c r="C3862" s="1" t="s">
        <v>13809</v>
      </c>
      <c r="D3862" s="1" t="s">
        <v>13802</v>
      </c>
      <c r="E3862" s="1" t="s">
        <v>1348</v>
      </c>
      <c r="F3862" s="1" t="s">
        <v>30</v>
      </c>
      <c r="G3862" s="1" t="s">
        <v>30</v>
      </c>
      <c r="H3862" s="1" t="s">
        <v>1762</v>
      </c>
      <c r="I3862" t="b">
        <f>COUNTIF(Estadísticas!I:I,'centraldecomunicacion.es'!H3862)&gt;0</f>
        <v>0</v>
      </c>
    </row>
    <row r="3863" spans="1:9" hidden="1">
      <c r="A3863" s="1" t="s">
        <v>13810</v>
      </c>
      <c r="B3863" s="1" t="s">
        <v>10</v>
      </c>
      <c r="C3863" s="1" t="s">
        <v>13811</v>
      </c>
      <c r="D3863" s="1" t="s">
        <v>13802</v>
      </c>
      <c r="E3863" s="1" t="s">
        <v>1348</v>
      </c>
      <c r="F3863" s="1" t="s">
        <v>30</v>
      </c>
      <c r="G3863" s="1" t="s">
        <v>13812</v>
      </c>
      <c r="H3863" s="1" t="s">
        <v>1762</v>
      </c>
      <c r="I3863" t="b">
        <f>COUNTIF(Estadísticas!I:I,'centraldecomunicacion.es'!H3863)&gt;0</f>
        <v>0</v>
      </c>
    </row>
    <row r="3864" spans="1:9" hidden="1">
      <c r="A3864" s="1" t="s">
        <v>13813</v>
      </c>
      <c r="B3864" s="1" t="s">
        <v>10</v>
      </c>
      <c r="C3864" s="1" t="s">
        <v>13814</v>
      </c>
      <c r="D3864" s="1" t="s">
        <v>13815</v>
      </c>
      <c r="E3864" s="1" t="s">
        <v>1348</v>
      </c>
      <c r="F3864" s="1" t="s">
        <v>30</v>
      </c>
      <c r="G3864" s="1" t="s">
        <v>13816</v>
      </c>
      <c r="H3864" s="1" t="s">
        <v>1762</v>
      </c>
      <c r="I3864" t="b">
        <f>COUNTIF(Estadísticas!I:I,'centraldecomunicacion.es'!H3864)&gt;0</f>
        <v>0</v>
      </c>
    </row>
    <row r="3865" spans="1:9" hidden="1">
      <c r="A3865" s="1" t="s">
        <v>13817</v>
      </c>
      <c r="B3865" s="1" t="s">
        <v>10</v>
      </c>
      <c r="C3865" s="1" t="s">
        <v>13818</v>
      </c>
      <c r="D3865" s="1" t="s">
        <v>13819</v>
      </c>
      <c r="E3865" s="1" t="s">
        <v>1348</v>
      </c>
      <c r="F3865" s="1" t="s">
        <v>30</v>
      </c>
      <c r="G3865" s="1" t="s">
        <v>30</v>
      </c>
      <c r="H3865" s="1" t="s">
        <v>1762</v>
      </c>
      <c r="I3865" t="b">
        <f>COUNTIF(Estadísticas!I:I,'centraldecomunicacion.es'!H3865)&gt;0</f>
        <v>0</v>
      </c>
    </row>
    <row r="3866" spans="1:9" hidden="1">
      <c r="A3866" s="1" t="s">
        <v>13820</v>
      </c>
      <c r="B3866" s="1" t="s">
        <v>18</v>
      </c>
      <c r="C3866" s="1" t="s">
        <v>13821</v>
      </c>
      <c r="D3866" s="1" t="s">
        <v>13822</v>
      </c>
      <c r="E3866" s="1" t="s">
        <v>1348</v>
      </c>
      <c r="F3866" s="1" t="s">
        <v>13823</v>
      </c>
      <c r="G3866" s="1" t="s">
        <v>13824</v>
      </c>
      <c r="H3866" s="1" t="s">
        <v>1783</v>
      </c>
      <c r="I3866" t="b">
        <f>COUNTIF(Estadísticas!I:I,'centraldecomunicacion.es'!H3866)&gt;0</f>
        <v>0</v>
      </c>
    </row>
    <row r="3867" spans="1:9" hidden="1">
      <c r="A3867" s="1" t="s">
        <v>13825</v>
      </c>
      <c r="B3867" s="1" t="s">
        <v>10</v>
      </c>
      <c r="C3867" s="1" t="s">
        <v>13826</v>
      </c>
      <c r="D3867" s="1" t="s">
        <v>13827</v>
      </c>
      <c r="E3867" s="1" t="s">
        <v>1383</v>
      </c>
      <c r="F3867" s="1" t="s">
        <v>30</v>
      </c>
      <c r="G3867" s="1" t="s">
        <v>30</v>
      </c>
      <c r="H3867" s="1" t="s">
        <v>1762</v>
      </c>
      <c r="I3867" t="b">
        <f>COUNTIF(Estadísticas!I:I,'centraldecomunicacion.es'!H3867)&gt;0</f>
        <v>0</v>
      </c>
    </row>
    <row r="3868" spans="1:9" hidden="1">
      <c r="A3868" s="1" t="s">
        <v>13828</v>
      </c>
      <c r="B3868" s="1" t="s">
        <v>18</v>
      </c>
      <c r="C3868" s="1" t="s">
        <v>13829</v>
      </c>
      <c r="D3868" s="1" t="s">
        <v>13830</v>
      </c>
      <c r="E3868" s="1" t="s">
        <v>13830</v>
      </c>
      <c r="F3868" s="1" t="s">
        <v>4288</v>
      </c>
      <c r="G3868" s="1" t="s">
        <v>13831</v>
      </c>
      <c r="H3868" s="1" t="s">
        <v>4290</v>
      </c>
      <c r="I3868" t="b">
        <f>COUNTIF(Estadísticas!I:I,'centraldecomunicacion.es'!H3868)&gt;0</f>
        <v>0</v>
      </c>
    </row>
    <row r="3869" spans="1:9" hidden="1">
      <c r="A3869" s="1" t="s">
        <v>13832</v>
      </c>
      <c r="B3869" s="1" t="s">
        <v>18</v>
      </c>
      <c r="C3869" s="1" t="s">
        <v>13833</v>
      </c>
      <c r="D3869" s="1" t="s">
        <v>13834</v>
      </c>
      <c r="E3869" s="1" t="s">
        <v>1383</v>
      </c>
      <c r="F3869" s="1" t="s">
        <v>4288</v>
      </c>
      <c r="G3869" s="1" t="s">
        <v>13835</v>
      </c>
      <c r="H3869" s="1" t="s">
        <v>4290</v>
      </c>
      <c r="I3869" t="b">
        <f>COUNTIF(Estadísticas!I:I,'centraldecomunicacion.es'!H3869)&gt;0</f>
        <v>0</v>
      </c>
    </row>
    <row r="3870" spans="1:9" hidden="1">
      <c r="A3870" s="1" t="s">
        <v>1380</v>
      </c>
      <c r="B3870" s="1" t="s">
        <v>10</v>
      </c>
      <c r="C3870" s="1" t="s">
        <v>13836</v>
      </c>
      <c r="D3870" s="1" t="s">
        <v>13837</v>
      </c>
      <c r="E3870" s="1" t="s">
        <v>1383</v>
      </c>
      <c r="F3870" s="1" t="s">
        <v>30</v>
      </c>
      <c r="G3870" s="1" t="s">
        <v>13838</v>
      </c>
      <c r="H3870" s="1" t="s">
        <v>1762</v>
      </c>
      <c r="I3870" t="b">
        <f>COUNTIF(Estadísticas!I:I,'centraldecomunicacion.es'!H3870)&gt;0</f>
        <v>0</v>
      </c>
    </row>
    <row r="3871" spans="1:9">
      <c r="A3871" s="1" t="s">
        <v>1380</v>
      </c>
      <c r="B3871" s="1" t="s">
        <v>18</v>
      </c>
      <c r="C3871" s="1" t="s">
        <v>1381</v>
      </c>
      <c r="D3871" s="1" t="s">
        <v>1382</v>
      </c>
      <c r="E3871" s="1" t="s">
        <v>1383</v>
      </c>
      <c r="F3871" s="1" t="s">
        <v>1384</v>
      </c>
      <c r="G3871" s="1" t="s">
        <v>1385</v>
      </c>
      <c r="H3871" s="1" t="s">
        <v>1386</v>
      </c>
      <c r="I3871" t="b">
        <f>COUNTIF(Estadísticas!I:I,'centraldecomunicacion.es'!H3871)&gt;0</f>
        <v>1</v>
      </c>
    </row>
    <row r="3872" spans="1:9">
      <c r="A3872" s="1" t="s">
        <v>1387</v>
      </c>
      <c r="B3872" s="1" t="s">
        <v>10</v>
      </c>
      <c r="C3872" s="1" t="s">
        <v>1388</v>
      </c>
      <c r="D3872" s="1" t="s">
        <v>1389</v>
      </c>
      <c r="E3872" s="1" t="s">
        <v>1390</v>
      </c>
      <c r="F3872" s="1" t="s">
        <v>1391</v>
      </c>
      <c r="G3872" s="1" t="s">
        <v>1392</v>
      </c>
      <c r="H3872" s="1" t="s">
        <v>1393</v>
      </c>
      <c r="I3872" t="b">
        <f>COUNTIF(Estadísticas!I:I,'centraldecomunicacion.es'!H3872)&gt;0</f>
        <v>1</v>
      </c>
    </row>
    <row r="3873" spans="1:9" hidden="1">
      <c r="A3873" s="1" t="s">
        <v>13839</v>
      </c>
      <c r="B3873" s="1" t="s">
        <v>10</v>
      </c>
      <c r="C3873" s="1" t="s">
        <v>13840</v>
      </c>
      <c r="D3873" s="1" t="s">
        <v>1389</v>
      </c>
      <c r="E3873" s="1" t="s">
        <v>1396</v>
      </c>
      <c r="F3873" s="1" t="s">
        <v>13841</v>
      </c>
      <c r="G3873" s="1" t="s">
        <v>13842</v>
      </c>
      <c r="H3873" s="1" t="s">
        <v>1762</v>
      </c>
      <c r="I3873" t="b">
        <f>COUNTIF(Estadísticas!I:I,'centraldecomunicacion.es'!H3873)&gt;0</f>
        <v>0</v>
      </c>
    </row>
    <row r="3874" spans="1:9" hidden="1">
      <c r="A3874" s="1" t="s">
        <v>13843</v>
      </c>
      <c r="B3874" s="1" t="s">
        <v>10</v>
      </c>
      <c r="C3874" s="1" t="s">
        <v>13844</v>
      </c>
      <c r="D3874" s="1" t="s">
        <v>1389</v>
      </c>
      <c r="E3874" s="1" t="s">
        <v>1390</v>
      </c>
      <c r="F3874" s="1" t="s">
        <v>30</v>
      </c>
      <c r="G3874" s="1" t="s">
        <v>13845</v>
      </c>
      <c r="H3874" s="1" t="s">
        <v>1762</v>
      </c>
      <c r="I3874" t="b">
        <f>COUNTIF(Estadísticas!I:I,'centraldecomunicacion.es'!H3874)&gt;0</f>
        <v>0</v>
      </c>
    </row>
    <row r="3875" spans="1:9" hidden="1">
      <c r="A3875" s="1" t="s">
        <v>13846</v>
      </c>
      <c r="B3875" s="1" t="s">
        <v>18</v>
      </c>
      <c r="C3875" s="1" t="s">
        <v>13847</v>
      </c>
      <c r="D3875" s="1" t="s">
        <v>1389</v>
      </c>
      <c r="E3875" s="1" t="s">
        <v>1396</v>
      </c>
      <c r="F3875" s="1" t="s">
        <v>13848</v>
      </c>
      <c r="G3875" s="1" t="s">
        <v>13849</v>
      </c>
      <c r="H3875" s="1" t="s">
        <v>1762</v>
      </c>
      <c r="I3875" t="b">
        <f>COUNTIF(Estadísticas!I:I,'centraldecomunicacion.es'!H3875)&gt;0</f>
        <v>0</v>
      </c>
    </row>
    <row r="3876" spans="1:9" hidden="1">
      <c r="A3876" s="1" t="s">
        <v>13850</v>
      </c>
      <c r="B3876" s="1" t="s">
        <v>10</v>
      </c>
      <c r="C3876" s="1" t="s">
        <v>13851</v>
      </c>
      <c r="D3876" s="1" t="s">
        <v>1389</v>
      </c>
      <c r="E3876" s="1" t="s">
        <v>1390</v>
      </c>
      <c r="F3876" s="1" t="s">
        <v>30</v>
      </c>
      <c r="G3876" s="1" t="s">
        <v>13852</v>
      </c>
      <c r="H3876" s="1" t="s">
        <v>1762</v>
      </c>
      <c r="I3876" t="b">
        <f>COUNTIF(Estadísticas!I:I,'centraldecomunicacion.es'!H3876)&gt;0</f>
        <v>0</v>
      </c>
    </row>
    <row r="3877" spans="1:9" hidden="1">
      <c r="A3877" s="1" t="s">
        <v>13853</v>
      </c>
      <c r="B3877" s="1" t="s">
        <v>10</v>
      </c>
      <c r="C3877" s="1" t="s">
        <v>13854</v>
      </c>
      <c r="D3877" s="1" t="s">
        <v>1389</v>
      </c>
      <c r="E3877" s="1" t="s">
        <v>1390</v>
      </c>
      <c r="F3877" s="1" t="s">
        <v>30</v>
      </c>
      <c r="G3877" s="1" t="s">
        <v>30</v>
      </c>
      <c r="H3877" s="1" t="s">
        <v>1762</v>
      </c>
      <c r="I3877" t="b">
        <f>COUNTIF(Estadísticas!I:I,'centraldecomunicacion.es'!H3877)&gt;0</f>
        <v>0</v>
      </c>
    </row>
    <row r="3878" spans="1:9" hidden="1">
      <c r="A3878" s="1" t="s">
        <v>13855</v>
      </c>
      <c r="B3878" s="1" t="s">
        <v>10</v>
      </c>
      <c r="C3878" s="1" t="s">
        <v>13856</v>
      </c>
      <c r="D3878" s="1" t="s">
        <v>1389</v>
      </c>
      <c r="E3878" s="1" t="s">
        <v>1390</v>
      </c>
      <c r="F3878" s="1" t="s">
        <v>30</v>
      </c>
      <c r="G3878" s="1" t="s">
        <v>13857</v>
      </c>
      <c r="H3878" s="1" t="s">
        <v>1762</v>
      </c>
      <c r="I3878" t="b">
        <f>COUNTIF(Estadísticas!I:I,'centraldecomunicacion.es'!H3878)&gt;0</f>
        <v>0</v>
      </c>
    </row>
    <row r="3879" spans="1:9" hidden="1">
      <c r="A3879" s="1" t="s">
        <v>13858</v>
      </c>
      <c r="B3879" s="1" t="s">
        <v>10</v>
      </c>
      <c r="C3879" s="1" t="s">
        <v>13859</v>
      </c>
      <c r="D3879" s="1" t="s">
        <v>1389</v>
      </c>
      <c r="E3879" s="1" t="s">
        <v>1396</v>
      </c>
      <c r="F3879" s="1" t="s">
        <v>30</v>
      </c>
      <c r="G3879" s="1" t="s">
        <v>13860</v>
      </c>
      <c r="H3879" s="1" t="s">
        <v>1762</v>
      </c>
      <c r="I3879" t="b">
        <f>COUNTIF(Estadísticas!I:I,'centraldecomunicacion.es'!H3879)&gt;0</f>
        <v>0</v>
      </c>
    </row>
    <row r="3880" spans="1:9" hidden="1">
      <c r="A3880" s="1" t="s">
        <v>13861</v>
      </c>
      <c r="B3880" s="1" t="s">
        <v>10</v>
      </c>
      <c r="C3880" s="1" t="s">
        <v>13862</v>
      </c>
      <c r="D3880" s="1" t="s">
        <v>1389</v>
      </c>
      <c r="E3880" s="1" t="s">
        <v>1396</v>
      </c>
      <c r="F3880" s="1" t="s">
        <v>30</v>
      </c>
      <c r="G3880" s="1" t="s">
        <v>13863</v>
      </c>
      <c r="H3880" s="1" t="s">
        <v>1762</v>
      </c>
      <c r="I3880" t="b">
        <f>COUNTIF(Estadísticas!I:I,'centraldecomunicacion.es'!H3880)&gt;0</f>
        <v>0</v>
      </c>
    </row>
    <row r="3881" spans="1:9" hidden="1">
      <c r="A3881" s="1" t="s">
        <v>13864</v>
      </c>
      <c r="B3881" s="1" t="s">
        <v>10</v>
      </c>
      <c r="C3881" s="1" t="s">
        <v>13865</v>
      </c>
      <c r="D3881" s="1" t="s">
        <v>1389</v>
      </c>
      <c r="E3881" s="1" t="s">
        <v>1390</v>
      </c>
      <c r="F3881" s="1" t="s">
        <v>30</v>
      </c>
      <c r="G3881" s="1" t="s">
        <v>13866</v>
      </c>
      <c r="H3881" s="1" t="s">
        <v>1762</v>
      </c>
      <c r="I3881" t="b">
        <f>COUNTIF(Estadísticas!I:I,'centraldecomunicacion.es'!H3881)&gt;0</f>
        <v>0</v>
      </c>
    </row>
    <row r="3882" spans="1:9" hidden="1">
      <c r="A3882" s="1" t="s">
        <v>13867</v>
      </c>
      <c r="B3882" s="1" t="s">
        <v>10</v>
      </c>
      <c r="C3882" s="1" t="s">
        <v>30</v>
      </c>
      <c r="D3882" s="1" t="s">
        <v>13868</v>
      </c>
      <c r="E3882" s="1" t="s">
        <v>30</v>
      </c>
      <c r="F3882" s="1" t="s">
        <v>30</v>
      </c>
      <c r="G3882" s="1" t="s">
        <v>13869</v>
      </c>
      <c r="H3882" s="1" t="s">
        <v>1762</v>
      </c>
      <c r="I3882" t="b">
        <f>COUNTIF(Estadísticas!I:I,'centraldecomunicacion.es'!H3882)&gt;0</f>
        <v>0</v>
      </c>
    </row>
    <row r="3883" spans="1:9" hidden="1">
      <c r="A3883" s="1" t="s">
        <v>13870</v>
      </c>
      <c r="B3883" s="1" t="s">
        <v>10</v>
      </c>
      <c r="C3883" s="1" t="s">
        <v>13871</v>
      </c>
      <c r="D3883" s="1" t="s">
        <v>1389</v>
      </c>
      <c r="E3883" s="1" t="s">
        <v>1396</v>
      </c>
      <c r="F3883" s="1" t="s">
        <v>30</v>
      </c>
      <c r="G3883" s="1" t="s">
        <v>30</v>
      </c>
      <c r="H3883" s="1" t="s">
        <v>1762</v>
      </c>
      <c r="I3883" t="b">
        <f>COUNTIF(Estadísticas!I:I,'centraldecomunicacion.es'!H3883)&gt;0</f>
        <v>0</v>
      </c>
    </row>
    <row r="3884" spans="1:9" hidden="1">
      <c r="A3884" s="1" t="s">
        <v>13872</v>
      </c>
      <c r="B3884" s="1" t="s">
        <v>10</v>
      </c>
      <c r="C3884" s="1" t="s">
        <v>13873</v>
      </c>
      <c r="D3884" s="1" t="s">
        <v>1389</v>
      </c>
      <c r="E3884" s="1" t="s">
        <v>1390</v>
      </c>
      <c r="F3884" s="1" t="s">
        <v>30</v>
      </c>
      <c r="G3884" s="1" t="s">
        <v>13857</v>
      </c>
      <c r="H3884" s="1" t="s">
        <v>1762</v>
      </c>
      <c r="I3884" t="b">
        <f>COUNTIF(Estadísticas!I:I,'centraldecomunicacion.es'!H3884)&gt;0</f>
        <v>0</v>
      </c>
    </row>
    <row r="3885" spans="1:9" hidden="1">
      <c r="A3885" s="1" t="s">
        <v>13874</v>
      </c>
      <c r="B3885" s="1" t="s">
        <v>10</v>
      </c>
      <c r="C3885" s="1" t="s">
        <v>13875</v>
      </c>
      <c r="D3885" s="1" t="s">
        <v>1389</v>
      </c>
      <c r="E3885" s="1" t="s">
        <v>1390</v>
      </c>
      <c r="F3885" s="1" t="s">
        <v>30</v>
      </c>
      <c r="G3885" s="1" t="s">
        <v>30</v>
      </c>
      <c r="H3885" s="1" t="s">
        <v>1762</v>
      </c>
      <c r="I3885" t="b">
        <f>COUNTIF(Estadísticas!I:I,'centraldecomunicacion.es'!H3885)&gt;0</f>
        <v>0</v>
      </c>
    </row>
    <row r="3886" spans="1:9" hidden="1">
      <c r="A3886" s="1" t="s">
        <v>13876</v>
      </c>
      <c r="B3886" s="1" t="s">
        <v>10</v>
      </c>
      <c r="C3886" s="1" t="s">
        <v>30</v>
      </c>
      <c r="D3886" s="1" t="s">
        <v>13868</v>
      </c>
      <c r="E3886" s="1" t="s">
        <v>30</v>
      </c>
      <c r="F3886" s="1" t="s">
        <v>13877</v>
      </c>
      <c r="G3886" s="1" t="s">
        <v>13878</v>
      </c>
      <c r="H3886" s="1" t="s">
        <v>1762</v>
      </c>
      <c r="I3886" t="b">
        <f>COUNTIF(Estadísticas!I:I,'centraldecomunicacion.es'!H3886)&gt;0</f>
        <v>0</v>
      </c>
    </row>
    <row r="3887" spans="1:9" hidden="1">
      <c r="A3887" s="1" t="s">
        <v>13879</v>
      </c>
      <c r="B3887" s="1" t="s">
        <v>10</v>
      </c>
      <c r="C3887" s="1" t="s">
        <v>13880</v>
      </c>
      <c r="D3887" s="1" t="s">
        <v>1389</v>
      </c>
      <c r="E3887" s="1" t="s">
        <v>1390</v>
      </c>
      <c r="F3887" s="1" t="s">
        <v>13881</v>
      </c>
      <c r="G3887" s="1" t="s">
        <v>13882</v>
      </c>
      <c r="H3887" s="1" t="s">
        <v>13883</v>
      </c>
      <c r="I3887" t="b">
        <f>COUNTIF(Estadísticas!I:I,'centraldecomunicacion.es'!H3887)&gt;0</f>
        <v>0</v>
      </c>
    </row>
    <row r="3888" spans="1:9">
      <c r="A3888" s="1" t="s">
        <v>1394</v>
      </c>
      <c r="B3888" s="1" t="s">
        <v>18</v>
      </c>
      <c r="C3888" s="1" t="s">
        <v>1395</v>
      </c>
      <c r="D3888" s="1" t="s">
        <v>1389</v>
      </c>
      <c r="E3888" s="1" t="s">
        <v>1396</v>
      </c>
      <c r="F3888" s="1" t="s">
        <v>1397</v>
      </c>
      <c r="G3888" s="1" t="s">
        <v>1398</v>
      </c>
      <c r="H3888" s="1" t="s">
        <v>1399</v>
      </c>
      <c r="I3888" t="b">
        <f>COUNTIF(Estadísticas!I:I,'centraldecomunicacion.es'!H3888)&gt;0</f>
        <v>1</v>
      </c>
    </row>
    <row r="3889" spans="1:9" hidden="1">
      <c r="A3889" s="1" t="s">
        <v>13884</v>
      </c>
      <c r="B3889" s="1" t="s">
        <v>10</v>
      </c>
      <c r="C3889" s="1" t="s">
        <v>13885</v>
      </c>
      <c r="D3889" s="1" t="s">
        <v>13886</v>
      </c>
      <c r="E3889" s="1" t="s">
        <v>1390</v>
      </c>
      <c r="F3889" s="1" t="s">
        <v>30</v>
      </c>
      <c r="G3889" s="1" t="s">
        <v>13887</v>
      </c>
      <c r="H3889" s="1" t="s">
        <v>1762</v>
      </c>
      <c r="I3889" t="b">
        <f>COUNTIF(Estadísticas!I:I,'centraldecomunicacion.es'!H3889)&gt;0</f>
        <v>0</v>
      </c>
    </row>
    <row r="3890" spans="1:9" hidden="1">
      <c r="A3890" s="1" t="s">
        <v>13888</v>
      </c>
      <c r="B3890" s="1" t="s">
        <v>10</v>
      </c>
      <c r="C3890" s="1" t="s">
        <v>13889</v>
      </c>
      <c r="D3890" s="1" t="s">
        <v>1389</v>
      </c>
      <c r="E3890" s="1" t="s">
        <v>1390</v>
      </c>
      <c r="F3890" s="1" t="s">
        <v>30</v>
      </c>
      <c r="G3890" s="1" t="s">
        <v>30</v>
      </c>
      <c r="H3890" s="1" t="s">
        <v>1762</v>
      </c>
      <c r="I3890" t="b">
        <f>COUNTIF(Estadísticas!I:I,'centraldecomunicacion.es'!H3890)&gt;0</f>
        <v>0</v>
      </c>
    </row>
    <row r="3891" spans="1:9" hidden="1">
      <c r="A3891" s="1" t="s">
        <v>13890</v>
      </c>
      <c r="B3891" s="1" t="s">
        <v>18</v>
      </c>
      <c r="C3891" s="1" t="s">
        <v>13891</v>
      </c>
      <c r="D3891" s="1" t="s">
        <v>1389</v>
      </c>
      <c r="E3891" s="1" t="s">
        <v>1396</v>
      </c>
      <c r="F3891" s="1" t="s">
        <v>30</v>
      </c>
      <c r="G3891" s="1" t="s">
        <v>13892</v>
      </c>
      <c r="H3891" s="1" t="s">
        <v>1762</v>
      </c>
      <c r="I3891" t="b">
        <f>COUNTIF(Estadísticas!I:I,'centraldecomunicacion.es'!H3891)&gt;0</f>
        <v>0</v>
      </c>
    </row>
    <row r="3892" spans="1:9">
      <c r="A3892" s="1" t="s">
        <v>13893</v>
      </c>
      <c r="B3892" s="1" t="s">
        <v>18</v>
      </c>
      <c r="C3892" s="1" t="s">
        <v>13894</v>
      </c>
      <c r="D3892" s="1" t="s">
        <v>1389</v>
      </c>
      <c r="E3892" s="1" t="s">
        <v>1390</v>
      </c>
      <c r="F3892" s="1" t="s">
        <v>1359</v>
      </c>
      <c r="G3892" s="1" t="s">
        <v>13895</v>
      </c>
      <c r="H3892" s="1" t="s">
        <v>1361</v>
      </c>
      <c r="I3892" t="b">
        <f>COUNTIF(Estadísticas!I:I,'centraldecomunicacion.es'!H3892)&gt;0</f>
        <v>1</v>
      </c>
    </row>
    <row r="3893" spans="1:9" hidden="1">
      <c r="A3893" s="1" t="s">
        <v>13896</v>
      </c>
      <c r="B3893" s="1" t="s">
        <v>18</v>
      </c>
      <c r="C3893" s="1" t="s">
        <v>13897</v>
      </c>
      <c r="D3893" s="1" t="s">
        <v>1389</v>
      </c>
      <c r="E3893" s="1" t="s">
        <v>1390</v>
      </c>
      <c r="F3893" s="1" t="s">
        <v>30</v>
      </c>
      <c r="G3893" s="1" t="s">
        <v>13898</v>
      </c>
      <c r="H3893" s="1" t="s">
        <v>1762</v>
      </c>
      <c r="I3893" t="b">
        <f>COUNTIF(Estadísticas!I:I,'centraldecomunicacion.es'!H3893)&gt;0</f>
        <v>0</v>
      </c>
    </row>
    <row r="3894" spans="1:9" hidden="1">
      <c r="A3894" s="1" t="s">
        <v>13899</v>
      </c>
      <c r="B3894" s="1" t="s">
        <v>10</v>
      </c>
      <c r="C3894" s="1" t="s">
        <v>13900</v>
      </c>
      <c r="D3894" s="1" t="s">
        <v>1389</v>
      </c>
      <c r="E3894" s="1" t="s">
        <v>1390</v>
      </c>
      <c r="F3894" s="1" t="s">
        <v>30</v>
      </c>
      <c r="G3894" s="1" t="s">
        <v>30</v>
      </c>
      <c r="H3894" s="1" t="s">
        <v>1762</v>
      </c>
      <c r="I3894" t="b">
        <f>COUNTIF(Estadísticas!I:I,'centraldecomunicacion.es'!H3894)&gt;0</f>
        <v>0</v>
      </c>
    </row>
    <row r="3895" spans="1:9" hidden="1">
      <c r="A3895" s="1" t="s">
        <v>13901</v>
      </c>
      <c r="B3895" s="1" t="s">
        <v>18</v>
      </c>
      <c r="C3895" s="1" t="s">
        <v>13902</v>
      </c>
      <c r="D3895" s="1" t="s">
        <v>13903</v>
      </c>
      <c r="E3895" s="1" t="s">
        <v>1396</v>
      </c>
      <c r="F3895" s="1" t="s">
        <v>13848</v>
      </c>
      <c r="G3895" s="1" t="s">
        <v>13904</v>
      </c>
      <c r="H3895" s="1" t="s">
        <v>1762</v>
      </c>
      <c r="I3895" t="b">
        <f>COUNTIF(Estadísticas!I:I,'centraldecomunicacion.es'!H3895)&gt;0</f>
        <v>0</v>
      </c>
    </row>
    <row r="3896" spans="1:9" hidden="1">
      <c r="A3896" s="1" t="s">
        <v>13905</v>
      </c>
      <c r="B3896" s="1" t="s">
        <v>10</v>
      </c>
      <c r="C3896" s="1" t="s">
        <v>13906</v>
      </c>
      <c r="D3896" s="1" t="s">
        <v>13907</v>
      </c>
      <c r="E3896" s="1" t="s">
        <v>1390</v>
      </c>
      <c r="F3896" s="1" t="s">
        <v>30</v>
      </c>
      <c r="G3896" s="1" t="s">
        <v>13908</v>
      </c>
      <c r="H3896" s="1" t="s">
        <v>1762</v>
      </c>
      <c r="I3896" t="b">
        <f>COUNTIF(Estadísticas!I:I,'centraldecomunicacion.es'!H3896)&gt;0</f>
        <v>0</v>
      </c>
    </row>
    <row r="3897" spans="1:9" hidden="1">
      <c r="A3897" s="1" t="s">
        <v>13909</v>
      </c>
      <c r="B3897" s="1" t="s">
        <v>10</v>
      </c>
      <c r="C3897" s="1" t="s">
        <v>13910</v>
      </c>
      <c r="D3897" s="1" t="s">
        <v>13911</v>
      </c>
      <c r="E3897" s="1" t="s">
        <v>1390</v>
      </c>
      <c r="F3897" s="1" t="s">
        <v>30</v>
      </c>
      <c r="G3897" s="1" t="s">
        <v>13912</v>
      </c>
      <c r="H3897" s="1" t="s">
        <v>1762</v>
      </c>
      <c r="I3897" t="b">
        <f>COUNTIF(Estadísticas!I:I,'centraldecomunicacion.es'!H3897)&gt;0</f>
        <v>0</v>
      </c>
    </row>
    <row r="3898" spans="1:9" hidden="1">
      <c r="A3898" s="1" t="s">
        <v>13913</v>
      </c>
      <c r="B3898" s="1" t="s">
        <v>18</v>
      </c>
      <c r="C3898" s="1" t="s">
        <v>13914</v>
      </c>
      <c r="D3898" s="1" t="s">
        <v>13915</v>
      </c>
      <c r="E3898" s="1" t="s">
        <v>1396</v>
      </c>
      <c r="F3898" s="1" t="s">
        <v>13916</v>
      </c>
      <c r="G3898" s="1" t="s">
        <v>13917</v>
      </c>
      <c r="H3898" s="1" t="s">
        <v>13918</v>
      </c>
      <c r="I3898" t="b">
        <f>COUNTIF(Estadísticas!I:I,'centraldecomunicacion.es'!H3898)&gt;0</f>
        <v>0</v>
      </c>
    </row>
    <row r="3899" spans="1:9" hidden="1">
      <c r="A3899" s="1" t="s">
        <v>13919</v>
      </c>
      <c r="B3899" s="1" t="s">
        <v>18</v>
      </c>
      <c r="C3899" s="1" t="s">
        <v>13920</v>
      </c>
      <c r="D3899" s="1" t="s">
        <v>13921</v>
      </c>
      <c r="E3899" s="1" t="s">
        <v>1390</v>
      </c>
      <c r="F3899" s="1" t="s">
        <v>13922</v>
      </c>
      <c r="G3899" s="1" t="s">
        <v>13923</v>
      </c>
      <c r="H3899" s="1" t="s">
        <v>13924</v>
      </c>
      <c r="I3899" t="b">
        <f>COUNTIF(Estadísticas!I:I,'centraldecomunicacion.es'!H3899)&gt;0</f>
        <v>0</v>
      </c>
    </row>
    <row r="3900" spans="1:9" hidden="1">
      <c r="A3900" s="1" t="s">
        <v>13925</v>
      </c>
      <c r="B3900" s="1" t="s">
        <v>10</v>
      </c>
      <c r="C3900" s="1" t="s">
        <v>13926</v>
      </c>
      <c r="D3900" s="1" t="s">
        <v>13927</v>
      </c>
      <c r="E3900" s="1" t="s">
        <v>1390</v>
      </c>
      <c r="F3900" s="1" t="s">
        <v>30</v>
      </c>
      <c r="G3900" s="1" t="s">
        <v>13928</v>
      </c>
      <c r="H3900" s="1" t="s">
        <v>1762</v>
      </c>
      <c r="I3900" t="b">
        <f>COUNTIF(Estadísticas!I:I,'centraldecomunicacion.es'!H3900)&gt;0</f>
        <v>0</v>
      </c>
    </row>
    <row r="3901" spans="1:9" hidden="1">
      <c r="A3901" s="1" t="s">
        <v>13929</v>
      </c>
      <c r="B3901" s="1" t="s">
        <v>10</v>
      </c>
      <c r="C3901" s="1" t="s">
        <v>13930</v>
      </c>
      <c r="D3901" s="1" t="s">
        <v>13931</v>
      </c>
      <c r="E3901" s="1" t="s">
        <v>1396</v>
      </c>
      <c r="F3901" s="1" t="s">
        <v>30</v>
      </c>
      <c r="G3901" s="1" t="s">
        <v>13932</v>
      </c>
      <c r="H3901" s="1" t="s">
        <v>1762</v>
      </c>
      <c r="I3901" t="b">
        <f>COUNTIF(Estadísticas!I:I,'centraldecomunicacion.es'!H3901)&gt;0</f>
        <v>0</v>
      </c>
    </row>
    <row r="3902" spans="1:9" hidden="1">
      <c r="A3902" s="1" t="s">
        <v>13933</v>
      </c>
      <c r="B3902" s="1" t="s">
        <v>10</v>
      </c>
      <c r="C3902" s="1" t="s">
        <v>13934</v>
      </c>
      <c r="D3902" s="1" t="s">
        <v>13935</v>
      </c>
      <c r="E3902" s="1" t="s">
        <v>1390</v>
      </c>
      <c r="F3902" s="1" t="s">
        <v>30</v>
      </c>
      <c r="G3902" s="1" t="s">
        <v>13936</v>
      </c>
      <c r="H3902" s="1" t="s">
        <v>1762</v>
      </c>
      <c r="I3902" t="b">
        <f>COUNTIF(Estadísticas!I:I,'centraldecomunicacion.es'!H3902)&gt;0</f>
        <v>0</v>
      </c>
    </row>
    <row r="3903" spans="1:9" hidden="1">
      <c r="A3903" s="1" t="s">
        <v>13937</v>
      </c>
      <c r="B3903" s="1" t="s">
        <v>10</v>
      </c>
      <c r="C3903" s="1" t="s">
        <v>13938</v>
      </c>
      <c r="D3903" s="1" t="s">
        <v>13935</v>
      </c>
      <c r="E3903" s="1" t="s">
        <v>1390</v>
      </c>
      <c r="F3903" s="1" t="s">
        <v>13939</v>
      </c>
      <c r="G3903" s="1" t="s">
        <v>13940</v>
      </c>
      <c r="H3903" s="1" t="s">
        <v>11163</v>
      </c>
      <c r="I3903" t="b">
        <f>COUNTIF(Estadísticas!I:I,'centraldecomunicacion.es'!H3903)&gt;0</f>
        <v>0</v>
      </c>
    </row>
    <row r="3904" spans="1:9" hidden="1">
      <c r="A3904" s="1" t="s">
        <v>13941</v>
      </c>
      <c r="B3904" s="1" t="s">
        <v>10</v>
      </c>
      <c r="C3904" s="1" t="s">
        <v>13942</v>
      </c>
      <c r="D3904" s="1" t="s">
        <v>13943</v>
      </c>
      <c r="E3904" s="1" t="s">
        <v>1396</v>
      </c>
      <c r="F3904" s="1" t="s">
        <v>30</v>
      </c>
      <c r="G3904" s="1" t="s">
        <v>30</v>
      </c>
      <c r="H3904" s="1" t="s">
        <v>1762</v>
      </c>
      <c r="I3904" t="b">
        <f>COUNTIF(Estadísticas!I:I,'centraldecomunicacion.es'!H3904)&gt;0</f>
        <v>0</v>
      </c>
    </row>
    <row r="3905" spans="1:9" hidden="1">
      <c r="A3905" s="1" t="s">
        <v>13944</v>
      </c>
      <c r="B3905" s="1" t="s">
        <v>10</v>
      </c>
      <c r="C3905" s="1" t="s">
        <v>13945</v>
      </c>
      <c r="D3905" s="1" t="s">
        <v>13935</v>
      </c>
      <c r="E3905" s="1" t="s">
        <v>1396</v>
      </c>
      <c r="F3905" s="1" t="s">
        <v>30</v>
      </c>
      <c r="G3905" s="1" t="s">
        <v>13946</v>
      </c>
      <c r="H3905" s="1" t="s">
        <v>1762</v>
      </c>
      <c r="I3905" t="b">
        <f>COUNTIF(Estadísticas!I:I,'centraldecomunicacion.es'!H3905)&gt;0</f>
        <v>0</v>
      </c>
    </row>
    <row r="3906" spans="1:9" hidden="1">
      <c r="A3906" s="1" t="s">
        <v>13947</v>
      </c>
      <c r="B3906" s="1" t="s">
        <v>10</v>
      </c>
      <c r="C3906" s="1" t="s">
        <v>13948</v>
      </c>
      <c r="D3906" s="1" t="s">
        <v>13949</v>
      </c>
      <c r="E3906" s="1" t="s">
        <v>1390</v>
      </c>
      <c r="F3906" s="1" t="s">
        <v>30</v>
      </c>
      <c r="G3906" s="1" t="s">
        <v>30</v>
      </c>
      <c r="H3906" s="1" t="s">
        <v>1762</v>
      </c>
      <c r="I3906" t="b">
        <f>COUNTIF(Estadísticas!I:I,'centraldecomunicacion.es'!H3906)&gt;0</f>
        <v>0</v>
      </c>
    </row>
    <row r="3907" spans="1:9" hidden="1">
      <c r="A3907" s="1" t="s">
        <v>13950</v>
      </c>
      <c r="B3907" s="1" t="s">
        <v>10</v>
      </c>
      <c r="C3907" s="1" t="s">
        <v>13951</v>
      </c>
      <c r="D3907" s="1" t="s">
        <v>13868</v>
      </c>
      <c r="E3907" s="1" t="s">
        <v>1390</v>
      </c>
      <c r="F3907" s="1" t="s">
        <v>30</v>
      </c>
      <c r="G3907" s="1" t="s">
        <v>13952</v>
      </c>
      <c r="H3907" s="1" t="s">
        <v>1762</v>
      </c>
      <c r="I3907" t="b">
        <f>COUNTIF(Estadísticas!I:I,'centraldecomunicacion.es'!H3907)&gt;0</f>
        <v>0</v>
      </c>
    </row>
    <row r="3908" spans="1:9" hidden="1">
      <c r="A3908" s="1" t="s">
        <v>13953</v>
      </c>
      <c r="B3908" s="1" t="s">
        <v>10</v>
      </c>
      <c r="C3908" s="1" t="s">
        <v>13954</v>
      </c>
      <c r="D3908" s="1" t="s">
        <v>13955</v>
      </c>
      <c r="E3908" s="1" t="s">
        <v>1390</v>
      </c>
      <c r="F3908" s="1" t="s">
        <v>30</v>
      </c>
      <c r="G3908" s="1" t="s">
        <v>13956</v>
      </c>
      <c r="H3908" s="1" t="s">
        <v>1762</v>
      </c>
      <c r="I3908" t="b">
        <f>COUNTIF(Estadísticas!I:I,'centraldecomunicacion.es'!H3908)&gt;0</f>
        <v>0</v>
      </c>
    </row>
    <row r="3909" spans="1:9" hidden="1">
      <c r="A3909" s="1" t="s">
        <v>13957</v>
      </c>
      <c r="B3909" s="1" t="s">
        <v>10</v>
      </c>
      <c r="C3909" s="1" t="s">
        <v>30</v>
      </c>
      <c r="D3909" s="1" t="s">
        <v>13868</v>
      </c>
      <c r="E3909" s="1" t="s">
        <v>30</v>
      </c>
      <c r="F3909" s="1" t="s">
        <v>1984</v>
      </c>
      <c r="G3909" s="1" t="s">
        <v>13958</v>
      </c>
      <c r="H3909" s="1" t="s">
        <v>1762</v>
      </c>
      <c r="I3909" t="b">
        <f>COUNTIF(Estadísticas!I:I,'centraldecomunicacion.es'!H3909)&gt;0</f>
        <v>0</v>
      </c>
    </row>
    <row r="3910" spans="1:9" hidden="1">
      <c r="A3910" s="1" t="s">
        <v>13959</v>
      </c>
      <c r="B3910" s="1" t="s">
        <v>10</v>
      </c>
      <c r="C3910" s="1" t="s">
        <v>13960</v>
      </c>
      <c r="D3910" s="1" t="s">
        <v>13961</v>
      </c>
      <c r="E3910" s="1" t="s">
        <v>1390</v>
      </c>
      <c r="F3910" s="1" t="s">
        <v>30</v>
      </c>
      <c r="G3910" s="1" t="s">
        <v>30</v>
      </c>
      <c r="H3910" s="1" t="s">
        <v>1762</v>
      </c>
      <c r="I3910" t="b">
        <f>COUNTIF(Estadísticas!I:I,'centraldecomunicacion.es'!H3910)&gt;0</f>
        <v>0</v>
      </c>
    </row>
    <row r="3911" spans="1:9" hidden="1">
      <c r="A3911" s="1" t="s">
        <v>13962</v>
      </c>
      <c r="B3911" s="1" t="s">
        <v>10</v>
      </c>
      <c r="C3911" s="1" t="s">
        <v>13963</v>
      </c>
      <c r="D3911" s="1" t="s">
        <v>13964</v>
      </c>
      <c r="E3911" s="1" t="s">
        <v>1390</v>
      </c>
      <c r="F3911" s="1" t="s">
        <v>30</v>
      </c>
      <c r="G3911" s="1" t="s">
        <v>30</v>
      </c>
      <c r="H3911" s="1" t="s">
        <v>1762</v>
      </c>
      <c r="I3911" t="b">
        <f>COUNTIF(Estadísticas!I:I,'centraldecomunicacion.es'!H3911)&gt;0</f>
        <v>0</v>
      </c>
    </row>
    <row r="3912" spans="1:9" hidden="1">
      <c r="A3912" s="1" t="s">
        <v>13965</v>
      </c>
      <c r="B3912" s="1" t="s">
        <v>10</v>
      </c>
      <c r="C3912" s="1" t="s">
        <v>13966</v>
      </c>
      <c r="D3912" s="1" t="s">
        <v>13955</v>
      </c>
      <c r="E3912" s="1" t="s">
        <v>1396</v>
      </c>
      <c r="F3912" s="1" t="s">
        <v>30</v>
      </c>
      <c r="G3912" s="1" t="s">
        <v>30</v>
      </c>
      <c r="H3912" s="1" t="s">
        <v>1762</v>
      </c>
      <c r="I3912" t="b">
        <f>COUNTIF(Estadísticas!I:I,'centraldecomunicacion.es'!H3912)&gt;0</f>
        <v>0</v>
      </c>
    </row>
    <row r="3913" spans="1:9" hidden="1">
      <c r="A3913" s="1" t="s">
        <v>13967</v>
      </c>
      <c r="B3913" s="1" t="s">
        <v>10</v>
      </c>
      <c r="C3913" s="1" t="s">
        <v>13968</v>
      </c>
      <c r="D3913" s="1" t="s">
        <v>13969</v>
      </c>
      <c r="E3913" s="1" t="s">
        <v>1390</v>
      </c>
      <c r="F3913" s="1" t="s">
        <v>30</v>
      </c>
      <c r="G3913" s="1" t="s">
        <v>30</v>
      </c>
      <c r="H3913" s="1" t="s">
        <v>1762</v>
      </c>
      <c r="I3913" t="b">
        <f>COUNTIF(Estadísticas!I:I,'centraldecomunicacion.es'!H3913)&gt;0</f>
        <v>0</v>
      </c>
    </row>
    <row r="3914" spans="1:9" hidden="1">
      <c r="A3914" s="1" t="s">
        <v>13970</v>
      </c>
      <c r="B3914" s="1" t="s">
        <v>10</v>
      </c>
      <c r="C3914" s="1" t="s">
        <v>13971</v>
      </c>
      <c r="D3914" s="1" t="s">
        <v>13972</v>
      </c>
      <c r="E3914" s="1" t="s">
        <v>1396</v>
      </c>
      <c r="F3914" s="1" t="s">
        <v>30</v>
      </c>
      <c r="G3914" s="1" t="s">
        <v>30</v>
      </c>
      <c r="H3914" s="1" t="s">
        <v>1762</v>
      </c>
      <c r="I3914" t="b">
        <f>COUNTIF(Estadísticas!I:I,'centraldecomunicacion.es'!H3914)&gt;0</f>
        <v>0</v>
      </c>
    </row>
    <row r="3915" spans="1:9" hidden="1">
      <c r="A3915" s="1" t="s">
        <v>13973</v>
      </c>
      <c r="B3915" s="1" t="s">
        <v>10</v>
      </c>
      <c r="C3915" s="1" t="s">
        <v>13974</v>
      </c>
      <c r="D3915" s="1" t="s">
        <v>13955</v>
      </c>
      <c r="E3915" s="1" t="s">
        <v>1390</v>
      </c>
      <c r="F3915" s="1" t="s">
        <v>30</v>
      </c>
      <c r="G3915" s="1" t="s">
        <v>30</v>
      </c>
      <c r="H3915" s="1" t="s">
        <v>1762</v>
      </c>
      <c r="I3915" t="b">
        <f>COUNTIF(Estadísticas!I:I,'centraldecomunicacion.es'!H3915)&gt;0</f>
        <v>0</v>
      </c>
    </row>
    <row r="3916" spans="1:9" hidden="1">
      <c r="A3916" s="1" t="s">
        <v>13975</v>
      </c>
      <c r="B3916" s="1" t="s">
        <v>10</v>
      </c>
      <c r="C3916" s="1" t="s">
        <v>13976</v>
      </c>
      <c r="D3916" s="1" t="s">
        <v>13955</v>
      </c>
      <c r="E3916" s="1" t="s">
        <v>1390</v>
      </c>
      <c r="F3916" s="1" t="s">
        <v>30</v>
      </c>
      <c r="G3916" s="1" t="s">
        <v>30</v>
      </c>
      <c r="H3916" s="1" t="s">
        <v>1762</v>
      </c>
      <c r="I3916" t="b">
        <f>COUNTIF(Estadísticas!I:I,'centraldecomunicacion.es'!H3916)&gt;0</f>
        <v>0</v>
      </c>
    </row>
    <row r="3917" spans="1:9" hidden="1">
      <c r="A3917" s="1" t="s">
        <v>13977</v>
      </c>
      <c r="B3917" s="1" t="s">
        <v>10</v>
      </c>
      <c r="C3917" s="1" t="s">
        <v>13978</v>
      </c>
      <c r="D3917" s="1" t="s">
        <v>13979</v>
      </c>
      <c r="E3917" s="1" t="s">
        <v>1396</v>
      </c>
      <c r="F3917" s="1" t="s">
        <v>30</v>
      </c>
      <c r="G3917" s="1" t="s">
        <v>13980</v>
      </c>
      <c r="H3917" s="1" t="s">
        <v>1762</v>
      </c>
      <c r="I3917" t="b">
        <f>COUNTIF(Estadísticas!I:I,'centraldecomunicacion.es'!H3917)&gt;0</f>
        <v>0</v>
      </c>
    </row>
    <row r="3918" spans="1:9" hidden="1">
      <c r="A3918" s="1" t="s">
        <v>13981</v>
      </c>
      <c r="B3918" s="1" t="s">
        <v>10</v>
      </c>
      <c r="C3918" s="1" t="s">
        <v>13982</v>
      </c>
      <c r="D3918" s="1" t="s">
        <v>13983</v>
      </c>
      <c r="E3918" s="1" t="s">
        <v>1390</v>
      </c>
      <c r="F3918" s="1" t="s">
        <v>30</v>
      </c>
      <c r="G3918" s="1" t="s">
        <v>30</v>
      </c>
      <c r="H3918" s="1" t="s">
        <v>1762</v>
      </c>
      <c r="I3918" t="b">
        <f>COUNTIF(Estadísticas!I:I,'centraldecomunicacion.es'!H3918)&gt;0</f>
        <v>0</v>
      </c>
    </row>
    <row r="3919" spans="1:9">
      <c r="A3919" s="1" t="s">
        <v>1400</v>
      </c>
      <c r="B3919" s="1" t="s">
        <v>10</v>
      </c>
      <c r="C3919" s="1" t="s">
        <v>1401</v>
      </c>
      <c r="D3919" s="1" t="s">
        <v>1402</v>
      </c>
      <c r="E3919" s="1" t="s">
        <v>1396</v>
      </c>
      <c r="F3919" s="1" t="s">
        <v>1403</v>
      </c>
      <c r="G3919" s="1" t="s">
        <v>1404</v>
      </c>
      <c r="H3919" s="1" t="s">
        <v>1405</v>
      </c>
      <c r="I3919" t="b">
        <f>COUNTIF(Estadísticas!I:I,'centraldecomunicacion.es'!H3919)&gt;0</f>
        <v>1</v>
      </c>
    </row>
    <row r="3920" spans="1:9" hidden="1">
      <c r="A3920" s="1" t="s">
        <v>13984</v>
      </c>
      <c r="B3920" s="1" t="s">
        <v>10</v>
      </c>
      <c r="C3920" s="1" t="s">
        <v>13985</v>
      </c>
      <c r="D3920" s="1" t="s">
        <v>13986</v>
      </c>
      <c r="E3920" s="1" t="s">
        <v>1396</v>
      </c>
      <c r="F3920" s="1" t="s">
        <v>30</v>
      </c>
      <c r="G3920" s="1" t="s">
        <v>13987</v>
      </c>
      <c r="H3920" s="1" t="s">
        <v>1762</v>
      </c>
      <c r="I3920" t="b">
        <f>COUNTIF(Estadísticas!I:I,'centraldecomunicacion.es'!H3920)&gt;0</f>
        <v>0</v>
      </c>
    </row>
    <row r="3921" spans="1:9" hidden="1">
      <c r="A3921" s="1" t="s">
        <v>13988</v>
      </c>
      <c r="B3921" s="1" t="s">
        <v>18</v>
      </c>
      <c r="C3921" s="1" t="s">
        <v>13989</v>
      </c>
      <c r="D3921" s="1" t="s">
        <v>13990</v>
      </c>
      <c r="E3921" s="1" t="s">
        <v>13991</v>
      </c>
      <c r="F3921" s="1" t="s">
        <v>30</v>
      </c>
      <c r="G3921" s="1" t="s">
        <v>13992</v>
      </c>
      <c r="H3921" s="1" t="s">
        <v>1762</v>
      </c>
      <c r="I3921" t="b">
        <f>COUNTIF(Estadísticas!I:I,'centraldecomunicacion.es'!H3921)&gt;0</f>
        <v>0</v>
      </c>
    </row>
    <row r="3922" spans="1:9" hidden="1">
      <c r="A3922" s="1" t="s">
        <v>13993</v>
      </c>
      <c r="B3922" s="1" t="s">
        <v>18</v>
      </c>
      <c r="C3922" s="1" t="s">
        <v>13994</v>
      </c>
      <c r="D3922" s="1" t="s">
        <v>1423</v>
      </c>
      <c r="E3922" s="1" t="s">
        <v>1413</v>
      </c>
      <c r="F3922" s="1" t="s">
        <v>4288</v>
      </c>
      <c r="G3922" s="1" t="s">
        <v>13995</v>
      </c>
      <c r="H3922" s="1" t="s">
        <v>4290</v>
      </c>
      <c r="I3922" t="b">
        <f>COUNTIF(Estadísticas!I:I,'centraldecomunicacion.es'!H3922)&gt;0</f>
        <v>0</v>
      </c>
    </row>
    <row r="3923" spans="1:9">
      <c r="A3923" s="1" t="s">
        <v>1406</v>
      </c>
      <c r="B3923" s="1" t="s">
        <v>10</v>
      </c>
      <c r="C3923" s="1" t="s">
        <v>30</v>
      </c>
      <c r="D3923" s="1" t="s">
        <v>1407</v>
      </c>
      <c r="E3923" s="1" t="s">
        <v>30</v>
      </c>
      <c r="F3923" s="1" t="s">
        <v>1408</v>
      </c>
      <c r="G3923" s="1" t="s">
        <v>1409</v>
      </c>
      <c r="H3923" s="1" t="s">
        <v>1410</v>
      </c>
      <c r="I3923" t="b">
        <f>COUNTIF(Estadísticas!I:I,'centraldecomunicacion.es'!H3923)&gt;0</f>
        <v>1</v>
      </c>
    </row>
    <row r="3924" spans="1:9" hidden="1">
      <c r="A3924" s="1" t="s">
        <v>13996</v>
      </c>
      <c r="B3924" s="1" t="s">
        <v>10</v>
      </c>
      <c r="C3924" s="1" t="s">
        <v>13997</v>
      </c>
      <c r="D3924" s="1" t="s">
        <v>1413</v>
      </c>
      <c r="E3924" s="1" t="s">
        <v>1413</v>
      </c>
      <c r="F3924" s="1" t="s">
        <v>13998</v>
      </c>
      <c r="G3924" s="1" t="s">
        <v>13999</v>
      </c>
      <c r="H3924" s="1" t="s">
        <v>1762</v>
      </c>
      <c r="I3924" t="b">
        <f>COUNTIF(Estadísticas!I:I,'centraldecomunicacion.es'!H3924)&gt;0</f>
        <v>0</v>
      </c>
    </row>
    <row r="3925" spans="1:9" hidden="1">
      <c r="A3925" s="1" t="s">
        <v>14000</v>
      </c>
      <c r="B3925" s="1" t="s">
        <v>18</v>
      </c>
      <c r="C3925" s="1" t="s">
        <v>14001</v>
      </c>
      <c r="D3925" s="1" t="s">
        <v>1413</v>
      </c>
      <c r="E3925" s="1" t="s">
        <v>1413</v>
      </c>
      <c r="F3925" s="1" t="s">
        <v>14002</v>
      </c>
      <c r="G3925" s="1" t="s">
        <v>14003</v>
      </c>
      <c r="H3925" s="1" t="s">
        <v>1762</v>
      </c>
      <c r="I3925" t="b">
        <f>COUNTIF(Estadísticas!I:I,'centraldecomunicacion.es'!H3925)&gt;0</f>
        <v>0</v>
      </c>
    </row>
    <row r="3926" spans="1:9" hidden="1">
      <c r="A3926" s="1" t="s">
        <v>14004</v>
      </c>
      <c r="B3926" s="1" t="s">
        <v>10</v>
      </c>
      <c r="C3926" s="1" t="s">
        <v>14005</v>
      </c>
      <c r="D3926" s="1" t="s">
        <v>14006</v>
      </c>
      <c r="E3926" s="1" t="s">
        <v>1413</v>
      </c>
      <c r="F3926" s="1" t="s">
        <v>30</v>
      </c>
      <c r="G3926" s="1" t="s">
        <v>14007</v>
      </c>
      <c r="H3926" s="1" t="s">
        <v>1762</v>
      </c>
      <c r="I3926" t="b">
        <f>COUNTIF(Estadísticas!I:I,'centraldecomunicacion.es'!H3926)&gt;0</f>
        <v>0</v>
      </c>
    </row>
    <row r="3927" spans="1:9" hidden="1">
      <c r="A3927" s="1" t="s">
        <v>14008</v>
      </c>
      <c r="B3927" s="1" t="s">
        <v>10</v>
      </c>
      <c r="C3927" s="1" t="s">
        <v>30</v>
      </c>
      <c r="D3927" s="1" t="s">
        <v>1407</v>
      </c>
      <c r="E3927" s="1" t="s">
        <v>30</v>
      </c>
      <c r="F3927" s="1" t="s">
        <v>30</v>
      </c>
      <c r="G3927" s="1" t="s">
        <v>14009</v>
      </c>
      <c r="H3927" s="1" t="s">
        <v>1762</v>
      </c>
      <c r="I3927" t="b">
        <f>COUNTIF(Estadísticas!I:I,'centraldecomunicacion.es'!H3927)&gt;0</f>
        <v>0</v>
      </c>
    </row>
    <row r="3928" spans="1:9">
      <c r="A3928" s="1" t="s">
        <v>1411</v>
      </c>
      <c r="B3928" s="1" t="s">
        <v>10</v>
      </c>
      <c r="C3928" s="1" t="s">
        <v>1412</v>
      </c>
      <c r="D3928" s="1" t="s">
        <v>1413</v>
      </c>
      <c r="E3928" s="1" t="s">
        <v>1413</v>
      </c>
      <c r="F3928" s="1" t="s">
        <v>1414</v>
      </c>
      <c r="G3928" s="1" t="s">
        <v>1415</v>
      </c>
      <c r="H3928" s="1" t="s">
        <v>1416</v>
      </c>
      <c r="I3928" t="b">
        <f>COUNTIF(Estadísticas!I:I,'centraldecomunicacion.es'!H3928)&gt;0</f>
        <v>1</v>
      </c>
    </row>
    <row r="3929" spans="1:9" hidden="1">
      <c r="A3929" s="1" t="s">
        <v>14010</v>
      </c>
      <c r="B3929" s="1" t="s">
        <v>10</v>
      </c>
      <c r="C3929" s="1" t="s">
        <v>14011</v>
      </c>
      <c r="D3929" s="1" t="s">
        <v>1413</v>
      </c>
      <c r="E3929" s="1" t="s">
        <v>1413</v>
      </c>
      <c r="F3929" s="1" t="s">
        <v>14012</v>
      </c>
      <c r="G3929" s="1" t="s">
        <v>14013</v>
      </c>
      <c r="H3929" s="1" t="s">
        <v>1762</v>
      </c>
      <c r="I3929" t="b">
        <f>COUNTIF(Estadísticas!I:I,'centraldecomunicacion.es'!H3929)&gt;0</f>
        <v>0</v>
      </c>
    </row>
    <row r="3930" spans="1:9">
      <c r="A3930" s="1" t="s">
        <v>1417</v>
      </c>
      <c r="B3930" s="1" t="s">
        <v>10</v>
      </c>
      <c r="C3930" s="1" t="s">
        <v>30</v>
      </c>
      <c r="D3930" s="1" t="s">
        <v>1407</v>
      </c>
      <c r="E3930" s="1" t="s">
        <v>30</v>
      </c>
      <c r="F3930" s="1" t="s">
        <v>1418</v>
      </c>
      <c r="G3930" s="1" t="s">
        <v>1419</v>
      </c>
      <c r="H3930" s="1" t="s">
        <v>1420</v>
      </c>
      <c r="I3930" t="b">
        <f>COUNTIF(Estadísticas!I:I,'centraldecomunicacion.es'!H3930)&gt;0</f>
        <v>1</v>
      </c>
    </row>
    <row r="3931" spans="1:9" hidden="1">
      <c r="A3931" s="1" t="s">
        <v>14014</v>
      </c>
      <c r="B3931" s="1" t="s">
        <v>10</v>
      </c>
      <c r="C3931" s="1" t="s">
        <v>14015</v>
      </c>
      <c r="D3931" s="1" t="s">
        <v>1413</v>
      </c>
      <c r="E3931" s="1" t="s">
        <v>1413</v>
      </c>
      <c r="F3931" s="1" t="s">
        <v>30</v>
      </c>
      <c r="G3931" s="1" t="s">
        <v>30</v>
      </c>
      <c r="H3931" s="1" t="s">
        <v>1762</v>
      </c>
      <c r="I3931" t="b">
        <f>COUNTIF(Estadísticas!I:I,'centraldecomunicacion.es'!H3931)&gt;0</f>
        <v>0</v>
      </c>
    </row>
    <row r="3932" spans="1:9" hidden="1">
      <c r="A3932" s="1" t="s">
        <v>14016</v>
      </c>
      <c r="B3932" s="1" t="s">
        <v>10</v>
      </c>
      <c r="C3932" s="1" t="s">
        <v>14017</v>
      </c>
      <c r="D3932" s="1" t="s">
        <v>1413</v>
      </c>
      <c r="E3932" s="1" t="s">
        <v>1413</v>
      </c>
      <c r="F3932" s="1" t="s">
        <v>30</v>
      </c>
      <c r="G3932" s="1" t="s">
        <v>14018</v>
      </c>
      <c r="H3932" s="1" t="s">
        <v>1762</v>
      </c>
      <c r="I3932" t="b">
        <f>COUNTIF(Estadísticas!I:I,'centraldecomunicacion.es'!H3932)&gt;0</f>
        <v>0</v>
      </c>
    </row>
    <row r="3933" spans="1:9" hidden="1">
      <c r="A3933" s="1" t="s">
        <v>14019</v>
      </c>
      <c r="B3933" s="1" t="s">
        <v>10</v>
      </c>
      <c r="C3933" s="1" t="s">
        <v>14020</v>
      </c>
      <c r="D3933" s="1" t="s">
        <v>1413</v>
      </c>
      <c r="E3933" s="1" t="s">
        <v>1413</v>
      </c>
      <c r="F3933" s="1" t="s">
        <v>30</v>
      </c>
      <c r="G3933" s="1" t="s">
        <v>14021</v>
      </c>
      <c r="H3933" s="1" t="s">
        <v>1762</v>
      </c>
      <c r="I3933" t="b">
        <f>COUNTIF(Estadísticas!I:I,'centraldecomunicacion.es'!H3933)&gt;0</f>
        <v>0</v>
      </c>
    </row>
    <row r="3934" spans="1:9" hidden="1">
      <c r="A3934" s="1" t="s">
        <v>14022</v>
      </c>
      <c r="B3934" s="1" t="s">
        <v>10</v>
      </c>
      <c r="C3934" s="1" t="s">
        <v>14023</v>
      </c>
      <c r="D3934" s="1" t="s">
        <v>1413</v>
      </c>
      <c r="E3934" s="1" t="s">
        <v>1413</v>
      </c>
      <c r="F3934" s="1" t="s">
        <v>30</v>
      </c>
      <c r="G3934" s="1" t="s">
        <v>30</v>
      </c>
      <c r="H3934" s="1" t="s">
        <v>1762</v>
      </c>
      <c r="I3934" t="b">
        <f>COUNTIF(Estadísticas!I:I,'centraldecomunicacion.es'!H3934)&gt;0</f>
        <v>0</v>
      </c>
    </row>
    <row r="3935" spans="1:9" hidden="1">
      <c r="A3935" s="1" t="s">
        <v>14024</v>
      </c>
      <c r="B3935" s="1" t="s">
        <v>10</v>
      </c>
      <c r="C3935" s="1" t="s">
        <v>14025</v>
      </c>
      <c r="D3935" s="1" t="s">
        <v>1413</v>
      </c>
      <c r="E3935" s="1" t="s">
        <v>1413</v>
      </c>
      <c r="F3935" s="1" t="s">
        <v>14026</v>
      </c>
      <c r="G3935" s="1" t="s">
        <v>14027</v>
      </c>
      <c r="H3935" s="1" t="s">
        <v>1762</v>
      </c>
      <c r="I3935" t="b">
        <f>COUNTIF(Estadísticas!I:I,'centraldecomunicacion.es'!H3935)&gt;0</f>
        <v>0</v>
      </c>
    </row>
    <row r="3936" spans="1:9" hidden="1">
      <c r="A3936" s="1" t="s">
        <v>14028</v>
      </c>
      <c r="B3936" s="1" t="s">
        <v>18</v>
      </c>
      <c r="C3936" s="1" t="s">
        <v>14029</v>
      </c>
      <c r="D3936" s="1" t="s">
        <v>14030</v>
      </c>
      <c r="E3936" s="1" t="s">
        <v>1413</v>
      </c>
      <c r="F3936" s="1" t="s">
        <v>30</v>
      </c>
      <c r="G3936" s="1" t="s">
        <v>14031</v>
      </c>
      <c r="H3936" s="1" t="s">
        <v>1762</v>
      </c>
      <c r="I3936" t="b">
        <f>COUNTIF(Estadísticas!I:I,'centraldecomunicacion.es'!H3936)&gt;0</f>
        <v>0</v>
      </c>
    </row>
    <row r="3937" spans="1:9" hidden="1">
      <c r="A3937" s="1" t="s">
        <v>14032</v>
      </c>
      <c r="B3937" s="1" t="s">
        <v>10</v>
      </c>
      <c r="C3937" s="1" t="s">
        <v>14033</v>
      </c>
      <c r="D3937" s="1" t="s">
        <v>1413</v>
      </c>
      <c r="E3937" s="1" t="s">
        <v>1413</v>
      </c>
      <c r="F3937" s="1" t="s">
        <v>30</v>
      </c>
      <c r="G3937" s="1" t="s">
        <v>14034</v>
      </c>
      <c r="H3937" s="1" t="s">
        <v>1762</v>
      </c>
      <c r="I3937" t="b">
        <f>COUNTIF(Estadísticas!I:I,'centraldecomunicacion.es'!H3937)&gt;0</f>
        <v>0</v>
      </c>
    </row>
    <row r="3938" spans="1:9" hidden="1">
      <c r="A3938" s="1" t="s">
        <v>14035</v>
      </c>
      <c r="B3938" s="1" t="s">
        <v>10</v>
      </c>
      <c r="C3938" s="1" t="s">
        <v>14036</v>
      </c>
      <c r="D3938" s="1" t="s">
        <v>1413</v>
      </c>
      <c r="E3938" s="1" t="s">
        <v>1413</v>
      </c>
      <c r="F3938" s="1" t="s">
        <v>30</v>
      </c>
      <c r="G3938" s="1" t="s">
        <v>14037</v>
      </c>
      <c r="H3938" s="1" t="s">
        <v>1762</v>
      </c>
      <c r="I3938" t="b">
        <f>COUNTIF(Estadísticas!I:I,'centraldecomunicacion.es'!H3938)&gt;0</f>
        <v>0</v>
      </c>
    </row>
    <row r="3939" spans="1:9" hidden="1">
      <c r="A3939" s="1" t="s">
        <v>14038</v>
      </c>
      <c r="B3939" s="1" t="s">
        <v>10</v>
      </c>
      <c r="C3939" s="1" t="s">
        <v>14039</v>
      </c>
      <c r="D3939" s="1" t="s">
        <v>10482</v>
      </c>
      <c r="E3939" s="1" t="s">
        <v>1413</v>
      </c>
      <c r="F3939" s="1" t="s">
        <v>14040</v>
      </c>
      <c r="G3939" s="1" t="s">
        <v>14041</v>
      </c>
      <c r="H3939" s="1" t="s">
        <v>1762</v>
      </c>
      <c r="I3939" t="b">
        <f>COUNTIF(Estadísticas!I:I,'centraldecomunicacion.es'!H3939)&gt;0</f>
        <v>0</v>
      </c>
    </row>
    <row r="3940" spans="1:9" hidden="1">
      <c r="A3940" s="1" t="s">
        <v>14042</v>
      </c>
      <c r="B3940" s="1" t="s">
        <v>10</v>
      </c>
      <c r="C3940" s="1" t="s">
        <v>30</v>
      </c>
      <c r="D3940" s="1" t="s">
        <v>1407</v>
      </c>
      <c r="E3940" s="1" t="s">
        <v>30</v>
      </c>
      <c r="F3940" s="1" t="s">
        <v>6274</v>
      </c>
      <c r="G3940" s="1" t="s">
        <v>14043</v>
      </c>
      <c r="H3940" s="1" t="s">
        <v>1762</v>
      </c>
      <c r="I3940" t="b">
        <f>COUNTIF(Estadísticas!I:I,'centraldecomunicacion.es'!H3940)&gt;0</f>
        <v>0</v>
      </c>
    </row>
    <row r="3941" spans="1:9" hidden="1">
      <c r="A3941" s="1" t="s">
        <v>14044</v>
      </c>
      <c r="B3941" s="1" t="s">
        <v>10</v>
      </c>
      <c r="C3941" s="1" t="s">
        <v>14045</v>
      </c>
      <c r="D3941" s="1" t="s">
        <v>1413</v>
      </c>
      <c r="E3941" s="1" t="s">
        <v>1413</v>
      </c>
      <c r="F3941" s="1" t="s">
        <v>30</v>
      </c>
      <c r="G3941" s="1" t="s">
        <v>14046</v>
      </c>
      <c r="H3941" s="1" t="s">
        <v>1762</v>
      </c>
      <c r="I3941" t="b">
        <f>COUNTIF(Estadísticas!I:I,'centraldecomunicacion.es'!H3941)&gt;0</f>
        <v>0</v>
      </c>
    </row>
    <row r="3942" spans="1:9" hidden="1">
      <c r="A3942" s="1" t="s">
        <v>14047</v>
      </c>
      <c r="B3942" s="1" t="s">
        <v>10</v>
      </c>
      <c r="C3942" s="1" t="s">
        <v>14048</v>
      </c>
      <c r="D3942" s="1" t="s">
        <v>10482</v>
      </c>
      <c r="E3942" s="1" t="s">
        <v>1413</v>
      </c>
      <c r="F3942" s="1" t="s">
        <v>30</v>
      </c>
      <c r="G3942" s="1" t="s">
        <v>14049</v>
      </c>
      <c r="H3942" s="1" t="s">
        <v>1762</v>
      </c>
      <c r="I3942" t="b">
        <f>COUNTIF(Estadísticas!I:I,'centraldecomunicacion.es'!H3942)&gt;0</f>
        <v>0</v>
      </c>
    </row>
    <row r="3943" spans="1:9" hidden="1">
      <c r="A3943" s="1" t="s">
        <v>14050</v>
      </c>
      <c r="B3943" s="1" t="s">
        <v>10</v>
      </c>
      <c r="C3943" s="1" t="s">
        <v>14051</v>
      </c>
      <c r="D3943" s="1" t="s">
        <v>1423</v>
      </c>
      <c r="E3943" s="1" t="s">
        <v>1413</v>
      </c>
      <c r="F3943" s="1" t="s">
        <v>14052</v>
      </c>
      <c r="G3943" s="1" t="s">
        <v>14053</v>
      </c>
      <c r="H3943" s="1" t="s">
        <v>1762</v>
      </c>
      <c r="I3943" t="b">
        <f>COUNTIF(Estadísticas!I:I,'centraldecomunicacion.es'!H3943)&gt;0</f>
        <v>0</v>
      </c>
    </row>
    <row r="3944" spans="1:9">
      <c r="A3944" s="1" t="s">
        <v>1421</v>
      </c>
      <c r="B3944" s="1" t="s">
        <v>10</v>
      </c>
      <c r="C3944" s="1" t="s">
        <v>1422</v>
      </c>
      <c r="D3944" s="1" t="s">
        <v>1423</v>
      </c>
      <c r="E3944" s="1" t="s">
        <v>1413</v>
      </c>
      <c r="F3944" s="1" t="s">
        <v>1424</v>
      </c>
      <c r="G3944" s="1" t="s">
        <v>1425</v>
      </c>
      <c r="H3944" s="1" t="s">
        <v>1426</v>
      </c>
      <c r="I3944" t="b">
        <f>COUNTIF(Estadísticas!I:I,'centraldecomunicacion.es'!H3944)&gt;0</f>
        <v>1</v>
      </c>
    </row>
    <row r="3945" spans="1:9" hidden="1">
      <c r="A3945" s="1" t="s">
        <v>14054</v>
      </c>
      <c r="B3945" s="1" t="s">
        <v>10</v>
      </c>
      <c r="C3945" s="1" t="s">
        <v>14055</v>
      </c>
      <c r="D3945" s="1" t="s">
        <v>1423</v>
      </c>
      <c r="E3945" s="1" t="s">
        <v>1413</v>
      </c>
      <c r="F3945" s="1" t="s">
        <v>14056</v>
      </c>
      <c r="G3945" s="1" t="s">
        <v>14057</v>
      </c>
      <c r="H3945" s="1" t="s">
        <v>1762</v>
      </c>
      <c r="I3945" t="b">
        <f>COUNTIF(Estadísticas!I:I,'centraldecomunicacion.es'!H3945)&gt;0</f>
        <v>0</v>
      </c>
    </row>
    <row r="3946" spans="1:9" hidden="1">
      <c r="A3946" s="1" t="s">
        <v>14058</v>
      </c>
      <c r="B3946" s="1" t="s">
        <v>10</v>
      </c>
      <c r="C3946" s="1" t="s">
        <v>14059</v>
      </c>
      <c r="D3946" s="1" t="s">
        <v>1423</v>
      </c>
      <c r="E3946" s="1" t="s">
        <v>1413</v>
      </c>
      <c r="F3946" s="1" t="s">
        <v>14060</v>
      </c>
      <c r="G3946" s="1" t="s">
        <v>14061</v>
      </c>
      <c r="H3946" s="1" t="s">
        <v>14062</v>
      </c>
      <c r="I3946" t="b">
        <f>COUNTIF(Estadísticas!I:I,'centraldecomunicacion.es'!H3946)&gt;0</f>
        <v>0</v>
      </c>
    </row>
    <row r="3947" spans="1:9" hidden="1">
      <c r="A3947" s="1" t="s">
        <v>14063</v>
      </c>
      <c r="B3947" s="1" t="s">
        <v>10</v>
      </c>
      <c r="C3947" s="1" t="s">
        <v>14064</v>
      </c>
      <c r="D3947" s="1" t="s">
        <v>1413</v>
      </c>
      <c r="E3947" s="1" t="s">
        <v>1413</v>
      </c>
      <c r="F3947" s="1" t="s">
        <v>30</v>
      </c>
      <c r="G3947" s="1" t="s">
        <v>14065</v>
      </c>
      <c r="H3947" s="1" t="s">
        <v>1762</v>
      </c>
      <c r="I3947" t="b">
        <f>COUNTIF(Estadísticas!I:I,'centraldecomunicacion.es'!H3947)&gt;0</f>
        <v>0</v>
      </c>
    </row>
    <row r="3948" spans="1:9">
      <c r="A3948" s="1" t="s">
        <v>1427</v>
      </c>
      <c r="B3948" s="1" t="s">
        <v>10</v>
      </c>
      <c r="C3948" s="1" t="s">
        <v>1428</v>
      </c>
      <c r="D3948" s="1" t="s">
        <v>1423</v>
      </c>
      <c r="E3948" s="1" t="s">
        <v>1413</v>
      </c>
      <c r="F3948" s="1" t="s">
        <v>1429</v>
      </c>
      <c r="G3948" s="1" t="s">
        <v>1430</v>
      </c>
      <c r="H3948" s="1" t="s">
        <v>1431</v>
      </c>
      <c r="I3948" t="b">
        <f>COUNTIF(Estadísticas!I:I,'centraldecomunicacion.es'!H3948)&gt;0</f>
        <v>1</v>
      </c>
    </row>
    <row r="3949" spans="1:9">
      <c r="A3949" s="1" t="s">
        <v>1432</v>
      </c>
      <c r="B3949" s="1" t="s">
        <v>10</v>
      </c>
      <c r="C3949" s="1" t="s">
        <v>1433</v>
      </c>
      <c r="D3949" s="1" t="s">
        <v>1434</v>
      </c>
      <c r="E3949" s="1" t="s">
        <v>1413</v>
      </c>
      <c r="F3949" s="1" t="s">
        <v>1435</v>
      </c>
      <c r="G3949" s="1" t="s">
        <v>1436</v>
      </c>
      <c r="H3949" s="1" t="s">
        <v>1437</v>
      </c>
      <c r="I3949" t="b">
        <f>COUNTIF(Estadísticas!I:I,'centraldecomunicacion.es'!H3949)&gt;0</f>
        <v>1</v>
      </c>
    </row>
    <row r="3950" spans="1:9" hidden="1">
      <c r="A3950" s="1" t="s">
        <v>14066</v>
      </c>
      <c r="B3950" s="1" t="s">
        <v>18</v>
      </c>
      <c r="C3950" s="1" t="s">
        <v>14067</v>
      </c>
      <c r="D3950" s="1" t="s">
        <v>14068</v>
      </c>
      <c r="E3950" s="1" t="s">
        <v>1413</v>
      </c>
      <c r="F3950" s="1" t="s">
        <v>14069</v>
      </c>
      <c r="G3950" s="1" t="s">
        <v>14070</v>
      </c>
      <c r="H3950" s="1" t="s">
        <v>14071</v>
      </c>
      <c r="I3950" t="b">
        <f>COUNTIF(Estadísticas!I:I,'centraldecomunicacion.es'!H3950)&gt;0</f>
        <v>0</v>
      </c>
    </row>
    <row r="3951" spans="1:9" hidden="1">
      <c r="A3951" s="1" t="s">
        <v>14072</v>
      </c>
      <c r="B3951" s="1" t="s">
        <v>10</v>
      </c>
      <c r="C3951" s="1" t="s">
        <v>14073</v>
      </c>
      <c r="D3951" s="1" t="s">
        <v>1413</v>
      </c>
      <c r="E3951" s="1" t="s">
        <v>1413</v>
      </c>
      <c r="F3951" s="1" t="s">
        <v>30</v>
      </c>
      <c r="G3951" s="1" t="s">
        <v>30</v>
      </c>
      <c r="H3951" s="1" t="s">
        <v>1762</v>
      </c>
      <c r="I3951" t="b">
        <f>COUNTIF(Estadísticas!I:I,'centraldecomunicacion.es'!H3951)&gt;0</f>
        <v>0</v>
      </c>
    </row>
    <row r="3952" spans="1:9" hidden="1">
      <c r="A3952" s="1" t="s">
        <v>14074</v>
      </c>
      <c r="B3952" s="1" t="s">
        <v>10</v>
      </c>
      <c r="C3952" s="1" t="s">
        <v>14075</v>
      </c>
      <c r="D3952" s="1" t="s">
        <v>1413</v>
      </c>
      <c r="E3952" s="1" t="s">
        <v>1413</v>
      </c>
      <c r="F3952" s="1" t="s">
        <v>30</v>
      </c>
      <c r="G3952" s="1" t="s">
        <v>14076</v>
      </c>
      <c r="H3952" s="1" t="s">
        <v>1762</v>
      </c>
      <c r="I3952" t="b">
        <f>COUNTIF(Estadísticas!I:I,'centraldecomunicacion.es'!H3952)&gt;0</f>
        <v>0</v>
      </c>
    </row>
    <row r="3953" spans="1:9" hidden="1">
      <c r="A3953" s="1" t="s">
        <v>14077</v>
      </c>
      <c r="B3953" s="1" t="s">
        <v>10</v>
      </c>
      <c r="C3953" s="1" t="s">
        <v>14078</v>
      </c>
      <c r="D3953" s="1" t="s">
        <v>10482</v>
      </c>
      <c r="E3953" s="1" t="s">
        <v>1413</v>
      </c>
      <c r="F3953" s="1" t="s">
        <v>30</v>
      </c>
      <c r="G3953" s="1" t="s">
        <v>14079</v>
      </c>
      <c r="H3953" s="1" t="s">
        <v>1762</v>
      </c>
      <c r="I3953" t="b">
        <f>COUNTIF(Estadísticas!I:I,'centraldecomunicacion.es'!H3953)&gt;0</f>
        <v>0</v>
      </c>
    </row>
    <row r="3954" spans="1:9">
      <c r="A3954" s="1" t="s">
        <v>14080</v>
      </c>
      <c r="B3954" s="1" t="s">
        <v>10</v>
      </c>
      <c r="C3954" s="1" t="s">
        <v>30</v>
      </c>
      <c r="D3954" s="1" t="s">
        <v>1407</v>
      </c>
      <c r="E3954" s="1" t="s">
        <v>30</v>
      </c>
      <c r="F3954" s="1" t="s">
        <v>1408</v>
      </c>
      <c r="G3954" s="1" t="s">
        <v>1409</v>
      </c>
      <c r="H3954" s="1" t="s">
        <v>1410</v>
      </c>
      <c r="I3954" t="b">
        <f>COUNTIF(Estadísticas!I:I,'centraldecomunicacion.es'!H3954)&gt;0</f>
        <v>1</v>
      </c>
    </row>
    <row r="3955" spans="1:9">
      <c r="A3955" s="1" t="s">
        <v>1438</v>
      </c>
      <c r="B3955" s="1" t="s">
        <v>10</v>
      </c>
      <c r="C3955" s="1" t="s">
        <v>1439</v>
      </c>
      <c r="D3955" s="1" t="s">
        <v>1423</v>
      </c>
      <c r="E3955" s="1" t="s">
        <v>1413</v>
      </c>
      <c r="F3955" s="1" t="s">
        <v>1440</v>
      </c>
      <c r="G3955" s="1" t="s">
        <v>1441</v>
      </c>
      <c r="H3955" s="1" t="s">
        <v>1442</v>
      </c>
      <c r="I3955" t="b">
        <f>COUNTIF(Estadísticas!I:I,'centraldecomunicacion.es'!H3955)&gt;0</f>
        <v>1</v>
      </c>
    </row>
    <row r="3956" spans="1:9" hidden="1">
      <c r="A3956" s="1" t="s">
        <v>14081</v>
      </c>
      <c r="B3956" s="1" t="s">
        <v>10</v>
      </c>
      <c r="C3956" s="1" t="s">
        <v>30</v>
      </c>
      <c r="D3956" s="1" t="s">
        <v>1407</v>
      </c>
      <c r="E3956" s="1" t="s">
        <v>30</v>
      </c>
      <c r="F3956" s="1" t="s">
        <v>30</v>
      </c>
      <c r="G3956" s="1" t="s">
        <v>14082</v>
      </c>
      <c r="H3956" s="1" t="s">
        <v>1762</v>
      </c>
      <c r="I3956" t="b">
        <f>COUNTIF(Estadísticas!I:I,'centraldecomunicacion.es'!H3956)&gt;0</f>
        <v>0</v>
      </c>
    </row>
    <row r="3957" spans="1:9" hidden="1">
      <c r="A3957" s="1" t="s">
        <v>14083</v>
      </c>
      <c r="B3957" s="1" t="s">
        <v>10</v>
      </c>
      <c r="C3957" s="1" t="s">
        <v>14084</v>
      </c>
      <c r="D3957" s="1" t="s">
        <v>14085</v>
      </c>
      <c r="E3957" s="1" t="s">
        <v>1413</v>
      </c>
      <c r="F3957" s="1" t="s">
        <v>14086</v>
      </c>
      <c r="G3957" s="1" t="s">
        <v>14087</v>
      </c>
      <c r="H3957" s="1" t="s">
        <v>14088</v>
      </c>
      <c r="I3957" t="b">
        <f>COUNTIF(Estadísticas!I:I,'centraldecomunicacion.es'!H3957)&gt;0</f>
        <v>0</v>
      </c>
    </row>
    <row r="3958" spans="1:9" hidden="1">
      <c r="A3958" s="1" t="s">
        <v>14089</v>
      </c>
      <c r="B3958" s="1" t="s">
        <v>10</v>
      </c>
      <c r="C3958" s="1" t="s">
        <v>14090</v>
      </c>
      <c r="D3958" s="1" t="s">
        <v>14091</v>
      </c>
      <c r="E3958" s="1" t="s">
        <v>1413</v>
      </c>
      <c r="F3958" s="1" t="s">
        <v>30</v>
      </c>
      <c r="G3958" s="1" t="s">
        <v>14092</v>
      </c>
      <c r="H3958" s="1" t="s">
        <v>1762</v>
      </c>
      <c r="I3958" t="b">
        <f>COUNTIF(Estadísticas!I:I,'centraldecomunicacion.es'!H3958)&gt;0</f>
        <v>0</v>
      </c>
    </row>
    <row r="3959" spans="1:9" hidden="1">
      <c r="A3959" s="1" t="s">
        <v>14093</v>
      </c>
      <c r="B3959" s="1" t="s">
        <v>10</v>
      </c>
      <c r="C3959" s="1" t="s">
        <v>14094</v>
      </c>
      <c r="D3959" s="1" t="s">
        <v>14095</v>
      </c>
      <c r="E3959" s="1" t="s">
        <v>1413</v>
      </c>
      <c r="F3959" s="1" t="s">
        <v>30</v>
      </c>
      <c r="G3959" s="1" t="s">
        <v>14096</v>
      </c>
      <c r="H3959" s="1" t="s">
        <v>1762</v>
      </c>
      <c r="I3959" t="b">
        <f>COUNTIF(Estadísticas!I:I,'centraldecomunicacion.es'!H3959)&gt;0</f>
        <v>0</v>
      </c>
    </row>
    <row r="3960" spans="1:9" hidden="1">
      <c r="A3960" s="1" t="s">
        <v>14097</v>
      </c>
      <c r="B3960" s="1" t="s">
        <v>18</v>
      </c>
      <c r="C3960" s="1" t="s">
        <v>14098</v>
      </c>
      <c r="D3960" s="1" t="s">
        <v>1413</v>
      </c>
      <c r="E3960" s="1" t="s">
        <v>1413</v>
      </c>
      <c r="F3960" s="1" t="s">
        <v>30</v>
      </c>
      <c r="G3960" s="1" t="s">
        <v>14099</v>
      </c>
      <c r="H3960" s="1" t="s">
        <v>1762</v>
      </c>
      <c r="I3960" t="b">
        <f>COUNTIF(Estadísticas!I:I,'centraldecomunicacion.es'!H3960)&gt;0</f>
        <v>0</v>
      </c>
    </row>
    <row r="3961" spans="1:9" hidden="1">
      <c r="A3961" s="1" t="s">
        <v>14100</v>
      </c>
      <c r="B3961" s="1" t="s">
        <v>10</v>
      </c>
      <c r="C3961" s="1" t="s">
        <v>14101</v>
      </c>
      <c r="D3961" s="1" t="s">
        <v>1407</v>
      </c>
      <c r="E3961" s="1" t="s">
        <v>14102</v>
      </c>
      <c r="F3961" s="1" t="s">
        <v>30</v>
      </c>
      <c r="G3961" s="1" t="s">
        <v>14103</v>
      </c>
      <c r="H3961" s="1" t="s">
        <v>1762</v>
      </c>
      <c r="I3961" t="b">
        <f>COUNTIF(Estadísticas!I:I,'centraldecomunicacion.es'!H3961)&gt;0</f>
        <v>0</v>
      </c>
    </row>
    <row r="3962" spans="1:9" hidden="1">
      <c r="A3962" s="1" t="s">
        <v>14104</v>
      </c>
      <c r="B3962" s="1" t="s">
        <v>10</v>
      </c>
      <c r="C3962" s="1" t="s">
        <v>14105</v>
      </c>
      <c r="D3962" s="1" t="s">
        <v>14106</v>
      </c>
      <c r="E3962" s="1" t="s">
        <v>1413</v>
      </c>
      <c r="F3962" s="1" t="s">
        <v>30</v>
      </c>
      <c r="G3962" s="1" t="s">
        <v>14107</v>
      </c>
      <c r="H3962" s="1" t="s">
        <v>1762</v>
      </c>
      <c r="I3962" t="b">
        <f>COUNTIF(Estadísticas!I:I,'centraldecomunicacion.es'!H3962)&gt;0</f>
        <v>0</v>
      </c>
    </row>
    <row r="3963" spans="1:9" hidden="1">
      <c r="A3963" s="1" t="s">
        <v>14108</v>
      </c>
      <c r="B3963" s="1" t="s">
        <v>10</v>
      </c>
      <c r="C3963" s="1" t="s">
        <v>14109</v>
      </c>
      <c r="D3963" s="1" t="s">
        <v>14110</v>
      </c>
      <c r="E3963" s="1" t="s">
        <v>1413</v>
      </c>
      <c r="F3963" s="1" t="s">
        <v>30</v>
      </c>
      <c r="G3963" s="1" t="s">
        <v>14111</v>
      </c>
      <c r="H3963" s="1" t="s">
        <v>1762</v>
      </c>
      <c r="I3963" t="b">
        <f>COUNTIF(Estadísticas!I:I,'centraldecomunicacion.es'!H3963)&gt;0</f>
        <v>0</v>
      </c>
    </row>
    <row r="3964" spans="1:9" hidden="1">
      <c r="A3964" s="1" t="s">
        <v>14112</v>
      </c>
      <c r="B3964" s="1" t="s">
        <v>18</v>
      </c>
      <c r="C3964" s="1" t="s">
        <v>14113</v>
      </c>
      <c r="D3964" s="1" t="s">
        <v>14114</v>
      </c>
      <c r="E3964" s="1" t="s">
        <v>1413</v>
      </c>
      <c r="F3964" s="1" t="s">
        <v>14115</v>
      </c>
      <c r="G3964" s="1" t="s">
        <v>14116</v>
      </c>
      <c r="H3964" s="1" t="s">
        <v>14117</v>
      </c>
      <c r="I3964" t="b">
        <f>COUNTIF(Estadísticas!I:I,'centraldecomunicacion.es'!H3964)&gt;0</f>
        <v>0</v>
      </c>
    </row>
    <row r="3965" spans="1:9" hidden="1">
      <c r="A3965" s="1" t="s">
        <v>14118</v>
      </c>
      <c r="B3965" s="1" t="s">
        <v>10</v>
      </c>
      <c r="C3965" s="1" t="s">
        <v>14119</v>
      </c>
      <c r="D3965" s="1" t="s">
        <v>1423</v>
      </c>
      <c r="E3965" s="1" t="s">
        <v>1413</v>
      </c>
      <c r="F3965" s="1" t="s">
        <v>14120</v>
      </c>
      <c r="G3965" s="1" t="s">
        <v>14121</v>
      </c>
      <c r="H3965" s="1" t="s">
        <v>1762</v>
      </c>
      <c r="I3965" t="b">
        <f>COUNTIF(Estadísticas!I:I,'centraldecomunicacion.es'!H3965)&gt;0</f>
        <v>0</v>
      </c>
    </row>
    <row r="3966" spans="1:9" hidden="1">
      <c r="A3966" s="1" t="s">
        <v>14122</v>
      </c>
      <c r="B3966" s="1" t="s">
        <v>10</v>
      </c>
      <c r="C3966" s="1" t="s">
        <v>14123</v>
      </c>
      <c r="D3966" s="1" t="s">
        <v>14124</v>
      </c>
      <c r="E3966" s="1" t="s">
        <v>1413</v>
      </c>
      <c r="F3966" s="1" t="s">
        <v>30</v>
      </c>
      <c r="G3966" s="1" t="s">
        <v>14125</v>
      </c>
      <c r="H3966" s="1" t="s">
        <v>1762</v>
      </c>
      <c r="I3966" t="b">
        <f>COUNTIF(Estadísticas!I:I,'centraldecomunicacion.es'!H3966)&gt;0</f>
        <v>0</v>
      </c>
    </row>
    <row r="3967" spans="1:9" hidden="1">
      <c r="A3967" s="1" t="s">
        <v>14126</v>
      </c>
      <c r="B3967" s="1" t="s">
        <v>10</v>
      </c>
      <c r="C3967" s="1" t="s">
        <v>14127</v>
      </c>
      <c r="D3967" s="1" t="s">
        <v>1423</v>
      </c>
      <c r="E3967" s="1" t="s">
        <v>1413</v>
      </c>
      <c r="F3967" s="1" t="s">
        <v>30</v>
      </c>
      <c r="G3967" s="1" t="s">
        <v>14128</v>
      </c>
      <c r="H3967" s="1" t="s">
        <v>1762</v>
      </c>
      <c r="I3967" t="b">
        <f>COUNTIF(Estadísticas!I:I,'centraldecomunicacion.es'!H3967)&gt;0</f>
        <v>0</v>
      </c>
    </row>
    <row r="3968" spans="1:9" hidden="1">
      <c r="A3968" s="1" t="s">
        <v>14129</v>
      </c>
      <c r="B3968" s="1" t="s">
        <v>18</v>
      </c>
      <c r="C3968" s="1" t="s">
        <v>14130</v>
      </c>
      <c r="D3968" s="1" t="s">
        <v>1423</v>
      </c>
      <c r="E3968" s="1" t="s">
        <v>1413</v>
      </c>
      <c r="F3968" s="1" t="s">
        <v>30</v>
      </c>
      <c r="G3968" s="1" t="s">
        <v>14131</v>
      </c>
      <c r="H3968" s="1" t="s">
        <v>1762</v>
      </c>
      <c r="I3968" t="b">
        <f>COUNTIF(Estadísticas!I:I,'centraldecomunicacion.es'!H3968)&gt;0</f>
        <v>0</v>
      </c>
    </row>
    <row r="3969" spans="1:9">
      <c r="A3969" s="1" t="s">
        <v>1443</v>
      </c>
      <c r="B3969" s="1" t="s">
        <v>10</v>
      </c>
      <c r="C3969" s="1" t="s">
        <v>1444</v>
      </c>
      <c r="D3969" s="1" t="s">
        <v>1423</v>
      </c>
      <c r="E3969" s="1" t="s">
        <v>1413</v>
      </c>
      <c r="F3969" s="1" t="s">
        <v>1445</v>
      </c>
      <c r="G3969" s="1" t="s">
        <v>1446</v>
      </c>
      <c r="H3969" s="1" t="s">
        <v>1447</v>
      </c>
      <c r="I3969" t="b">
        <f>COUNTIF(Estadísticas!I:I,'centraldecomunicacion.es'!H3969)&gt;0</f>
        <v>1</v>
      </c>
    </row>
    <row r="3970" spans="1:9" hidden="1">
      <c r="A3970" s="1" t="s">
        <v>14132</v>
      </c>
      <c r="B3970" s="1" t="s">
        <v>10</v>
      </c>
      <c r="C3970" s="1" t="s">
        <v>14133</v>
      </c>
      <c r="D3970" s="1" t="s">
        <v>14134</v>
      </c>
      <c r="E3970" s="1" t="s">
        <v>1413</v>
      </c>
      <c r="F3970" s="1" t="s">
        <v>30</v>
      </c>
      <c r="G3970" s="1" t="s">
        <v>14135</v>
      </c>
      <c r="H3970" s="1" t="s">
        <v>1762</v>
      </c>
      <c r="I3970" t="b">
        <f>COUNTIF(Estadísticas!I:I,'centraldecomunicacion.es'!H3970)&gt;0</f>
        <v>0</v>
      </c>
    </row>
    <row r="3971" spans="1:9" hidden="1">
      <c r="A3971" s="1" t="s">
        <v>14136</v>
      </c>
      <c r="B3971" s="1" t="s">
        <v>10</v>
      </c>
      <c r="C3971" s="1" t="s">
        <v>14137</v>
      </c>
      <c r="D3971" s="1" t="s">
        <v>1423</v>
      </c>
      <c r="E3971" s="1" t="s">
        <v>1413</v>
      </c>
      <c r="F3971" s="1" t="s">
        <v>30</v>
      </c>
      <c r="G3971" s="1" t="s">
        <v>14138</v>
      </c>
      <c r="H3971" s="1" t="s">
        <v>1762</v>
      </c>
      <c r="I3971" t="b">
        <f>COUNTIF(Estadísticas!I:I,'centraldecomunicacion.es'!H3971)&gt;0</f>
        <v>0</v>
      </c>
    </row>
    <row r="3972" spans="1:9" hidden="1">
      <c r="A3972" s="1" t="s">
        <v>14139</v>
      </c>
      <c r="B3972" s="1" t="s">
        <v>10</v>
      </c>
      <c r="C3972" s="1" t="s">
        <v>14140</v>
      </c>
      <c r="D3972" s="1" t="s">
        <v>14085</v>
      </c>
      <c r="E3972" s="1" t="s">
        <v>1413</v>
      </c>
      <c r="F3972" s="1" t="s">
        <v>30</v>
      </c>
      <c r="G3972" s="1" t="s">
        <v>30</v>
      </c>
      <c r="H3972" s="1" t="s">
        <v>1762</v>
      </c>
      <c r="I3972" t="b">
        <f>COUNTIF(Estadísticas!I:I,'centraldecomunicacion.es'!H3972)&gt;0</f>
        <v>0</v>
      </c>
    </row>
    <row r="3973" spans="1:9" hidden="1">
      <c r="A3973" s="1" t="s">
        <v>14141</v>
      </c>
      <c r="B3973" s="1" t="s">
        <v>10</v>
      </c>
      <c r="C3973" s="1" t="s">
        <v>14142</v>
      </c>
      <c r="D3973" s="1" t="s">
        <v>14114</v>
      </c>
      <c r="E3973" s="1" t="s">
        <v>1413</v>
      </c>
      <c r="F3973" s="1" t="s">
        <v>30</v>
      </c>
      <c r="G3973" s="1" t="s">
        <v>14143</v>
      </c>
      <c r="H3973" s="1" t="s">
        <v>1762</v>
      </c>
      <c r="I3973" t="b">
        <f>COUNTIF(Estadísticas!I:I,'centraldecomunicacion.es'!H3973)&gt;0</f>
        <v>0</v>
      </c>
    </row>
    <row r="3974" spans="1:9" hidden="1">
      <c r="A3974" s="1" t="s">
        <v>14144</v>
      </c>
      <c r="B3974" s="1" t="s">
        <v>10</v>
      </c>
      <c r="C3974" s="1" t="s">
        <v>14145</v>
      </c>
      <c r="D3974" s="1" t="s">
        <v>1423</v>
      </c>
      <c r="E3974" s="1" t="s">
        <v>1413</v>
      </c>
      <c r="F3974" s="1" t="s">
        <v>1830</v>
      </c>
      <c r="G3974" s="1" t="s">
        <v>14146</v>
      </c>
      <c r="H3974" s="1" t="s">
        <v>1762</v>
      </c>
      <c r="I3974" t="b">
        <f>COUNTIF(Estadísticas!I:I,'centraldecomunicacion.es'!H3974)&gt;0</f>
        <v>0</v>
      </c>
    </row>
    <row r="3975" spans="1:9" hidden="1">
      <c r="A3975" s="1" t="s">
        <v>14147</v>
      </c>
      <c r="B3975" s="1" t="s">
        <v>10</v>
      </c>
      <c r="C3975" s="1" t="s">
        <v>14148</v>
      </c>
      <c r="D3975" s="1" t="s">
        <v>1407</v>
      </c>
      <c r="E3975" s="1" t="s">
        <v>1413</v>
      </c>
      <c r="F3975" s="1" t="s">
        <v>30</v>
      </c>
      <c r="G3975" s="1" t="s">
        <v>14149</v>
      </c>
      <c r="H3975" s="1" t="s">
        <v>1762</v>
      </c>
      <c r="I3975" t="b">
        <f>COUNTIF(Estadísticas!I:I,'centraldecomunicacion.es'!H3975)&gt;0</f>
        <v>0</v>
      </c>
    </row>
    <row r="3976" spans="1:9" hidden="1">
      <c r="A3976" s="1" t="s">
        <v>14150</v>
      </c>
      <c r="B3976" s="1" t="s">
        <v>10</v>
      </c>
      <c r="C3976" s="1" t="s">
        <v>14151</v>
      </c>
      <c r="D3976" s="1" t="s">
        <v>14152</v>
      </c>
      <c r="E3976" s="1" t="s">
        <v>1413</v>
      </c>
      <c r="F3976" s="1" t="s">
        <v>30</v>
      </c>
      <c r="G3976" s="1" t="s">
        <v>14153</v>
      </c>
      <c r="H3976" s="1" t="s">
        <v>1762</v>
      </c>
      <c r="I3976" t="b">
        <f>COUNTIF(Estadísticas!I:I,'centraldecomunicacion.es'!H3976)&gt;0</f>
        <v>0</v>
      </c>
    </row>
    <row r="3977" spans="1:9" hidden="1">
      <c r="A3977" s="1" t="s">
        <v>14154</v>
      </c>
      <c r="B3977" s="1" t="s">
        <v>10</v>
      </c>
      <c r="C3977" s="1" t="s">
        <v>14155</v>
      </c>
      <c r="D3977" s="1" t="s">
        <v>14124</v>
      </c>
      <c r="E3977" s="1" t="s">
        <v>1413</v>
      </c>
      <c r="F3977" s="1" t="s">
        <v>30</v>
      </c>
      <c r="G3977" s="1" t="s">
        <v>14156</v>
      </c>
      <c r="H3977" s="1" t="s">
        <v>1762</v>
      </c>
      <c r="I3977" t="b">
        <f>COUNTIF(Estadísticas!I:I,'centraldecomunicacion.es'!H3977)&gt;0</f>
        <v>0</v>
      </c>
    </row>
    <row r="3978" spans="1:9" hidden="1">
      <c r="A3978" s="1" t="s">
        <v>14157</v>
      </c>
      <c r="B3978" s="1" t="s">
        <v>10</v>
      </c>
      <c r="C3978" s="1" t="s">
        <v>14158</v>
      </c>
      <c r="D3978" s="1" t="s">
        <v>1423</v>
      </c>
      <c r="E3978" s="1" t="s">
        <v>1413</v>
      </c>
      <c r="F3978" s="1" t="s">
        <v>14159</v>
      </c>
      <c r="G3978" s="1" t="s">
        <v>14160</v>
      </c>
      <c r="H3978" s="1" t="s">
        <v>14161</v>
      </c>
      <c r="I3978" t="b">
        <f>COUNTIF(Estadísticas!I:I,'centraldecomunicacion.es'!H3978)&gt;0</f>
        <v>0</v>
      </c>
    </row>
    <row r="3979" spans="1:9" hidden="1">
      <c r="A3979" s="1" t="s">
        <v>14162</v>
      </c>
      <c r="B3979" s="1" t="s">
        <v>10</v>
      </c>
      <c r="C3979" s="1" t="s">
        <v>14163</v>
      </c>
      <c r="D3979" s="1" t="s">
        <v>14068</v>
      </c>
      <c r="E3979" s="1" t="s">
        <v>1413</v>
      </c>
      <c r="F3979" s="1" t="s">
        <v>14164</v>
      </c>
      <c r="G3979" s="1" t="s">
        <v>14165</v>
      </c>
      <c r="H3979" s="1" t="s">
        <v>1762</v>
      </c>
      <c r="I3979" t="b">
        <f>COUNTIF(Estadísticas!I:I,'centraldecomunicacion.es'!H3979)&gt;0</f>
        <v>0</v>
      </c>
    </row>
    <row r="3980" spans="1:9" hidden="1">
      <c r="A3980" s="1" t="s">
        <v>14166</v>
      </c>
      <c r="B3980" s="1" t="s">
        <v>10</v>
      </c>
      <c r="C3980" s="1" t="s">
        <v>14167</v>
      </c>
      <c r="D3980" s="1" t="s">
        <v>14168</v>
      </c>
      <c r="E3980" s="1" t="s">
        <v>1413</v>
      </c>
      <c r="F3980" s="1" t="s">
        <v>30</v>
      </c>
      <c r="G3980" s="1" t="s">
        <v>14169</v>
      </c>
      <c r="H3980" s="1" t="s">
        <v>1762</v>
      </c>
      <c r="I3980" t="b">
        <f>COUNTIF(Estadísticas!I:I,'centraldecomunicacion.es'!H3980)&gt;0</f>
        <v>0</v>
      </c>
    </row>
    <row r="3981" spans="1:9" hidden="1">
      <c r="A3981" s="1" t="s">
        <v>14170</v>
      </c>
      <c r="B3981" s="1" t="s">
        <v>10</v>
      </c>
      <c r="C3981" s="1" t="s">
        <v>14171</v>
      </c>
      <c r="D3981" s="1" t="s">
        <v>1407</v>
      </c>
      <c r="E3981" s="1" t="s">
        <v>1413</v>
      </c>
      <c r="F3981" s="1" t="s">
        <v>30</v>
      </c>
      <c r="G3981" s="1" t="s">
        <v>14172</v>
      </c>
      <c r="H3981" s="1" t="s">
        <v>1762</v>
      </c>
      <c r="I3981" t="b">
        <f>COUNTIF(Estadísticas!I:I,'centraldecomunicacion.es'!H3981)&gt;0</f>
        <v>0</v>
      </c>
    </row>
    <row r="3982" spans="1:9" hidden="1">
      <c r="A3982" s="1" t="s">
        <v>14173</v>
      </c>
      <c r="B3982" s="1" t="s">
        <v>10</v>
      </c>
      <c r="C3982" s="1" t="s">
        <v>14174</v>
      </c>
      <c r="D3982" s="1" t="s">
        <v>14175</v>
      </c>
      <c r="E3982" s="1" t="s">
        <v>1413</v>
      </c>
      <c r="F3982" s="1" t="s">
        <v>30</v>
      </c>
      <c r="G3982" s="1" t="s">
        <v>14176</v>
      </c>
      <c r="H3982" s="1" t="s">
        <v>1762</v>
      </c>
      <c r="I3982" t="b">
        <f>COUNTIF(Estadísticas!I:I,'centraldecomunicacion.es'!H3982)&gt;0</f>
        <v>0</v>
      </c>
    </row>
    <row r="3983" spans="1:9" hidden="1">
      <c r="A3983" s="1" t="s">
        <v>14177</v>
      </c>
      <c r="B3983" s="1" t="s">
        <v>10</v>
      </c>
      <c r="C3983" s="1" t="s">
        <v>14178</v>
      </c>
      <c r="D3983" s="1" t="s">
        <v>1423</v>
      </c>
      <c r="E3983" s="1" t="s">
        <v>1413</v>
      </c>
      <c r="F3983" s="1" t="s">
        <v>30</v>
      </c>
      <c r="G3983" s="1" t="s">
        <v>14179</v>
      </c>
      <c r="H3983" s="1" t="s">
        <v>1762</v>
      </c>
      <c r="I3983" t="b">
        <f>COUNTIF(Estadísticas!I:I,'centraldecomunicacion.es'!H3983)&gt;0</f>
        <v>0</v>
      </c>
    </row>
    <row r="3984" spans="1:9" hidden="1">
      <c r="A3984" s="1" t="s">
        <v>14180</v>
      </c>
      <c r="B3984" s="1" t="s">
        <v>10</v>
      </c>
      <c r="C3984" s="1" t="s">
        <v>14181</v>
      </c>
      <c r="D3984" s="1" t="s">
        <v>14182</v>
      </c>
      <c r="E3984" s="1" t="s">
        <v>1413</v>
      </c>
      <c r="F3984" s="1" t="s">
        <v>30</v>
      </c>
      <c r="G3984" s="1" t="s">
        <v>14183</v>
      </c>
      <c r="H3984" s="1" t="s">
        <v>1762</v>
      </c>
      <c r="I3984" t="b">
        <f>COUNTIF(Estadísticas!I:I,'centraldecomunicacion.es'!H3984)&gt;0</f>
        <v>0</v>
      </c>
    </row>
    <row r="3985" spans="1:9" hidden="1">
      <c r="A3985" s="1" t="s">
        <v>14184</v>
      </c>
      <c r="B3985" s="1" t="s">
        <v>18</v>
      </c>
      <c r="C3985" s="1" t="s">
        <v>14185</v>
      </c>
      <c r="D3985" s="1" t="s">
        <v>14152</v>
      </c>
      <c r="E3985" s="1" t="s">
        <v>1413</v>
      </c>
      <c r="F3985" s="1" t="s">
        <v>14186</v>
      </c>
      <c r="G3985" s="1" t="s">
        <v>14187</v>
      </c>
      <c r="H3985" s="1" t="s">
        <v>1762</v>
      </c>
      <c r="I3985" t="b">
        <f>COUNTIF(Estadísticas!I:I,'centraldecomunicacion.es'!H3985)&gt;0</f>
        <v>0</v>
      </c>
    </row>
    <row r="3986" spans="1:9" hidden="1">
      <c r="A3986" s="1" t="s">
        <v>14188</v>
      </c>
      <c r="B3986" s="1" t="s">
        <v>10</v>
      </c>
      <c r="C3986" s="1" t="s">
        <v>14189</v>
      </c>
      <c r="D3986" s="1" t="s">
        <v>14190</v>
      </c>
      <c r="E3986" s="1" t="s">
        <v>1413</v>
      </c>
      <c r="F3986" s="1" t="s">
        <v>30</v>
      </c>
      <c r="G3986" s="1" t="s">
        <v>14191</v>
      </c>
      <c r="H3986" s="1" t="s">
        <v>1762</v>
      </c>
      <c r="I3986" t="b">
        <f>COUNTIF(Estadísticas!I:I,'centraldecomunicacion.es'!H3986)&gt;0</f>
        <v>0</v>
      </c>
    </row>
    <row r="3987" spans="1:9" hidden="1">
      <c r="A3987" s="1" t="s">
        <v>14192</v>
      </c>
      <c r="B3987" s="1" t="s">
        <v>10</v>
      </c>
      <c r="C3987" s="1" t="s">
        <v>14193</v>
      </c>
      <c r="D3987" s="1" t="s">
        <v>1423</v>
      </c>
      <c r="E3987" s="1" t="s">
        <v>1413</v>
      </c>
      <c r="F3987" s="1" t="s">
        <v>30</v>
      </c>
      <c r="G3987" s="1" t="s">
        <v>14194</v>
      </c>
      <c r="H3987" s="1" t="s">
        <v>1762</v>
      </c>
      <c r="I3987" t="b">
        <f>COUNTIF(Estadísticas!I:I,'centraldecomunicacion.es'!H3987)&gt;0</f>
        <v>0</v>
      </c>
    </row>
    <row r="3988" spans="1:9" hidden="1">
      <c r="A3988" s="1" t="s">
        <v>14195</v>
      </c>
      <c r="B3988" s="1" t="s">
        <v>10</v>
      </c>
      <c r="C3988" s="1" t="s">
        <v>30</v>
      </c>
      <c r="D3988" s="1" t="s">
        <v>1407</v>
      </c>
      <c r="E3988" s="1" t="s">
        <v>30</v>
      </c>
      <c r="F3988" s="1" t="s">
        <v>14196</v>
      </c>
      <c r="G3988" s="1" t="s">
        <v>14197</v>
      </c>
      <c r="H3988" s="1" t="s">
        <v>14198</v>
      </c>
      <c r="I3988" t="b">
        <f>COUNTIF(Estadísticas!I:I,'centraldecomunicacion.es'!H3988)&gt;0</f>
        <v>0</v>
      </c>
    </row>
    <row r="3989" spans="1:9" hidden="1">
      <c r="A3989" s="1" t="s">
        <v>14199</v>
      </c>
      <c r="B3989" s="1" t="s">
        <v>10</v>
      </c>
      <c r="C3989" s="1" t="s">
        <v>14200</v>
      </c>
      <c r="D3989" s="1" t="s">
        <v>14152</v>
      </c>
      <c r="E3989" s="1" t="s">
        <v>1413</v>
      </c>
      <c r="F3989" s="1" t="s">
        <v>30</v>
      </c>
      <c r="G3989" s="1" t="s">
        <v>14201</v>
      </c>
      <c r="H3989" s="1" t="s">
        <v>1762</v>
      </c>
      <c r="I3989" t="b">
        <f>COUNTIF(Estadísticas!I:I,'centraldecomunicacion.es'!H3989)&gt;0</f>
        <v>0</v>
      </c>
    </row>
    <row r="3990" spans="1:9" hidden="1">
      <c r="A3990" s="1" t="s">
        <v>14202</v>
      </c>
      <c r="B3990" s="1" t="s">
        <v>10</v>
      </c>
      <c r="C3990" s="1" t="s">
        <v>14203</v>
      </c>
      <c r="D3990" s="1" t="s">
        <v>14204</v>
      </c>
      <c r="E3990" s="1" t="s">
        <v>1413</v>
      </c>
      <c r="F3990" s="1" t="s">
        <v>30</v>
      </c>
      <c r="G3990" s="1" t="s">
        <v>14205</v>
      </c>
      <c r="H3990" s="1" t="s">
        <v>1762</v>
      </c>
      <c r="I3990" t="b">
        <f>COUNTIF(Estadísticas!I:I,'centraldecomunicacion.es'!H3990)&gt;0</f>
        <v>0</v>
      </c>
    </row>
    <row r="3991" spans="1:9" hidden="1">
      <c r="A3991" s="1" t="s">
        <v>14206</v>
      </c>
      <c r="B3991" s="1" t="s">
        <v>10</v>
      </c>
      <c r="C3991" s="1" t="s">
        <v>14207</v>
      </c>
      <c r="D3991" s="1" t="s">
        <v>14208</v>
      </c>
      <c r="E3991" s="1" t="s">
        <v>1413</v>
      </c>
      <c r="F3991" s="1" t="s">
        <v>30</v>
      </c>
      <c r="G3991" s="1" t="s">
        <v>30</v>
      </c>
      <c r="H3991" s="1" t="s">
        <v>1762</v>
      </c>
      <c r="I3991" t="b">
        <f>COUNTIF(Estadísticas!I:I,'centraldecomunicacion.es'!H3991)&gt;0</f>
        <v>0</v>
      </c>
    </row>
    <row r="3992" spans="1:9" hidden="1">
      <c r="A3992" s="1" t="s">
        <v>14209</v>
      </c>
      <c r="B3992" s="1" t="s">
        <v>10</v>
      </c>
      <c r="C3992" s="1" t="s">
        <v>14210</v>
      </c>
      <c r="D3992" s="1" t="s">
        <v>14211</v>
      </c>
      <c r="E3992" s="1" t="s">
        <v>1413</v>
      </c>
      <c r="F3992" s="1" t="s">
        <v>30</v>
      </c>
      <c r="G3992" s="1" t="s">
        <v>14212</v>
      </c>
      <c r="H3992" s="1" t="s">
        <v>1762</v>
      </c>
      <c r="I3992" t="b">
        <f>COUNTIF(Estadísticas!I:I,'centraldecomunicacion.es'!H3992)&gt;0</f>
        <v>0</v>
      </c>
    </row>
    <row r="3993" spans="1:9" hidden="1">
      <c r="A3993" s="1" t="s">
        <v>14213</v>
      </c>
      <c r="B3993" s="1" t="s">
        <v>10</v>
      </c>
      <c r="C3993" s="1" t="s">
        <v>14214</v>
      </c>
      <c r="D3993" s="1" t="s">
        <v>1423</v>
      </c>
      <c r="E3993" s="1" t="s">
        <v>1413</v>
      </c>
      <c r="F3993" s="1" t="s">
        <v>14215</v>
      </c>
      <c r="G3993" s="1" t="s">
        <v>14216</v>
      </c>
      <c r="H3993" s="1" t="s">
        <v>1762</v>
      </c>
      <c r="I3993" t="b">
        <f>COUNTIF(Estadísticas!I:I,'centraldecomunicacion.es'!H3993)&gt;0</f>
        <v>0</v>
      </c>
    </row>
    <row r="3994" spans="1:9" hidden="1">
      <c r="A3994" s="1" t="s">
        <v>14217</v>
      </c>
      <c r="B3994" s="1" t="s">
        <v>10</v>
      </c>
      <c r="C3994" s="1" t="s">
        <v>14218</v>
      </c>
      <c r="D3994" s="1" t="s">
        <v>10482</v>
      </c>
      <c r="E3994" s="1" t="s">
        <v>1413</v>
      </c>
      <c r="F3994" s="1" t="s">
        <v>30</v>
      </c>
      <c r="G3994" s="1" t="s">
        <v>14219</v>
      </c>
      <c r="H3994" s="1" t="s">
        <v>1762</v>
      </c>
      <c r="I3994" t="b">
        <f>COUNTIF(Estadísticas!I:I,'centraldecomunicacion.es'!H3994)&gt;0</f>
        <v>0</v>
      </c>
    </row>
    <row r="3995" spans="1:9" hidden="1">
      <c r="A3995" s="1" t="s">
        <v>14220</v>
      </c>
      <c r="B3995" s="1" t="s">
        <v>10</v>
      </c>
      <c r="C3995" s="1" t="s">
        <v>14221</v>
      </c>
      <c r="D3995" s="1" t="s">
        <v>14222</v>
      </c>
      <c r="E3995" s="1" t="s">
        <v>1413</v>
      </c>
      <c r="F3995" s="1" t="s">
        <v>30</v>
      </c>
      <c r="G3995" s="1" t="s">
        <v>14223</v>
      </c>
      <c r="H3995" s="1" t="s">
        <v>1762</v>
      </c>
      <c r="I3995" t="b">
        <f>COUNTIF(Estadísticas!I:I,'centraldecomunicacion.es'!H3995)&gt;0</f>
        <v>0</v>
      </c>
    </row>
    <row r="3996" spans="1:9" hidden="1">
      <c r="A3996" s="1" t="s">
        <v>14224</v>
      </c>
      <c r="B3996" s="1" t="s">
        <v>10</v>
      </c>
      <c r="C3996" s="1" t="s">
        <v>14225</v>
      </c>
      <c r="D3996" s="1" t="s">
        <v>14222</v>
      </c>
      <c r="E3996" s="1" t="s">
        <v>1413</v>
      </c>
      <c r="F3996" s="1" t="s">
        <v>30</v>
      </c>
      <c r="G3996" s="1" t="s">
        <v>14226</v>
      </c>
      <c r="H3996" s="1" t="s">
        <v>1762</v>
      </c>
      <c r="I3996" t="b">
        <f>COUNTIF(Estadísticas!I:I,'centraldecomunicacion.es'!H3996)&gt;0</f>
        <v>0</v>
      </c>
    </row>
    <row r="3997" spans="1:9" hidden="1">
      <c r="A3997" s="1" t="s">
        <v>14227</v>
      </c>
      <c r="B3997" s="1" t="s">
        <v>10</v>
      </c>
      <c r="C3997" s="1" t="s">
        <v>14228</v>
      </c>
      <c r="D3997" s="1" t="s">
        <v>1423</v>
      </c>
      <c r="E3997" s="1" t="s">
        <v>1413</v>
      </c>
      <c r="F3997" s="1" t="s">
        <v>30</v>
      </c>
      <c r="G3997" s="1" t="s">
        <v>30</v>
      </c>
      <c r="H3997" s="1" t="s">
        <v>1762</v>
      </c>
      <c r="I3997" t="b">
        <f>COUNTIF(Estadísticas!I:I,'centraldecomunicacion.es'!H3997)&gt;0</f>
        <v>0</v>
      </c>
    </row>
    <row r="3998" spans="1:9" hidden="1">
      <c r="A3998" s="1" t="s">
        <v>14229</v>
      </c>
      <c r="B3998" s="1" t="s">
        <v>10</v>
      </c>
      <c r="C3998" s="1" t="s">
        <v>14230</v>
      </c>
      <c r="D3998" s="1" t="s">
        <v>14231</v>
      </c>
      <c r="E3998" s="1" t="s">
        <v>1413</v>
      </c>
      <c r="F3998" s="1" t="s">
        <v>14232</v>
      </c>
      <c r="G3998" s="1" t="s">
        <v>14233</v>
      </c>
      <c r="H3998" s="1" t="s">
        <v>14234</v>
      </c>
      <c r="I3998" t="b">
        <f>COUNTIF(Estadísticas!I:I,'centraldecomunicacion.es'!H3998)&gt;0</f>
        <v>0</v>
      </c>
    </row>
    <row r="3999" spans="1:9" hidden="1">
      <c r="A3999" s="1" t="s">
        <v>14235</v>
      </c>
      <c r="B3999" s="1" t="s">
        <v>18</v>
      </c>
      <c r="C3999" s="1" t="s">
        <v>14236</v>
      </c>
      <c r="D3999" s="1" t="s">
        <v>1407</v>
      </c>
      <c r="E3999" s="1" t="s">
        <v>1413</v>
      </c>
      <c r="F3999" s="1" t="s">
        <v>14237</v>
      </c>
      <c r="G3999" s="1" t="s">
        <v>14238</v>
      </c>
      <c r="H3999" s="1" t="s">
        <v>14239</v>
      </c>
      <c r="I3999" t="b">
        <f>COUNTIF(Estadísticas!I:I,'centraldecomunicacion.es'!H3999)&gt;0</f>
        <v>0</v>
      </c>
    </row>
    <row r="4000" spans="1:9" hidden="1">
      <c r="A4000" s="1" t="s">
        <v>14240</v>
      </c>
      <c r="B4000" s="1" t="s">
        <v>10</v>
      </c>
      <c r="C4000" s="1" t="s">
        <v>14241</v>
      </c>
      <c r="D4000" s="1" t="s">
        <v>1423</v>
      </c>
      <c r="E4000" s="1" t="s">
        <v>1413</v>
      </c>
      <c r="F4000" s="1" t="s">
        <v>30</v>
      </c>
      <c r="G4000" s="1" t="s">
        <v>30</v>
      </c>
      <c r="H4000" s="1" t="s">
        <v>1762</v>
      </c>
      <c r="I4000" t="b">
        <f>COUNTIF(Estadísticas!I:I,'centraldecomunicacion.es'!H4000)&gt;0</f>
        <v>0</v>
      </c>
    </row>
    <row r="4001" spans="1:9" hidden="1">
      <c r="A4001" s="1" t="s">
        <v>14242</v>
      </c>
      <c r="B4001" s="1" t="s">
        <v>10</v>
      </c>
      <c r="C4001" s="1" t="s">
        <v>14243</v>
      </c>
      <c r="D4001" s="1" t="s">
        <v>1423</v>
      </c>
      <c r="E4001" s="1" t="s">
        <v>1413</v>
      </c>
      <c r="F4001" s="1" t="s">
        <v>30</v>
      </c>
      <c r="G4001" s="1" t="s">
        <v>14244</v>
      </c>
      <c r="H4001" s="1" t="s">
        <v>1762</v>
      </c>
      <c r="I4001" t="b">
        <f>COUNTIF(Estadísticas!I:I,'centraldecomunicacion.es'!H4001)&gt;0</f>
        <v>0</v>
      </c>
    </row>
    <row r="4002" spans="1:9" hidden="1">
      <c r="A4002" s="1" t="s">
        <v>14245</v>
      </c>
      <c r="B4002" s="1" t="s">
        <v>10</v>
      </c>
      <c r="C4002" s="1" t="s">
        <v>14246</v>
      </c>
      <c r="D4002" s="1" t="s">
        <v>14247</v>
      </c>
      <c r="E4002" s="1" t="s">
        <v>1413</v>
      </c>
      <c r="F4002" s="1" t="s">
        <v>30</v>
      </c>
      <c r="G4002" s="1" t="s">
        <v>14248</v>
      </c>
      <c r="H4002" s="1" t="s">
        <v>1762</v>
      </c>
      <c r="I4002" t="b">
        <f>COUNTIF(Estadísticas!I:I,'centraldecomunicacion.es'!H4002)&gt;0</f>
        <v>0</v>
      </c>
    </row>
    <row r="4003" spans="1:9" hidden="1">
      <c r="A4003" s="1" t="s">
        <v>14249</v>
      </c>
      <c r="B4003" s="1" t="s">
        <v>10</v>
      </c>
      <c r="C4003" s="1" t="s">
        <v>14250</v>
      </c>
      <c r="D4003" s="1" t="s">
        <v>1407</v>
      </c>
      <c r="E4003" s="1" t="s">
        <v>1413</v>
      </c>
      <c r="F4003" s="1" t="s">
        <v>30</v>
      </c>
      <c r="G4003" s="1" t="s">
        <v>14251</v>
      </c>
      <c r="H4003" s="1" t="s">
        <v>1762</v>
      </c>
      <c r="I4003" t="b">
        <f>COUNTIF(Estadísticas!I:I,'centraldecomunicacion.es'!H4003)&gt;0</f>
        <v>0</v>
      </c>
    </row>
    <row r="4004" spans="1:9" hidden="1">
      <c r="A4004" s="1" t="s">
        <v>14252</v>
      </c>
      <c r="B4004" s="1" t="s">
        <v>10</v>
      </c>
      <c r="C4004" s="1" t="s">
        <v>14253</v>
      </c>
      <c r="D4004" s="1" t="s">
        <v>1407</v>
      </c>
      <c r="E4004" s="1" t="s">
        <v>1413</v>
      </c>
      <c r="F4004" s="1" t="s">
        <v>30</v>
      </c>
      <c r="G4004" s="1" t="s">
        <v>30</v>
      </c>
      <c r="H4004" s="1" t="s">
        <v>1762</v>
      </c>
      <c r="I4004" t="b">
        <f>COUNTIF(Estadísticas!I:I,'centraldecomunicacion.es'!H4004)&gt;0</f>
        <v>0</v>
      </c>
    </row>
    <row r="4005" spans="1:9" hidden="1">
      <c r="A4005" s="1" t="s">
        <v>14254</v>
      </c>
      <c r="B4005" s="1" t="s">
        <v>10</v>
      </c>
      <c r="C4005" s="1" t="s">
        <v>30</v>
      </c>
      <c r="D4005" s="1" t="s">
        <v>1407</v>
      </c>
      <c r="E4005" s="1" t="s">
        <v>30</v>
      </c>
      <c r="F4005" s="1" t="s">
        <v>30</v>
      </c>
      <c r="G4005" s="1" t="s">
        <v>14255</v>
      </c>
      <c r="H4005" s="1" t="s">
        <v>1762</v>
      </c>
      <c r="I4005" t="b">
        <f>COUNTIF(Estadísticas!I:I,'centraldecomunicacion.es'!H4005)&gt;0</f>
        <v>0</v>
      </c>
    </row>
    <row r="4006" spans="1:9" hidden="1">
      <c r="A4006" s="1" t="s">
        <v>14256</v>
      </c>
      <c r="B4006" s="1" t="s">
        <v>18</v>
      </c>
      <c r="C4006" s="1" t="s">
        <v>14257</v>
      </c>
      <c r="D4006" s="1" t="s">
        <v>14258</v>
      </c>
      <c r="E4006" s="1" t="s">
        <v>1413</v>
      </c>
      <c r="F4006" s="1" t="s">
        <v>30</v>
      </c>
      <c r="G4006" s="1" t="s">
        <v>14259</v>
      </c>
      <c r="H4006" s="1" t="s">
        <v>1762</v>
      </c>
      <c r="I4006" t="b">
        <f>COUNTIF(Estadísticas!I:I,'centraldecomunicacion.es'!H4006)&gt;0</f>
        <v>0</v>
      </c>
    </row>
    <row r="4007" spans="1:9">
      <c r="A4007" s="1" t="s">
        <v>14260</v>
      </c>
      <c r="B4007" s="1" t="s">
        <v>10</v>
      </c>
      <c r="C4007" s="1" t="s">
        <v>30</v>
      </c>
      <c r="D4007" s="1" t="s">
        <v>1407</v>
      </c>
      <c r="E4007" s="1" t="s">
        <v>30</v>
      </c>
      <c r="F4007" s="1" t="s">
        <v>1408</v>
      </c>
      <c r="G4007" s="1" t="s">
        <v>1409</v>
      </c>
      <c r="H4007" s="1" t="s">
        <v>1410</v>
      </c>
      <c r="I4007" t="b">
        <f>COUNTIF(Estadísticas!I:I,'centraldecomunicacion.es'!H4007)&gt;0</f>
        <v>1</v>
      </c>
    </row>
    <row r="4008" spans="1:9" hidden="1">
      <c r="A4008" s="1" t="s">
        <v>14261</v>
      </c>
      <c r="B4008" s="1" t="s">
        <v>10</v>
      </c>
      <c r="C4008" s="1" t="s">
        <v>14262</v>
      </c>
      <c r="D4008" s="1" t="s">
        <v>14263</v>
      </c>
      <c r="E4008" s="1" t="s">
        <v>1413</v>
      </c>
      <c r="F4008" s="1" t="s">
        <v>14264</v>
      </c>
      <c r="G4008" s="1" t="s">
        <v>14265</v>
      </c>
      <c r="H4008" s="1" t="s">
        <v>14266</v>
      </c>
      <c r="I4008" t="b">
        <f>COUNTIF(Estadísticas!I:I,'centraldecomunicacion.es'!H4008)&gt;0</f>
        <v>0</v>
      </c>
    </row>
    <row r="4009" spans="1:9" hidden="1">
      <c r="A4009" s="1" t="s">
        <v>14267</v>
      </c>
      <c r="B4009" s="1" t="s">
        <v>10</v>
      </c>
      <c r="C4009" s="1" t="s">
        <v>14268</v>
      </c>
      <c r="D4009" s="1" t="s">
        <v>1423</v>
      </c>
      <c r="E4009" s="1" t="s">
        <v>1413</v>
      </c>
      <c r="F4009" s="1" t="s">
        <v>30</v>
      </c>
      <c r="G4009" s="1" t="s">
        <v>14269</v>
      </c>
      <c r="H4009" s="1" t="s">
        <v>1762</v>
      </c>
      <c r="I4009" t="b">
        <f>COUNTIF(Estadísticas!I:I,'centraldecomunicacion.es'!H4009)&gt;0</f>
        <v>0</v>
      </c>
    </row>
    <row r="4010" spans="1:9" hidden="1">
      <c r="A4010" s="1" t="s">
        <v>14270</v>
      </c>
      <c r="B4010" s="1" t="s">
        <v>18</v>
      </c>
      <c r="C4010" s="1" t="s">
        <v>14271</v>
      </c>
      <c r="D4010" s="1" t="s">
        <v>14272</v>
      </c>
      <c r="E4010" s="1" t="s">
        <v>1413</v>
      </c>
      <c r="F4010" s="1" t="s">
        <v>14273</v>
      </c>
      <c r="G4010" s="1" t="s">
        <v>14274</v>
      </c>
      <c r="H4010" s="1" t="s">
        <v>14275</v>
      </c>
      <c r="I4010" t="b">
        <f>COUNTIF(Estadísticas!I:I,'centraldecomunicacion.es'!H4010)&gt;0</f>
        <v>0</v>
      </c>
    </row>
    <row r="4011" spans="1:9" hidden="1">
      <c r="A4011" s="1" t="s">
        <v>14276</v>
      </c>
      <c r="B4011" s="1" t="s">
        <v>10</v>
      </c>
      <c r="C4011" s="1" t="s">
        <v>14277</v>
      </c>
      <c r="D4011" s="1" t="s">
        <v>14231</v>
      </c>
      <c r="E4011" s="1" t="s">
        <v>1413</v>
      </c>
      <c r="F4011" s="1" t="s">
        <v>14278</v>
      </c>
      <c r="G4011" s="1" t="s">
        <v>14279</v>
      </c>
      <c r="H4011" s="1" t="s">
        <v>14280</v>
      </c>
      <c r="I4011" t="b">
        <f>COUNTIF(Estadísticas!I:I,'centraldecomunicacion.es'!H4011)&gt;0</f>
        <v>0</v>
      </c>
    </row>
    <row r="4012" spans="1:9" hidden="1">
      <c r="A4012" s="1" t="s">
        <v>14281</v>
      </c>
      <c r="B4012" s="1" t="s">
        <v>10</v>
      </c>
      <c r="C4012" s="1" t="s">
        <v>14282</v>
      </c>
      <c r="D4012" s="1" t="s">
        <v>1423</v>
      </c>
      <c r="E4012" s="1" t="s">
        <v>1413</v>
      </c>
      <c r="F4012" s="1" t="s">
        <v>30</v>
      </c>
      <c r="G4012" s="1" t="s">
        <v>14283</v>
      </c>
      <c r="H4012" s="1" t="s">
        <v>1762</v>
      </c>
      <c r="I4012" t="b">
        <f>COUNTIF(Estadísticas!I:I,'centraldecomunicacion.es'!H4012)&gt;0</f>
        <v>0</v>
      </c>
    </row>
    <row r="4013" spans="1:9" hidden="1">
      <c r="A4013" s="1" t="s">
        <v>14284</v>
      </c>
      <c r="B4013" s="1" t="s">
        <v>10</v>
      </c>
      <c r="C4013" s="1" t="s">
        <v>14285</v>
      </c>
      <c r="D4013" s="1" t="s">
        <v>14286</v>
      </c>
      <c r="E4013" s="1" t="s">
        <v>1413</v>
      </c>
      <c r="F4013" s="1" t="s">
        <v>30</v>
      </c>
      <c r="G4013" s="1" t="s">
        <v>30</v>
      </c>
      <c r="H4013" s="1" t="s">
        <v>1762</v>
      </c>
      <c r="I4013" t="b">
        <f>COUNTIF(Estadísticas!I:I,'centraldecomunicacion.es'!H4013)&gt;0</f>
        <v>0</v>
      </c>
    </row>
    <row r="4014" spans="1:9" hidden="1">
      <c r="A4014" s="1" t="s">
        <v>14287</v>
      </c>
      <c r="B4014" s="1" t="s">
        <v>18</v>
      </c>
      <c r="C4014" s="1" t="s">
        <v>14288</v>
      </c>
      <c r="D4014" s="1" t="s">
        <v>14289</v>
      </c>
      <c r="E4014" s="1" t="s">
        <v>1413</v>
      </c>
      <c r="F4014" s="1" t="s">
        <v>14290</v>
      </c>
      <c r="G4014" s="1" t="s">
        <v>14291</v>
      </c>
      <c r="H4014" s="1" t="s">
        <v>14292</v>
      </c>
      <c r="I4014" t="b">
        <f>COUNTIF(Estadísticas!I:I,'centraldecomunicacion.es'!H4014)&gt;0</f>
        <v>0</v>
      </c>
    </row>
    <row r="4015" spans="1:9" hidden="1">
      <c r="A4015" s="1" t="s">
        <v>14270</v>
      </c>
      <c r="B4015" s="1" t="s">
        <v>18</v>
      </c>
      <c r="C4015" s="1" t="s">
        <v>14293</v>
      </c>
      <c r="D4015" s="1" t="s">
        <v>14294</v>
      </c>
      <c r="E4015" s="1" t="s">
        <v>1413</v>
      </c>
      <c r="F4015" s="1" t="s">
        <v>14273</v>
      </c>
      <c r="G4015" s="1" t="s">
        <v>14295</v>
      </c>
      <c r="H4015" s="1" t="s">
        <v>14275</v>
      </c>
      <c r="I4015" t="b">
        <f>COUNTIF(Estadísticas!I:I,'centraldecomunicacion.es'!H4015)&gt;0</f>
        <v>0</v>
      </c>
    </row>
    <row r="4016" spans="1:9" hidden="1">
      <c r="A4016" s="1" t="s">
        <v>14296</v>
      </c>
      <c r="B4016" s="1" t="s">
        <v>10</v>
      </c>
      <c r="C4016" s="1" t="s">
        <v>14297</v>
      </c>
      <c r="D4016" s="1" t="s">
        <v>14247</v>
      </c>
      <c r="E4016" s="1" t="s">
        <v>1413</v>
      </c>
      <c r="F4016" s="1" t="s">
        <v>30</v>
      </c>
      <c r="G4016" s="1" t="s">
        <v>14298</v>
      </c>
      <c r="H4016" s="1" t="s">
        <v>1762</v>
      </c>
      <c r="I4016" t="b">
        <f>COUNTIF(Estadísticas!I:I,'centraldecomunicacion.es'!H4016)&gt;0</f>
        <v>0</v>
      </c>
    </row>
    <row r="4017" spans="1:9" hidden="1">
      <c r="A4017" s="1" t="s">
        <v>14299</v>
      </c>
      <c r="B4017" s="1" t="s">
        <v>18</v>
      </c>
      <c r="C4017" s="1" t="s">
        <v>14300</v>
      </c>
      <c r="D4017" s="1" t="s">
        <v>1423</v>
      </c>
      <c r="E4017" s="1" t="s">
        <v>1413</v>
      </c>
      <c r="F4017" s="1" t="s">
        <v>8943</v>
      </c>
      <c r="G4017" s="1" t="s">
        <v>14301</v>
      </c>
      <c r="H4017" s="1" t="s">
        <v>8945</v>
      </c>
      <c r="I4017" t="b">
        <f>COUNTIF(Estadísticas!I:I,'centraldecomunicacion.es'!H4017)&gt;0</f>
        <v>0</v>
      </c>
    </row>
    <row r="4018" spans="1:9">
      <c r="A4018" s="1" t="s">
        <v>1448</v>
      </c>
      <c r="B4018" s="1" t="s">
        <v>18</v>
      </c>
      <c r="C4018" s="1" t="s">
        <v>1449</v>
      </c>
      <c r="D4018" s="1" t="s">
        <v>1423</v>
      </c>
      <c r="E4018" s="1" t="s">
        <v>1413</v>
      </c>
      <c r="F4018" s="1" t="s">
        <v>1450</v>
      </c>
      <c r="G4018" s="1" t="s">
        <v>1451</v>
      </c>
      <c r="H4018" s="1" t="s">
        <v>1452</v>
      </c>
      <c r="I4018" t="b">
        <f>COUNTIF(Estadísticas!I:I,'centraldecomunicacion.es'!H4018)&gt;0</f>
        <v>1</v>
      </c>
    </row>
    <row r="4019" spans="1:9" hidden="1">
      <c r="A4019" s="1" t="s">
        <v>14302</v>
      </c>
      <c r="B4019" s="1" t="s">
        <v>10</v>
      </c>
      <c r="C4019" s="1" t="s">
        <v>14303</v>
      </c>
      <c r="D4019" s="1" t="s">
        <v>1423</v>
      </c>
      <c r="E4019" s="1" t="s">
        <v>1413</v>
      </c>
      <c r="F4019" s="1" t="s">
        <v>30</v>
      </c>
      <c r="G4019" s="1" t="s">
        <v>14304</v>
      </c>
      <c r="H4019" s="1" t="s">
        <v>1762</v>
      </c>
      <c r="I4019" t="b">
        <f>COUNTIF(Estadísticas!I:I,'centraldecomunicacion.es'!H4019)&gt;0</f>
        <v>0</v>
      </c>
    </row>
    <row r="4020" spans="1:9" hidden="1">
      <c r="A4020" s="1" t="s">
        <v>14305</v>
      </c>
      <c r="B4020" s="1" t="s">
        <v>10</v>
      </c>
      <c r="C4020" s="1" t="s">
        <v>14306</v>
      </c>
      <c r="D4020" s="1" t="s">
        <v>1407</v>
      </c>
      <c r="E4020" s="1" t="s">
        <v>14307</v>
      </c>
      <c r="F4020" s="1" t="s">
        <v>30</v>
      </c>
      <c r="G4020" s="1" t="s">
        <v>14308</v>
      </c>
      <c r="H4020" s="1" t="s">
        <v>1762</v>
      </c>
      <c r="I4020" t="b">
        <f>COUNTIF(Estadísticas!I:I,'centraldecomunicacion.es'!H4020)&gt;0</f>
        <v>0</v>
      </c>
    </row>
    <row r="4021" spans="1:9" hidden="1">
      <c r="A4021" s="1" t="s">
        <v>14309</v>
      </c>
      <c r="B4021" s="1" t="s">
        <v>10</v>
      </c>
      <c r="C4021" s="1" t="s">
        <v>14310</v>
      </c>
      <c r="D4021" s="1" t="s">
        <v>14311</v>
      </c>
      <c r="E4021" s="1" t="s">
        <v>1413</v>
      </c>
      <c r="F4021" s="1" t="s">
        <v>30</v>
      </c>
      <c r="G4021" s="1" t="s">
        <v>14312</v>
      </c>
      <c r="H4021" s="1" t="s">
        <v>1762</v>
      </c>
      <c r="I4021" t="b">
        <f>COUNTIF(Estadísticas!I:I,'centraldecomunicacion.es'!H4021)&gt;0</f>
        <v>0</v>
      </c>
    </row>
    <row r="4022" spans="1:9" hidden="1">
      <c r="A4022" s="1" t="s">
        <v>14313</v>
      </c>
      <c r="B4022" s="1" t="s">
        <v>10</v>
      </c>
      <c r="C4022" s="1" t="s">
        <v>14314</v>
      </c>
      <c r="D4022" s="1" t="s">
        <v>1423</v>
      </c>
      <c r="E4022" s="1" t="s">
        <v>1413</v>
      </c>
      <c r="F4022" s="1" t="s">
        <v>30</v>
      </c>
      <c r="G4022" s="1" t="s">
        <v>30</v>
      </c>
      <c r="H4022" s="1" t="s">
        <v>1762</v>
      </c>
      <c r="I4022" t="b">
        <f>COUNTIF(Estadísticas!I:I,'centraldecomunicacion.es'!H4022)&gt;0</f>
        <v>0</v>
      </c>
    </row>
    <row r="4023" spans="1:9" hidden="1">
      <c r="A4023" s="1" t="s">
        <v>14315</v>
      </c>
      <c r="B4023" s="1" t="s">
        <v>10</v>
      </c>
      <c r="C4023" s="1" t="s">
        <v>14316</v>
      </c>
      <c r="D4023" s="1" t="s">
        <v>1423</v>
      </c>
      <c r="E4023" s="1" t="s">
        <v>1413</v>
      </c>
      <c r="F4023" s="1" t="s">
        <v>30</v>
      </c>
      <c r="G4023" s="1" t="s">
        <v>30</v>
      </c>
      <c r="H4023" s="1" t="s">
        <v>1762</v>
      </c>
      <c r="I4023" t="b">
        <f>COUNTIF(Estadísticas!I:I,'centraldecomunicacion.es'!H4023)&gt;0</f>
        <v>0</v>
      </c>
    </row>
    <row r="4024" spans="1:9" hidden="1">
      <c r="A4024" s="1" t="s">
        <v>14317</v>
      </c>
      <c r="B4024" s="1" t="s">
        <v>18</v>
      </c>
      <c r="C4024" s="1" t="s">
        <v>14318</v>
      </c>
      <c r="D4024" s="1" t="s">
        <v>14222</v>
      </c>
      <c r="E4024" s="1" t="s">
        <v>1413</v>
      </c>
      <c r="F4024" s="1" t="s">
        <v>14319</v>
      </c>
      <c r="G4024" s="1" t="s">
        <v>14320</v>
      </c>
      <c r="H4024" s="1" t="s">
        <v>14321</v>
      </c>
      <c r="I4024" t="b">
        <f>COUNTIF(Estadísticas!I:I,'centraldecomunicacion.es'!H4024)&gt;0</f>
        <v>0</v>
      </c>
    </row>
    <row r="4025" spans="1:9" hidden="1">
      <c r="A4025" s="1" t="s">
        <v>14322</v>
      </c>
      <c r="B4025" s="1" t="s">
        <v>10</v>
      </c>
      <c r="C4025" s="1" t="s">
        <v>14323</v>
      </c>
      <c r="D4025" s="1" t="s">
        <v>1413</v>
      </c>
      <c r="E4025" s="1" t="s">
        <v>1413</v>
      </c>
      <c r="F4025" s="1" t="s">
        <v>30</v>
      </c>
      <c r="G4025" s="1" t="s">
        <v>14324</v>
      </c>
      <c r="H4025" s="1" t="s">
        <v>1762</v>
      </c>
      <c r="I4025" t="b">
        <f>COUNTIF(Estadísticas!I:I,'centraldecomunicacion.es'!H4025)&gt;0</f>
        <v>0</v>
      </c>
    </row>
    <row r="4026" spans="1:9" hidden="1">
      <c r="A4026" s="1" t="s">
        <v>14325</v>
      </c>
      <c r="B4026" s="1" t="s">
        <v>10</v>
      </c>
      <c r="C4026" s="1" t="s">
        <v>30</v>
      </c>
      <c r="D4026" s="1" t="s">
        <v>1543</v>
      </c>
      <c r="E4026" s="1" t="s">
        <v>30</v>
      </c>
      <c r="F4026" s="1" t="s">
        <v>30</v>
      </c>
      <c r="G4026" s="1" t="s">
        <v>14326</v>
      </c>
      <c r="H4026" s="1" t="s">
        <v>1762</v>
      </c>
      <c r="I4026" t="b">
        <f>COUNTIF(Estadísticas!I:I,'centraldecomunicacion.es'!H4026)&gt;0</f>
        <v>0</v>
      </c>
    </row>
    <row r="4027" spans="1:9">
      <c r="A4027" s="1" t="s">
        <v>1453</v>
      </c>
      <c r="B4027" s="1" t="s">
        <v>10</v>
      </c>
      <c r="C4027" s="1" t="s">
        <v>1454</v>
      </c>
      <c r="D4027" s="1" t="s">
        <v>1455</v>
      </c>
      <c r="E4027" s="1" t="s">
        <v>1456</v>
      </c>
      <c r="F4027" s="1" t="s">
        <v>1457</v>
      </c>
      <c r="G4027" s="1" t="s">
        <v>1458</v>
      </c>
      <c r="H4027" s="1" t="s">
        <v>1459</v>
      </c>
      <c r="I4027" t="b">
        <f>COUNTIF(Estadísticas!I:I,'centraldecomunicacion.es'!H4027)&gt;0</f>
        <v>1</v>
      </c>
    </row>
    <row r="4028" spans="1:9" hidden="1">
      <c r="A4028" s="1" t="s">
        <v>14327</v>
      </c>
      <c r="B4028" s="1" t="s">
        <v>10</v>
      </c>
      <c r="C4028" s="1" t="s">
        <v>14328</v>
      </c>
      <c r="D4028" s="1" t="s">
        <v>1455</v>
      </c>
      <c r="E4028" s="1" t="s">
        <v>1456</v>
      </c>
      <c r="F4028" s="1" t="s">
        <v>14329</v>
      </c>
      <c r="G4028" s="1" t="s">
        <v>14330</v>
      </c>
      <c r="H4028" s="1" t="s">
        <v>14331</v>
      </c>
      <c r="I4028" t="b">
        <f>COUNTIF(Estadísticas!I:I,'centraldecomunicacion.es'!H4028)&gt;0</f>
        <v>0</v>
      </c>
    </row>
    <row r="4029" spans="1:9" hidden="1">
      <c r="A4029" s="1" t="s">
        <v>14332</v>
      </c>
      <c r="B4029" s="1" t="s">
        <v>10</v>
      </c>
      <c r="C4029" s="1" t="s">
        <v>14333</v>
      </c>
      <c r="D4029" s="1" t="s">
        <v>1462</v>
      </c>
      <c r="E4029" s="1" t="s">
        <v>1456</v>
      </c>
      <c r="F4029" s="1" t="s">
        <v>14334</v>
      </c>
      <c r="G4029" s="1" t="s">
        <v>14335</v>
      </c>
      <c r="H4029" s="1" t="s">
        <v>1762</v>
      </c>
      <c r="I4029" t="b">
        <f>COUNTIF(Estadísticas!I:I,'centraldecomunicacion.es'!H4029)&gt;0</f>
        <v>0</v>
      </c>
    </row>
    <row r="4030" spans="1:9" hidden="1">
      <c r="A4030" s="1" t="s">
        <v>14336</v>
      </c>
      <c r="B4030" s="1" t="s">
        <v>10</v>
      </c>
      <c r="C4030" s="1" t="s">
        <v>14337</v>
      </c>
      <c r="D4030" s="1" t="s">
        <v>1519</v>
      </c>
      <c r="E4030" s="1" t="s">
        <v>1456</v>
      </c>
      <c r="F4030" s="1" t="s">
        <v>30</v>
      </c>
      <c r="G4030" s="1" t="s">
        <v>14338</v>
      </c>
      <c r="H4030" s="1" t="s">
        <v>1762</v>
      </c>
      <c r="I4030" t="b">
        <f>COUNTIF(Estadísticas!I:I,'centraldecomunicacion.es'!H4030)&gt;0</f>
        <v>0</v>
      </c>
    </row>
    <row r="4031" spans="1:9" hidden="1">
      <c r="A4031" s="1" t="s">
        <v>14339</v>
      </c>
      <c r="B4031" s="1" t="s">
        <v>10</v>
      </c>
      <c r="C4031" s="1" t="s">
        <v>14340</v>
      </c>
      <c r="D4031" s="1" t="s">
        <v>14341</v>
      </c>
      <c r="E4031" s="1" t="s">
        <v>1456</v>
      </c>
      <c r="F4031" s="1" t="s">
        <v>14342</v>
      </c>
      <c r="G4031" s="1" t="s">
        <v>14343</v>
      </c>
      <c r="H4031" s="1" t="s">
        <v>5696</v>
      </c>
      <c r="I4031" t="b">
        <f>COUNTIF(Estadísticas!I:I,'centraldecomunicacion.es'!H4031)&gt;0</f>
        <v>0</v>
      </c>
    </row>
    <row r="4032" spans="1:9" hidden="1">
      <c r="A4032" s="1" t="s">
        <v>14344</v>
      </c>
      <c r="B4032" s="1" t="s">
        <v>10</v>
      </c>
      <c r="C4032" s="1" t="s">
        <v>14345</v>
      </c>
      <c r="D4032" s="1" t="s">
        <v>14346</v>
      </c>
      <c r="E4032" s="1" t="s">
        <v>1456</v>
      </c>
      <c r="F4032" s="1" t="s">
        <v>30</v>
      </c>
      <c r="G4032" s="1" t="s">
        <v>14347</v>
      </c>
      <c r="H4032" s="1" t="s">
        <v>1762</v>
      </c>
      <c r="I4032" t="b">
        <f>COUNTIF(Estadísticas!I:I,'centraldecomunicacion.es'!H4032)&gt;0</f>
        <v>0</v>
      </c>
    </row>
    <row r="4033" spans="1:9">
      <c r="A4033" s="1" t="s">
        <v>1460</v>
      </c>
      <c r="B4033" s="1" t="s">
        <v>10</v>
      </c>
      <c r="C4033" s="1" t="s">
        <v>1461</v>
      </c>
      <c r="D4033" s="1" t="s">
        <v>1462</v>
      </c>
      <c r="E4033" s="1" t="s">
        <v>1456</v>
      </c>
      <c r="F4033" s="1" t="s">
        <v>1463</v>
      </c>
      <c r="G4033" s="1" t="s">
        <v>1464</v>
      </c>
      <c r="H4033" s="1" t="s">
        <v>1465</v>
      </c>
      <c r="I4033" t="b">
        <f>COUNTIF(Estadísticas!I:I,'centraldecomunicacion.es'!H4033)&gt;0</f>
        <v>1</v>
      </c>
    </row>
    <row r="4034" spans="1:9">
      <c r="A4034" s="1" t="s">
        <v>1466</v>
      </c>
      <c r="B4034" s="1" t="s">
        <v>10</v>
      </c>
      <c r="C4034" s="1" t="s">
        <v>1467</v>
      </c>
      <c r="D4034" s="1" t="s">
        <v>1462</v>
      </c>
      <c r="E4034" s="1" t="s">
        <v>1456</v>
      </c>
      <c r="F4034" s="1" t="s">
        <v>1468</v>
      </c>
      <c r="G4034" s="1" t="s">
        <v>1469</v>
      </c>
      <c r="H4034" s="1" t="s">
        <v>1470</v>
      </c>
      <c r="I4034" t="b">
        <f>COUNTIF(Estadísticas!I:I,'centraldecomunicacion.es'!H4034)&gt;0</f>
        <v>1</v>
      </c>
    </row>
    <row r="4035" spans="1:9" hidden="1">
      <c r="A4035" s="1" t="s">
        <v>14348</v>
      </c>
      <c r="B4035" s="1" t="s">
        <v>18</v>
      </c>
      <c r="C4035" s="1" t="s">
        <v>14349</v>
      </c>
      <c r="D4035" s="1" t="s">
        <v>1455</v>
      </c>
      <c r="E4035" s="1" t="s">
        <v>1456</v>
      </c>
      <c r="F4035" s="1" t="s">
        <v>14350</v>
      </c>
      <c r="G4035" s="1" t="s">
        <v>14351</v>
      </c>
      <c r="H4035" s="1" t="s">
        <v>14352</v>
      </c>
      <c r="I4035" t="b">
        <f>COUNTIF(Estadísticas!I:I,'centraldecomunicacion.es'!H4035)&gt;0</f>
        <v>0</v>
      </c>
    </row>
    <row r="4036" spans="1:9" hidden="1">
      <c r="A4036" s="1" t="s">
        <v>14353</v>
      </c>
      <c r="B4036" s="1" t="s">
        <v>10</v>
      </c>
      <c r="C4036" s="1" t="s">
        <v>14354</v>
      </c>
      <c r="D4036" s="1" t="s">
        <v>14355</v>
      </c>
      <c r="E4036" s="1" t="s">
        <v>1456</v>
      </c>
      <c r="F4036" s="1" t="s">
        <v>30</v>
      </c>
      <c r="G4036" s="1" t="s">
        <v>14356</v>
      </c>
      <c r="H4036" s="1" t="s">
        <v>1762</v>
      </c>
      <c r="I4036" t="b">
        <f>COUNTIF(Estadísticas!I:I,'centraldecomunicacion.es'!H4036)&gt;0</f>
        <v>0</v>
      </c>
    </row>
    <row r="4037" spans="1:9" hidden="1">
      <c r="A4037" s="1" t="s">
        <v>14357</v>
      </c>
      <c r="B4037" s="1" t="s">
        <v>18</v>
      </c>
      <c r="C4037" s="1" t="s">
        <v>14358</v>
      </c>
      <c r="D4037" s="1" t="s">
        <v>1455</v>
      </c>
      <c r="E4037" s="1" t="s">
        <v>1456</v>
      </c>
      <c r="F4037" s="1" t="s">
        <v>14359</v>
      </c>
      <c r="G4037" s="1" t="s">
        <v>14360</v>
      </c>
      <c r="H4037" s="1" t="s">
        <v>5267</v>
      </c>
      <c r="I4037" t="b">
        <f>COUNTIF(Estadísticas!I:I,'centraldecomunicacion.es'!H4037)&gt;0</f>
        <v>0</v>
      </c>
    </row>
    <row r="4038" spans="1:9" hidden="1">
      <c r="A4038" s="1" t="s">
        <v>14361</v>
      </c>
      <c r="B4038" s="1" t="s">
        <v>10</v>
      </c>
      <c r="C4038" s="1" t="s">
        <v>14362</v>
      </c>
      <c r="D4038" s="1" t="s">
        <v>1462</v>
      </c>
      <c r="E4038" s="1" t="s">
        <v>1456</v>
      </c>
      <c r="F4038" s="1" t="s">
        <v>14363</v>
      </c>
      <c r="G4038" s="1" t="s">
        <v>14364</v>
      </c>
      <c r="H4038" s="1" t="s">
        <v>14365</v>
      </c>
      <c r="I4038" t="b">
        <f>COUNTIF(Estadísticas!I:I,'centraldecomunicacion.es'!H4038)&gt;0</f>
        <v>0</v>
      </c>
    </row>
    <row r="4039" spans="1:9" hidden="1">
      <c r="A4039" s="1" t="s">
        <v>14366</v>
      </c>
      <c r="B4039" s="1" t="s">
        <v>18</v>
      </c>
      <c r="C4039" s="1" t="s">
        <v>14367</v>
      </c>
      <c r="D4039" s="1" t="s">
        <v>1513</v>
      </c>
      <c r="E4039" s="1" t="s">
        <v>1456</v>
      </c>
      <c r="F4039" s="1" t="s">
        <v>30</v>
      </c>
      <c r="G4039" s="1" t="s">
        <v>14368</v>
      </c>
      <c r="H4039" s="1" t="s">
        <v>1762</v>
      </c>
      <c r="I4039" t="b">
        <f>COUNTIF(Estadísticas!I:I,'centraldecomunicacion.es'!H4039)&gt;0</f>
        <v>0</v>
      </c>
    </row>
    <row r="4040" spans="1:9" hidden="1">
      <c r="A4040" s="1" t="s">
        <v>14369</v>
      </c>
      <c r="B4040" s="1" t="s">
        <v>10</v>
      </c>
      <c r="C4040" s="1" t="s">
        <v>14370</v>
      </c>
      <c r="D4040" s="1" t="s">
        <v>14371</v>
      </c>
      <c r="E4040" s="1" t="s">
        <v>1456</v>
      </c>
      <c r="F4040" s="1" t="s">
        <v>14372</v>
      </c>
      <c r="G4040" s="1" t="s">
        <v>14373</v>
      </c>
      <c r="H4040" s="1" t="s">
        <v>14374</v>
      </c>
      <c r="I4040" t="b">
        <f>COUNTIF(Estadísticas!I:I,'centraldecomunicacion.es'!H4040)&gt;0</f>
        <v>0</v>
      </c>
    </row>
    <row r="4041" spans="1:9" hidden="1">
      <c r="A4041" s="1" t="s">
        <v>14375</v>
      </c>
      <c r="B4041" s="1" t="s">
        <v>10</v>
      </c>
      <c r="C4041" s="1" t="s">
        <v>14376</v>
      </c>
      <c r="D4041" s="1" t="s">
        <v>14346</v>
      </c>
      <c r="E4041" s="1" t="s">
        <v>1456</v>
      </c>
      <c r="F4041" s="1" t="s">
        <v>14377</v>
      </c>
      <c r="G4041" s="1" t="s">
        <v>14378</v>
      </c>
      <c r="H4041" s="1" t="s">
        <v>14379</v>
      </c>
      <c r="I4041" t="b">
        <f>COUNTIF(Estadísticas!I:I,'centraldecomunicacion.es'!H4041)&gt;0</f>
        <v>0</v>
      </c>
    </row>
    <row r="4042" spans="1:9" hidden="1">
      <c r="A4042" s="1" t="s">
        <v>14380</v>
      </c>
      <c r="B4042" s="1" t="s">
        <v>10</v>
      </c>
      <c r="C4042" s="1" t="s">
        <v>14381</v>
      </c>
      <c r="D4042" s="1" t="s">
        <v>1455</v>
      </c>
      <c r="E4042" s="1" t="s">
        <v>1456</v>
      </c>
      <c r="F4042" s="1" t="s">
        <v>30</v>
      </c>
      <c r="G4042" s="1" t="s">
        <v>14382</v>
      </c>
      <c r="H4042" s="1" t="s">
        <v>1762</v>
      </c>
      <c r="I4042" t="b">
        <f>COUNTIF(Estadísticas!I:I,'centraldecomunicacion.es'!H4042)&gt;0</f>
        <v>0</v>
      </c>
    </row>
    <row r="4043" spans="1:9" hidden="1">
      <c r="A4043" s="1" t="s">
        <v>14383</v>
      </c>
      <c r="B4043" s="1" t="s">
        <v>10</v>
      </c>
      <c r="C4043" s="1" t="s">
        <v>14384</v>
      </c>
      <c r="D4043" s="1" t="s">
        <v>1525</v>
      </c>
      <c r="E4043" s="1" t="s">
        <v>14385</v>
      </c>
      <c r="F4043" s="1" t="s">
        <v>30</v>
      </c>
      <c r="G4043" s="1" t="s">
        <v>14386</v>
      </c>
      <c r="H4043" s="1" t="s">
        <v>1762</v>
      </c>
      <c r="I4043" t="b">
        <f>COUNTIF(Estadísticas!I:I,'centraldecomunicacion.es'!H4043)&gt;0</f>
        <v>0</v>
      </c>
    </row>
    <row r="4044" spans="1:9" hidden="1">
      <c r="A4044" s="1" t="s">
        <v>14387</v>
      </c>
      <c r="B4044" s="1" t="s">
        <v>18</v>
      </c>
      <c r="C4044" s="1" t="s">
        <v>14388</v>
      </c>
      <c r="D4044" s="1" t="s">
        <v>1455</v>
      </c>
      <c r="E4044" s="1" t="s">
        <v>1456</v>
      </c>
      <c r="F4044" s="1" t="s">
        <v>14359</v>
      </c>
      <c r="G4044" s="1" t="s">
        <v>14360</v>
      </c>
      <c r="H4044" s="1" t="s">
        <v>5267</v>
      </c>
      <c r="I4044" t="b">
        <f>COUNTIF(Estadísticas!I:I,'centraldecomunicacion.es'!H4044)&gt;0</f>
        <v>0</v>
      </c>
    </row>
    <row r="4045" spans="1:9" hidden="1">
      <c r="A4045" s="1" t="s">
        <v>14389</v>
      </c>
      <c r="B4045" s="1" t="s">
        <v>10</v>
      </c>
      <c r="C4045" s="1" t="s">
        <v>14390</v>
      </c>
      <c r="D4045" s="1" t="s">
        <v>1525</v>
      </c>
      <c r="E4045" s="1" t="s">
        <v>1526</v>
      </c>
      <c r="F4045" s="1" t="s">
        <v>30</v>
      </c>
      <c r="G4045" s="1" t="s">
        <v>14391</v>
      </c>
      <c r="H4045" s="1" t="s">
        <v>1762</v>
      </c>
      <c r="I4045" t="b">
        <f>COUNTIF(Estadísticas!I:I,'centraldecomunicacion.es'!H4045)&gt;0</f>
        <v>0</v>
      </c>
    </row>
    <row r="4046" spans="1:9" hidden="1">
      <c r="A4046" s="1" t="s">
        <v>14392</v>
      </c>
      <c r="B4046" s="1" t="s">
        <v>10</v>
      </c>
      <c r="C4046" s="1" t="s">
        <v>14393</v>
      </c>
      <c r="D4046" s="1" t="s">
        <v>1455</v>
      </c>
      <c r="E4046" s="1" t="s">
        <v>1456</v>
      </c>
      <c r="F4046" s="1" t="s">
        <v>14394</v>
      </c>
      <c r="G4046" s="1" t="s">
        <v>14395</v>
      </c>
      <c r="H4046" s="1" t="s">
        <v>1762</v>
      </c>
      <c r="I4046" t="b">
        <f>COUNTIF(Estadísticas!I:I,'centraldecomunicacion.es'!H4046)&gt;0</f>
        <v>0</v>
      </c>
    </row>
    <row r="4047" spans="1:9" hidden="1">
      <c r="A4047" s="1" t="s">
        <v>14396</v>
      </c>
      <c r="B4047" s="1" t="s">
        <v>10</v>
      </c>
      <c r="C4047" s="1" t="s">
        <v>14397</v>
      </c>
      <c r="D4047" s="1" t="s">
        <v>14398</v>
      </c>
      <c r="E4047" s="1" t="s">
        <v>1526</v>
      </c>
      <c r="F4047" s="1" t="s">
        <v>30</v>
      </c>
      <c r="G4047" s="1" t="s">
        <v>14399</v>
      </c>
      <c r="H4047" s="1" t="s">
        <v>1762</v>
      </c>
      <c r="I4047" t="b">
        <f>COUNTIF(Estadísticas!I:I,'centraldecomunicacion.es'!H4047)&gt;0</f>
        <v>0</v>
      </c>
    </row>
    <row r="4048" spans="1:9" hidden="1">
      <c r="A4048" s="1" t="s">
        <v>14400</v>
      </c>
      <c r="B4048" s="1" t="s">
        <v>18</v>
      </c>
      <c r="C4048" s="1" t="s">
        <v>14401</v>
      </c>
      <c r="D4048" s="1" t="s">
        <v>1455</v>
      </c>
      <c r="E4048" s="1" t="s">
        <v>1456</v>
      </c>
      <c r="F4048" s="1" t="s">
        <v>30</v>
      </c>
      <c r="G4048" s="1" t="s">
        <v>14402</v>
      </c>
      <c r="H4048" s="1" t="s">
        <v>1762</v>
      </c>
      <c r="I4048" t="b">
        <f>COUNTIF(Estadísticas!I:I,'centraldecomunicacion.es'!H4048)&gt;0</f>
        <v>0</v>
      </c>
    </row>
    <row r="4049" spans="1:9" hidden="1">
      <c r="A4049" s="1" t="s">
        <v>14403</v>
      </c>
      <c r="B4049" s="1" t="s">
        <v>10</v>
      </c>
      <c r="C4049" s="1" t="s">
        <v>14404</v>
      </c>
      <c r="D4049" s="1" t="s">
        <v>14346</v>
      </c>
      <c r="E4049" s="1" t="s">
        <v>1456</v>
      </c>
      <c r="F4049" s="1" t="s">
        <v>30</v>
      </c>
      <c r="G4049" s="1" t="s">
        <v>14347</v>
      </c>
      <c r="H4049" s="1" t="s">
        <v>1762</v>
      </c>
      <c r="I4049" t="b">
        <f>COUNTIF(Estadísticas!I:I,'centraldecomunicacion.es'!H4049)&gt;0</f>
        <v>0</v>
      </c>
    </row>
    <row r="4050" spans="1:9" hidden="1">
      <c r="A4050" s="1" t="s">
        <v>14405</v>
      </c>
      <c r="B4050" s="1" t="s">
        <v>10</v>
      </c>
      <c r="C4050" s="1" t="s">
        <v>14406</v>
      </c>
      <c r="D4050" s="1" t="s">
        <v>1525</v>
      </c>
      <c r="E4050" s="1" t="s">
        <v>1526</v>
      </c>
      <c r="F4050" s="1" t="s">
        <v>14407</v>
      </c>
      <c r="G4050" s="1" t="s">
        <v>14408</v>
      </c>
      <c r="H4050" s="1" t="s">
        <v>14409</v>
      </c>
      <c r="I4050" t="b">
        <f>COUNTIF(Estadísticas!I:I,'centraldecomunicacion.es'!H4050)&gt;0</f>
        <v>0</v>
      </c>
    </row>
    <row r="4051" spans="1:9" hidden="1">
      <c r="A4051" s="1" t="s">
        <v>14410</v>
      </c>
      <c r="B4051" s="1" t="s">
        <v>10</v>
      </c>
      <c r="C4051" s="1" t="s">
        <v>14411</v>
      </c>
      <c r="D4051" s="1" t="s">
        <v>1455</v>
      </c>
      <c r="E4051" s="1" t="s">
        <v>1456</v>
      </c>
      <c r="F4051" s="1" t="s">
        <v>14412</v>
      </c>
      <c r="G4051" s="1" t="s">
        <v>14413</v>
      </c>
      <c r="H4051" s="1" t="s">
        <v>1762</v>
      </c>
      <c r="I4051" t="b">
        <f>COUNTIF(Estadísticas!I:I,'centraldecomunicacion.es'!H4051)&gt;0</f>
        <v>0</v>
      </c>
    </row>
    <row r="4052" spans="1:9" hidden="1">
      <c r="A4052" s="1" t="s">
        <v>14414</v>
      </c>
      <c r="B4052" s="1" t="s">
        <v>10</v>
      </c>
      <c r="C4052" s="1" t="s">
        <v>14415</v>
      </c>
      <c r="D4052" s="1" t="s">
        <v>14346</v>
      </c>
      <c r="E4052" s="1" t="s">
        <v>1456</v>
      </c>
      <c r="F4052" s="1" t="s">
        <v>30</v>
      </c>
      <c r="G4052" s="1" t="s">
        <v>14416</v>
      </c>
      <c r="H4052" s="1" t="s">
        <v>1762</v>
      </c>
      <c r="I4052" t="b">
        <f>COUNTIF(Estadísticas!I:I,'centraldecomunicacion.es'!H4052)&gt;0</f>
        <v>0</v>
      </c>
    </row>
    <row r="4053" spans="1:9" hidden="1">
      <c r="A4053" s="1" t="s">
        <v>14417</v>
      </c>
      <c r="B4053" s="1" t="s">
        <v>10</v>
      </c>
      <c r="C4053" s="1" t="s">
        <v>14418</v>
      </c>
      <c r="D4053" s="1" t="s">
        <v>1473</v>
      </c>
      <c r="E4053" s="1" t="s">
        <v>945</v>
      </c>
      <c r="F4053" s="1" t="s">
        <v>30</v>
      </c>
      <c r="G4053" s="1" t="s">
        <v>14419</v>
      </c>
      <c r="H4053" s="1" t="s">
        <v>1762</v>
      </c>
      <c r="I4053" t="b">
        <f>COUNTIF(Estadísticas!I:I,'centraldecomunicacion.es'!H4053)&gt;0</f>
        <v>0</v>
      </c>
    </row>
    <row r="4054" spans="1:9" hidden="1">
      <c r="A4054" s="1" t="s">
        <v>14420</v>
      </c>
      <c r="B4054" s="1" t="s">
        <v>10</v>
      </c>
      <c r="C4054" s="1" t="s">
        <v>14421</v>
      </c>
      <c r="D4054" s="1" t="s">
        <v>1455</v>
      </c>
      <c r="E4054" s="1" t="s">
        <v>1456</v>
      </c>
      <c r="F4054" s="1" t="s">
        <v>30</v>
      </c>
      <c r="G4054" s="1" t="s">
        <v>14422</v>
      </c>
      <c r="H4054" s="1" t="s">
        <v>1762</v>
      </c>
      <c r="I4054" t="b">
        <f>COUNTIF(Estadísticas!I:I,'centraldecomunicacion.es'!H4054)&gt;0</f>
        <v>0</v>
      </c>
    </row>
    <row r="4055" spans="1:9">
      <c r="A4055" s="1" t="s">
        <v>1471</v>
      </c>
      <c r="B4055" s="1" t="s">
        <v>10</v>
      </c>
      <c r="C4055" s="1" t="s">
        <v>1472</v>
      </c>
      <c r="D4055" s="1" t="s">
        <v>1473</v>
      </c>
      <c r="E4055" s="1" t="s">
        <v>945</v>
      </c>
      <c r="F4055" s="1" t="s">
        <v>1474</v>
      </c>
      <c r="G4055" s="1" t="s">
        <v>1475</v>
      </c>
      <c r="H4055" s="1" t="s">
        <v>1476</v>
      </c>
      <c r="I4055" t="b">
        <f>COUNTIF(Estadísticas!I:I,'centraldecomunicacion.es'!H4055)&gt;0</f>
        <v>1</v>
      </c>
    </row>
    <row r="4056" spans="1:9">
      <c r="A4056" s="1" t="s">
        <v>1477</v>
      </c>
      <c r="B4056" s="1" t="s">
        <v>18</v>
      </c>
      <c r="C4056" s="1" t="s">
        <v>1478</v>
      </c>
      <c r="D4056" s="1" t="s">
        <v>1455</v>
      </c>
      <c r="E4056" s="1" t="s">
        <v>1456</v>
      </c>
      <c r="F4056" s="1" t="s">
        <v>1479</v>
      </c>
      <c r="G4056" s="1" t="s">
        <v>1480</v>
      </c>
      <c r="H4056" s="1" t="s">
        <v>1481</v>
      </c>
      <c r="I4056" t="b">
        <f>COUNTIF(Estadísticas!I:I,'centraldecomunicacion.es'!H4056)&gt;0</f>
        <v>1</v>
      </c>
    </row>
    <row r="4057" spans="1:9" hidden="1">
      <c r="A4057" s="1" t="s">
        <v>14423</v>
      </c>
      <c r="B4057" s="1" t="s">
        <v>10</v>
      </c>
      <c r="C4057" s="1" t="s">
        <v>14424</v>
      </c>
      <c r="D4057" s="1" t="s">
        <v>1455</v>
      </c>
      <c r="E4057" s="1" t="s">
        <v>1456</v>
      </c>
      <c r="F4057" s="1" t="s">
        <v>30</v>
      </c>
      <c r="G4057" s="1" t="s">
        <v>14425</v>
      </c>
      <c r="H4057" s="1" t="s">
        <v>1762</v>
      </c>
      <c r="I4057" t="b">
        <f>COUNTIF(Estadísticas!I:I,'centraldecomunicacion.es'!H4057)&gt;0</f>
        <v>0</v>
      </c>
    </row>
    <row r="4058" spans="1:9" hidden="1">
      <c r="A4058" s="1" t="s">
        <v>14426</v>
      </c>
      <c r="B4058" s="1" t="s">
        <v>10</v>
      </c>
      <c r="C4058" s="1" t="s">
        <v>14427</v>
      </c>
      <c r="D4058" s="1" t="s">
        <v>1473</v>
      </c>
      <c r="E4058" s="1" t="s">
        <v>945</v>
      </c>
      <c r="F4058" s="1" t="s">
        <v>14428</v>
      </c>
      <c r="G4058" s="1" t="s">
        <v>14429</v>
      </c>
      <c r="H4058" s="1" t="s">
        <v>1762</v>
      </c>
      <c r="I4058" t="b">
        <f>COUNTIF(Estadísticas!I:I,'centraldecomunicacion.es'!H4058)&gt;0</f>
        <v>0</v>
      </c>
    </row>
    <row r="4059" spans="1:9" hidden="1">
      <c r="A4059" s="1" t="s">
        <v>14430</v>
      </c>
      <c r="B4059" s="1" t="s">
        <v>10</v>
      </c>
      <c r="C4059" s="1" t="s">
        <v>14431</v>
      </c>
      <c r="D4059" s="1" t="s">
        <v>1462</v>
      </c>
      <c r="E4059" s="1" t="s">
        <v>1456</v>
      </c>
      <c r="F4059" s="1" t="s">
        <v>30</v>
      </c>
      <c r="G4059" s="1" t="s">
        <v>14432</v>
      </c>
      <c r="H4059" s="1" t="s">
        <v>1762</v>
      </c>
      <c r="I4059" t="b">
        <f>COUNTIF(Estadísticas!I:I,'centraldecomunicacion.es'!H4059)&gt;0</f>
        <v>0</v>
      </c>
    </row>
    <row r="4060" spans="1:9" hidden="1">
      <c r="A4060" s="1" t="s">
        <v>14433</v>
      </c>
      <c r="B4060" s="1" t="s">
        <v>10</v>
      </c>
      <c r="C4060" s="1" t="s">
        <v>14434</v>
      </c>
      <c r="D4060" s="1" t="s">
        <v>14435</v>
      </c>
      <c r="E4060" s="1" t="s">
        <v>1456</v>
      </c>
      <c r="F4060" s="1" t="s">
        <v>14436</v>
      </c>
      <c r="G4060" s="1" t="s">
        <v>14437</v>
      </c>
      <c r="H4060" s="1" t="s">
        <v>1762</v>
      </c>
      <c r="I4060" t="b">
        <f>COUNTIF(Estadísticas!I:I,'centraldecomunicacion.es'!H4060)&gt;0</f>
        <v>0</v>
      </c>
    </row>
    <row r="4061" spans="1:9" hidden="1">
      <c r="A4061" s="1" t="s">
        <v>14438</v>
      </c>
      <c r="B4061" s="1" t="s">
        <v>10</v>
      </c>
      <c r="C4061" s="1" t="s">
        <v>14439</v>
      </c>
      <c r="D4061" s="1" t="s">
        <v>1473</v>
      </c>
      <c r="E4061" s="1" t="s">
        <v>945</v>
      </c>
      <c r="F4061" s="1" t="s">
        <v>14440</v>
      </c>
      <c r="G4061" s="1" t="s">
        <v>14441</v>
      </c>
      <c r="H4061" s="1" t="s">
        <v>14442</v>
      </c>
      <c r="I4061" t="b">
        <f>COUNTIF(Estadísticas!I:I,'centraldecomunicacion.es'!H4061)&gt;0</f>
        <v>0</v>
      </c>
    </row>
    <row r="4062" spans="1:9" hidden="1">
      <c r="A4062" s="1" t="s">
        <v>14443</v>
      </c>
      <c r="B4062" s="1" t="s">
        <v>10</v>
      </c>
      <c r="C4062" s="1" t="s">
        <v>14444</v>
      </c>
      <c r="D4062" s="1" t="s">
        <v>14445</v>
      </c>
      <c r="E4062" s="1" t="s">
        <v>945</v>
      </c>
      <c r="F4062" s="1" t="s">
        <v>30</v>
      </c>
      <c r="G4062" s="1" t="s">
        <v>14446</v>
      </c>
      <c r="H4062" s="1" t="s">
        <v>1762</v>
      </c>
      <c r="I4062" t="b">
        <f>COUNTIF(Estadísticas!I:I,'centraldecomunicacion.es'!H4062)&gt;0</f>
        <v>0</v>
      </c>
    </row>
    <row r="4063" spans="1:9" hidden="1">
      <c r="A4063" s="1" t="s">
        <v>14447</v>
      </c>
      <c r="B4063" s="1" t="s">
        <v>10</v>
      </c>
      <c r="C4063" s="1" t="s">
        <v>14448</v>
      </c>
      <c r="D4063" s="1" t="s">
        <v>1473</v>
      </c>
      <c r="E4063" s="1" t="s">
        <v>945</v>
      </c>
      <c r="F4063" s="1" t="s">
        <v>14449</v>
      </c>
      <c r="G4063" s="1" t="s">
        <v>14450</v>
      </c>
      <c r="H4063" s="1" t="s">
        <v>1762</v>
      </c>
      <c r="I4063" t="b">
        <f>COUNTIF(Estadísticas!I:I,'centraldecomunicacion.es'!H4063)&gt;0</f>
        <v>0</v>
      </c>
    </row>
    <row r="4064" spans="1:9" hidden="1">
      <c r="A4064" s="1" t="s">
        <v>14451</v>
      </c>
      <c r="B4064" s="1" t="s">
        <v>18</v>
      </c>
      <c r="C4064" s="1" t="s">
        <v>14452</v>
      </c>
      <c r="D4064" s="1" t="s">
        <v>14355</v>
      </c>
      <c r="E4064" s="1" t="s">
        <v>1456</v>
      </c>
      <c r="F4064" s="1" t="s">
        <v>1830</v>
      </c>
      <c r="G4064" s="1" t="s">
        <v>14453</v>
      </c>
      <c r="H4064" s="1" t="s">
        <v>1762</v>
      </c>
      <c r="I4064" t="b">
        <f>COUNTIF(Estadísticas!I:I,'centraldecomunicacion.es'!H4064)&gt;0</f>
        <v>0</v>
      </c>
    </row>
    <row r="4065" spans="1:9" hidden="1">
      <c r="A4065" s="1" t="s">
        <v>14454</v>
      </c>
      <c r="B4065" s="1" t="s">
        <v>10</v>
      </c>
      <c r="C4065" s="1" t="s">
        <v>14455</v>
      </c>
      <c r="D4065" s="1" t="s">
        <v>1513</v>
      </c>
      <c r="E4065" s="1" t="s">
        <v>1456</v>
      </c>
      <c r="F4065" s="1" t="s">
        <v>30</v>
      </c>
      <c r="G4065" s="1" t="s">
        <v>14456</v>
      </c>
      <c r="H4065" s="1" t="s">
        <v>1762</v>
      </c>
      <c r="I4065" t="b">
        <f>COUNTIF(Estadísticas!I:I,'centraldecomunicacion.es'!H4065)&gt;0</f>
        <v>0</v>
      </c>
    </row>
    <row r="4066" spans="1:9" hidden="1">
      <c r="A4066" s="1" t="s">
        <v>14457</v>
      </c>
      <c r="B4066" s="1" t="s">
        <v>10</v>
      </c>
      <c r="C4066" s="1" t="s">
        <v>14458</v>
      </c>
      <c r="D4066" s="1" t="s">
        <v>1231</v>
      </c>
      <c r="E4066" s="1" t="s">
        <v>1526</v>
      </c>
      <c r="F4066" s="1" t="s">
        <v>14459</v>
      </c>
      <c r="G4066" s="1" t="s">
        <v>14460</v>
      </c>
      <c r="H4066" s="1" t="s">
        <v>14461</v>
      </c>
      <c r="I4066" t="b">
        <f>COUNTIF(Estadísticas!I:I,'centraldecomunicacion.es'!H4066)&gt;0</f>
        <v>0</v>
      </c>
    </row>
    <row r="4067" spans="1:9" hidden="1">
      <c r="A4067" s="1" t="s">
        <v>14462</v>
      </c>
      <c r="B4067" s="1" t="s">
        <v>10</v>
      </c>
      <c r="C4067" s="1" t="s">
        <v>14463</v>
      </c>
      <c r="D4067" s="1" t="s">
        <v>1473</v>
      </c>
      <c r="E4067" s="1" t="s">
        <v>945</v>
      </c>
      <c r="F4067" s="1" t="s">
        <v>30</v>
      </c>
      <c r="G4067" s="1" t="s">
        <v>14464</v>
      </c>
      <c r="H4067" s="1" t="s">
        <v>1762</v>
      </c>
      <c r="I4067" t="b">
        <f>COUNTIF(Estadísticas!I:I,'centraldecomunicacion.es'!H4067)&gt;0</f>
        <v>0</v>
      </c>
    </row>
    <row r="4068" spans="1:9">
      <c r="A4068" s="1" t="s">
        <v>1482</v>
      </c>
      <c r="B4068" s="1" t="s">
        <v>10</v>
      </c>
      <c r="C4068" s="1" t="s">
        <v>1483</v>
      </c>
      <c r="D4068" s="1" t="s">
        <v>1455</v>
      </c>
      <c r="E4068" s="1" t="s">
        <v>1456</v>
      </c>
      <c r="F4068" s="1" t="s">
        <v>1484</v>
      </c>
      <c r="G4068" s="1" t="s">
        <v>1485</v>
      </c>
      <c r="H4068" s="1" t="s">
        <v>1486</v>
      </c>
      <c r="I4068" t="b">
        <f>COUNTIF(Estadísticas!I:I,'centraldecomunicacion.es'!H4068)&gt;0</f>
        <v>1</v>
      </c>
    </row>
    <row r="4069" spans="1:9" hidden="1">
      <c r="A4069" s="1" t="s">
        <v>14465</v>
      </c>
      <c r="B4069" s="1" t="s">
        <v>10</v>
      </c>
      <c r="C4069" s="1" t="s">
        <v>14466</v>
      </c>
      <c r="D4069" s="1" t="s">
        <v>14467</v>
      </c>
      <c r="E4069" s="1" t="s">
        <v>1456</v>
      </c>
      <c r="F4069" s="1" t="s">
        <v>30</v>
      </c>
      <c r="G4069" s="1" t="s">
        <v>14468</v>
      </c>
      <c r="H4069" s="1" t="s">
        <v>1762</v>
      </c>
      <c r="I4069" t="b">
        <f>COUNTIF(Estadísticas!I:I,'centraldecomunicacion.es'!H4069)&gt;0</f>
        <v>0</v>
      </c>
    </row>
    <row r="4070" spans="1:9" hidden="1">
      <c r="A4070" s="1" t="s">
        <v>14469</v>
      </c>
      <c r="B4070" s="1" t="s">
        <v>10</v>
      </c>
      <c r="C4070" s="1" t="s">
        <v>14470</v>
      </c>
      <c r="D4070" s="1" t="s">
        <v>1525</v>
      </c>
      <c r="E4070" s="1" t="s">
        <v>14385</v>
      </c>
      <c r="F4070" s="1" t="s">
        <v>14471</v>
      </c>
      <c r="G4070" s="1" t="s">
        <v>14472</v>
      </c>
      <c r="H4070" s="1" t="s">
        <v>1783</v>
      </c>
      <c r="I4070" t="b">
        <f>COUNTIF(Estadísticas!I:I,'centraldecomunicacion.es'!H4070)&gt;0</f>
        <v>0</v>
      </c>
    </row>
    <row r="4071" spans="1:9" hidden="1">
      <c r="A4071" s="1" t="s">
        <v>14473</v>
      </c>
      <c r="B4071" s="1" t="s">
        <v>10</v>
      </c>
      <c r="C4071" s="1" t="s">
        <v>14474</v>
      </c>
      <c r="D4071" s="1" t="s">
        <v>14475</v>
      </c>
      <c r="E4071" s="1" t="s">
        <v>945</v>
      </c>
      <c r="F4071" s="1" t="s">
        <v>30</v>
      </c>
      <c r="G4071" s="1" t="s">
        <v>14476</v>
      </c>
      <c r="H4071" s="1" t="s">
        <v>1762</v>
      </c>
      <c r="I4071" t="b">
        <f>COUNTIF(Estadísticas!I:I,'centraldecomunicacion.es'!H4071)&gt;0</f>
        <v>0</v>
      </c>
    </row>
    <row r="4072" spans="1:9" hidden="1">
      <c r="A4072" s="1" t="s">
        <v>14477</v>
      </c>
      <c r="B4072" s="1" t="s">
        <v>10</v>
      </c>
      <c r="C4072" s="1" t="s">
        <v>14478</v>
      </c>
      <c r="D4072" s="1" t="s">
        <v>14479</v>
      </c>
      <c r="E4072" s="1" t="s">
        <v>1507</v>
      </c>
      <c r="F4072" s="1" t="s">
        <v>30</v>
      </c>
      <c r="G4072" s="1" t="s">
        <v>14480</v>
      </c>
      <c r="H4072" s="1" t="s">
        <v>1762</v>
      </c>
      <c r="I4072" t="b">
        <f>COUNTIF(Estadísticas!I:I,'centraldecomunicacion.es'!H4072)&gt;0</f>
        <v>0</v>
      </c>
    </row>
    <row r="4073" spans="1:9" hidden="1">
      <c r="A4073" s="1" t="s">
        <v>14481</v>
      </c>
      <c r="B4073" s="1" t="s">
        <v>10</v>
      </c>
      <c r="C4073" s="1" t="s">
        <v>14482</v>
      </c>
      <c r="D4073" s="1" t="s">
        <v>14483</v>
      </c>
      <c r="E4073" s="1" t="s">
        <v>1526</v>
      </c>
      <c r="F4073" s="1" t="s">
        <v>30</v>
      </c>
      <c r="G4073" s="1" t="s">
        <v>14484</v>
      </c>
      <c r="H4073" s="1" t="s">
        <v>1762</v>
      </c>
      <c r="I4073" t="b">
        <f>COUNTIF(Estadísticas!I:I,'centraldecomunicacion.es'!H4073)&gt;0</f>
        <v>0</v>
      </c>
    </row>
    <row r="4074" spans="1:9" hidden="1">
      <c r="A4074" s="1" t="s">
        <v>14485</v>
      </c>
      <c r="B4074" s="1" t="s">
        <v>10</v>
      </c>
      <c r="C4074" s="1" t="s">
        <v>14486</v>
      </c>
      <c r="D4074" s="1" t="s">
        <v>14487</v>
      </c>
      <c r="E4074" s="1" t="s">
        <v>1456</v>
      </c>
      <c r="F4074" s="1" t="s">
        <v>30</v>
      </c>
      <c r="G4074" s="1" t="s">
        <v>14488</v>
      </c>
      <c r="H4074" s="1" t="s">
        <v>1762</v>
      </c>
      <c r="I4074" t="b">
        <f>COUNTIF(Estadísticas!I:I,'centraldecomunicacion.es'!H4074)&gt;0</f>
        <v>0</v>
      </c>
    </row>
    <row r="4075" spans="1:9" hidden="1">
      <c r="A4075" s="1" t="s">
        <v>14489</v>
      </c>
      <c r="B4075" s="1" t="s">
        <v>10</v>
      </c>
      <c r="C4075" s="1" t="s">
        <v>14490</v>
      </c>
      <c r="D4075" s="1" t="s">
        <v>1455</v>
      </c>
      <c r="E4075" s="1" t="s">
        <v>1456</v>
      </c>
      <c r="F4075" s="1" t="s">
        <v>30</v>
      </c>
      <c r="G4075" s="1" t="s">
        <v>14491</v>
      </c>
      <c r="H4075" s="1" t="s">
        <v>1762</v>
      </c>
      <c r="I4075" t="b">
        <f>COUNTIF(Estadísticas!I:I,'centraldecomunicacion.es'!H4075)&gt;0</f>
        <v>0</v>
      </c>
    </row>
    <row r="4076" spans="1:9" hidden="1">
      <c r="A4076" s="1" t="s">
        <v>14492</v>
      </c>
      <c r="B4076" s="1" t="s">
        <v>10</v>
      </c>
      <c r="C4076" s="1" t="s">
        <v>14493</v>
      </c>
      <c r="D4076" s="1" t="s">
        <v>14494</v>
      </c>
      <c r="E4076" s="1" t="s">
        <v>1456</v>
      </c>
      <c r="F4076" s="1" t="s">
        <v>30</v>
      </c>
      <c r="G4076" s="1" t="s">
        <v>14495</v>
      </c>
      <c r="H4076" s="1" t="s">
        <v>1762</v>
      </c>
      <c r="I4076" t="b">
        <f>COUNTIF(Estadísticas!I:I,'centraldecomunicacion.es'!H4076)&gt;0</f>
        <v>0</v>
      </c>
    </row>
    <row r="4077" spans="1:9" hidden="1">
      <c r="A4077" s="1" t="s">
        <v>14496</v>
      </c>
      <c r="B4077" s="1" t="s">
        <v>10</v>
      </c>
      <c r="C4077" s="1" t="s">
        <v>14497</v>
      </c>
      <c r="D4077" s="1" t="s">
        <v>1538</v>
      </c>
      <c r="E4077" s="1" t="s">
        <v>945</v>
      </c>
      <c r="F4077" s="1" t="s">
        <v>14498</v>
      </c>
      <c r="G4077" s="1" t="s">
        <v>30</v>
      </c>
      <c r="H4077" s="1" t="s">
        <v>1762</v>
      </c>
      <c r="I4077" t="b">
        <f>COUNTIF(Estadísticas!I:I,'centraldecomunicacion.es'!H4077)&gt;0</f>
        <v>0</v>
      </c>
    </row>
    <row r="4078" spans="1:9" hidden="1">
      <c r="A4078" s="1" t="s">
        <v>14499</v>
      </c>
      <c r="B4078" s="1" t="s">
        <v>10</v>
      </c>
      <c r="C4078" s="1" t="s">
        <v>14500</v>
      </c>
      <c r="D4078" s="1" t="s">
        <v>1543</v>
      </c>
      <c r="E4078" s="1" t="s">
        <v>1456</v>
      </c>
      <c r="F4078" s="1" t="s">
        <v>30</v>
      </c>
      <c r="G4078" s="1" t="s">
        <v>14501</v>
      </c>
      <c r="H4078" s="1" t="s">
        <v>1762</v>
      </c>
      <c r="I4078" t="b">
        <f>COUNTIF(Estadísticas!I:I,'centraldecomunicacion.es'!H4078)&gt;0</f>
        <v>0</v>
      </c>
    </row>
    <row r="4079" spans="1:9" hidden="1">
      <c r="A4079" s="1" t="s">
        <v>14502</v>
      </c>
      <c r="B4079" s="1" t="s">
        <v>10</v>
      </c>
      <c r="C4079" s="1" t="s">
        <v>14503</v>
      </c>
      <c r="D4079" s="1" t="s">
        <v>14355</v>
      </c>
      <c r="E4079" s="1" t="s">
        <v>1456</v>
      </c>
      <c r="F4079" s="1" t="s">
        <v>30</v>
      </c>
      <c r="G4079" s="1" t="s">
        <v>14504</v>
      </c>
      <c r="H4079" s="1" t="s">
        <v>1762</v>
      </c>
      <c r="I4079" t="b">
        <f>COUNTIF(Estadísticas!I:I,'centraldecomunicacion.es'!H4079)&gt;0</f>
        <v>0</v>
      </c>
    </row>
    <row r="4080" spans="1:9" hidden="1">
      <c r="A4080" s="1" t="s">
        <v>14505</v>
      </c>
      <c r="B4080" s="1" t="s">
        <v>10</v>
      </c>
      <c r="C4080" s="1" t="s">
        <v>14506</v>
      </c>
      <c r="D4080" s="1" t="s">
        <v>1513</v>
      </c>
      <c r="E4080" s="1" t="s">
        <v>1456</v>
      </c>
      <c r="F4080" s="1" t="s">
        <v>30</v>
      </c>
      <c r="G4080" s="1" t="s">
        <v>14507</v>
      </c>
      <c r="H4080" s="1" t="s">
        <v>1762</v>
      </c>
      <c r="I4080" t="b">
        <f>COUNTIF(Estadísticas!I:I,'centraldecomunicacion.es'!H4080)&gt;0</f>
        <v>0</v>
      </c>
    </row>
    <row r="4081" spans="1:9" hidden="1">
      <c r="A4081" s="1" t="s">
        <v>14508</v>
      </c>
      <c r="B4081" s="1" t="s">
        <v>10</v>
      </c>
      <c r="C4081" s="1" t="s">
        <v>14509</v>
      </c>
      <c r="D4081" s="1" t="s">
        <v>1455</v>
      </c>
      <c r="E4081" s="1" t="s">
        <v>1456</v>
      </c>
      <c r="F4081" s="1" t="s">
        <v>30</v>
      </c>
      <c r="G4081" s="1" t="s">
        <v>14510</v>
      </c>
      <c r="H4081" s="1" t="s">
        <v>1762</v>
      </c>
      <c r="I4081" t="b">
        <f>COUNTIF(Estadísticas!I:I,'centraldecomunicacion.es'!H4081)&gt;0</f>
        <v>0</v>
      </c>
    </row>
    <row r="4082" spans="1:9">
      <c r="A4082" s="1" t="s">
        <v>14511</v>
      </c>
      <c r="B4082" s="1" t="s">
        <v>10</v>
      </c>
      <c r="C4082" s="1" t="s">
        <v>14512</v>
      </c>
      <c r="D4082" s="1" t="s">
        <v>14513</v>
      </c>
      <c r="E4082" s="1" t="s">
        <v>1456</v>
      </c>
      <c r="F4082" s="1" t="s">
        <v>1457</v>
      </c>
      <c r="G4082" s="1" t="s">
        <v>14514</v>
      </c>
      <c r="H4082" s="1" t="s">
        <v>1459</v>
      </c>
      <c r="I4082" t="b">
        <f>COUNTIF(Estadísticas!I:I,'centraldecomunicacion.es'!H4082)&gt;0</f>
        <v>1</v>
      </c>
    </row>
    <row r="4083" spans="1:9" hidden="1">
      <c r="A4083" s="1" t="s">
        <v>14515</v>
      </c>
      <c r="B4083" s="1" t="s">
        <v>10</v>
      </c>
      <c r="C4083" s="1" t="s">
        <v>14516</v>
      </c>
      <c r="D4083" s="1" t="s">
        <v>1455</v>
      </c>
      <c r="E4083" s="1" t="s">
        <v>1456</v>
      </c>
      <c r="F4083" s="1" t="s">
        <v>14517</v>
      </c>
      <c r="G4083" s="1" t="s">
        <v>14518</v>
      </c>
      <c r="H4083" s="1" t="s">
        <v>14519</v>
      </c>
      <c r="I4083" t="b">
        <f>COUNTIF(Estadísticas!I:I,'centraldecomunicacion.es'!H4083)&gt;0</f>
        <v>0</v>
      </c>
    </row>
    <row r="4084" spans="1:9" hidden="1">
      <c r="A4084" s="1" t="s">
        <v>14520</v>
      </c>
      <c r="B4084" s="1" t="s">
        <v>10</v>
      </c>
      <c r="C4084" s="1" t="s">
        <v>14521</v>
      </c>
      <c r="D4084" s="1" t="s">
        <v>14522</v>
      </c>
      <c r="E4084" s="1" t="s">
        <v>945</v>
      </c>
      <c r="F4084" s="1" t="s">
        <v>14523</v>
      </c>
      <c r="G4084" s="1" t="s">
        <v>14524</v>
      </c>
      <c r="H4084" s="1" t="s">
        <v>14525</v>
      </c>
      <c r="I4084" t="b">
        <f>COUNTIF(Estadísticas!I:I,'centraldecomunicacion.es'!H4084)&gt;0</f>
        <v>0</v>
      </c>
    </row>
    <row r="4085" spans="1:9">
      <c r="A4085" s="1" t="s">
        <v>1487</v>
      </c>
      <c r="B4085" s="1" t="s">
        <v>10</v>
      </c>
      <c r="C4085" s="1" t="s">
        <v>1488</v>
      </c>
      <c r="D4085" s="1" t="s">
        <v>1455</v>
      </c>
      <c r="E4085" s="1" t="s">
        <v>1456</v>
      </c>
      <c r="F4085" s="1" t="s">
        <v>1489</v>
      </c>
      <c r="G4085" s="1" t="s">
        <v>1490</v>
      </c>
      <c r="H4085" s="1" t="s">
        <v>1491</v>
      </c>
      <c r="I4085" t="b">
        <f>COUNTIF(Estadísticas!I:I,'centraldecomunicacion.es'!H4085)&gt;0</f>
        <v>1</v>
      </c>
    </row>
    <row r="4086" spans="1:9" hidden="1">
      <c r="A4086" s="1" t="s">
        <v>14526</v>
      </c>
      <c r="B4086" s="1" t="s">
        <v>10</v>
      </c>
      <c r="C4086" s="1" t="s">
        <v>14527</v>
      </c>
      <c r="D4086" s="1" t="s">
        <v>1462</v>
      </c>
      <c r="E4086" s="1" t="s">
        <v>1456</v>
      </c>
      <c r="F4086" s="1" t="s">
        <v>30</v>
      </c>
      <c r="G4086" s="1" t="s">
        <v>14528</v>
      </c>
      <c r="H4086" s="1" t="s">
        <v>1762</v>
      </c>
      <c r="I4086" t="b">
        <f>COUNTIF(Estadísticas!I:I,'centraldecomunicacion.es'!H4086)&gt;0</f>
        <v>0</v>
      </c>
    </row>
    <row r="4087" spans="1:9" hidden="1">
      <c r="A4087" s="1" t="s">
        <v>14529</v>
      </c>
      <c r="B4087" s="1" t="s">
        <v>10</v>
      </c>
      <c r="C4087" s="1" t="s">
        <v>14530</v>
      </c>
      <c r="D4087" s="1" t="s">
        <v>14531</v>
      </c>
      <c r="E4087" s="1" t="s">
        <v>1456</v>
      </c>
      <c r="F4087" s="1" t="s">
        <v>30</v>
      </c>
      <c r="G4087" s="1" t="s">
        <v>14532</v>
      </c>
      <c r="H4087" s="1" t="s">
        <v>1762</v>
      </c>
      <c r="I4087" t="b">
        <f>COUNTIF(Estadísticas!I:I,'centraldecomunicacion.es'!H4087)&gt;0</f>
        <v>0</v>
      </c>
    </row>
    <row r="4088" spans="1:9" hidden="1">
      <c r="A4088" s="1" t="s">
        <v>14533</v>
      </c>
      <c r="B4088" s="1" t="s">
        <v>10</v>
      </c>
      <c r="C4088" s="1" t="s">
        <v>14534</v>
      </c>
      <c r="D4088" s="1" t="s">
        <v>14341</v>
      </c>
      <c r="E4088" s="1" t="s">
        <v>1456</v>
      </c>
      <c r="F4088" s="1" t="s">
        <v>14535</v>
      </c>
      <c r="G4088" s="1" t="s">
        <v>14536</v>
      </c>
      <c r="H4088" s="1" t="s">
        <v>14537</v>
      </c>
      <c r="I4088" t="b">
        <f>COUNTIF(Estadísticas!I:I,'centraldecomunicacion.es'!H4088)&gt;0</f>
        <v>0</v>
      </c>
    </row>
    <row r="4089" spans="1:9" hidden="1">
      <c r="A4089" s="1" t="s">
        <v>14538</v>
      </c>
      <c r="B4089" s="1" t="s">
        <v>10</v>
      </c>
      <c r="C4089" s="1" t="s">
        <v>14539</v>
      </c>
      <c r="D4089" s="1" t="s">
        <v>1538</v>
      </c>
      <c r="E4089" s="1" t="s">
        <v>945</v>
      </c>
      <c r="F4089" s="1" t="s">
        <v>30</v>
      </c>
      <c r="G4089" s="1" t="s">
        <v>14540</v>
      </c>
      <c r="H4089" s="1" t="s">
        <v>1762</v>
      </c>
      <c r="I4089" t="b">
        <f>COUNTIF(Estadísticas!I:I,'centraldecomunicacion.es'!H4089)&gt;0</f>
        <v>0</v>
      </c>
    </row>
    <row r="4090" spans="1:9">
      <c r="A4090" s="1" t="s">
        <v>1492</v>
      </c>
      <c r="B4090" s="1" t="s">
        <v>10</v>
      </c>
      <c r="C4090" s="1" t="s">
        <v>1493</v>
      </c>
      <c r="D4090" s="1" t="s">
        <v>1494</v>
      </c>
      <c r="E4090" s="1" t="s">
        <v>945</v>
      </c>
      <c r="F4090" s="1" t="s">
        <v>1495</v>
      </c>
      <c r="G4090" s="1" t="s">
        <v>1496</v>
      </c>
      <c r="H4090" s="1" t="s">
        <v>1497</v>
      </c>
      <c r="I4090" t="b">
        <f>COUNTIF(Estadísticas!I:I,'centraldecomunicacion.es'!H4090)&gt;0</f>
        <v>1</v>
      </c>
    </row>
    <row r="4091" spans="1:9" hidden="1">
      <c r="A4091" s="1" t="s">
        <v>14541</v>
      </c>
      <c r="B4091" s="1" t="s">
        <v>10</v>
      </c>
      <c r="C4091" s="1" t="s">
        <v>14542</v>
      </c>
      <c r="D4091" s="1" t="s">
        <v>14513</v>
      </c>
      <c r="E4091" s="1" t="s">
        <v>1456</v>
      </c>
      <c r="F4091" s="1" t="s">
        <v>14543</v>
      </c>
      <c r="G4091" s="1" t="s">
        <v>14544</v>
      </c>
      <c r="H4091" s="1" t="s">
        <v>14545</v>
      </c>
      <c r="I4091" t="b">
        <f>COUNTIF(Estadísticas!I:I,'centraldecomunicacion.es'!H4091)&gt;0</f>
        <v>0</v>
      </c>
    </row>
    <row r="4092" spans="1:9" hidden="1">
      <c r="A4092" s="1" t="s">
        <v>14546</v>
      </c>
      <c r="B4092" s="1" t="s">
        <v>10</v>
      </c>
      <c r="C4092" s="1" t="s">
        <v>14547</v>
      </c>
      <c r="D4092" s="1" t="s">
        <v>871</v>
      </c>
      <c r="E4092" s="1" t="s">
        <v>848</v>
      </c>
      <c r="F4092" s="1" t="s">
        <v>30</v>
      </c>
      <c r="G4092" s="1" t="s">
        <v>14548</v>
      </c>
      <c r="H4092" s="1" t="s">
        <v>1762</v>
      </c>
      <c r="I4092" t="b">
        <f>COUNTIF(Estadísticas!I:I,'centraldecomunicacion.es'!H4092)&gt;0</f>
        <v>0</v>
      </c>
    </row>
    <row r="4093" spans="1:9" hidden="1">
      <c r="A4093" s="1" t="s">
        <v>14549</v>
      </c>
      <c r="B4093" s="1" t="s">
        <v>10</v>
      </c>
      <c r="C4093" s="1" t="s">
        <v>14550</v>
      </c>
      <c r="D4093" s="1" t="s">
        <v>14346</v>
      </c>
      <c r="E4093" s="1" t="s">
        <v>1456</v>
      </c>
      <c r="F4093" s="1" t="s">
        <v>30</v>
      </c>
      <c r="G4093" s="1" t="s">
        <v>14551</v>
      </c>
      <c r="H4093" s="1" t="s">
        <v>1762</v>
      </c>
      <c r="I4093" t="b">
        <f>COUNTIF(Estadísticas!I:I,'centraldecomunicacion.es'!H4093)&gt;0</f>
        <v>0</v>
      </c>
    </row>
    <row r="4094" spans="1:9" hidden="1">
      <c r="A4094" s="1" t="s">
        <v>14552</v>
      </c>
      <c r="B4094" s="1" t="s">
        <v>10</v>
      </c>
      <c r="C4094" s="1" t="s">
        <v>14553</v>
      </c>
      <c r="D4094" s="1" t="s">
        <v>1455</v>
      </c>
      <c r="E4094" s="1" t="s">
        <v>1456</v>
      </c>
      <c r="F4094" s="1" t="s">
        <v>30</v>
      </c>
      <c r="G4094" s="1" t="s">
        <v>14554</v>
      </c>
      <c r="H4094" s="1" t="s">
        <v>1762</v>
      </c>
      <c r="I4094" t="b">
        <f>COUNTIF(Estadísticas!I:I,'centraldecomunicacion.es'!H4094)&gt;0</f>
        <v>0</v>
      </c>
    </row>
    <row r="4095" spans="1:9" hidden="1">
      <c r="A4095" s="1" t="s">
        <v>14555</v>
      </c>
      <c r="B4095" s="1" t="s">
        <v>10</v>
      </c>
      <c r="C4095" s="1" t="s">
        <v>14556</v>
      </c>
      <c r="D4095" s="1" t="s">
        <v>14557</v>
      </c>
      <c r="E4095" s="1" t="s">
        <v>945</v>
      </c>
      <c r="F4095" s="1" t="s">
        <v>30</v>
      </c>
      <c r="G4095" s="1" t="s">
        <v>14558</v>
      </c>
      <c r="H4095" s="1" t="s">
        <v>1762</v>
      </c>
      <c r="I4095" t="b">
        <f>COUNTIF(Estadísticas!I:I,'centraldecomunicacion.es'!H4095)&gt;0</f>
        <v>0</v>
      </c>
    </row>
    <row r="4096" spans="1:9" hidden="1">
      <c r="A4096" s="1" t="s">
        <v>14559</v>
      </c>
      <c r="B4096" s="1" t="s">
        <v>10</v>
      </c>
      <c r="C4096" s="1" t="s">
        <v>14560</v>
      </c>
      <c r="D4096" s="1" t="s">
        <v>1455</v>
      </c>
      <c r="E4096" s="1" t="s">
        <v>1456</v>
      </c>
      <c r="F4096" s="1" t="s">
        <v>30</v>
      </c>
      <c r="G4096" s="1" t="s">
        <v>14561</v>
      </c>
      <c r="H4096" s="1" t="s">
        <v>1762</v>
      </c>
      <c r="I4096" t="b">
        <f>COUNTIF(Estadísticas!I:I,'centraldecomunicacion.es'!H4096)&gt;0</f>
        <v>0</v>
      </c>
    </row>
    <row r="4097" spans="1:9" hidden="1">
      <c r="A4097" s="1" t="s">
        <v>14562</v>
      </c>
      <c r="B4097" s="1" t="s">
        <v>10</v>
      </c>
      <c r="C4097" s="1" t="s">
        <v>14563</v>
      </c>
      <c r="D4097" s="1" t="s">
        <v>1525</v>
      </c>
      <c r="E4097" s="1" t="s">
        <v>1526</v>
      </c>
      <c r="F4097" s="1" t="s">
        <v>30</v>
      </c>
      <c r="G4097" s="1" t="s">
        <v>30</v>
      </c>
      <c r="H4097" s="1" t="s">
        <v>1762</v>
      </c>
      <c r="I4097" t="b">
        <f>COUNTIF(Estadísticas!I:I,'centraldecomunicacion.es'!H4097)&gt;0</f>
        <v>0</v>
      </c>
    </row>
    <row r="4098" spans="1:9" hidden="1">
      <c r="A4098" s="1" t="s">
        <v>14564</v>
      </c>
      <c r="B4098" s="1" t="s">
        <v>10</v>
      </c>
      <c r="C4098" s="1" t="s">
        <v>14565</v>
      </c>
      <c r="D4098" s="1" t="s">
        <v>14566</v>
      </c>
      <c r="E4098" s="1" t="s">
        <v>1456</v>
      </c>
      <c r="F4098" s="1" t="s">
        <v>30</v>
      </c>
      <c r="G4098" s="1" t="s">
        <v>30</v>
      </c>
      <c r="H4098" s="1" t="s">
        <v>1762</v>
      </c>
      <c r="I4098" t="b">
        <f>COUNTIF(Estadísticas!I:I,'centraldecomunicacion.es'!H4098)&gt;0</f>
        <v>0</v>
      </c>
    </row>
    <row r="4099" spans="1:9" hidden="1">
      <c r="A4099" s="1" t="s">
        <v>14567</v>
      </c>
      <c r="B4099" s="1" t="s">
        <v>10</v>
      </c>
      <c r="C4099" s="1" t="s">
        <v>14568</v>
      </c>
      <c r="D4099" s="1" t="s">
        <v>1455</v>
      </c>
      <c r="E4099" s="1" t="s">
        <v>1456</v>
      </c>
      <c r="F4099" s="1" t="s">
        <v>30</v>
      </c>
      <c r="G4099" s="1" t="s">
        <v>30</v>
      </c>
      <c r="H4099" s="1" t="s">
        <v>1762</v>
      </c>
      <c r="I4099" t="b">
        <f>COUNTIF(Estadísticas!I:I,'centraldecomunicacion.es'!H4099)&gt;0</f>
        <v>0</v>
      </c>
    </row>
    <row r="4100" spans="1:9" hidden="1">
      <c r="A4100" s="1" t="s">
        <v>14569</v>
      </c>
      <c r="B4100" s="1" t="s">
        <v>10</v>
      </c>
      <c r="C4100" s="1" t="s">
        <v>14570</v>
      </c>
      <c r="D4100" s="1" t="s">
        <v>1455</v>
      </c>
      <c r="E4100" s="1" t="s">
        <v>1456</v>
      </c>
      <c r="F4100" s="1" t="s">
        <v>14571</v>
      </c>
      <c r="G4100" s="1" t="s">
        <v>14572</v>
      </c>
      <c r="H4100" s="1" t="s">
        <v>5696</v>
      </c>
      <c r="I4100" t="b">
        <f>COUNTIF(Estadísticas!I:I,'centraldecomunicacion.es'!H4100)&gt;0</f>
        <v>0</v>
      </c>
    </row>
    <row r="4101" spans="1:9">
      <c r="A4101" s="1" t="s">
        <v>1498</v>
      </c>
      <c r="B4101" s="1" t="s">
        <v>10</v>
      </c>
      <c r="C4101" s="1" t="s">
        <v>1499</v>
      </c>
      <c r="D4101" s="1" t="s">
        <v>1500</v>
      </c>
      <c r="E4101" s="1" t="s">
        <v>945</v>
      </c>
      <c r="F4101" s="1" t="s">
        <v>1501</v>
      </c>
      <c r="G4101" s="1" t="s">
        <v>1502</v>
      </c>
      <c r="H4101" s="1" t="s">
        <v>1503</v>
      </c>
      <c r="I4101" t="b">
        <f>COUNTIF(Estadísticas!I:I,'centraldecomunicacion.es'!H4101)&gt;0</f>
        <v>1</v>
      </c>
    </row>
    <row r="4102" spans="1:9" hidden="1">
      <c r="A4102" s="1" t="s">
        <v>14573</v>
      </c>
      <c r="B4102" s="1" t="s">
        <v>10</v>
      </c>
      <c r="C4102" s="1" t="s">
        <v>14574</v>
      </c>
      <c r="D4102" s="1" t="s">
        <v>14566</v>
      </c>
      <c r="E4102" s="1" t="s">
        <v>1456</v>
      </c>
      <c r="F4102" s="1" t="s">
        <v>30</v>
      </c>
      <c r="G4102" s="1" t="s">
        <v>14575</v>
      </c>
      <c r="H4102" s="1" t="s">
        <v>1762</v>
      </c>
      <c r="I4102" t="b">
        <f>COUNTIF(Estadísticas!I:I,'centraldecomunicacion.es'!H4102)&gt;0</f>
        <v>0</v>
      </c>
    </row>
    <row r="4103" spans="1:9" hidden="1">
      <c r="A4103" s="1" t="s">
        <v>14576</v>
      </c>
      <c r="B4103" s="1" t="s">
        <v>10</v>
      </c>
      <c r="C4103" s="1" t="s">
        <v>14577</v>
      </c>
      <c r="D4103" s="1" t="s">
        <v>14355</v>
      </c>
      <c r="E4103" s="1" t="s">
        <v>1456</v>
      </c>
      <c r="F4103" s="1" t="s">
        <v>30</v>
      </c>
      <c r="G4103" s="1" t="s">
        <v>30</v>
      </c>
      <c r="H4103" s="1" t="s">
        <v>1762</v>
      </c>
      <c r="I4103" t="b">
        <f>COUNTIF(Estadísticas!I:I,'centraldecomunicacion.es'!H4103)&gt;0</f>
        <v>0</v>
      </c>
    </row>
    <row r="4104" spans="1:9" hidden="1">
      <c r="A4104" s="1" t="s">
        <v>14578</v>
      </c>
      <c r="B4104" s="1" t="s">
        <v>10</v>
      </c>
      <c r="C4104" s="1" t="s">
        <v>14579</v>
      </c>
      <c r="D4104" s="1" t="s">
        <v>1525</v>
      </c>
      <c r="E4104" s="1" t="s">
        <v>1526</v>
      </c>
      <c r="F4104" s="1" t="s">
        <v>14580</v>
      </c>
      <c r="G4104" s="1" t="s">
        <v>14581</v>
      </c>
      <c r="H4104" s="1" t="s">
        <v>1762</v>
      </c>
      <c r="I4104" t="b">
        <f>COUNTIF(Estadísticas!I:I,'centraldecomunicacion.es'!H4104)&gt;0</f>
        <v>0</v>
      </c>
    </row>
    <row r="4105" spans="1:9" hidden="1">
      <c r="A4105" s="1" t="s">
        <v>14582</v>
      </c>
      <c r="B4105" s="1" t="s">
        <v>10</v>
      </c>
      <c r="C4105" s="1" t="s">
        <v>14583</v>
      </c>
      <c r="D4105" s="1" t="s">
        <v>1513</v>
      </c>
      <c r="E4105" s="1" t="s">
        <v>1456</v>
      </c>
      <c r="F4105" s="1" t="s">
        <v>30</v>
      </c>
      <c r="G4105" s="1" t="s">
        <v>30</v>
      </c>
      <c r="H4105" s="1" t="s">
        <v>1762</v>
      </c>
      <c r="I4105" t="b">
        <f>COUNTIF(Estadísticas!I:I,'centraldecomunicacion.es'!H4105)&gt;0</f>
        <v>0</v>
      </c>
    </row>
    <row r="4106" spans="1:9">
      <c r="A4106" s="1" t="s">
        <v>1504</v>
      </c>
      <c r="B4106" s="1" t="s">
        <v>18</v>
      </c>
      <c r="C4106" s="1" t="s">
        <v>1505</v>
      </c>
      <c r="D4106" s="1" t="s">
        <v>1506</v>
      </c>
      <c r="E4106" s="1" t="s">
        <v>1507</v>
      </c>
      <c r="F4106" s="1" t="s">
        <v>1508</v>
      </c>
      <c r="G4106" s="1" t="s">
        <v>1509</v>
      </c>
      <c r="H4106" s="1" t="s">
        <v>1510</v>
      </c>
      <c r="I4106" t="b">
        <f>COUNTIF(Estadísticas!I:I,'centraldecomunicacion.es'!H4106)&gt;0</f>
        <v>1</v>
      </c>
    </row>
    <row r="4107" spans="1:9" hidden="1">
      <c r="A4107" s="1" t="s">
        <v>14584</v>
      </c>
      <c r="B4107" s="1" t="s">
        <v>10</v>
      </c>
      <c r="C4107" s="1" t="s">
        <v>14585</v>
      </c>
      <c r="D4107" s="1" t="s">
        <v>1462</v>
      </c>
      <c r="E4107" s="1" t="s">
        <v>1456</v>
      </c>
      <c r="F4107" s="1" t="s">
        <v>14586</v>
      </c>
      <c r="G4107" s="1" t="s">
        <v>14587</v>
      </c>
      <c r="H4107" s="1" t="s">
        <v>1762</v>
      </c>
      <c r="I4107" t="b">
        <f>COUNTIF(Estadísticas!I:I,'centraldecomunicacion.es'!H4107)&gt;0</f>
        <v>0</v>
      </c>
    </row>
    <row r="4108" spans="1:9" hidden="1">
      <c r="A4108" s="1" t="s">
        <v>14588</v>
      </c>
      <c r="B4108" s="1" t="s">
        <v>10</v>
      </c>
      <c r="C4108" s="1" t="s">
        <v>14589</v>
      </c>
      <c r="D4108" s="1" t="s">
        <v>1532</v>
      </c>
      <c r="E4108" s="1" t="s">
        <v>945</v>
      </c>
      <c r="F4108" s="1" t="s">
        <v>30</v>
      </c>
      <c r="G4108" s="1" t="s">
        <v>30</v>
      </c>
      <c r="H4108" s="1" t="s">
        <v>1762</v>
      </c>
      <c r="I4108" t="b">
        <f>COUNTIF(Estadísticas!I:I,'centraldecomunicacion.es'!H4108)&gt;0</f>
        <v>0</v>
      </c>
    </row>
    <row r="4109" spans="1:9" hidden="1">
      <c r="A4109" s="1" t="s">
        <v>14590</v>
      </c>
      <c r="B4109" s="1" t="s">
        <v>10</v>
      </c>
      <c r="C4109" s="1" t="s">
        <v>14591</v>
      </c>
      <c r="D4109" s="1" t="s">
        <v>1525</v>
      </c>
      <c r="E4109" s="1" t="s">
        <v>14385</v>
      </c>
      <c r="F4109" s="1" t="s">
        <v>14592</v>
      </c>
      <c r="G4109" s="1" t="s">
        <v>14593</v>
      </c>
      <c r="H4109" s="1" t="s">
        <v>14594</v>
      </c>
      <c r="I4109" t="b">
        <f>COUNTIF(Estadísticas!I:I,'centraldecomunicacion.es'!H4109)&gt;0</f>
        <v>0</v>
      </c>
    </row>
    <row r="4110" spans="1:9" hidden="1">
      <c r="A4110" s="1" t="s">
        <v>14595</v>
      </c>
      <c r="B4110" s="1" t="s">
        <v>10</v>
      </c>
      <c r="C4110" s="1" t="s">
        <v>14596</v>
      </c>
      <c r="D4110" s="1" t="s">
        <v>1513</v>
      </c>
      <c r="E4110" s="1" t="s">
        <v>1456</v>
      </c>
      <c r="F4110" s="1" t="s">
        <v>30</v>
      </c>
      <c r="G4110" s="1" t="s">
        <v>14597</v>
      </c>
      <c r="H4110" s="1" t="s">
        <v>1762</v>
      </c>
      <c r="I4110" t="b">
        <f>COUNTIF(Estadísticas!I:I,'centraldecomunicacion.es'!H4110)&gt;0</f>
        <v>0</v>
      </c>
    </row>
    <row r="4111" spans="1:9" hidden="1">
      <c r="A4111" s="1" t="s">
        <v>14598</v>
      </c>
      <c r="B4111" s="1" t="s">
        <v>10</v>
      </c>
      <c r="C4111" s="1" t="s">
        <v>14599</v>
      </c>
      <c r="D4111" s="1" t="s">
        <v>1473</v>
      </c>
      <c r="E4111" s="1" t="s">
        <v>945</v>
      </c>
      <c r="F4111" s="1" t="s">
        <v>14600</v>
      </c>
      <c r="G4111" s="1" t="s">
        <v>14601</v>
      </c>
      <c r="H4111" s="1" t="s">
        <v>1762</v>
      </c>
      <c r="I4111" t="b">
        <f>COUNTIF(Estadísticas!I:I,'centraldecomunicacion.es'!H4111)&gt;0</f>
        <v>0</v>
      </c>
    </row>
    <row r="4112" spans="1:9" hidden="1">
      <c r="A4112" s="1" t="s">
        <v>14602</v>
      </c>
      <c r="B4112" s="1" t="s">
        <v>10</v>
      </c>
      <c r="C4112" s="1" t="s">
        <v>14603</v>
      </c>
      <c r="D4112" s="1" t="s">
        <v>14604</v>
      </c>
      <c r="E4112" s="1" t="s">
        <v>1456</v>
      </c>
      <c r="F4112" s="1" t="s">
        <v>30</v>
      </c>
      <c r="G4112" s="1" t="s">
        <v>30</v>
      </c>
      <c r="H4112" s="1" t="s">
        <v>1762</v>
      </c>
      <c r="I4112" t="b">
        <f>COUNTIF(Estadísticas!I:I,'centraldecomunicacion.es'!H4112)&gt;0</f>
        <v>0</v>
      </c>
    </row>
    <row r="4113" spans="1:9" hidden="1">
      <c r="A4113" s="1" t="s">
        <v>14605</v>
      </c>
      <c r="B4113" s="1" t="s">
        <v>18</v>
      </c>
      <c r="C4113" s="1" t="s">
        <v>14606</v>
      </c>
      <c r="D4113" s="1" t="s">
        <v>1455</v>
      </c>
      <c r="E4113" s="1" t="s">
        <v>1456</v>
      </c>
      <c r="F4113" s="1" t="s">
        <v>30</v>
      </c>
      <c r="G4113" s="1" t="s">
        <v>14607</v>
      </c>
      <c r="H4113" s="1" t="s">
        <v>1762</v>
      </c>
      <c r="I4113" t="b">
        <f>COUNTIF(Estadísticas!I:I,'centraldecomunicacion.es'!H4113)&gt;0</f>
        <v>0</v>
      </c>
    </row>
    <row r="4114" spans="1:9" hidden="1">
      <c r="A4114" s="1" t="s">
        <v>14608</v>
      </c>
      <c r="B4114" s="1" t="s">
        <v>10</v>
      </c>
      <c r="C4114" s="1" t="s">
        <v>14609</v>
      </c>
      <c r="D4114" s="1" t="s">
        <v>1473</v>
      </c>
      <c r="E4114" s="1" t="s">
        <v>945</v>
      </c>
      <c r="F4114" s="1" t="s">
        <v>6237</v>
      </c>
      <c r="G4114" s="1" t="s">
        <v>14610</v>
      </c>
      <c r="H4114" s="1" t="s">
        <v>1762</v>
      </c>
      <c r="I4114" t="b">
        <f>COUNTIF(Estadísticas!I:I,'centraldecomunicacion.es'!H4114)&gt;0</f>
        <v>0</v>
      </c>
    </row>
    <row r="4115" spans="1:9" hidden="1">
      <c r="A4115" s="1" t="s">
        <v>14611</v>
      </c>
      <c r="B4115" s="1" t="s">
        <v>10</v>
      </c>
      <c r="C4115" s="1" t="s">
        <v>14612</v>
      </c>
      <c r="D4115" s="1" t="s">
        <v>1513</v>
      </c>
      <c r="E4115" s="1" t="s">
        <v>1456</v>
      </c>
      <c r="F4115" s="1" t="s">
        <v>30</v>
      </c>
      <c r="G4115" s="1" t="s">
        <v>30</v>
      </c>
      <c r="H4115" s="1" t="s">
        <v>1762</v>
      </c>
      <c r="I4115" t="b">
        <f>COUNTIF(Estadísticas!I:I,'centraldecomunicacion.es'!H4115)&gt;0</f>
        <v>0</v>
      </c>
    </row>
    <row r="4116" spans="1:9" hidden="1">
      <c r="A4116" s="1" t="s">
        <v>14613</v>
      </c>
      <c r="B4116" s="1" t="s">
        <v>10</v>
      </c>
      <c r="C4116" s="1" t="s">
        <v>14614</v>
      </c>
      <c r="D4116" s="1" t="s">
        <v>1455</v>
      </c>
      <c r="E4116" s="1" t="s">
        <v>1456</v>
      </c>
      <c r="F4116" s="1" t="s">
        <v>30</v>
      </c>
      <c r="G4116" s="1" t="s">
        <v>14615</v>
      </c>
      <c r="H4116" s="1" t="s">
        <v>1762</v>
      </c>
      <c r="I4116" t="b">
        <f>COUNTIF(Estadísticas!I:I,'centraldecomunicacion.es'!H4116)&gt;0</f>
        <v>0</v>
      </c>
    </row>
    <row r="4117" spans="1:9" hidden="1">
      <c r="A4117" s="1" t="s">
        <v>3579</v>
      </c>
      <c r="B4117" s="1" t="s">
        <v>10</v>
      </c>
      <c r="C4117" s="1" t="s">
        <v>14616</v>
      </c>
      <c r="D4117" s="1" t="s">
        <v>14617</v>
      </c>
      <c r="E4117" s="1" t="s">
        <v>848</v>
      </c>
      <c r="F4117" s="1" t="s">
        <v>8717</v>
      </c>
      <c r="G4117" s="1" t="s">
        <v>8718</v>
      </c>
      <c r="H4117" s="1" t="s">
        <v>1762</v>
      </c>
      <c r="I4117" t="b">
        <f>COUNTIF(Estadísticas!I:I,'centraldecomunicacion.es'!H4117)&gt;0</f>
        <v>0</v>
      </c>
    </row>
    <row r="4118" spans="1:9" hidden="1">
      <c r="A4118" s="1" t="s">
        <v>14618</v>
      </c>
      <c r="B4118" s="1" t="s">
        <v>10</v>
      </c>
      <c r="C4118" s="1" t="s">
        <v>14619</v>
      </c>
      <c r="D4118" s="1" t="s">
        <v>1455</v>
      </c>
      <c r="E4118" s="1" t="s">
        <v>1456</v>
      </c>
      <c r="F4118" s="1" t="s">
        <v>30</v>
      </c>
      <c r="G4118" s="1" t="s">
        <v>14620</v>
      </c>
      <c r="H4118" s="1" t="s">
        <v>1762</v>
      </c>
      <c r="I4118" t="b">
        <f>COUNTIF(Estadísticas!I:I,'centraldecomunicacion.es'!H4118)&gt;0</f>
        <v>0</v>
      </c>
    </row>
    <row r="4119" spans="1:9" hidden="1">
      <c r="A4119" s="1" t="s">
        <v>14621</v>
      </c>
      <c r="B4119" s="1" t="s">
        <v>10</v>
      </c>
      <c r="C4119" s="1" t="s">
        <v>14622</v>
      </c>
      <c r="D4119" s="1" t="s">
        <v>14623</v>
      </c>
      <c r="E4119" s="1" t="s">
        <v>294</v>
      </c>
      <c r="F4119" s="1" t="s">
        <v>14624</v>
      </c>
      <c r="G4119" s="1" t="s">
        <v>14625</v>
      </c>
      <c r="H4119" s="1" t="s">
        <v>1762</v>
      </c>
      <c r="I4119" t="b">
        <f>COUNTIF(Estadísticas!I:I,'centraldecomunicacion.es'!H4119)&gt;0</f>
        <v>0</v>
      </c>
    </row>
    <row r="4120" spans="1:9" hidden="1">
      <c r="A4120" s="1" t="s">
        <v>14626</v>
      </c>
      <c r="B4120" s="1" t="s">
        <v>10</v>
      </c>
      <c r="C4120" s="1" t="s">
        <v>14627</v>
      </c>
      <c r="D4120" s="1" t="s">
        <v>13160</v>
      </c>
      <c r="E4120" s="1" t="s">
        <v>945</v>
      </c>
      <c r="F4120" s="1" t="s">
        <v>14628</v>
      </c>
      <c r="G4120" s="1" t="s">
        <v>14629</v>
      </c>
      <c r="H4120" s="1" t="s">
        <v>1762</v>
      </c>
      <c r="I4120" t="b">
        <f>COUNTIF(Estadísticas!I:I,'centraldecomunicacion.es'!H4120)&gt;0</f>
        <v>0</v>
      </c>
    </row>
    <row r="4121" spans="1:9" hidden="1">
      <c r="A4121" s="1" t="s">
        <v>14630</v>
      </c>
      <c r="B4121" s="1" t="s">
        <v>10</v>
      </c>
      <c r="C4121" s="1" t="s">
        <v>14631</v>
      </c>
      <c r="D4121" s="1" t="s">
        <v>14632</v>
      </c>
      <c r="E4121" s="1" t="s">
        <v>945</v>
      </c>
      <c r="F4121" s="1" t="s">
        <v>14633</v>
      </c>
      <c r="G4121" s="1" t="s">
        <v>14634</v>
      </c>
      <c r="H4121" s="1" t="s">
        <v>14635</v>
      </c>
      <c r="I4121" t="b">
        <f>COUNTIF(Estadísticas!I:I,'centraldecomunicacion.es'!H4121)&gt;0</f>
        <v>0</v>
      </c>
    </row>
    <row r="4122" spans="1:9" hidden="1">
      <c r="A4122" s="1" t="s">
        <v>14636</v>
      </c>
      <c r="B4122" s="1" t="s">
        <v>10</v>
      </c>
      <c r="C4122" s="1" t="s">
        <v>14637</v>
      </c>
      <c r="D4122" s="1" t="s">
        <v>14638</v>
      </c>
      <c r="E4122" s="1" t="s">
        <v>1456</v>
      </c>
      <c r="F4122" s="1" t="s">
        <v>14639</v>
      </c>
      <c r="G4122" s="1" t="s">
        <v>14640</v>
      </c>
      <c r="H4122" s="1" t="s">
        <v>1762</v>
      </c>
      <c r="I4122" t="b">
        <f>COUNTIF(Estadísticas!I:I,'centraldecomunicacion.es'!H4122)&gt;0</f>
        <v>0</v>
      </c>
    </row>
    <row r="4123" spans="1:9" hidden="1">
      <c r="A4123" s="1" t="s">
        <v>14641</v>
      </c>
      <c r="B4123" s="1" t="s">
        <v>10</v>
      </c>
      <c r="C4123" s="1" t="s">
        <v>14642</v>
      </c>
      <c r="D4123" s="1" t="s">
        <v>1455</v>
      </c>
      <c r="E4123" s="1" t="s">
        <v>1456</v>
      </c>
      <c r="F4123" s="1" t="s">
        <v>30</v>
      </c>
      <c r="G4123" s="1" t="s">
        <v>30</v>
      </c>
      <c r="H4123" s="1" t="s">
        <v>1762</v>
      </c>
      <c r="I4123" t="b">
        <f>COUNTIF(Estadísticas!I:I,'centraldecomunicacion.es'!H4123)&gt;0</f>
        <v>0</v>
      </c>
    </row>
    <row r="4124" spans="1:9" hidden="1">
      <c r="A4124" s="1" t="s">
        <v>14643</v>
      </c>
      <c r="B4124" s="1" t="s">
        <v>10</v>
      </c>
      <c r="C4124" s="1" t="s">
        <v>14644</v>
      </c>
      <c r="D4124" s="1" t="s">
        <v>14645</v>
      </c>
      <c r="E4124" s="1" t="s">
        <v>945</v>
      </c>
      <c r="F4124" s="1" t="s">
        <v>30</v>
      </c>
      <c r="G4124" s="1" t="s">
        <v>30</v>
      </c>
      <c r="H4124" s="1" t="s">
        <v>1762</v>
      </c>
      <c r="I4124" t="b">
        <f>COUNTIF(Estadísticas!I:I,'centraldecomunicacion.es'!H4124)&gt;0</f>
        <v>0</v>
      </c>
    </row>
    <row r="4125" spans="1:9" hidden="1">
      <c r="A4125" s="1" t="s">
        <v>14646</v>
      </c>
      <c r="B4125" s="1" t="s">
        <v>10</v>
      </c>
      <c r="C4125" s="1" t="s">
        <v>14647</v>
      </c>
      <c r="D4125" s="1" t="s">
        <v>14648</v>
      </c>
      <c r="E4125" s="1" t="s">
        <v>945</v>
      </c>
      <c r="F4125" s="1" t="s">
        <v>30</v>
      </c>
      <c r="G4125" s="1" t="s">
        <v>14649</v>
      </c>
      <c r="H4125" s="1" t="s">
        <v>1762</v>
      </c>
      <c r="I4125" t="b">
        <f>COUNTIF(Estadísticas!I:I,'centraldecomunicacion.es'!H4125)&gt;0</f>
        <v>0</v>
      </c>
    </row>
    <row r="4126" spans="1:9">
      <c r="A4126" s="1" t="s">
        <v>1511</v>
      </c>
      <c r="B4126" s="1" t="s">
        <v>10</v>
      </c>
      <c r="C4126" s="1" t="s">
        <v>1512</v>
      </c>
      <c r="D4126" s="1" t="s">
        <v>1513</v>
      </c>
      <c r="E4126" s="1" t="s">
        <v>1456</v>
      </c>
      <c r="F4126" s="1" t="s">
        <v>1514</v>
      </c>
      <c r="G4126" s="1" t="s">
        <v>1515</v>
      </c>
      <c r="H4126" s="1" t="s">
        <v>1516</v>
      </c>
      <c r="I4126" t="b">
        <f>COUNTIF(Estadísticas!I:I,'centraldecomunicacion.es'!H4126)&gt;0</f>
        <v>1</v>
      </c>
    </row>
    <row r="4127" spans="1:9" hidden="1">
      <c r="A4127" s="1" t="s">
        <v>14650</v>
      </c>
      <c r="B4127" s="1" t="s">
        <v>18</v>
      </c>
      <c r="C4127" s="1" t="s">
        <v>14651</v>
      </c>
      <c r="D4127" s="1" t="s">
        <v>14346</v>
      </c>
      <c r="E4127" s="1" t="s">
        <v>1456</v>
      </c>
      <c r="F4127" s="1" t="s">
        <v>14652</v>
      </c>
      <c r="G4127" s="1" t="s">
        <v>14653</v>
      </c>
      <c r="H4127" s="1" t="s">
        <v>1762</v>
      </c>
      <c r="I4127" t="b">
        <f>COUNTIF(Estadísticas!I:I,'centraldecomunicacion.es'!H4127)&gt;0</f>
        <v>0</v>
      </c>
    </row>
    <row r="4128" spans="1:9" hidden="1">
      <c r="A4128" s="1" t="s">
        <v>14654</v>
      </c>
      <c r="B4128" s="1" t="s">
        <v>10</v>
      </c>
      <c r="C4128" s="1" t="s">
        <v>14655</v>
      </c>
      <c r="D4128" s="1" t="s">
        <v>1513</v>
      </c>
      <c r="E4128" s="1" t="s">
        <v>1456</v>
      </c>
      <c r="F4128" s="1" t="s">
        <v>30</v>
      </c>
      <c r="G4128" s="1" t="s">
        <v>30</v>
      </c>
      <c r="H4128" s="1" t="s">
        <v>1762</v>
      </c>
      <c r="I4128" t="b">
        <f>COUNTIF(Estadísticas!I:I,'centraldecomunicacion.es'!H4128)&gt;0</f>
        <v>0</v>
      </c>
    </row>
    <row r="4129" spans="1:9" hidden="1">
      <c r="A4129" s="1" t="s">
        <v>14656</v>
      </c>
      <c r="B4129" s="1" t="s">
        <v>10</v>
      </c>
      <c r="C4129" s="1" t="s">
        <v>14657</v>
      </c>
      <c r="D4129" s="1" t="s">
        <v>1473</v>
      </c>
      <c r="E4129" s="1" t="s">
        <v>945</v>
      </c>
      <c r="F4129" s="1" t="s">
        <v>30</v>
      </c>
      <c r="G4129" s="1" t="s">
        <v>14464</v>
      </c>
      <c r="H4129" s="1" t="s">
        <v>1762</v>
      </c>
      <c r="I4129" t="b">
        <f>COUNTIF(Estadísticas!I:I,'centraldecomunicacion.es'!H4129)&gt;0</f>
        <v>0</v>
      </c>
    </row>
    <row r="4130" spans="1:9" hidden="1">
      <c r="A4130" s="1" t="s">
        <v>14658</v>
      </c>
      <c r="B4130" s="1" t="s">
        <v>10</v>
      </c>
      <c r="C4130" s="1" t="s">
        <v>14659</v>
      </c>
      <c r="D4130" s="1" t="s">
        <v>1525</v>
      </c>
      <c r="E4130" s="1" t="s">
        <v>1526</v>
      </c>
      <c r="F4130" s="1" t="s">
        <v>14660</v>
      </c>
      <c r="G4130" s="1" t="s">
        <v>14661</v>
      </c>
      <c r="H4130" s="1" t="s">
        <v>14662</v>
      </c>
      <c r="I4130" t="b">
        <f>COUNTIF(Estadísticas!I:I,'centraldecomunicacion.es'!H4130)&gt;0</f>
        <v>0</v>
      </c>
    </row>
    <row r="4131" spans="1:9">
      <c r="A4131" s="1" t="s">
        <v>1517</v>
      </c>
      <c r="B4131" s="1" t="s">
        <v>10</v>
      </c>
      <c r="C4131" s="1" t="s">
        <v>1518</v>
      </c>
      <c r="D4131" s="1" t="s">
        <v>1519</v>
      </c>
      <c r="E4131" s="1" t="s">
        <v>1456</v>
      </c>
      <c r="F4131" s="1" t="s">
        <v>1520</v>
      </c>
      <c r="G4131" s="1" t="s">
        <v>1521</v>
      </c>
      <c r="H4131" s="1" t="s">
        <v>1522</v>
      </c>
      <c r="I4131" t="b">
        <f>COUNTIF(Estadísticas!I:I,'centraldecomunicacion.es'!H4131)&gt;0</f>
        <v>1</v>
      </c>
    </row>
    <row r="4132" spans="1:9" hidden="1">
      <c r="A4132" s="1" t="s">
        <v>14663</v>
      </c>
      <c r="B4132" s="1" t="s">
        <v>10</v>
      </c>
      <c r="C4132" s="1" t="s">
        <v>14664</v>
      </c>
      <c r="D4132" s="1" t="s">
        <v>14557</v>
      </c>
      <c r="E4132" s="1" t="s">
        <v>945</v>
      </c>
      <c r="F4132" s="1" t="s">
        <v>14665</v>
      </c>
      <c r="G4132" s="1" t="s">
        <v>14666</v>
      </c>
      <c r="H4132" s="1" t="s">
        <v>1762</v>
      </c>
      <c r="I4132" t="b">
        <f>COUNTIF(Estadísticas!I:I,'centraldecomunicacion.es'!H4132)&gt;0</f>
        <v>0</v>
      </c>
    </row>
    <row r="4133" spans="1:9" hidden="1">
      <c r="A4133" s="1" t="s">
        <v>14667</v>
      </c>
      <c r="B4133" s="1" t="s">
        <v>10</v>
      </c>
      <c r="C4133" s="1" t="s">
        <v>14668</v>
      </c>
      <c r="D4133" s="1" t="s">
        <v>14669</v>
      </c>
      <c r="E4133" s="1" t="s">
        <v>1456</v>
      </c>
      <c r="F4133" s="1" t="s">
        <v>30</v>
      </c>
      <c r="G4133" s="1" t="s">
        <v>14670</v>
      </c>
      <c r="H4133" s="1" t="s">
        <v>1762</v>
      </c>
      <c r="I4133" t="b">
        <f>COUNTIF(Estadísticas!I:I,'centraldecomunicacion.es'!H4133)&gt;0</f>
        <v>0</v>
      </c>
    </row>
    <row r="4134" spans="1:9" hidden="1">
      <c r="A4134" s="1" t="s">
        <v>14671</v>
      </c>
      <c r="B4134" s="1" t="s">
        <v>10</v>
      </c>
      <c r="C4134" s="1" t="s">
        <v>30</v>
      </c>
      <c r="D4134" s="1" t="s">
        <v>1543</v>
      </c>
      <c r="E4134" s="1" t="s">
        <v>30</v>
      </c>
      <c r="F4134" s="1" t="s">
        <v>14672</v>
      </c>
      <c r="G4134" s="1" t="s">
        <v>14673</v>
      </c>
      <c r="H4134" s="1" t="s">
        <v>1762</v>
      </c>
      <c r="I4134" t="b">
        <f>COUNTIF(Estadísticas!I:I,'centraldecomunicacion.es'!H4134)&gt;0</f>
        <v>0</v>
      </c>
    </row>
    <row r="4135" spans="1:9" hidden="1">
      <c r="A4135" s="1" t="s">
        <v>14674</v>
      </c>
      <c r="B4135" s="1" t="s">
        <v>10</v>
      </c>
      <c r="C4135" s="1" t="s">
        <v>14675</v>
      </c>
      <c r="D4135" s="1" t="s">
        <v>1538</v>
      </c>
      <c r="E4135" s="1" t="s">
        <v>945</v>
      </c>
      <c r="F4135" s="1" t="s">
        <v>14676</v>
      </c>
      <c r="G4135" s="1" t="s">
        <v>14677</v>
      </c>
      <c r="H4135" s="1" t="s">
        <v>14678</v>
      </c>
      <c r="I4135" t="b">
        <f>COUNTIF(Estadísticas!I:I,'centraldecomunicacion.es'!H4135)&gt;0</f>
        <v>0</v>
      </c>
    </row>
    <row r="4136" spans="1:9" hidden="1">
      <c r="A4136" s="1" t="s">
        <v>14679</v>
      </c>
      <c r="B4136" s="1" t="s">
        <v>10</v>
      </c>
      <c r="C4136" s="1" t="s">
        <v>14680</v>
      </c>
      <c r="D4136" s="1" t="s">
        <v>1473</v>
      </c>
      <c r="E4136" s="1" t="s">
        <v>945</v>
      </c>
      <c r="F4136" s="1" t="s">
        <v>14681</v>
      </c>
      <c r="G4136" s="1" t="s">
        <v>14682</v>
      </c>
      <c r="H4136" s="1" t="s">
        <v>14683</v>
      </c>
      <c r="I4136" t="b">
        <f>COUNTIF(Estadísticas!I:I,'centraldecomunicacion.es'!H4136)&gt;0</f>
        <v>0</v>
      </c>
    </row>
    <row r="4137" spans="1:9">
      <c r="A4137" s="1" t="s">
        <v>1523</v>
      </c>
      <c r="B4137" s="1" t="s">
        <v>10</v>
      </c>
      <c r="C4137" s="1" t="s">
        <v>1524</v>
      </c>
      <c r="D4137" s="1" t="s">
        <v>1525</v>
      </c>
      <c r="E4137" s="1" t="s">
        <v>1526</v>
      </c>
      <c r="F4137" s="1" t="s">
        <v>1527</v>
      </c>
      <c r="G4137" s="1" t="s">
        <v>1528</v>
      </c>
      <c r="H4137" s="1" t="s">
        <v>1529</v>
      </c>
      <c r="I4137" t="b">
        <f>COUNTIF(Estadísticas!I:I,'centraldecomunicacion.es'!H4137)&gt;0</f>
        <v>1</v>
      </c>
    </row>
    <row r="4138" spans="1:9" hidden="1">
      <c r="A4138" s="1" t="s">
        <v>14684</v>
      </c>
      <c r="B4138" s="1" t="s">
        <v>10</v>
      </c>
      <c r="C4138" s="1" t="s">
        <v>14685</v>
      </c>
      <c r="D4138" s="1" t="s">
        <v>14346</v>
      </c>
      <c r="E4138" s="1" t="s">
        <v>1456</v>
      </c>
      <c r="F4138" s="1" t="s">
        <v>30</v>
      </c>
      <c r="G4138" s="1" t="s">
        <v>30</v>
      </c>
      <c r="H4138" s="1" t="s">
        <v>1762</v>
      </c>
      <c r="I4138" t="b">
        <f>COUNTIF(Estadísticas!I:I,'centraldecomunicacion.es'!H4138)&gt;0</f>
        <v>0</v>
      </c>
    </row>
    <row r="4139" spans="1:9" hidden="1">
      <c r="A4139" s="1" t="s">
        <v>14686</v>
      </c>
      <c r="B4139" s="1" t="s">
        <v>10</v>
      </c>
      <c r="C4139" s="1" t="s">
        <v>14687</v>
      </c>
      <c r="D4139" s="1" t="s">
        <v>1525</v>
      </c>
      <c r="E4139" s="1" t="s">
        <v>1526</v>
      </c>
      <c r="F4139" s="1" t="s">
        <v>30</v>
      </c>
      <c r="G4139" s="1" t="s">
        <v>30</v>
      </c>
      <c r="H4139" s="1" t="s">
        <v>1762</v>
      </c>
      <c r="I4139" t="b">
        <f>COUNTIF(Estadísticas!I:I,'centraldecomunicacion.es'!H4139)&gt;0</f>
        <v>0</v>
      </c>
    </row>
    <row r="4140" spans="1:9" hidden="1">
      <c r="A4140" s="1" t="s">
        <v>14688</v>
      </c>
      <c r="B4140" s="1" t="s">
        <v>10</v>
      </c>
      <c r="C4140" s="1" t="s">
        <v>14689</v>
      </c>
      <c r="D4140" s="1" t="s">
        <v>1473</v>
      </c>
      <c r="E4140" s="1" t="s">
        <v>945</v>
      </c>
      <c r="F4140" s="1" t="s">
        <v>1830</v>
      </c>
      <c r="G4140" s="1" t="s">
        <v>14690</v>
      </c>
      <c r="H4140" s="1" t="s">
        <v>1762</v>
      </c>
      <c r="I4140" t="b">
        <f>COUNTIF(Estadísticas!I:I,'centraldecomunicacion.es'!H4140)&gt;0</f>
        <v>0</v>
      </c>
    </row>
    <row r="4141" spans="1:9" hidden="1">
      <c r="A4141" s="1" t="s">
        <v>14691</v>
      </c>
      <c r="B4141" s="1" t="s">
        <v>10</v>
      </c>
      <c r="C4141" s="1" t="s">
        <v>14692</v>
      </c>
      <c r="D4141" s="1" t="s">
        <v>14693</v>
      </c>
      <c r="E4141" s="1" t="s">
        <v>1456</v>
      </c>
      <c r="F4141" s="1" t="s">
        <v>30</v>
      </c>
      <c r="G4141" s="1" t="s">
        <v>14694</v>
      </c>
      <c r="H4141" s="1" t="s">
        <v>1762</v>
      </c>
      <c r="I4141" t="b">
        <f>COUNTIF(Estadísticas!I:I,'centraldecomunicacion.es'!H4141)&gt;0</f>
        <v>0</v>
      </c>
    </row>
    <row r="4142" spans="1:9" hidden="1">
      <c r="A4142" s="1" t="s">
        <v>14695</v>
      </c>
      <c r="B4142" s="1" t="s">
        <v>10</v>
      </c>
      <c r="C4142" s="1" t="s">
        <v>14696</v>
      </c>
      <c r="D4142" s="1" t="s">
        <v>14531</v>
      </c>
      <c r="E4142" s="1" t="s">
        <v>1456</v>
      </c>
      <c r="F4142" s="1" t="s">
        <v>30</v>
      </c>
      <c r="G4142" s="1" t="s">
        <v>30</v>
      </c>
      <c r="H4142" s="1" t="s">
        <v>1762</v>
      </c>
      <c r="I4142" t="b">
        <f>COUNTIF(Estadísticas!I:I,'centraldecomunicacion.es'!H4142)&gt;0</f>
        <v>0</v>
      </c>
    </row>
    <row r="4143" spans="1:9" hidden="1">
      <c r="A4143" s="1" t="s">
        <v>14697</v>
      </c>
      <c r="B4143" s="1" t="s">
        <v>10</v>
      </c>
      <c r="C4143" s="1" t="s">
        <v>14698</v>
      </c>
      <c r="D4143" s="1" t="s">
        <v>14699</v>
      </c>
      <c r="E4143" s="1" t="s">
        <v>945</v>
      </c>
      <c r="F4143" s="1" t="s">
        <v>30</v>
      </c>
      <c r="G4143" s="1" t="s">
        <v>14700</v>
      </c>
      <c r="H4143" s="1" t="s">
        <v>1762</v>
      </c>
      <c r="I4143" t="b">
        <f>COUNTIF(Estadísticas!I:I,'centraldecomunicacion.es'!H4143)&gt;0</f>
        <v>0</v>
      </c>
    </row>
    <row r="4144" spans="1:9" hidden="1">
      <c r="A4144" s="1" t="s">
        <v>14701</v>
      </c>
      <c r="B4144" s="1" t="s">
        <v>10</v>
      </c>
      <c r="C4144" s="1" t="s">
        <v>30</v>
      </c>
      <c r="D4144" s="1" t="s">
        <v>1543</v>
      </c>
      <c r="E4144" s="1" t="s">
        <v>30</v>
      </c>
      <c r="F4144" s="1" t="s">
        <v>14702</v>
      </c>
      <c r="G4144" s="1" t="s">
        <v>30</v>
      </c>
      <c r="H4144" s="1" t="s">
        <v>1762</v>
      </c>
      <c r="I4144" t="b">
        <f>COUNTIF(Estadísticas!I:I,'centraldecomunicacion.es'!H4144)&gt;0</f>
        <v>0</v>
      </c>
    </row>
    <row r="4145" spans="1:9" hidden="1">
      <c r="A4145" s="1" t="s">
        <v>14703</v>
      </c>
      <c r="B4145" s="1" t="s">
        <v>18</v>
      </c>
      <c r="C4145" s="1" t="s">
        <v>14704</v>
      </c>
      <c r="D4145" s="1" t="s">
        <v>14341</v>
      </c>
      <c r="E4145" s="1" t="s">
        <v>1456</v>
      </c>
      <c r="F4145" s="1" t="s">
        <v>30</v>
      </c>
      <c r="G4145" s="1" t="s">
        <v>14705</v>
      </c>
      <c r="H4145" s="1" t="s">
        <v>1762</v>
      </c>
      <c r="I4145" t="b">
        <f>COUNTIF(Estadísticas!I:I,'centraldecomunicacion.es'!H4145)&gt;0</f>
        <v>0</v>
      </c>
    </row>
    <row r="4146" spans="1:9">
      <c r="A4146" s="1" t="s">
        <v>1530</v>
      </c>
      <c r="B4146" s="1" t="s">
        <v>10</v>
      </c>
      <c r="C4146" s="1" t="s">
        <v>1531</v>
      </c>
      <c r="D4146" s="1" t="s">
        <v>1532</v>
      </c>
      <c r="E4146" s="1" t="s">
        <v>945</v>
      </c>
      <c r="F4146" s="1" t="s">
        <v>1533</v>
      </c>
      <c r="G4146" s="1" t="s">
        <v>1534</v>
      </c>
      <c r="H4146" s="1" t="s">
        <v>1535</v>
      </c>
      <c r="I4146" t="b">
        <f>COUNTIF(Estadísticas!I:I,'centraldecomunicacion.es'!H4146)&gt;0</f>
        <v>1</v>
      </c>
    </row>
    <row r="4147" spans="1:9">
      <c r="A4147" s="1" t="s">
        <v>1536</v>
      </c>
      <c r="B4147" s="1" t="s">
        <v>10</v>
      </c>
      <c r="C4147" s="1" t="s">
        <v>1537</v>
      </c>
      <c r="D4147" s="1" t="s">
        <v>1538</v>
      </c>
      <c r="E4147" s="1" t="s">
        <v>945</v>
      </c>
      <c r="F4147" s="1" t="s">
        <v>1539</v>
      </c>
      <c r="G4147" s="1" t="s">
        <v>1540</v>
      </c>
      <c r="H4147" s="1" t="s">
        <v>1541</v>
      </c>
      <c r="I4147" t="b">
        <f>COUNTIF(Estadísticas!I:I,'centraldecomunicacion.es'!H4147)&gt;0</f>
        <v>1</v>
      </c>
    </row>
    <row r="4148" spans="1:9" hidden="1">
      <c r="A4148" s="1" t="s">
        <v>14706</v>
      </c>
      <c r="B4148" s="1" t="s">
        <v>10</v>
      </c>
      <c r="C4148" s="1" t="s">
        <v>14707</v>
      </c>
      <c r="D4148" s="1" t="s">
        <v>14708</v>
      </c>
      <c r="E4148" s="1" t="s">
        <v>945</v>
      </c>
      <c r="F4148" s="1" t="s">
        <v>1984</v>
      </c>
      <c r="G4148" s="1" t="s">
        <v>14709</v>
      </c>
      <c r="H4148" s="1" t="s">
        <v>1762</v>
      </c>
      <c r="I4148" t="b">
        <f>COUNTIF(Estadísticas!I:I,'centraldecomunicacion.es'!H4148)&gt;0</f>
        <v>0</v>
      </c>
    </row>
    <row r="4149" spans="1:9" hidden="1">
      <c r="A4149" s="1" t="s">
        <v>14710</v>
      </c>
      <c r="B4149" s="1" t="s">
        <v>18</v>
      </c>
      <c r="C4149" s="1" t="s">
        <v>14711</v>
      </c>
      <c r="D4149" s="1" t="s">
        <v>1473</v>
      </c>
      <c r="E4149" s="1" t="s">
        <v>945</v>
      </c>
      <c r="F4149" s="1" t="s">
        <v>4288</v>
      </c>
      <c r="G4149" s="1" t="s">
        <v>14712</v>
      </c>
      <c r="H4149" s="1" t="s">
        <v>4290</v>
      </c>
      <c r="I4149" t="b">
        <f>COUNTIF(Estadísticas!I:I,'centraldecomunicacion.es'!H4149)&gt;0</f>
        <v>0</v>
      </c>
    </row>
    <row r="4150" spans="1:9" hidden="1">
      <c r="A4150" s="1" t="s">
        <v>14713</v>
      </c>
      <c r="B4150" s="1" t="s">
        <v>10</v>
      </c>
      <c r="C4150" s="1" t="s">
        <v>14714</v>
      </c>
      <c r="D4150" s="1" t="s">
        <v>14355</v>
      </c>
      <c r="E4150" s="1" t="s">
        <v>1456</v>
      </c>
      <c r="F4150" s="1" t="s">
        <v>14715</v>
      </c>
      <c r="G4150" s="1" t="s">
        <v>14716</v>
      </c>
      <c r="H4150" s="1" t="s">
        <v>14717</v>
      </c>
      <c r="I4150" t="b">
        <f>COUNTIF(Estadísticas!I:I,'centraldecomunicacion.es'!H4150)&gt;0</f>
        <v>0</v>
      </c>
    </row>
    <row r="4151" spans="1:9" hidden="1">
      <c r="A4151" s="1" t="s">
        <v>14718</v>
      </c>
      <c r="B4151" s="1" t="s">
        <v>10</v>
      </c>
      <c r="C4151" s="1" t="s">
        <v>14719</v>
      </c>
      <c r="D4151" s="1" t="s">
        <v>14720</v>
      </c>
      <c r="E4151" s="1" t="s">
        <v>14721</v>
      </c>
      <c r="F4151" s="1" t="s">
        <v>30</v>
      </c>
      <c r="G4151" s="1" t="s">
        <v>14722</v>
      </c>
      <c r="H4151" s="1" t="s">
        <v>1762</v>
      </c>
      <c r="I4151" t="b">
        <f>COUNTIF(Estadísticas!I:I,'centraldecomunicacion.es'!H4151)&gt;0</f>
        <v>0</v>
      </c>
    </row>
    <row r="4152" spans="1:9" hidden="1">
      <c r="A4152" s="1" t="s">
        <v>14723</v>
      </c>
      <c r="B4152" s="1" t="s">
        <v>10</v>
      </c>
      <c r="C4152" s="1" t="s">
        <v>14724</v>
      </c>
      <c r="D4152" s="1" t="s">
        <v>14725</v>
      </c>
      <c r="E4152" s="1" t="s">
        <v>1456</v>
      </c>
      <c r="F4152" s="1" t="s">
        <v>30</v>
      </c>
      <c r="G4152" s="1" t="s">
        <v>14726</v>
      </c>
      <c r="H4152" s="1" t="s">
        <v>1762</v>
      </c>
      <c r="I4152" t="b">
        <f>COUNTIF(Estadísticas!I:I,'centraldecomunicacion.es'!H4152)&gt;0</f>
        <v>0</v>
      </c>
    </row>
    <row r="4153" spans="1:9" hidden="1">
      <c r="A4153" s="1" t="s">
        <v>14727</v>
      </c>
      <c r="B4153" s="1" t="s">
        <v>10</v>
      </c>
      <c r="C4153" s="1" t="s">
        <v>14728</v>
      </c>
      <c r="D4153" s="1" t="s">
        <v>1532</v>
      </c>
      <c r="E4153" s="1" t="s">
        <v>945</v>
      </c>
      <c r="F4153" s="1" t="s">
        <v>30</v>
      </c>
      <c r="G4153" s="1" t="s">
        <v>30</v>
      </c>
      <c r="H4153" s="1" t="s">
        <v>1762</v>
      </c>
      <c r="I4153" t="b">
        <f>COUNTIF(Estadísticas!I:I,'centraldecomunicacion.es'!H4153)&gt;0</f>
        <v>0</v>
      </c>
    </row>
    <row r="4154" spans="1:9" hidden="1">
      <c r="A4154" s="1" t="s">
        <v>14729</v>
      </c>
      <c r="B4154" s="1" t="s">
        <v>10</v>
      </c>
      <c r="C4154" s="1" t="s">
        <v>14730</v>
      </c>
      <c r="D4154" s="1" t="s">
        <v>14731</v>
      </c>
      <c r="E4154" s="1" t="s">
        <v>1456</v>
      </c>
      <c r="F4154" s="1" t="s">
        <v>30</v>
      </c>
      <c r="G4154" s="1" t="s">
        <v>30</v>
      </c>
      <c r="H4154" s="1" t="s">
        <v>1762</v>
      </c>
      <c r="I4154" t="b">
        <f>COUNTIF(Estadísticas!I:I,'centraldecomunicacion.es'!H4154)&gt;0</f>
        <v>0</v>
      </c>
    </row>
    <row r="4155" spans="1:9" hidden="1">
      <c r="A4155" s="1" t="s">
        <v>14732</v>
      </c>
      <c r="B4155" s="1" t="s">
        <v>10</v>
      </c>
      <c r="C4155" s="1" t="s">
        <v>14733</v>
      </c>
      <c r="D4155" s="1" t="s">
        <v>1455</v>
      </c>
      <c r="E4155" s="1" t="s">
        <v>1456</v>
      </c>
      <c r="F4155" s="1" t="s">
        <v>30</v>
      </c>
      <c r="G4155" s="1" t="s">
        <v>14734</v>
      </c>
      <c r="H4155" s="1" t="s">
        <v>1762</v>
      </c>
      <c r="I4155" t="b">
        <f>COUNTIF(Estadísticas!I:I,'centraldecomunicacion.es'!H4155)&gt;0</f>
        <v>0</v>
      </c>
    </row>
    <row r="4156" spans="1:9" hidden="1">
      <c r="A4156" s="1" t="s">
        <v>14735</v>
      </c>
      <c r="B4156" s="1" t="s">
        <v>10</v>
      </c>
      <c r="C4156" s="1" t="s">
        <v>14736</v>
      </c>
      <c r="D4156" s="1" t="s">
        <v>14737</v>
      </c>
      <c r="E4156" s="1" t="s">
        <v>1456</v>
      </c>
      <c r="F4156" s="1" t="s">
        <v>30</v>
      </c>
      <c r="G4156" s="1" t="s">
        <v>30</v>
      </c>
      <c r="H4156" s="1" t="s">
        <v>1762</v>
      </c>
      <c r="I4156" t="b">
        <f>COUNTIF(Estadísticas!I:I,'centraldecomunicacion.es'!H4156)&gt;0</f>
        <v>0</v>
      </c>
    </row>
    <row r="4157" spans="1:9" hidden="1">
      <c r="A4157" s="1" t="s">
        <v>14738</v>
      </c>
      <c r="B4157" s="1" t="s">
        <v>10</v>
      </c>
      <c r="C4157" s="1" t="s">
        <v>14739</v>
      </c>
      <c r="D4157" s="1" t="s">
        <v>1455</v>
      </c>
      <c r="E4157" s="1" t="s">
        <v>1456</v>
      </c>
      <c r="F4157" s="1" t="s">
        <v>30</v>
      </c>
      <c r="G4157" s="1" t="s">
        <v>14740</v>
      </c>
      <c r="H4157" s="1" t="s">
        <v>1762</v>
      </c>
      <c r="I4157" t="b">
        <f>COUNTIF(Estadísticas!I:I,'centraldecomunicacion.es'!H4157)&gt;0</f>
        <v>0</v>
      </c>
    </row>
    <row r="4158" spans="1:9" hidden="1">
      <c r="A4158" s="1" t="s">
        <v>14454</v>
      </c>
      <c r="B4158" s="1" t="s">
        <v>10</v>
      </c>
      <c r="C4158" s="1" t="s">
        <v>14741</v>
      </c>
      <c r="D4158" s="1" t="s">
        <v>1513</v>
      </c>
      <c r="E4158" s="1" t="s">
        <v>1456</v>
      </c>
      <c r="F4158" s="1" t="s">
        <v>30</v>
      </c>
      <c r="G4158" s="1" t="s">
        <v>30</v>
      </c>
      <c r="H4158" s="1" t="s">
        <v>1762</v>
      </c>
      <c r="I4158" t="b">
        <f>COUNTIF(Estadísticas!I:I,'centraldecomunicacion.es'!H4158)&gt;0</f>
        <v>0</v>
      </c>
    </row>
    <row r="4159" spans="1:9" hidden="1">
      <c r="A4159" s="1" t="s">
        <v>14742</v>
      </c>
      <c r="B4159" s="1" t="s">
        <v>10</v>
      </c>
      <c r="C4159" s="1" t="s">
        <v>14743</v>
      </c>
      <c r="D4159" s="1" t="s">
        <v>1684</v>
      </c>
      <c r="E4159" s="1" t="s">
        <v>14385</v>
      </c>
      <c r="F4159" s="1" t="s">
        <v>30</v>
      </c>
      <c r="G4159" s="1" t="s">
        <v>30</v>
      </c>
      <c r="H4159" s="1" t="s">
        <v>1762</v>
      </c>
      <c r="I4159" t="b">
        <f>COUNTIF(Estadísticas!I:I,'centraldecomunicacion.es'!H4159)&gt;0</f>
        <v>0</v>
      </c>
    </row>
    <row r="4160" spans="1:9" hidden="1">
      <c r="A4160" s="1" t="s">
        <v>14744</v>
      </c>
      <c r="B4160" s="1" t="s">
        <v>10</v>
      </c>
      <c r="C4160" s="1" t="s">
        <v>14745</v>
      </c>
      <c r="D4160" s="1" t="s">
        <v>14746</v>
      </c>
      <c r="E4160" s="1" t="s">
        <v>1507</v>
      </c>
      <c r="F4160" s="1" t="s">
        <v>30</v>
      </c>
      <c r="G4160" s="1" t="s">
        <v>30</v>
      </c>
      <c r="H4160" s="1" t="s">
        <v>1762</v>
      </c>
      <c r="I4160" t="b">
        <f>COUNTIF(Estadísticas!I:I,'centraldecomunicacion.es'!H4160)&gt;0</f>
        <v>0</v>
      </c>
    </row>
    <row r="4161" spans="1:9" hidden="1">
      <c r="A4161" s="1" t="s">
        <v>14747</v>
      </c>
      <c r="B4161" s="1" t="s">
        <v>10</v>
      </c>
      <c r="C4161" s="1" t="s">
        <v>14748</v>
      </c>
      <c r="D4161" s="1" t="s">
        <v>14749</v>
      </c>
      <c r="E4161" s="1" t="s">
        <v>14721</v>
      </c>
      <c r="F4161" s="1" t="s">
        <v>30</v>
      </c>
      <c r="G4161" s="1" t="s">
        <v>14750</v>
      </c>
      <c r="H4161" s="1" t="s">
        <v>1762</v>
      </c>
      <c r="I4161" t="b">
        <f>COUNTIF(Estadísticas!I:I,'centraldecomunicacion.es'!H4161)&gt;0</f>
        <v>0</v>
      </c>
    </row>
    <row r="4162" spans="1:9" hidden="1">
      <c r="A4162" s="1" t="s">
        <v>14751</v>
      </c>
      <c r="B4162" s="1" t="s">
        <v>10</v>
      </c>
      <c r="C4162" s="1" t="s">
        <v>14752</v>
      </c>
      <c r="D4162" s="1" t="s">
        <v>14753</v>
      </c>
      <c r="E4162" s="1" t="s">
        <v>1526</v>
      </c>
      <c r="F4162" s="1" t="s">
        <v>30</v>
      </c>
      <c r="G4162" s="1" t="s">
        <v>14754</v>
      </c>
      <c r="H4162" s="1" t="s">
        <v>1762</v>
      </c>
      <c r="I4162" t="b">
        <f>COUNTIF(Estadísticas!I:I,'centraldecomunicacion.es'!H4162)&gt;0</f>
        <v>0</v>
      </c>
    </row>
    <row r="4163" spans="1:9" hidden="1">
      <c r="A4163" s="1" t="s">
        <v>14755</v>
      </c>
      <c r="B4163" s="1" t="s">
        <v>10</v>
      </c>
      <c r="C4163" s="1" t="s">
        <v>14756</v>
      </c>
      <c r="D4163" s="1" t="s">
        <v>1462</v>
      </c>
      <c r="E4163" s="1" t="s">
        <v>1456</v>
      </c>
      <c r="F4163" s="1" t="s">
        <v>30</v>
      </c>
      <c r="G4163" s="1" t="s">
        <v>14757</v>
      </c>
      <c r="H4163" s="1" t="s">
        <v>1762</v>
      </c>
      <c r="I4163" t="b">
        <f>COUNTIF(Estadísticas!I:I,'centraldecomunicacion.es'!H4163)&gt;0</f>
        <v>0</v>
      </c>
    </row>
    <row r="4164" spans="1:9">
      <c r="A4164" s="1" t="s">
        <v>1542</v>
      </c>
      <c r="B4164" s="1" t="s">
        <v>10</v>
      </c>
      <c r="C4164" s="1" t="s">
        <v>30</v>
      </c>
      <c r="D4164" s="1" t="s">
        <v>1543</v>
      </c>
      <c r="E4164" s="1" t="s">
        <v>30</v>
      </c>
      <c r="F4164" s="1" t="s">
        <v>1544</v>
      </c>
      <c r="G4164" s="1" t="s">
        <v>1545</v>
      </c>
      <c r="H4164" s="1" t="s">
        <v>1546</v>
      </c>
      <c r="I4164" t="b">
        <f>COUNTIF(Estadísticas!I:I,'centraldecomunicacion.es'!H4164)&gt;0</f>
        <v>1</v>
      </c>
    </row>
    <row r="4165" spans="1:9" hidden="1">
      <c r="A4165" s="1" t="s">
        <v>14758</v>
      </c>
      <c r="B4165" s="1" t="s">
        <v>10</v>
      </c>
      <c r="C4165" s="1" t="s">
        <v>14759</v>
      </c>
      <c r="D4165" s="1" t="s">
        <v>1473</v>
      </c>
      <c r="E4165" s="1" t="s">
        <v>945</v>
      </c>
      <c r="F4165" s="1" t="s">
        <v>30</v>
      </c>
      <c r="G4165" s="1" t="s">
        <v>30</v>
      </c>
      <c r="H4165" s="1" t="s">
        <v>1762</v>
      </c>
      <c r="I4165" t="b">
        <f>COUNTIF(Estadísticas!I:I,'centraldecomunicacion.es'!H4165)&gt;0</f>
        <v>0</v>
      </c>
    </row>
    <row r="4166" spans="1:9" hidden="1">
      <c r="A4166" s="1" t="s">
        <v>14760</v>
      </c>
      <c r="B4166" s="1" t="s">
        <v>10</v>
      </c>
      <c r="C4166" s="1" t="s">
        <v>14761</v>
      </c>
      <c r="D4166" s="1" t="s">
        <v>14371</v>
      </c>
      <c r="E4166" s="1" t="s">
        <v>1456</v>
      </c>
      <c r="F4166" s="1" t="s">
        <v>30</v>
      </c>
      <c r="G4166" s="1" t="s">
        <v>14762</v>
      </c>
      <c r="H4166" s="1" t="s">
        <v>1762</v>
      </c>
      <c r="I4166" t="b">
        <f>COUNTIF(Estadísticas!I:I,'centraldecomunicacion.es'!H4166)&gt;0</f>
        <v>0</v>
      </c>
    </row>
    <row r="4167" spans="1:9" hidden="1">
      <c r="A4167" s="1" t="s">
        <v>14763</v>
      </c>
      <c r="B4167" s="1" t="s">
        <v>10</v>
      </c>
      <c r="C4167" s="1" t="s">
        <v>14764</v>
      </c>
      <c r="D4167" s="1" t="s">
        <v>14765</v>
      </c>
      <c r="E4167" s="1" t="s">
        <v>945</v>
      </c>
      <c r="F4167" s="1" t="s">
        <v>30</v>
      </c>
      <c r="G4167" s="1" t="s">
        <v>14766</v>
      </c>
      <c r="H4167" s="1" t="s">
        <v>1762</v>
      </c>
      <c r="I4167" t="b">
        <f>COUNTIF(Estadísticas!I:I,'centraldecomunicacion.es'!H4167)&gt;0</f>
        <v>0</v>
      </c>
    </row>
    <row r="4168" spans="1:9" hidden="1">
      <c r="A4168" s="1" t="s">
        <v>14767</v>
      </c>
      <c r="B4168" s="1" t="s">
        <v>10</v>
      </c>
      <c r="C4168" s="1" t="s">
        <v>14768</v>
      </c>
      <c r="D4168" s="1" t="s">
        <v>14341</v>
      </c>
      <c r="E4168" s="1" t="s">
        <v>1456</v>
      </c>
      <c r="F4168" s="1" t="s">
        <v>30</v>
      </c>
      <c r="G4168" s="1" t="s">
        <v>14769</v>
      </c>
      <c r="H4168" s="1" t="s">
        <v>1762</v>
      </c>
      <c r="I4168" t="b">
        <f>COUNTIF(Estadísticas!I:I,'centraldecomunicacion.es'!H4168)&gt;0</f>
        <v>0</v>
      </c>
    </row>
    <row r="4169" spans="1:9" hidden="1">
      <c r="A4169" s="1" t="s">
        <v>14770</v>
      </c>
      <c r="B4169" s="1" t="s">
        <v>10</v>
      </c>
      <c r="C4169" s="1" t="s">
        <v>14771</v>
      </c>
      <c r="D4169" s="1" t="s">
        <v>14772</v>
      </c>
      <c r="E4169" s="1" t="s">
        <v>1507</v>
      </c>
      <c r="F4169" s="1" t="s">
        <v>30</v>
      </c>
      <c r="G4169" s="1" t="s">
        <v>14773</v>
      </c>
      <c r="H4169" s="1" t="s">
        <v>1762</v>
      </c>
      <c r="I4169" t="b">
        <f>COUNTIF(Estadísticas!I:I,'centraldecomunicacion.es'!H4169)&gt;0</f>
        <v>0</v>
      </c>
    </row>
    <row r="4170" spans="1:9" hidden="1">
      <c r="A4170" s="1" t="s">
        <v>14774</v>
      </c>
      <c r="B4170" s="1" t="s">
        <v>10</v>
      </c>
      <c r="C4170" s="1" t="s">
        <v>14775</v>
      </c>
      <c r="D4170" s="1" t="s">
        <v>14776</v>
      </c>
      <c r="E4170" s="1" t="s">
        <v>945</v>
      </c>
      <c r="F4170" s="1" t="s">
        <v>30</v>
      </c>
      <c r="G4170" s="1" t="s">
        <v>30</v>
      </c>
      <c r="H4170" s="1" t="s">
        <v>1762</v>
      </c>
      <c r="I4170" t="b">
        <f>COUNTIF(Estadísticas!I:I,'centraldecomunicacion.es'!H4170)&gt;0</f>
        <v>0</v>
      </c>
    </row>
    <row r="4171" spans="1:9" hidden="1">
      <c r="A4171" s="1" t="s">
        <v>14777</v>
      </c>
      <c r="B4171" s="1" t="s">
        <v>10</v>
      </c>
      <c r="C4171" s="1" t="s">
        <v>14778</v>
      </c>
      <c r="D4171" s="1" t="s">
        <v>1525</v>
      </c>
      <c r="E4171" s="1" t="s">
        <v>1526</v>
      </c>
      <c r="F4171" s="1" t="s">
        <v>30</v>
      </c>
      <c r="G4171" s="1" t="s">
        <v>30</v>
      </c>
      <c r="H4171" s="1" t="s">
        <v>1762</v>
      </c>
      <c r="I4171" t="b">
        <f>COUNTIF(Estadísticas!I:I,'centraldecomunicacion.es'!H4171)&gt;0</f>
        <v>0</v>
      </c>
    </row>
    <row r="4172" spans="1:9" hidden="1">
      <c r="A4172" s="1" t="s">
        <v>14779</v>
      </c>
      <c r="B4172" s="1" t="s">
        <v>10</v>
      </c>
      <c r="C4172" s="1" t="s">
        <v>14780</v>
      </c>
      <c r="D4172" s="1" t="s">
        <v>1473</v>
      </c>
      <c r="E4172" s="1" t="s">
        <v>945</v>
      </c>
      <c r="F4172" s="1" t="s">
        <v>14781</v>
      </c>
      <c r="G4172" s="1" t="s">
        <v>14782</v>
      </c>
      <c r="H4172" s="1" t="s">
        <v>14783</v>
      </c>
      <c r="I4172" t="b">
        <f>COUNTIF(Estadísticas!I:I,'centraldecomunicacion.es'!H4172)&gt;0</f>
        <v>0</v>
      </c>
    </row>
    <row r="4173" spans="1:9" hidden="1">
      <c r="A4173" s="1" t="s">
        <v>14784</v>
      </c>
      <c r="B4173" s="1" t="s">
        <v>10</v>
      </c>
      <c r="C4173" s="1" t="s">
        <v>14785</v>
      </c>
      <c r="D4173" s="1" t="s">
        <v>926</v>
      </c>
      <c r="E4173" s="1" t="s">
        <v>926</v>
      </c>
      <c r="F4173" s="1" t="s">
        <v>14786</v>
      </c>
      <c r="G4173" s="1" t="s">
        <v>14787</v>
      </c>
      <c r="H4173" s="1" t="s">
        <v>1762</v>
      </c>
      <c r="I4173" t="b">
        <f>COUNTIF(Estadísticas!I:I,'centraldecomunicacion.es'!H4173)&gt;0</f>
        <v>0</v>
      </c>
    </row>
    <row r="4174" spans="1:9" hidden="1">
      <c r="A4174" s="1" t="s">
        <v>14788</v>
      </c>
      <c r="B4174" s="1" t="s">
        <v>10</v>
      </c>
      <c r="C4174" s="1" t="s">
        <v>14789</v>
      </c>
      <c r="D4174" s="1" t="s">
        <v>926</v>
      </c>
      <c r="E4174" s="1" t="s">
        <v>926</v>
      </c>
      <c r="F4174" s="1" t="s">
        <v>14790</v>
      </c>
      <c r="G4174" s="1" t="s">
        <v>8099</v>
      </c>
      <c r="H4174" s="1" t="s">
        <v>14791</v>
      </c>
      <c r="I4174" t="b">
        <f>COUNTIF(Estadísticas!I:I,'centraldecomunicacion.es'!H4174)&gt;0</f>
        <v>0</v>
      </c>
    </row>
    <row r="4175" spans="1:9" hidden="1">
      <c r="A4175" s="1" t="s">
        <v>14792</v>
      </c>
      <c r="B4175" s="1" t="s">
        <v>10</v>
      </c>
      <c r="C4175" s="1" t="s">
        <v>14793</v>
      </c>
      <c r="D4175" s="1" t="s">
        <v>926</v>
      </c>
      <c r="E4175" s="1" t="s">
        <v>926</v>
      </c>
      <c r="F4175" s="1" t="s">
        <v>14794</v>
      </c>
      <c r="G4175" s="1" t="s">
        <v>14795</v>
      </c>
      <c r="H4175" s="1" t="s">
        <v>1762</v>
      </c>
      <c r="I4175" t="b">
        <f>COUNTIF(Estadísticas!I:I,'centraldecomunicacion.es'!H4175)&gt;0</f>
        <v>0</v>
      </c>
    </row>
    <row r="4176" spans="1:9">
      <c r="A4176" s="1" t="s">
        <v>1547</v>
      </c>
      <c r="B4176" s="1" t="s">
        <v>10</v>
      </c>
      <c r="C4176" s="1" t="s">
        <v>1548</v>
      </c>
      <c r="D4176" s="1" t="s">
        <v>926</v>
      </c>
      <c r="E4176" s="1" t="s">
        <v>926</v>
      </c>
      <c r="F4176" s="1" t="s">
        <v>1549</v>
      </c>
      <c r="G4176" s="1" t="s">
        <v>1550</v>
      </c>
      <c r="H4176" s="1" t="s">
        <v>1551</v>
      </c>
      <c r="I4176" t="b">
        <f>COUNTIF(Estadísticas!I:I,'centraldecomunicacion.es'!H4176)&gt;0</f>
        <v>1</v>
      </c>
    </row>
    <row r="4177" spans="1:9">
      <c r="A4177" s="1" t="s">
        <v>1552</v>
      </c>
      <c r="B4177" s="1" t="s">
        <v>10</v>
      </c>
      <c r="C4177" s="1" t="s">
        <v>1553</v>
      </c>
      <c r="D4177" s="1" t="s">
        <v>926</v>
      </c>
      <c r="E4177" s="1" t="s">
        <v>926</v>
      </c>
      <c r="F4177" s="1" t="s">
        <v>1554</v>
      </c>
      <c r="G4177" s="1" t="s">
        <v>1555</v>
      </c>
      <c r="H4177" s="1" t="s">
        <v>1556</v>
      </c>
      <c r="I4177" t="b">
        <f>COUNTIF(Estadísticas!I:I,'centraldecomunicacion.es'!H4177)&gt;0</f>
        <v>1</v>
      </c>
    </row>
    <row r="4178" spans="1:9" hidden="1">
      <c r="A4178" s="1" t="s">
        <v>14796</v>
      </c>
      <c r="B4178" s="1" t="s">
        <v>10</v>
      </c>
      <c r="C4178" s="1" t="s">
        <v>14797</v>
      </c>
      <c r="D4178" s="1" t="s">
        <v>926</v>
      </c>
      <c r="E4178" s="1" t="s">
        <v>926</v>
      </c>
      <c r="F4178" s="1" t="s">
        <v>14798</v>
      </c>
      <c r="G4178" s="1" t="s">
        <v>14799</v>
      </c>
      <c r="H4178" s="1" t="s">
        <v>14800</v>
      </c>
      <c r="I4178" t="b">
        <f>COUNTIF(Estadísticas!I:I,'centraldecomunicacion.es'!H4178)&gt;0</f>
        <v>0</v>
      </c>
    </row>
    <row r="4179" spans="1:9" hidden="1">
      <c r="A4179" s="1" t="s">
        <v>14801</v>
      </c>
      <c r="B4179" s="1" t="s">
        <v>18</v>
      </c>
      <c r="C4179" s="1" t="s">
        <v>14802</v>
      </c>
      <c r="D4179" s="1" t="s">
        <v>926</v>
      </c>
      <c r="E4179" s="1" t="s">
        <v>926</v>
      </c>
      <c r="F4179" s="1" t="s">
        <v>14803</v>
      </c>
      <c r="G4179" s="1" t="s">
        <v>14804</v>
      </c>
      <c r="H4179" s="1" t="s">
        <v>14805</v>
      </c>
      <c r="I4179" t="b">
        <f>COUNTIF(Estadísticas!I:I,'centraldecomunicacion.es'!H4179)&gt;0</f>
        <v>0</v>
      </c>
    </row>
    <row r="4180" spans="1:9" hidden="1">
      <c r="A4180" s="1" t="s">
        <v>14806</v>
      </c>
      <c r="B4180" s="1" t="s">
        <v>10</v>
      </c>
      <c r="C4180" s="1" t="s">
        <v>14807</v>
      </c>
      <c r="D4180" s="1" t="s">
        <v>926</v>
      </c>
      <c r="E4180" s="1" t="s">
        <v>926</v>
      </c>
      <c r="F4180" s="1" t="s">
        <v>30</v>
      </c>
      <c r="G4180" s="1" t="s">
        <v>14808</v>
      </c>
      <c r="H4180" s="1" t="s">
        <v>1762</v>
      </c>
      <c r="I4180" t="b">
        <f>COUNTIF(Estadísticas!I:I,'centraldecomunicacion.es'!H4180)&gt;0</f>
        <v>0</v>
      </c>
    </row>
    <row r="4181" spans="1:9" hidden="1">
      <c r="A4181" s="1" t="s">
        <v>14809</v>
      </c>
      <c r="B4181" s="1" t="s">
        <v>10</v>
      </c>
      <c r="C4181" s="1" t="s">
        <v>30</v>
      </c>
      <c r="D4181" s="1" t="s">
        <v>14810</v>
      </c>
      <c r="E4181" s="1" t="s">
        <v>30</v>
      </c>
      <c r="F4181" s="1" t="s">
        <v>14811</v>
      </c>
      <c r="G4181" s="1" t="s">
        <v>7764</v>
      </c>
      <c r="H4181" s="1" t="s">
        <v>1762</v>
      </c>
      <c r="I4181" t="b">
        <f>COUNTIF(Estadísticas!I:I,'centraldecomunicacion.es'!H4181)&gt;0</f>
        <v>0</v>
      </c>
    </row>
    <row r="4182" spans="1:9" hidden="1">
      <c r="A4182" s="1" t="s">
        <v>14812</v>
      </c>
      <c r="B4182" s="1" t="s">
        <v>10</v>
      </c>
      <c r="C4182" s="1" t="s">
        <v>30</v>
      </c>
      <c r="D4182" s="1" t="s">
        <v>14810</v>
      </c>
      <c r="E4182" s="1" t="s">
        <v>30</v>
      </c>
      <c r="F4182" s="1" t="s">
        <v>14813</v>
      </c>
      <c r="G4182" s="1" t="s">
        <v>14814</v>
      </c>
      <c r="H4182" s="1" t="s">
        <v>14815</v>
      </c>
      <c r="I4182" t="b">
        <f>COUNTIF(Estadísticas!I:I,'centraldecomunicacion.es'!H4182)&gt;0</f>
        <v>0</v>
      </c>
    </row>
    <row r="4183" spans="1:9" hidden="1">
      <c r="A4183" s="1" t="s">
        <v>14816</v>
      </c>
      <c r="B4183" s="1" t="s">
        <v>10</v>
      </c>
      <c r="C4183" s="1" t="s">
        <v>14817</v>
      </c>
      <c r="D4183" s="1" t="s">
        <v>926</v>
      </c>
      <c r="E4183" s="1" t="s">
        <v>926</v>
      </c>
      <c r="F4183" s="1" t="s">
        <v>14818</v>
      </c>
      <c r="G4183" s="1" t="s">
        <v>14819</v>
      </c>
      <c r="H4183" s="1" t="s">
        <v>1762</v>
      </c>
      <c r="I4183" t="b">
        <f>COUNTIF(Estadísticas!I:I,'centraldecomunicacion.es'!H4183)&gt;0</f>
        <v>0</v>
      </c>
    </row>
    <row r="4184" spans="1:9" hidden="1">
      <c r="A4184" s="1" t="s">
        <v>14820</v>
      </c>
      <c r="B4184" s="1" t="s">
        <v>10</v>
      </c>
      <c r="C4184" s="1" t="s">
        <v>14821</v>
      </c>
      <c r="D4184" s="1" t="s">
        <v>926</v>
      </c>
      <c r="E4184" s="1" t="s">
        <v>926</v>
      </c>
      <c r="F4184" s="1" t="s">
        <v>14822</v>
      </c>
      <c r="G4184" s="1" t="s">
        <v>14823</v>
      </c>
      <c r="H4184" s="1" t="s">
        <v>14824</v>
      </c>
      <c r="I4184" t="b">
        <f>COUNTIF(Estadísticas!I:I,'centraldecomunicacion.es'!H4184)&gt;0</f>
        <v>0</v>
      </c>
    </row>
    <row r="4185" spans="1:9" hidden="1">
      <c r="A4185" s="1" t="s">
        <v>14825</v>
      </c>
      <c r="B4185" s="1" t="s">
        <v>10</v>
      </c>
      <c r="C4185" s="1" t="s">
        <v>14826</v>
      </c>
      <c r="D4185" s="1" t="s">
        <v>8563</v>
      </c>
      <c r="E4185" s="1" t="s">
        <v>926</v>
      </c>
      <c r="F4185" s="1" t="s">
        <v>14827</v>
      </c>
      <c r="G4185" s="1" t="s">
        <v>14828</v>
      </c>
      <c r="H4185" s="1" t="s">
        <v>14829</v>
      </c>
      <c r="I4185" t="b">
        <f>COUNTIF(Estadísticas!I:I,'centraldecomunicacion.es'!H4185)&gt;0</f>
        <v>0</v>
      </c>
    </row>
    <row r="4186" spans="1:9" hidden="1">
      <c r="A4186" s="1" t="s">
        <v>14830</v>
      </c>
      <c r="B4186" s="1" t="s">
        <v>10</v>
      </c>
      <c r="C4186" s="1" t="s">
        <v>14831</v>
      </c>
      <c r="D4186" s="1" t="s">
        <v>926</v>
      </c>
      <c r="E4186" s="1" t="s">
        <v>926</v>
      </c>
      <c r="F4186" s="1" t="s">
        <v>1984</v>
      </c>
      <c r="G4186" s="1" t="s">
        <v>14832</v>
      </c>
      <c r="H4186" s="1" t="s">
        <v>1762</v>
      </c>
      <c r="I4186" t="b">
        <f>COUNTIF(Estadísticas!I:I,'centraldecomunicacion.es'!H4186)&gt;0</f>
        <v>0</v>
      </c>
    </row>
    <row r="4187" spans="1:9" hidden="1">
      <c r="A4187" s="1" t="s">
        <v>14833</v>
      </c>
      <c r="B4187" s="1" t="s">
        <v>10</v>
      </c>
      <c r="C4187" s="1" t="s">
        <v>14834</v>
      </c>
      <c r="D4187" s="1" t="s">
        <v>926</v>
      </c>
      <c r="E4187" s="1" t="s">
        <v>926</v>
      </c>
      <c r="F4187" s="1" t="s">
        <v>30</v>
      </c>
      <c r="G4187" s="1" t="s">
        <v>14835</v>
      </c>
      <c r="H4187" s="1" t="s">
        <v>1762</v>
      </c>
      <c r="I4187" t="b">
        <f>COUNTIF(Estadísticas!I:I,'centraldecomunicacion.es'!H4187)&gt;0</f>
        <v>0</v>
      </c>
    </row>
    <row r="4188" spans="1:9" hidden="1">
      <c r="A4188" s="1" t="s">
        <v>14836</v>
      </c>
      <c r="B4188" s="1" t="s">
        <v>10</v>
      </c>
      <c r="C4188" s="1" t="s">
        <v>14837</v>
      </c>
      <c r="D4188" s="1" t="s">
        <v>8563</v>
      </c>
      <c r="E4188" s="1" t="s">
        <v>926</v>
      </c>
      <c r="F4188" s="1" t="s">
        <v>14838</v>
      </c>
      <c r="G4188" s="1" t="s">
        <v>14839</v>
      </c>
      <c r="H4188" s="1" t="s">
        <v>14840</v>
      </c>
      <c r="I4188" t="b">
        <f>COUNTIF(Estadísticas!I:I,'centraldecomunicacion.es'!H4188)&gt;0</f>
        <v>0</v>
      </c>
    </row>
    <row r="4189" spans="1:9">
      <c r="A4189" s="1" t="s">
        <v>1557</v>
      </c>
      <c r="B4189" s="1" t="s">
        <v>10</v>
      </c>
      <c r="C4189" s="1" t="s">
        <v>1558</v>
      </c>
      <c r="D4189" s="1" t="s">
        <v>926</v>
      </c>
      <c r="E4189" s="1" t="s">
        <v>926</v>
      </c>
      <c r="F4189" s="1" t="s">
        <v>1559</v>
      </c>
      <c r="G4189" s="1" t="s">
        <v>1560</v>
      </c>
      <c r="H4189" s="1" t="s">
        <v>1561</v>
      </c>
      <c r="I4189" t="b">
        <f>COUNTIF(Estadísticas!I:I,'centraldecomunicacion.es'!H4189)&gt;0</f>
        <v>1</v>
      </c>
    </row>
    <row r="4190" spans="1:9" hidden="1">
      <c r="A4190" s="1" t="s">
        <v>14841</v>
      </c>
      <c r="B4190" s="1" t="s">
        <v>10</v>
      </c>
      <c r="C4190" s="1" t="s">
        <v>14842</v>
      </c>
      <c r="D4190" s="1" t="s">
        <v>926</v>
      </c>
      <c r="E4190" s="1" t="s">
        <v>926</v>
      </c>
      <c r="F4190" s="1" t="s">
        <v>14843</v>
      </c>
      <c r="G4190" s="1" t="s">
        <v>14844</v>
      </c>
      <c r="H4190" s="1" t="s">
        <v>1762</v>
      </c>
      <c r="I4190" t="b">
        <f>COUNTIF(Estadísticas!I:I,'centraldecomunicacion.es'!H4190)&gt;0</f>
        <v>0</v>
      </c>
    </row>
    <row r="4191" spans="1:9" hidden="1">
      <c r="A4191" s="1" t="s">
        <v>14845</v>
      </c>
      <c r="B4191" s="1" t="s">
        <v>10</v>
      </c>
      <c r="C4191" s="1" t="s">
        <v>14846</v>
      </c>
      <c r="D4191" s="1" t="s">
        <v>926</v>
      </c>
      <c r="E4191" s="1" t="s">
        <v>926</v>
      </c>
      <c r="F4191" s="1" t="s">
        <v>30</v>
      </c>
      <c r="G4191" s="1" t="s">
        <v>14847</v>
      </c>
      <c r="H4191" s="1" t="s">
        <v>1762</v>
      </c>
      <c r="I4191" t="b">
        <f>COUNTIF(Estadísticas!I:I,'centraldecomunicacion.es'!H4191)&gt;0</f>
        <v>0</v>
      </c>
    </row>
    <row r="4192" spans="1:9" hidden="1">
      <c r="A4192" s="1" t="s">
        <v>7782</v>
      </c>
      <c r="B4192" s="1" t="s">
        <v>10</v>
      </c>
      <c r="C4192" s="1" t="s">
        <v>14848</v>
      </c>
      <c r="D4192" s="1" t="s">
        <v>926</v>
      </c>
      <c r="E4192" s="1" t="s">
        <v>926</v>
      </c>
      <c r="F4192" s="1" t="s">
        <v>14849</v>
      </c>
      <c r="G4192" s="1" t="s">
        <v>14850</v>
      </c>
      <c r="H4192" s="1" t="s">
        <v>1762</v>
      </c>
      <c r="I4192" t="b">
        <f>COUNTIF(Estadísticas!I:I,'centraldecomunicacion.es'!H4192)&gt;0</f>
        <v>0</v>
      </c>
    </row>
    <row r="4193" spans="1:9" hidden="1">
      <c r="A4193" s="1" t="s">
        <v>14851</v>
      </c>
      <c r="B4193" s="1" t="s">
        <v>10</v>
      </c>
      <c r="C4193" s="1" t="s">
        <v>14852</v>
      </c>
      <c r="D4193" s="1" t="s">
        <v>926</v>
      </c>
      <c r="E4193" s="1" t="s">
        <v>926</v>
      </c>
      <c r="F4193" s="1" t="s">
        <v>14853</v>
      </c>
      <c r="G4193" s="1" t="s">
        <v>14854</v>
      </c>
      <c r="H4193" s="1" t="s">
        <v>1762</v>
      </c>
      <c r="I4193" t="b">
        <f>COUNTIF(Estadísticas!I:I,'centraldecomunicacion.es'!H4193)&gt;0</f>
        <v>0</v>
      </c>
    </row>
    <row r="4194" spans="1:9" hidden="1">
      <c r="A4194" s="1" t="s">
        <v>14855</v>
      </c>
      <c r="B4194" s="1" t="s">
        <v>10</v>
      </c>
      <c r="C4194" s="1" t="s">
        <v>14856</v>
      </c>
      <c r="D4194" s="1" t="s">
        <v>926</v>
      </c>
      <c r="E4194" s="1" t="s">
        <v>926</v>
      </c>
      <c r="F4194" s="1" t="s">
        <v>14857</v>
      </c>
      <c r="G4194" s="1" t="s">
        <v>14858</v>
      </c>
      <c r="H4194" s="1" t="s">
        <v>14859</v>
      </c>
      <c r="I4194" t="b">
        <f>COUNTIF(Estadísticas!I:I,'centraldecomunicacion.es'!H4194)&gt;0</f>
        <v>0</v>
      </c>
    </row>
    <row r="4195" spans="1:9" hidden="1">
      <c r="A4195" s="1" t="s">
        <v>14860</v>
      </c>
      <c r="B4195" s="1" t="s">
        <v>10</v>
      </c>
      <c r="C4195" s="1" t="s">
        <v>14861</v>
      </c>
      <c r="D4195" s="1" t="s">
        <v>926</v>
      </c>
      <c r="E4195" s="1" t="s">
        <v>926</v>
      </c>
      <c r="F4195" s="1" t="s">
        <v>14862</v>
      </c>
      <c r="G4195" s="1" t="s">
        <v>14863</v>
      </c>
      <c r="H4195" s="1" t="s">
        <v>1762</v>
      </c>
      <c r="I4195" t="b">
        <f>COUNTIF(Estadísticas!I:I,'centraldecomunicacion.es'!H4195)&gt;0</f>
        <v>0</v>
      </c>
    </row>
    <row r="4196" spans="1:9" hidden="1">
      <c r="A4196" s="1" t="s">
        <v>14864</v>
      </c>
      <c r="B4196" s="1" t="s">
        <v>10</v>
      </c>
      <c r="C4196" s="1" t="s">
        <v>30</v>
      </c>
      <c r="D4196" s="1" t="s">
        <v>14810</v>
      </c>
      <c r="E4196" s="1" t="s">
        <v>30</v>
      </c>
      <c r="F4196" s="1" t="s">
        <v>14865</v>
      </c>
      <c r="G4196" s="1" t="s">
        <v>7776</v>
      </c>
      <c r="H4196" s="1" t="s">
        <v>1762</v>
      </c>
      <c r="I4196" t="b">
        <f>COUNTIF(Estadísticas!I:I,'centraldecomunicacion.es'!H4196)&gt;0</f>
        <v>0</v>
      </c>
    </row>
    <row r="4197" spans="1:9" hidden="1">
      <c r="A4197" s="1" t="s">
        <v>14866</v>
      </c>
      <c r="B4197" s="1" t="s">
        <v>10</v>
      </c>
      <c r="C4197" s="1" t="s">
        <v>14867</v>
      </c>
      <c r="D4197" s="1" t="s">
        <v>926</v>
      </c>
      <c r="E4197" s="1" t="s">
        <v>926</v>
      </c>
      <c r="F4197" s="1" t="s">
        <v>14849</v>
      </c>
      <c r="G4197" s="1" t="s">
        <v>14868</v>
      </c>
      <c r="H4197" s="1" t="s">
        <v>1762</v>
      </c>
      <c r="I4197" t="b">
        <f>COUNTIF(Estadísticas!I:I,'centraldecomunicacion.es'!H4197)&gt;0</f>
        <v>0</v>
      </c>
    </row>
    <row r="4198" spans="1:9" hidden="1">
      <c r="A4198" s="1" t="s">
        <v>14869</v>
      </c>
      <c r="B4198" s="1" t="s">
        <v>10</v>
      </c>
      <c r="C4198" s="1" t="s">
        <v>14870</v>
      </c>
      <c r="D4198" s="1" t="s">
        <v>926</v>
      </c>
      <c r="E4198" s="1" t="s">
        <v>926</v>
      </c>
      <c r="F4198" s="1" t="s">
        <v>14871</v>
      </c>
      <c r="G4198" s="1" t="s">
        <v>7691</v>
      </c>
      <c r="H4198" s="1" t="s">
        <v>1762</v>
      </c>
      <c r="I4198" t="b">
        <f>COUNTIF(Estadísticas!I:I,'centraldecomunicacion.es'!H4198)&gt;0</f>
        <v>0</v>
      </c>
    </row>
    <row r="4199" spans="1:9" hidden="1">
      <c r="A4199" s="1" t="s">
        <v>14872</v>
      </c>
      <c r="B4199" s="1" t="s">
        <v>10</v>
      </c>
      <c r="C4199" s="1" t="s">
        <v>14873</v>
      </c>
      <c r="D4199" s="1" t="s">
        <v>926</v>
      </c>
      <c r="E4199" s="1" t="s">
        <v>926</v>
      </c>
      <c r="F4199" s="1" t="s">
        <v>14874</v>
      </c>
      <c r="G4199" s="1" t="s">
        <v>14875</v>
      </c>
      <c r="H4199" s="1" t="s">
        <v>1762</v>
      </c>
      <c r="I4199" t="b">
        <f>COUNTIF(Estadísticas!I:I,'centraldecomunicacion.es'!H4199)&gt;0</f>
        <v>0</v>
      </c>
    </row>
    <row r="4200" spans="1:9" hidden="1">
      <c r="A4200" s="1" t="s">
        <v>14876</v>
      </c>
      <c r="B4200" s="1" t="s">
        <v>10</v>
      </c>
      <c r="C4200" s="1" t="s">
        <v>14877</v>
      </c>
      <c r="D4200" s="1" t="s">
        <v>926</v>
      </c>
      <c r="E4200" s="1" t="s">
        <v>926</v>
      </c>
      <c r="F4200" s="1" t="s">
        <v>14878</v>
      </c>
      <c r="G4200" s="1" t="s">
        <v>14879</v>
      </c>
      <c r="H4200" s="1" t="s">
        <v>1783</v>
      </c>
      <c r="I4200" t="b">
        <f>COUNTIF(Estadísticas!I:I,'centraldecomunicacion.es'!H4200)&gt;0</f>
        <v>0</v>
      </c>
    </row>
    <row r="4201" spans="1:9" hidden="1">
      <c r="A4201" s="1" t="s">
        <v>14880</v>
      </c>
      <c r="B4201" s="1" t="s">
        <v>10</v>
      </c>
      <c r="C4201" s="1" t="s">
        <v>14881</v>
      </c>
      <c r="D4201" s="1" t="s">
        <v>926</v>
      </c>
      <c r="E4201" s="1" t="s">
        <v>926</v>
      </c>
      <c r="F4201" s="1" t="s">
        <v>14882</v>
      </c>
      <c r="G4201" s="1" t="s">
        <v>14883</v>
      </c>
      <c r="H4201" s="1" t="s">
        <v>1762</v>
      </c>
      <c r="I4201" t="b">
        <f>COUNTIF(Estadísticas!I:I,'centraldecomunicacion.es'!H4201)&gt;0</f>
        <v>0</v>
      </c>
    </row>
    <row r="4202" spans="1:9">
      <c r="A4202" s="1" t="s">
        <v>14884</v>
      </c>
      <c r="B4202" s="1" t="s">
        <v>10</v>
      </c>
      <c r="C4202" s="1" t="s">
        <v>14885</v>
      </c>
      <c r="D4202" s="1" t="s">
        <v>926</v>
      </c>
      <c r="E4202" s="1" t="s">
        <v>926</v>
      </c>
      <c r="F4202" s="1" t="s">
        <v>1559</v>
      </c>
      <c r="G4202" s="1" t="s">
        <v>14886</v>
      </c>
      <c r="H4202" s="1" t="s">
        <v>1561</v>
      </c>
      <c r="I4202" t="b">
        <f>COUNTIF(Estadísticas!I:I,'centraldecomunicacion.es'!H4202)&gt;0</f>
        <v>1</v>
      </c>
    </row>
    <row r="4203" spans="1:9" hidden="1">
      <c r="A4203" s="1" t="s">
        <v>14887</v>
      </c>
      <c r="B4203" s="1" t="s">
        <v>10</v>
      </c>
      <c r="C4203" s="1" t="s">
        <v>14888</v>
      </c>
      <c r="D4203" s="1" t="s">
        <v>926</v>
      </c>
      <c r="E4203" s="1" t="s">
        <v>926</v>
      </c>
      <c r="F4203" s="1" t="s">
        <v>14889</v>
      </c>
      <c r="G4203" s="1" t="s">
        <v>14890</v>
      </c>
      <c r="H4203" s="1" t="s">
        <v>1762</v>
      </c>
      <c r="I4203" t="b">
        <f>COUNTIF(Estadísticas!I:I,'centraldecomunicacion.es'!H4203)&gt;0</f>
        <v>0</v>
      </c>
    </row>
    <row r="4204" spans="1:9">
      <c r="A4204" s="1" t="s">
        <v>1562</v>
      </c>
      <c r="B4204" s="1" t="s">
        <v>18</v>
      </c>
      <c r="C4204" s="1" t="s">
        <v>1563</v>
      </c>
      <c r="D4204" s="1" t="s">
        <v>926</v>
      </c>
      <c r="E4204" s="1" t="s">
        <v>926</v>
      </c>
      <c r="F4204" s="1" t="s">
        <v>1564</v>
      </c>
      <c r="G4204" s="1" t="s">
        <v>1565</v>
      </c>
      <c r="H4204" s="1" t="s">
        <v>1566</v>
      </c>
      <c r="I4204" t="b">
        <f>COUNTIF(Estadísticas!I:I,'centraldecomunicacion.es'!H4204)&gt;0</f>
        <v>1</v>
      </c>
    </row>
    <row r="4205" spans="1:9" hidden="1">
      <c r="A4205" s="1" t="s">
        <v>14891</v>
      </c>
      <c r="B4205" s="1" t="s">
        <v>10</v>
      </c>
      <c r="C4205" s="1" t="s">
        <v>14892</v>
      </c>
      <c r="D4205" s="1" t="s">
        <v>926</v>
      </c>
      <c r="E4205" s="1" t="s">
        <v>926</v>
      </c>
      <c r="F4205" s="1" t="s">
        <v>1984</v>
      </c>
      <c r="G4205" s="1" t="s">
        <v>14893</v>
      </c>
      <c r="H4205" s="1" t="s">
        <v>1762</v>
      </c>
      <c r="I4205" t="b">
        <f>COUNTIF(Estadísticas!I:I,'centraldecomunicacion.es'!H4205)&gt;0</f>
        <v>0</v>
      </c>
    </row>
    <row r="4206" spans="1:9" hidden="1">
      <c r="A4206" s="1" t="s">
        <v>14894</v>
      </c>
      <c r="B4206" s="1" t="s">
        <v>10</v>
      </c>
      <c r="C4206" s="1" t="s">
        <v>14895</v>
      </c>
      <c r="D4206" s="1" t="s">
        <v>926</v>
      </c>
      <c r="E4206" s="1" t="s">
        <v>926</v>
      </c>
      <c r="F4206" s="1" t="s">
        <v>14896</v>
      </c>
      <c r="G4206" s="1" t="s">
        <v>9837</v>
      </c>
      <c r="H4206" s="1" t="s">
        <v>1762</v>
      </c>
      <c r="I4206" t="b">
        <f>COUNTIF(Estadísticas!I:I,'centraldecomunicacion.es'!H4206)&gt;0</f>
        <v>0</v>
      </c>
    </row>
    <row r="4207" spans="1:9" hidden="1">
      <c r="A4207" s="1" t="s">
        <v>14897</v>
      </c>
      <c r="B4207" s="1" t="s">
        <v>10</v>
      </c>
      <c r="C4207" s="1" t="s">
        <v>30</v>
      </c>
      <c r="D4207" s="1" t="s">
        <v>14810</v>
      </c>
      <c r="E4207" s="1" t="s">
        <v>30</v>
      </c>
      <c r="F4207" s="1" t="s">
        <v>14898</v>
      </c>
      <c r="G4207" s="1" t="s">
        <v>14899</v>
      </c>
      <c r="H4207" s="1" t="s">
        <v>14900</v>
      </c>
      <c r="I4207" t="b">
        <f>COUNTIF(Estadísticas!I:I,'centraldecomunicacion.es'!H4207)&gt;0</f>
        <v>0</v>
      </c>
    </row>
    <row r="4208" spans="1:9">
      <c r="A4208" s="1" t="s">
        <v>1567</v>
      </c>
      <c r="B4208" s="1" t="s">
        <v>10</v>
      </c>
      <c r="C4208" s="1" t="s">
        <v>1568</v>
      </c>
      <c r="D4208" s="1" t="s">
        <v>926</v>
      </c>
      <c r="E4208" s="1" t="s">
        <v>926</v>
      </c>
      <c r="F4208" s="1" t="s">
        <v>1569</v>
      </c>
      <c r="G4208" s="1" t="s">
        <v>1570</v>
      </c>
      <c r="H4208" s="1" t="s">
        <v>1571</v>
      </c>
      <c r="I4208" t="b">
        <f>COUNTIF(Estadísticas!I:I,'centraldecomunicacion.es'!H4208)&gt;0</f>
        <v>1</v>
      </c>
    </row>
    <row r="4209" spans="1:9" hidden="1">
      <c r="A4209" s="1" t="s">
        <v>14901</v>
      </c>
      <c r="B4209" s="1" t="s">
        <v>10</v>
      </c>
      <c r="C4209" s="1" t="s">
        <v>14902</v>
      </c>
      <c r="D4209" s="1" t="s">
        <v>14903</v>
      </c>
      <c r="E4209" s="1" t="s">
        <v>926</v>
      </c>
      <c r="F4209" s="1" t="s">
        <v>30</v>
      </c>
      <c r="G4209" s="1" t="s">
        <v>14904</v>
      </c>
      <c r="H4209" s="1" t="s">
        <v>1762</v>
      </c>
      <c r="I4209" t="b">
        <f>COUNTIF(Estadísticas!I:I,'centraldecomunicacion.es'!H4209)&gt;0</f>
        <v>0</v>
      </c>
    </row>
    <row r="4210" spans="1:9">
      <c r="A4210" s="1" t="s">
        <v>14905</v>
      </c>
      <c r="B4210" s="1" t="s">
        <v>10</v>
      </c>
      <c r="C4210" s="1" t="s">
        <v>14906</v>
      </c>
      <c r="D4210" s="1" t="s">
        <v>926</v>
      </c>
      <c r="E4210" s="1" t="s">
        <v>926</v>
      </c>
      <c r="F4210" s="1" t="s">
        <v>1559</v>
      </c>
      <c r="G4210" s="1" t="s">
        <v>14907</v>
      </c>
      <c r="H4210" s="1" t="s">
        <v>1561</v>
      </c>
      <c r="I4210" t="b">
        <f>COUNTIF(Estadísticas!I:I,'centraldecomunicacion.es'!H4210)&gt;0</f>
        <v>1</v>
      </c>
    </row>
    <row r="4211" spans="1:9" hidden="1">
      <c r="A4211" s="1" t="s">
        <v>14908</v>
      </c>
      <c r="B4211" s="1" t="s">
        <v>10</v>
      </c>
      <c r="C4211" s="1" t="s">
        <v>14909</v>
      </c>
      <c r="D4211" s="1" t="s">
        <v>926</v>
      </c>
      <c r="E4211" s="1" t="s">
        <v>926</v>
      </c>
      <c r="F4211" s="1" t="s">
        <v>14849</v>
      </c>
      <c r="G4211" s="1" t="s">
        <v>14868</v>
      </c>
      <c r="H4211" s="1" t="s">
        <v>1762</v>
      </c>
      <c r="I4211" t="b">
        <f>COUNTIF(Estadísticas!I:I,'centraldecomunicacion.es'!H4211)&gt;0</f>
        <v>0</v>
      </c>
    </row>
    <row r="4212" spans="1:9" hidden="1">
      <c r="A4212" s="1" t="s">
        <v>14910</v>
      </c>
      <c r="B4212" s="1" t="s">
        <v>10</v>
      </c>
      <c r="C4212" s="1" t="s">
        <v>14911</v>
      </c>
      <c r="D4212" s="1" t="s">
        <v>926</v>
      </c>
      <c r="E4212" s="1" t="s">
        <v>926</v>
      </c>
      <c r="F4212" s="1" t="s">
        <v>14912</v>
      </c>
      <c r="G4212" s="1" t="s">
        <v>14844</v>
      </c>
      <c r="H4212" s="1" t="s">
        <v>1762</v>
      </c>
      <c r="I4212" t="b">
        <f>COUNTIF(Estadísticas!I:I,'centraldecomunicacion.es'!H4212)&gt;0</f>
        <v>0</v>
      </c>
    </row>
    <row r="4213" spans="1:9" hidden="1">
      <c r="A4213" s="1" t="s">
        <v>14913</v>
      </c>
      <c r="B4213" s="1" t="s">
        <v>10</v>
      </c>
      <c r="C4213" s="1" t="s">
        <v>14914</v>
      </c>
      <c r="D4213" s="1" t="s">
        <v>926</v>
      </c>
      <c r="E4213" s="1" t="s">
        <v>926</v>
      </c>
      <c r="F4213" s="1" t="s">
        <v>1984</v>
      </c>
      <c r="G4213" s="1" t="s">
        <v>14915</v>
      </c>
      <c r="H4213" s="1" t="s">
        <v>1762</v>
      </c>
      <c r="I4213" t="b">
        <f>COUNTIF(Estadísticas!I:I,'centraldecomunicacion.es'!H4213)&gt;0</f>
        <v>0</v>
      </c>
    </row>
    <row r="4214" spans="1:9" hidden="1">
      <c r="A4214" s="1" t="s">
        <v>14916</v>
      </c>
      <c r="B4214" s="1" t="s">
        <v>10</v>
      </c>
      <c r="C4214" s="1" t="s">
        <v>14917</v>
      </c>
      <c r="D4214" s="1" t="s">
        <v>14918</v>
      </c>
      <c r="E4214" s="1" t="s">
        <v>926</v>
      </c>
      <c r="F4214" s="1" t="s">
        <v>14919</v>
      </c>
      <c r="G4214" s="1" t="s">
        <v>8283</v>
      </c>
      <c r="H4214" s="1" t="s">
        <v>1762</v>
      </c>
      <c r="I4214" t="b">
        <f>COUNTIF(Estadísticas!I:I,'centraldecomunicacion.es'!H4214)&gt;0</f>
        <v>0</v>
      </c>
    </row>
    <row r="4215" spans="1:9" hidden="1">
      <c r="A4215" s="1" t="s">
        <v>14920</v>
      </c>
      <c r="B4215" s="1" t="s">
        <v>10</v>
      </c>
      <c r="C4215" s="1" t="s">
        <v>14921</v>
      </c>
      <c r="D4215" s="1" t="s">
        <v>926</v>
      </c>
      <c r="E4215" s="1" t="s">
        <v>926</v>
      </c>
      <c r="F4215" s="1" t="s">
        <v>30</v>
      </c>
      <c r="G4215" s="1" t="s">
        <v>14922</v>
      </c>
      <c r="H4215" s="1" t="s">
        <v>1762</v>
      </c>
      <c r="I4215" t="b">
        <f>COUNTIF(Estadísticas!I:I,'centraldecomunicacion.es'!H4215)&gt;0</f>
        <v>0</v>
      </c>
    </row>
    <row r="4216" spans="1:9" hidden="1">
      <c r="A4216" s="1" t="s">
        <v>14923</v>
      </c>
      <c r="B4216" s="1" t="s">
        <v>10</v>
      </c>
      <c r="C4216" s="1" t="s">
        <v>14924</v>
      </c>
      <c r="D4216" s="1" t="s">
        <v>926</v>
      </c>
      <c r="E4216" s="1" t="s">
        <v>926</v>
      </c>
      <c r="F4216" s="1" t="s">
        <v>14925</v>
      </c>
      <c r="G4216" s="1" t="s">
        <v>14926</v>
      </c>
      <c r="H4216" s="1" t="s">
        <v>14927</v>
      </c>
      <c r="I4216" t="b">
        <f>COUNTIF(Estadísticas!I:I,'centraldecomunicacion.es'!H4216)&gt;0</f>
        <v>0</v>
      </c>
    </row>
    <row r="4217" spans="1:9" hidden="1">
      <c r="A4217" s="1" t="s">
        <v>14928</v>
      </c>
      <c r="B4217" s="1" t="s">
        <v>10</v>
      </c>
      <c r="C4217" s="1" t="s">
        <v>14929</v>
      </c>
      <c r="D4217" s="1" t="s">
        <v>926</v>
      </c>
      <c r="E4217" s="1" t="s">
        <v>926</v>
      </c>
      <c r="F4217" s="1" t="s">
        <v>30</v>
      </c>
      <c r="G4217" s="1" t="s">
        <v>14930</v>
      </c>
      <c r="H4217" s="1" t="s">
        <v>1762</v>
      </c>
      <c r="I4217" t="b">
        <f>COUNTIF(Estadísticas!I:I,'centraldecomunicacion.es'!H4217)&gt;0</f>
        <v>0</v>
      </c>
    </row>
    <row r="4218" spans="1:9" hidden="1">
      <c r="A4218" s="1" t="s">
        <v>7782</v>
      </c>
      <c r="B4218" s="1" t="s">
        <v>10</v>
      </c>
      <c r="C4218" s="1" t="s">
        <v>14931</v>
      </c>
      <c r="D4218" s="1" t="s">
        <v>926</v>
      </c>
      <c r="E4218" s="1" t="s">
        <v>926</v>
      </c>
      <c r="F4218" s="1" t="s">
        <v>2851</v>
      </c>
      <c r="G4218" s="1" t="s">
        <v>14932</v>
      </c>
      <c r="H4218" s="1" t="s">
        <v>1762</v>
      </c>
      <c r="I4218" t="b">
        <f>COUNTIF(Estadísticas!I:I,'centraldecomunicacion.es'!H4218)&gt;0</f>
        <v>0</v>
      </c>
    </row>
    <row r="4219" spans="1:9" hidden="1">
      <c r="A4219" s="1" t="s">
        <v>14933</v>
      </c>
      <c r="B4219" s="1" t="s">
        <v>10</v>
      </c>
      <c r="C4219" s="1" t="s">
        <v>14934</v>
      </c>
      <c r="D4219" s="1" t="s">
        <v>926</v>
      </c>
      <c r="E4219" s="1" t="s">
        <v>926</v>
      </c>
      <c r="F4219" s="1" t="s">
        <v>30</v>
      </c>
      <c r="G4219" s="1" t="s">
        <v>14935</v>
      </c>
      <c r="H4219" s="1" t="s">
        <v>1762</v>
      </c>
      <c r="I4219" t="b">
        <f>COUNTIF(Estadísticas!I:I,'centraldecomunicacion.es'!H4219)&gt;0</f>
        <v>0</v>
      </c>
    </row>
    <row r="4220" spans="1:9" hidden="1">
      <c r="A4220" s="1" t="s">
        <v>14936</v>
      </c>
      <c r="B4220" s="1" t="s">
        <v>10</v>
      </c>
      <c r="C4220" s="1" t="s">
        <v>14937</v>
      </c>
      <c r="D4220" s="1" t="s">
        <v>926</v>
      </c>
      <c r="E4220" s="1" t="s">
        <v>926</v>
      </c>
      <c r="F4220" s="1" t="s">
        <v>30</v>
      </c>
      <c r="G4220" s="1" t="s">
        <v>14938</v>
      </c>
      <c r="H4220" s="1" t="s">
        <v>1762</v>
      </c>
      <c r="I4220" t="b">
        <f>COUNTIF(Estadísticas!I:I,'centraldecomunicacion.es'!H4220)&gt;0</f>
        <v>0</v>
      </c>
    </row>
    <row r="4221" spans="1:9" hidden="1">
      <c r="A4221" s="1" t="s">
        <v>14939</v>
      </c>
      <c r="B4221" s="1" t="s">
        <v>10</v>
      </c>
      <c r="C4221" s="1" t="s">
        <v>14940</v>
      </c>
      <c r="D4221" s="1" t="s">
        <v>926</v>
      </c>
      <c r="E4221" s="1" t="s">
        <v>926</v>
      </c>
      <c r="F4221" s="1" t="s">
        <v>30</v>
      </c>
      <c r="G4221" s="1" t="s">
        <v>30</v>
      </c>
      <c r="H4221" s="1" t="s">
        <v>1762</v>
      </c>
      <c r="I4221" t="b">
        <f>COUNTIF(Estadísticas!I:I,'centraldecomunicacion.es'!H4221)&gt;0</f>
        <v>0</v>
      </c>
    </row>
    <row r="4222" spans="1:9" hidden="1">
      <c r="A4222" s="1" t="s">
        <v>14941</v>
      </c>
      <c r="B4222" s="1" t="s">
        <v>10</v>
      </c>
      <c r="C4222" s="1" t="s">
        <v>14942</v>
      </c>
      <c r="D4222" s="1" t="s">
        <v>926</v>
      </c>
      <c r="E4222" s="1" t="s">
        <v>926</v>
      </c>
      <c r="F4222" s="1" t="s">
        <v>14943</v>
      </c>
      <c r="G4222" s="1" t="s">
        <v>14944</v>
      </c>
      <c r="H4222" s="1" t="s">
        <v>1762</v>
      </c>
      <c r="I4222" t="b">
        <f>COUNTIF(Estadísticas!I:I,'centraldecomunicacion.es'!H4222)&gt;0</f>
        <v>0</v>
      </c>
    </row>
    <row r="4223" spans="1:9" hidden="1">
      <c r="A4223" s="1" t="s">
        <v>14945</v>
      </c>
      <c r="B4223" s="1" t="s">
        <v>10</v>
      </c>
      <c r="C4223" s="1" t="s">
        <v>14946</v>
      </c>
      <c r="D4223" s="1" t="s">
        <v>926</v>
      </c>
      <c r="E4223" s="1" t="s">
        <v>926</v>
      </c>
      <c r="F4223" s="1" t="s">
        <v>30</v>
      </c>
      <c r="G4223" s="1" t="s">
        <v>14947</v>
      </c>
      <c r="H4223" s="1" t="s">
        <v>1762</v>
      </c>
      <c r="I4223" t="b">
        <f>COUNTIF(Estadísticas!I:I,'centraldecomunicacion.es'!H4223)&gt;0</f>
        <v>0</v>
      </c>
    </row>
    <row r="4224" spans="1:9" hidden="1">
      <c r="A4224" s="1" t="s">
        <v>14948</v>
      </c>
      <c r="B4224" s="1" t="s">
        <v>10</v>
      </c>
      <c r="C4224" s="1" t="s">
        <v>14949</v>
      </c>
      <c r="D4224" s="1" t="s">
        <v>926</v>
      </c>
      <c r="E4224" s="1" t="s">
        <v>926</v>
      </c>
      <c r="F4224" s="1" t="s">
        <v>30</v>
      </c>
      <c r="G4224" s="1" t="s">
        <v>14950</v>
      </c>
      <c r="H4224" s="1" t="s">
        <v>1762</v>
      </c>
      <c r="I4224" t="b">
        <f>COUNTIF(Estadísticas!I:I,'centraldecomunicacion.es'!H4224)&gt;0</f>
        <v>0</v>
      </c>
    </row>
    <row r="4225" spans="1:9" hidden="1">
      <c r="A4225" s="1" t="s">
        <v>14951</v>
      </c>
      <c r="B4225" s="1" t="s">
        <v>10</v>
      </c>
      <c r="C4225" s="1" t="s">
        <v>14952</v>
      </c>
      <c r="D4225" s="1" t="s">
        <v>926</v>
      </c>
      <c r="E4225" s="1" t="s">
        <v>926</v>
      </c>
      <c r="F4225" s="1" t="s">
        <v>14953</v>
      </c>
      <c r="G4225" s="1" t="s">
        <v>14954</v>
      </c>
      <c r="H4225" s="1" t="s">
        <v>14955</v>
      </c>
      <c r="I4225" t="b">
        <f>COUNTIF(Estadísticas!I:I,'centraldecomunicacion.es'!H4225)&gt;0</f>
        <v>0</v>
      </c>
    </row>
    <row r="4226" spans="1:9" hidden="1">
      <c r="A4226" s="1" t="s">
        <v>14956</v>
      </c>
      <c r="B4226" s="1" t="s">
        <v>18</v>
      </c>
      <c r="C4226" s="1" t="s">
        <v>14957</v>
      </c>
      <c r="D4226" s="1" t="s">
        <v>926</v>
      </c>
      <c r="E4226" s="1" t="s">
        <v>926</v>
      </c>
      <c r="F4226" s="1" t="s">
        <v>30</v>
      </c>
      <c r="G4226" s="1" t="s">
        <v>14958</v>
      </c>
      <c r="H4226" s="1" t="s">
        <v>1762</v>
      </c>
      <c r="I4226" t="b">
        <f>COUNTIF(Estadísticas!I:I,'centraldecomunicacion.es'!H4226)&gt;0</f>
        <v>0</v>
      </c>
    </row>
    <row r="4227" spans="1:9" hidden="1">
      <c r="A4227" s="1" t="s">
        <v>14959</v>
      </c>
      <c r="B4227" s="1" t="s">
        <v>10</v>
      </c>
      <c r="C4227" s="1" t="s">
        <v>14960</v>
      </c>
      <c r="D4227" s="1" t="s">
        <v>926</v>
      </c>
      <c r="E4227" s="1" t="s">
        <v>926</v>
      </c>
      <c r="F4227" s="1" t="s">
        <v>30</v>
      </c>
      <c r="G4227" s="1" t="s">
        <v>14961</v>
      </c>
      <c r="H4227" s="1" t="s">
        <v>1762</v>
      </c>
      <c r="I4227" t="b">
        <f>COUNTIF(Estadísticas!I:I,'centraldecomunicacion.es'!H4227)&gt;0</f>
        <v>0</v>
      </c>
    </row>
    <row r="4228" spans="1:9" hidden="1">
      <c r="A4228" s="1" t="s">
        <v>14962</v>
      </c>
      <c r="B4228" s="1" t="s">
        <v>10</v>
      </c>
      <c r="C4228" s="1" t="s">
        <v>14963</v>
      </c>
      <c r="D4228" s="1" t="s">
        <v>926</v>
      </c>
      <c r="E4228" s="1" t="s">
        <v>926</v>
      </c>
      <c r="F4228" s="1" t="s">
        <v>14964</v>
      </c>
      <c r="G4228" s="1" t="s">
        <v>14863</v>
      </c>
      <c r="H4228" s="1" t="s">
        <v>1762</v>
      </c>
      <c r="I4228" t="b">
        <f>COUNTIF(Estadísticas!I:I,'centraldecomunicacion.es'!H4228)&gt;0</f>
        <v>0</v>
      </c>
    </row>
    <row r="4229" spans="1:9" hidden="1">
      <c r="A4229" s="1" t="s">
        <v>14965</v>
      </c>
      <c r="B4229" s="1" t="s">
        <v>10</v>
      </c>
      <c r="C4229" s="1" t="s">
        <v>14966</v>
      </c>
      <c r="D4229" s="1" t="s">
        <v>926</v>
      </c>
      <c r="E4229" s="1" t="s">
        <v>926</v>
      </c>
      <c r="F4229" s="1" t="s">
        <v>30</v>
      </c>
      <c r="G4229" s="1" t="s">
        <v>14967</v>
      </c>
      <c r="H4229" s="1" t="s">
        <v>1762</v>
      </c>
      <c r="I4229" t="b">
        <f>COUNTIF(Estadísticas!I:I,'centraldecomunicacion.es'!H4229)&gt;0</f>
        <v>0</v>
      </c>
    </row>
    <row r="4230" spans="1:9" hidden="1">
      <c r="A4230" s="1" t="s">
        <v>14968</v>
      </c>
      <c r="B4230" s="1" t="s">
        <v>10</v>
      </c>
      <c r="C4230" s="1" t="s">
        <v>14969</v>
      </c>
      <c r="D4230" s="1" t="s">
        <v>926</v>
      </c>
      <c r="E4230" s="1" t="s">
        <v>926</v>
      </c>
      <c r="F4230" s="1" t="s">
        <v>14970</v>
      </c>
      <c r="G4230" s="1" t="s">
        <v>8357</v>
      </c>
      <c r="H4230" s="1" t="s">
        <v>14971</v>
      </c>
      <c r="I4230" t="b">
        <f>COUNTIF(Estadísticas!I:I,'centraldecomunicacion.es'!H4230)&gt;0</f>
        <v>0</v>
      </c>
    </row>
    <row r="4231" spans="1:9" hidden="1">
      <c r="A4231" s="1" t="s">
        <v>14972</v>
      </c>
      <c r="B4231" s="1" t="s">
        <v>10</v>
      </c>
      <c r="C4231" s="1" t="s">
        <v>14973</v>
      </c>
      <c r="D4231" s="1" t="s">
        <v>926</v>
      </c>
      <c r="E4231" s="1" t="s">
        <v>926</v>
      </c>
      <c r="F4231" s="1" t="s">
        <v>30</v>
      </c>
      <c r="G4231" s="1" t="s">
        <v>14974</v>
      </c>
      <c r="H4231" s="1" t="s">
        <v>1762</v>
      </c>
      <c r="I4231" t="b">
        <f>COUNTIF(Estadísticas!I:I,'centraldecomunicacion.es'!H4231)&gt;0</f>
        <v>0</v>
      </c>
    </row>
    <row r="4232" spans="1:9" hidden="1">
      <c r="A4232" s="1" t="s">
        <v>14975</v>
      </c>
      <c r="B4232" s="1" t="s">
        <v>10</v>
      </c>
      <c r="C4232" s="1" t="s">
        <v>14976</v>
      </c>
      <c r="D4232" s="1" t="s">
        <v>14977</v>
      </c>
      <c r="E4232" s="1" t="s">
        <v>926</v>
      </c>
      <c r="F4232" s="1" t="s">
        <v>30</v>
      </c>
      <c r="G4232" s="1" t="s">
        <v>14978</v>
      </c>
      <c r="H4232" s="1" t="s">
        <v>1762</v>
      </c>
      <c r="I4232" t="b">
        <f>COUNTIF(Estadísticas!I:I,'centraldecomunicacion.es'!H4232)&gt;0</f>
        <v>0</v>
      </c>
    </row>
    <row r="4233" spans="1:9" hidden="1">
      <c r="A4233" s="1" t="s">
        <v>14979</v>
      </c>
      <c r="B4233" s="1" t="s">
        <v>10</v>
      </c>
      <c r="C4233" s="1" t="s">
        <v>14980</v>
      </c>
      <c r="D4233" s="1" t="s">
        <v>926</v>
      </c>
      <c r="E4233" s="1" t="s">
        <v>926</v>
      </c>
      <c r="F4233" s="1" t="s">
        <v>30</v>
      </c>
      <c r="G4233" s="1" t="s">
        <v>14981</v>
      </c>
      <c r="H4233" s="1" t="s">
        <v>1762</v>
      </c>
      <c r="I4233" t="b">
        <f>COUNTIF(Estadísticas!I:I,'centraldecomunicacion.es'!H4233)&gt;0</f>
        <v>0</v>
      </c>
    </row>
    <row r="4234" spans="1:9" hidden="1">
      <c r="A4234" s="1" t="s">
        <v>14982</v>
      </c>
      <c r="B4234" s="1" t="s">
        <v>10</v>
      </c>
      <c r="C4234" s="1" t="s">
        <v>14983</v>
      </c>
      <c r="D4234" s="1" t="s">
        <v>926</v>
      </c>
      <c r="E4234" s="1" t="s">
        <v>926</v>
      </c>
      <c r="F4234" s="1" t="s">
        <v>30</v>
      </c>
      <c r="G4234" s="1" t="s">
        <v>30</v>
      </c>
      <c r="H4234" s="1" t="s">
        <v>1762</v>
      </c>
      <c r="I4234" t="b">
        <f>COUNTIF(Estadísticas!I:I,'centraldecomunicacion.es'!H4234)&gt;0</f>
        <v>0</v>
      </c>
    </row>
    <row r="4235" spans="1:9" hidden="1">
      <c r="A4235" s="1" t="s">
        <v>14984</v>
      </c>
      <c r="B4235" s="1" t="s">
        <v>10</v>
      </c>
      <c r="C4235" s="1" t="s">
        <v>14985</v>
      </c>
      <c r="D4235" s="1" t="s">
        <v>926</v>
      </c>
      <c r="E4235" s="1" t="s">
        <v>926</v>
      </c>
      <c r="F4235" s="1" t="s">
        <v>30</v>
      </c>
      <c r="G4235" s="1" t="s">
        <v>14986</v>
      </c>
      <c r="H4235" s="1" t="s">
        <v>1762</v>
      </c>
      <c r="I4235" t="b">
        <f>COUNTIF(Estadísticas!I:I,'centraldecomunicacion.es'!H4235)&gt;0</f>
        <v>0</v>
      </c>
    </row>
    <row r="4236" spans="1:9" hidden="1">
      <c r="A4236" s="1" t="s">
        <v>14987</v>
      </c>
      <c r="B4236" s="1" t="s">
        <v>10</v>
      </c>
      <c r="C4236" s="1" t="s">
        <v>14988</v>
      </c>
      <c r="D4236" s="1" t="s">
        <v>926</v>
      </c>
      <c r="E4236" s="1" t="s">
        <v>926</v>
      </c>
      <c r="F4236" s="1" t="s">
        <v>30</v>
      </c>
      <c r="G4236" s="1" t="s">
        <v>14989</v>
      </c>
      <c r="H4236" s="1" t="s">
        <v>1762</v>
      </c>
      <c r="I4236" t="b">
        <f>COUNTIF(Estadísticas!I:I,'centraldecomunicacion.es'!H4236)&gt;0</f>
        <v>0</v>
      </c>
    </row>
    <row r="4237" spans="1:9" hidden="1">
      <c r="A4237" s="1" t="s">
        <v>9591</v>
      </c>
      <c r="B4237" s="1" t="s">
        <v>10</v>
      </c>
      <c r="C4237" s="1" t="s">
        <v>14990</v>
      </c>
      <c r="D4237" s="1" t="s">
        <v>8004</v>
      </c>
      <c r="E4237" s="1" t="s">
        <v>926</v>
      </c>
      <c r="F4237" s="1" t="s">
        <v>9281</v>
      </c>
      <c r="G4237" s="1" t="s">
        <v>9282</v>
      </c>
      <c r="H4237" s="1" t="s">
        <v>9283</v>
      </c>
      <c r="I4237" t="b">
        <f>COUNTIF(Estadísticas!I:I,'centraldecomunicacion.es'!H4237)&gt;0</f>
        <v>0</v>
      </c>
    </row>
    <row r="4238" spans="1:9" hidden="1">
      <c r="A4238" s="1" t="s">
        <v>14991</v>
      </c>
      <c r="B4238" s="1" t="s">
        <v>18</v>
      </c>
      <c r="C4238" s="1" t="s">
        <v>14992</v>
      </c>
      <c r="D4238" s="1" t="s">
        <v>926</v>
      </c>
      <c r="E4238" s="1" t="s">
        <v>926</v>
      </c>
      <c r="F4238" s="1" t="s">
        <v>14993</v>
      </c>
      <c r="G4238" s="1" t="s">
        <v>14994</v>
      </c>
      <c r="H4238" s="1" t="s">
        <v>1875</v>
      </c>
      <c r="I4238" t="b">
        <f>COUNTIF(Estadísticas!I:I,'centraldecomunicacion.es'!H4238)&gt;0</f>
        <v>0</v>
      </c>
    </row>
    <row r="4239" spans="1:9" hidden="1">
      <c r="A4239" s="1" t="s">
        <v>14995</v>
      </c>
      <c r="B4239" s="1" t="s">
        <v>10</v>
      </c>
      <c r="C4239" s="1" t="s">
        <v>14996</v>
      </c>
      <c r="D4239" s="1" t="s">
        <v>926</v>
      </c>
      <c r="E4239" s="1" t="s">
        <v>926</v>
      </c>
      <c r="F4239" s="1" t="s">
        <v>30</v>
      </c>
      <c r="G4239" s="1" t="s">
        <v>14997</v>
      </c>
      <c r="H4239" s="1" t="s">
        <v>1762</v>
      </c>
      <c r="I4239" t="b">
        <f>COUNTIF(Estadísticas!I:I,'centraldecomunicacion.es'!H4239)&gt;0</f>
        <v>0</v>
      </c>
    </row>
    <row r="4240" spans="1:9" hidden="1">
      <c r="A4240" s="1" t="s">
        <v>14998</v>
      </c>
      <c r="B4240" s="1" t="s">
        <v>10</v>
      </c>
      <c r="C4240" s="1" t="s">
        <v>14999</v>
      </c>
      <c r="D4240" s="1" t="s">
        <v>926</v>
      </c>
      <c r="E4240" s="1" t="s">
        <v>926</v>
      </c>
      <c r="F4240" s="1" t="s">
        <v>14882</v>
      </c>
      <c r="G4240" s="1" t="s">
        <v>30</v>
      </c>
      <c r="H4240" s="1" t="s">
        <v>1762</v>
      </c>
      <c r="I4240" t="b">
        <f>COUNTIF(Estadísticas!I:I,'centraldecomunicacion.es'!H4240)&gt;0</f>
        <v>0</v>
      </c>
    </row>
    <row r="4241" spans="1:9" hidden="1">
      <c r="A4241" s="1" t="s">
        <v>15000</v>
      </c>
      <c r="B4241" s="1" t="s">
        <v>10</v>
      </c>
      <c r="C4241" s="1" t="s">
        <v>15001</v>
      </c>
      <c r="D4241" s="1" t="s">
        <v>926</v>
      </c>
      <c r="E4241" s="1" t="s">
        <v>926</v>
      </c>
      <c r="F4241" s="1" t="s">
        <v>15002</v>
      </c>
      <c r="G4241" s="1" t="s">
        <v>15003</v>
      </c>
      <c r="H4241" s="1" t="s">
        <v>15004</v>
      </c>
      <c r="I4241" t="b">
        <f>COUNTIF(Estadísticas!I:I,'centraldecomunicacion.es'!H4241)&gt;0</f>
        <v>0</v>
      </c>
    </row>
    <row r="4242" spans="1:9">
      <c r="A4242" s="1" t="s">
        <v>1572</v>
      </c>
      <c r="B4242" s="1" t="s">
        <v>10</v>
      </c>
      <c r="C4242" s="1" t="s">
        <v>1573</v>
      </c>
      <c r="D4242" s="1" t="s">
        <v>926</v>
      </c>
      <c r="E4242" s="1" t="s">
        <v>926</v>
      </c>
      <c r="F4242" s="1" t="s">
        <v>1574</v>
      </c>
      <c r="G4242" s="1" t="s">
        <v>1575</v>
      </c>
      <c r="H4242" s="1" t="s">
        <v>1576</v>
      </c>
      <c r="I4242" t="b">
        <f>COUNTIF(Estadísticas!I:I,'centraldecomunicacion.es'!H4242)&gt;0</f>
        <v>1</v>
      </c>
    </row>
    <row r="4243" spans="1:9" hidden="1">
      <c r="A4243" s="1" t="s">
        <v>15005</v>
      </c>
      <c r="B4243" s="1" t="s">
        <v>18</v>
      </c>
      <c r="C4243" s="1" t="s">
        <v>15006</v>
      </c>
      <c r="D4243" s="1" t="s">
        <v>926</v>
      </c>
      <c r="E4243" s="1" t="s">
        <v>926</v>
      </c>
      <c r="F4243" s="1" t="s">
        <v>30</v>
      </c>
      <c r="G4243" s="1" t="s">
        <v>15007</v>
      </c>
      <c r="H4243" s="1" t="s">
        <v>1762</v>
      </c>
      <c r="I4243" t="b">
        <f>COUNTIF(Estadísticas!I:I,'centraldecomunicacion.es'!H4243)&gt;0</f>
        <v>0</v>
      </c>
    </row>
    <row r="4244" spans="1:9" hidden="1">
      <c r="A4244" s="1" t="s">
        <v>15008</v>
      </c>
      <c r="B4244" s="1" t="s">
        <v>10</v>
      </c>
      <c r="C4244" s="1" t="s">
        <v>15009</v>
      </c>
      <c r="D4244" s="1" t="s">
        <v>926</v>
      </c>
      <c r="E4244" s="1" t="s">
        <v>926</v>
      </c>
      <c r="F4244" s="1" t="s">
        <v>15010</v>
      </c>
      <c r="G4244" s="1" t="s">
        <v>15011</v>
      </c>
      <c r="H4244" s="1" t="s">
        <v>1875</v>
      </c>
      <c r="I4244" t="b">
        <f>COUNTIF(Estadísticas!I:I,'centraldecomunicacion.es'!H4244)&gt;0</f>
        <v>0</v>
      </c>
    </row>
    <row r="4245" spans="1:9" hidden="1">
      <c r="A4245" s="1" t="s">
        <v>15012</v>
      </c>
      <c r="B4245" s="1" t="s">
        <v>10</v>
      </c>
      <c r="C4245" s="1" t="s">
        <v>15013</v>
      </c>
      <c r="D4245" s="1" t="s">
        <v>926</v>
      </c>
      <c r="E4245" s="1" t="s">
        <v>926</v>
      </c>
      <c r="F4245" s="1" t="s">
        <v>30</v>
      </c>
      <c r="G4245" s="1" t="s">
        <v>15014</v>
      </c>
      <c r="H4245" s="1" t="s">
        <v>1762</v>
      </c>
      <c r="I4245" t="b">
        <f>COUNTIF(Estadísticas!I:I,'centraldecomunicacion.es'!H4245)&gt;0</f>
        <v>0</v>
      </c>
    </row>
    <row r="4246" spans="1:9" hidden="1">
      <c r="A4246" s="1" t="s">
        <v>15015</v>
      </c>
      <c r="B4246" s="1" t="s">
        <v>10</v>
      </c>
      <c r="C4246" s="1" t="s">
        <v>15016</v>
      </c>
      <c r="D4246" s="1" t="s">
        <v>926</v>
      </c>
      <c r="E4246" s="1" t="s">
        <v>926</v>
      </c>
      <c r="F4246" s="1" t="s">
        <v>15017</v>
      </c>
      <c r="G4246" s="1" t="s">
        <v>15018</v>
      </c>
      <c r="H4246" s="1" t="s">
        <v>1762</v>
      </c>
      <c r="I4246" t="b">
        <f>COUNTIF(Estadísticas!I:I,'centraldecomunicacion.es'!H4246)&gt;0</f>
        <v>0</v>
      </c>
    </row>
    <row r="4247" spans="1:9" hidden="1">
      <c r="A4247" s="1" t="s">
        <v>15019</v>
      </c>
      <c r="B4247" s="1" t="s">
        <v>10</v>
      </c>
      <c r="C4247" s="1" t="s">
        <v>15020</v>
      </c>
      <c r="D4247" s="1" t="s">
        <v>926</v>
      </c>
      <c r="E4247" s="1" t="s">
        <v>926</v>
      </c>
      <c r="F4247" s="1" t="s">
        <v>15021</v>
      </c>
      <c r="G4247" s="1" t="s">
        <v>15022</v>
      </c>
      <c r="H4247" s="1" t="s">
        <v>15023</v>
      </c>
      <c r="I4247" t="b">
        <f>COUNTIF(Estadísticas!I:I,'centraldecomunicacion.es'!H4247)&gt;0</f>
        <v>0</v>
      </c>
    </row>
    <row r="4248" spans="1:9" hidden="1">
      <c r="A4248" s="1" t="s">
        <v>15024</v>
      </c>
      <c r="B4248" s="1" t="s">
        <v>10</v>
      </c>
      <c r="C4248" s="1" t="s">
        <v>15025</v>
      </c>
      <c r="D4248" s="1" t="s">
        <v>926</v>
      </c>
      <c r="E4248" s="1" t="s">
        <v>926</v>
      </c>
      <c r="F4248" s="1" t="s">
        <v>30</v>
      </c>
      <c r="G4248" s="1" t="s">
        <v>15026</v>
      </c>
      <c r="H4248" s="1" t="s">
        <v>1762</v>
      </c>
      <c r="I4248" t="b">
        <f>COUNTIF(Estadísticas!I:I,'centraldecomunicacion.es'!H4248)&gt;0</f>
        <v>0</v>
      </c>
    </row>
    <row r="4249" spans="1:9" hidden="1">
      <c r="A4249" s="1" t="s">
        <v>15027</v>
      </c>
      <c r="B4249" s="1" t="s">
        <v>10</v>
      </c>
      <c r="C4249" s="1" t="s">
        <v>15028</v>
      </c>
      <c r="D4249" s="1" t="s">
        <v>926</v>
      </c>
      <c r="E4249" s="1" t="s">
        <v>926</v>
      </c>
      <c r="F4249" s="1" t="s">
        <v>1984</v>
      </c>
      <c r="G4249" s="1" t="s">
        <v>9818</v>
      </c>
      <c r="H4249" s="1" t="s">
        <v>1762</v>
      </c>
      <c r="I4249" t="b">
        <f>COUNTIF(Estadísticas!I:I,'centraldecomunicacion.es'!H4249)&gt;0</f>
        <v>0</v>
      </c>
    </row>
    <row r="4250" spans="1:9" hidden="1">
      <c r="A4250" s="1" t="s">
        <v>15029</v>
      </c>
      <c r="B4250" s="1" t="s">
        <v>10</v>
      </c>
      <c r="C4250" s="1" t="s">
        <v>15030</v>
      </c>
      <c r="D4250" s="1" t="s">
        <v>8367</v>
      </c>
      <c r="E4250" s="1" t="s">
        <v>926</v>
      </c>
      <c r="F4250" s="1" t="s">
        <v>15031</v>
      </c>
      <c r="G4250" s="1" t="s">
        <v>15032</v>
      </c>
      <c r="H4250" s="1" t="s">
        <v>15033</v>
      </c>
      <c r="I4250" t="b">
        <f>COUNTIF(Estadísticas!I:I,'centraldecomunicacion.es'!H4250)&gt;0</f>
        <v>0</v>
      </c>
    </row>
    <row r="4251" spans="1:9" hidden="1">
      <c r="A4251" s="1" t="s">
        <v>15034</v>
      </c>
      <c r="B4251" s="1" t="s">
        <v>10</v>
      </c>
      <c r="C4251" s="1" t="s">
        <v>15035</v>
      </c>
      <c r="D4251" s="1" t="s">
        <v>926</v>
      </c>
      <c r="E4251" s="1" t="s">
        <v>926</v>
      </c>
      <c r="F4251" s="1" t="s">
        <v>30</v>
      </c>
      <c r="G4251" s="1" t="s">
        <v>15036</v>
      </c>
      <c r="H4251" s="1" t="s">
        <v>1762</v>
      </c>
      <c r="I4251" t="b">
        <f>COUNTIF(Estadísticas!I:I,'centraldecomunicacion.es'!H4251)&gt;0</f>
        <v>0</v>
      </c>
    </row>
    <row r="4252" spans="1:9" hidden="1">
      <c r="A4252" s="1" t="s">
        <v>15037</v>
      </c>
      <c r="B4252" s="1" t="s">
        <v>10</v>
      </c>
      <c r="C4252" s="1" t="s">
        <v>15038</v>
      </c>
      <c r="D4252" s="1" t="s">
        <v>926</v>
      </c>
      <c r="E4252" s="1" t="s">
        <v>926</v>
      </c>
      <c r="F4252" s="1" t="s">
        <v>1984</v>
      </c>
      <c r="G4252" s="1" t="s">
        <v>15039</v>
      </c>
      <c r="H4252" s="1" t="s">
        <v>1762</v>
      </c>
      <c r="I4252" t="b">
        <f>COUNTIF(Estadísticas!I:I,'centraldecomunicacion.es'!H4252)&gt;0</f>
        <v>0</v>
      </c>
    </row>
    <row r="4253" spans="1:9" hidden="1">
      <c r="A4253" s="1" t="s">
        <v>15040</v>
      </c>
      <c r="B4253" s="1" t="s">
        <v>10</v>
      </c>
      <c r="C4253" s="1" t="s">
        <v>15035</v>
      </c>
      <c r="D4253" s="1" t="s">
        <v>926</v>
      </c>
      <c r="E4253" s="1" t="s">
        <v>926</v>
      </c>
      <c r="F4253" s="1" t="s">
        <v>15041</v>
      </c>
      <c r="G4253" s="1" t="s">
        <v>15036</v>
      </c>
      <c r="H4253" s="1" t="s">
        <v>1762</v>
      </c>
      <c r="I4253" t="b">
        <f>COUNTIF(Estadísticas!I:I,'centraldecomunicacion.es'!H4253)&gt;0</f>
        <v>0</v>
      </c>
    </row>
    <row r="4254" spans="1:9" hidden="1">
      <c r="A4254" s="1" t="s">
        <v>15042</v>
      </c>
      <c r="B4254" s="1" t="s">
        <v>10</v>
      </c>
      <c r="C4254" s="1" t="s">
        <v>15043</v>
      </c>
      <c r="D4254" s="1" t="s">
        <v>926</v>
      </c>
      <c r="E4254" s="1" t="s">
        <v>926</v>
      </c>
      <c r="F4254" s="1" t="s">
        <v>14849</v>
      </c>
      <c r="G4254" s="1" t="s">
        <v>14850</v>
      </c>
      <c r="H4254" s="1" t="s">
        <v>1762</v>
      </c>
      <c r="I4254" t="b">
        <f>COUNTIF(Estadísticas!I:I,'centraldecomunicacion.es'!H4254)&gt;0</f>
        <v>0</v>
      </c>
    </row>
    <row r="4255" spans="1:9" hidden="1">
      <c r="A4255" s="1" t="s">
        <v>15044</v>
      </c>
      <c r="B4255" s="1" t="s">
        <v>10</v>
      </c>
      <c r="C4255" s="1" t="s">
        <v>15045</v>
      </c>
      <c r="D4255" s="1" t="s">
        <v>926</v>
      </c>
      <c r="E4255" s="1" t="s">
        <v>926</v>
      </c>
      <c r="F4255" s="1" t="s">
        <v>30</v>
      </c>
      <c r="G4255" s="1" t="s">
        <v>15046</v>
      </c>
      <c r="H4255" s="1" t="s">
        <v>1762</v>
      </c>
      <c r="I4255" t="b">
        <f>COUNTIF(Estadísticas!I:I,'centraldecomunicacion.es'!H4255)&gt;0</f>
        <v>0</v>
      </c>
    </row>
    <row r="4256" spans="1:9" hidden="1">
      <c r="A4256" s="1" t="s">
        <v>15047</v>
      </c>
      <c r="B4256" s="1" t="s">
        <v>10</v>
      </c>
      <c r="C4256" s="1" t="s">
        <v>15048</v>
      </c>
      <c r="D4256" s="1" t="s">
        <v>926</v>
      </c>
      <c r="E4256" s="1" t="s">
        <v>926</v>
      </c>
      <c r="F4256" s="1" t="s">
        <v>1984</v>
      </c>
      <c r="G4256" s="1" t="s">
        <v>15049</v>
      </c>
      <c r="H4256" s="1" t="s">
        <v>1762</v>
      </c>
      <c r="I4256" t="b">
        <f>COUNTIF(Estadísticas!I:I,'centraldecomunicacion.es'!H4256)&gt;0</f>
        <v>0</v>
      </c>
    </row>
    <row r="4257" spans="1:9">
      <c r="A4257" s="1" t="s">
        <v>1577</v>
      </c>
      <c r="B4257" s="1" t="s">
        <v>10</v>
      </c>
      <c r="C4257" s="1" t="s">
        <v>1578</v>
      </c>
      <c r="D4257" s="1" t="s">
        <v>926</v>
      </c>
      <c r="E4257" s="1" t="s">
        <v>926</v>
      </c>
      <c r="F4257" s="1" t="s">
        <v>1579</v>
      </c>
      <c r="G4257" s="1" t="s">
        <v>1580</v>
      </c>
      <c r="H4257" s="1" t="s">
        <v>1581</v>
      </c>
      <c r="I4257" t="b">
        <f>COUNTIF(Estadísticas!I:I,'centraldecomunicacion.es'!H4257)&gt;0</f>
        <v>1</v>
      </c>
    </row>
    <row r="4258" spans="1:9" hidden="1">
      <c r="A4258" s="1" t="s">
        <v>15050</v>
      </c>
      <c r="B4258" s="1" t="s">
        <v>10</v>
      </c>
      <c r="C4258" s="1" t="s">
        <v>15051</v>
      </c>
      <c r="D4258" s="1" t="s">
        <v>926</v>
      </c>
      <c r="E4258" s="1" t="s">
        <v>926</v>
      </c>
      <c r="F4258" s="1" t="s">
        <v>30</v>
      </c>
      <c r="G4258" s="1" t="s">
        <v>15052</v>
      </c>
      <c r="H4258" s="1" t="s">
        <v>1762</v>
      </c>
      <c r="I4258" t="b">
        <f>COUNTIF(Estadísticas!I:I,'centraldecomunicacion.es'!H4258)&gt;0</f>
        <v>0</v>
      </c>
    </row>
    <row r="4259" spans="1:9" hidden="1">
      <c r="A4259" s="1" t="s">
        <v>15053</v>
      </c>
      <c r="B4259" s="1" t="s">
        <v>10</v>
      </c>
      <c r="C4259" s="1" t="s">
        <v>15054</v>
      </c>
      <c r="D4259" s="1" t="s">
        <v>926</v>
      </c>
      <c r="E4259" s="1" t="s">
        <v>926</v>
      </c>
      <c r="F4259" s="1" t="s">
        <v>15055</v>
      </c>
      <c r="G4259" s="1" t="s">
        <v>15056</v>
      </c>
      <c r="H4259" s="1" t="s">
        <v>1762</v>
      </c>
      <c r="I4259" t="b">
        <f>COUNTIF(Estadísticas!I:I,'centraldecomunicacion.es'!H4259)&gt;0</f>
        <v>0</v>
      </c>
    </row>
    <row r="4260" spans="1:9" hidden="1">
      <c r="A4260" s="1" t="s">
        <v>15057</v>
      </c>
      <c r="B4260" s="1" t="s">
        <v>10</v>
      </c>
      <c r="C4260" s="1" t="s">
        <v>15058</v>
      </c>
      <c r="D4260" s="1" t="s">
        <v>926</v>
      </c>
      <c r="E4260" s="1" t="s">
        <v>926</v>
      </c>
      <c r="F4260" s="1" t="s">
        <v>15059</v>
      </c>
      <c r="G4260" s="1" t="s">
        <v>15060</v>
      </c>
      <c r="H4260" s="1" t="s">
        <v>15061</v>
      </c>
      <c r="I4260" t="b">
        <f>COUNTIF(Estadísticas!I:I,'centraldecomunicacion.es'!H4260)&gt;0</f>
        <v>0</v>
      </c>
    </row>
    <row r="4261" spans="1:9" hidden="1">
      <c r="A4261" s="1" t="s">
        <v>15062</v>
      </c>
      <c r="B4261" s="1" t="s">
        <v>10</v>
      </c>
      <c r="C4261" s="1" t="s">
        <v>15063</v>
      </c>
      <c r="D4261" s="1" t="s">
        <v>926</v>
      </c>
      <c r="E4261" s="1" t="s">
        <v>926</v>
      </c>
      <c r="F4261" s="1" t="s">
        <v>15064</v>
      </c>
      <c r="G4261" s="1" t="s">
        <v>15065</v>
      </c>
      <c r="H4261" s="1" t="s">
        <v>1762</v>
      </c>
      <c r="I4261" t="b">
        <f>COUNTIF(Estadísticas!I:I,'centraldecomunicacion.es'!H4261)&gt;0</f>
        <v>0</v>
      </c>
    </row>
    <row r="4262" spans="1:9">
      <c r="A4262" s="1" t="s">
        <v>1582</v>
      </c>
      <c r="B4262" s="1" t="s">
        <v>18</v>
      </c>
      <c r="C4262" s="1" t="s">
        <v>1583</v>
      </c>
      <c r="D4262" s="1" t="s">
        <v>926</v>
      </c>
      <c r="E4262" s="1" t="s">
        <v>926</v>
      </c>
      <c r="F4262" s="1" t="s">
        <v>1584</v>
      </c>
      <c r="G4262" s="1" t="s">
        <v>1585</v>
      </c>
      <c r="H4262" s="1" t="s">
        <v>1586</v>
      </c>
      <c r="I4262" t="b">
        <f>COUNTIF(Estadísticas!I:I,'centraldecomunicacion.es'!H4262)&gt;0</f>
        <v>1</v>
      </c>
    </row>
    <row r="4263" spans="1:9" hidden="1">
      <c r="A4263" s="1" t="s">
        <v>15066</v>
      </c>
      <c r="B4263" s="1" t="s">
        <v>10</v>
      </c>
      <c r="C4263" s="1" t="s">
        <v>15067</v>
      </c>
      <c r="D4263" s="1" t="s">
        <v>926</v>
      </c>
      <c r="E4263" s="1" t="s">
        <v>926</v>
      </c>
      <c r="F4263" s="1" t="s">
        <v>30</v>
      </c>
      <c r="G4263" s="1" t="s">
        <v>15068</v>
      </c>
      <c r="H4263" s="1" t="s">
        <v>1762</v>
      </c>
      <c r="I4263" t="b">
        <f>COUNTIF(Estadísticas!I:I,'centraldecomunicacion.es'!H4263)&gt;0</f>
        <v>0</v>
      </c>
    </row>
    <row r="4264" spans="1:9" hidden="1">
      <c r="A4264" s="1" t="s">
        <v>15069</v>
      </c>
      <c r="B4264" s="1" t="s">
        <v>10</v>
      </c>
      <c r="C4264" s="1" t="s">
        <v>15070</v>
      </c>
      <c r="D4264" s="1" t="s">
        <v>926</v>
      </c>
      <c r="E4264" s="1" t="s">
        <v>926</v>
      </c>
      <c r="F4264" s="1" t="s">
        <v>15071</v>
      </c>
      <c r="G4264" s="1" t="s">
        <v>15072</v>
      </c>
      <c r="H4264" s="1" t="s">
        <v>15073</v>
      </c>
      <c r="I4264" t="b">
        <f>COUNTIF(Estadísticas!I:I,'centraldecomunicacion.es'!H4264)&gt;0</f>
        <v>0</v>
      </c>
    </row>
    <row r="4265" spans="1:9" hidden="1">
      <c r="A4265" s="1" t="s">
        <v>15074</v>
      </c>
      <c r="B4265" s="1" t="s">
        <v>10</v>
      </c>
      <c r="C4265" s="1" t="s">
        <v>15075</v>
      </c>
      <c r="D4265" s="1" t="s">
        <v>926</v>
      </c>
      <c r="E4265" s="1" t="s">
        <v>926</v>
      </c>
      <c r="F4265" s="1" t="s">
        <v>30</v>
      </c>
      <c r="G4265" s="1" t="s">
        <v>15076</v>
      </c>
      <c r="H4265" s="1" t="s">
        <v>1762</v>
      </c>
      <c r="I4265" t="b">
        <f>COUNTIF(Estadísticas!I:I,'centraldecomunicacion.es'!H4265)&gt;0</f>
        <v>0</v>
      </c>
    </row>
    <row r="4266" spans="1:9" hidden="1">
      <c r="A4266" s="1" t="s">
        <v>15077</v>
      </c>
      <c r="B4266" s="1" t="s">
        <v>10</v>
      </c>
      <c r="C4266" s="1" t="s">
        <v>15078</v>
      </c>
      <c r="D4266" s="1" t="s">
        <v>926</v>
      </c>
      <c r="E4266" s="1" t="s">
        <v>926</v>
      </c>
      <c r="F4266" s="1" t="s">
        <v>30</v>
      </c>
      <c r="G4266" s="1" t="s">
        <v>15079</v>
      </c>
      <c r="H4266" s="1" t="s">
        <v>1762</v>
      </c>
      <c r="I4266" t="b">
        <f>COUNTIF(Estadísticas!I:I,'centraldecomunicacion.es'!H4266)&gt;0</f>
        <v>0</v>
      </c>
    </row>
    <row r="4267" spans="1:9" hidden="1">
      <c r="A4267" s="1" t="s">
        <v>15080</v>
      </c>
      <c r="B4267" s="1" t="s">
        <v>10</v>
      </c>
      <c r="C4267" s="1" t="s">
        <v>15081</v>
      </c>
      <c r="D4267" s="1" t="s">
        <v>926</v>
      </c>
      <c r="E4267" s="1" t="s">
        <v>926</v>
      </c>
      <c r="F4267" s="1" t="s">
        <v>30</v>
      </c>
      <c r="G4267" s="1" t="s">
        <v>15082</v>
      </c>
      <c r="H4267" s="1" t="s">
        <v>1762</v>
      </c>
      <c r="I4267" t="b">
        <f>COUNTIF(Estadísticas!I:I,'centraldecomunicacion.es'!H4267)&gt;0</f>
        <v>0</v>
      </c>
    </row>
    <row r="4268" spans="1:9" hidden="1">
      <c r="A4268" s="1" t="s">
        <v>15083</v>
      </c>
      <c r="B4268" s="1" t="s">
        <v>10</v>
      </c>
      <c r="C4268" s="1" t="s">
        <v>30</v>
      </c>
      <c r="D4268" s="1" t="s">
        <v>14810</v>
      </c>
      <c r="E4268" s="1" t="s">
        <v>30</v>
      </c>
      <c r="F4268" s="1" t="s">
        <v>15084</v>
      </c>
      <c r="G4268" s="1" t="s">
        <v>15085</v>
      </c>
      <c r="H4268" s="1" t="s">
        <v>1762</v>
      </c>
      <c r="I4268" t="b">
        <f>COUNTIF(Estadísticas!I:I,'centraldecomunicacion.es'!H4268)&gt;0</f>
        <v>0</v>
      </c>
    </row>
    <row r="4269" spans="1:9" hidden="1">
      <c r="A4269" s="1" t="s">
        <v>15086</v>
      </c>
      <c r="B4269" s="1" t="s">
        <v>10</v>
      </c>
      <c r="C4269" s="1" t="s">
        <v>15087</v>
      </c>
      <c r="D4269" s="1" t="s">
        <v>926</v>
      </c>
      <c r="E4269" s="1" t="s">
        <v>926</v>
      </c>
      <c r="F4269" s="1" t="s">
        <v>30</v>
      </c>
      <c r="G4269" s="1" t="s">
        <v>15088</v>
      </c>
      <c r="H4269" s="1" t="s">
        <v>1762</v>
      </c>
      <c r="I4269" t="b">
        <f>COUNTIF(Estadísticas!I:I,'centraldecomunicacion.es'!H4269)&gt;0</f>
        <v>0</v>
      </c>
    </row>
    <row r="4270" spans="1:9">
      <c r="A4270" s="1" t="s">
        <v>1587</v>
      </c>
      <c r="B4270" s="1" t="s">
        <v>10</v>
      </c>
      <c r="C4270" s="1" t="s">
        <v>1588</v>
      </c>
      <c r="D4270" s="1" t="s">
        <v>1589</v>
      </c>
      <c r="E4270" s="1" t="s">
        <v>926</v>
      </c>
      <c r="F4270" s="1" t="s">
        <v>1590</v>
      </c>
      <c r="G4270" s="1" t="s">
        <v>1591</v>
      </c>
      <c r="H4270" s="1" t="s">
        <v>1592</v>
      </c>
      <c r="I4270" t="b">
        <f>COUNTIF(Estadísticas!I:I,'centraldecomunicacion.es'!H4270)&gt;0</f>
        <v>1</v>
      </c>
    </row>
    <row r="4271" spans="1:9" hidden="1">
      <c r="A4271" s="1" t="s">
        <v>15089</v>
      </c>
      <c r="B4271" s="1" t="s">
        <v>10</v>
      </c>
      <c r="C4271" s="1" t="s">
        <v>15090</v>
      </c>
      <c r="D4271" s="1" t="s">
        <v>926</v>
      </c>
      <c r="E4271" s="1" t="s">
        <v>926</v>
      </c>
      <c r="F4271" s="1" t="s">
        <v>1984</v>
      </c>
      <c r="G4271" s="1" t="s">
        <v>15091</v>
      </c>
      <c r="H4271" s="1" t="s">
        <v>1762</v>
      </c>
      <c r="I4271" t="b">
        <f>COUNTIF(Estadísticas!I:I,'centraldecomunicacion.es'!H4271)&gt;0</f>
        <v>0</v>
      </c>
    </row>
    <row r="4272" spans="1:9" hidden="1">
      <c r="A4272" s="1" t="s">
        <v>15092</v>
      </c>
      <c r="B4272" s="1" t="s">
        <v>10</v>
      </c>
      <c r="C4272" s="1" t="s">
        <v>15093</v>
      </c>
      <c r="D4272" s="1" t="s">
        <v>926</v>
      </c>
      <c r="E4272" s="1" t="s">
        <v>926</v>
      </c>
      <c r="F4272" s="1" t="s">
        <v>30</v>
      </c>
      <c r="G4272" s="1" t="s">
        <v>30</v>
      </c>
      <c r="H4272" s="1" t="s">
        <v>1762</v>
      </c>
      <c r="I4272" t="b">
        <f>COUNTIF(Estadísticas!I:I,'centraldecomunicacion.es'!H4272)&gt;0</f>
        <v>0</v>
      </c>
    </row>
    <row r="4273" spans="1:9" hidden="1">
      <c r="A4273" s="1" t="s">
        <v>15094</v>
      </c>
      <c r="B4273" s="1" t="s">
        <v>10</v>
      </c>
      <c r="C4273" s="1" t="s">
        <v>15095</v>
      </c>
      <c r="D4273" s="1" t="s">
        <v>926</v>
      </c>
      <c r="E4273" s="1" t="s">
        <v>926</v>
      </c>
      <c r="F4273" s="1" t="s">
        <v>30</v>
      </c>
      <c r="G4273" s="1" t="s">
        <v>30</v>
      </c>
      <c r="H4273" s="1" t="s">
        <v>1762</v>
      </c>
      <c r="I4273" t="b">
        <f>COUNTIF(Estadísticas!I:I,'centraldecomunicacion.es'!H4273)&gt;0</f>
        <v>0</v>
      </c>
    </row>
    <row r="4274" spans="1:9" hidden="1">
      <c r="A4274" s="1" t="s">
        <v>15096</v>
      </c>
      <c r="B4274" s="1" t="s">
        <v>10</v>
      </c>
      <c r="C4274" s="1" t="s">
        <v>15097</v>
      </c>
      <c r="D4274" s="1" t="s">
        <v>926</v>
      </c>
      <c r="E4274" s="1" t="s">
        <v>926</v>
      </c>
      <c r="F4274" s="1" t="s">
        <v>30</v>
      </c>
      <c r="G4274" s="1" t="s">
        <v>30</v>
      </c>
      <c r="H4274" s="1" t="s">
        <v>1762</v>
      </c>
      <c r="I4274" t="b">
        <f>COUNTIF(Estadísticas!I:I,'centraldecomunicacion.es'!H4274)&gt;0</f>
        <v>0</v>
      </c>
    </row>
    <row r="4275" spans="1:9" hidden="1">
      <c r="A4275" s="1" t="s">
        <v>15098</v>
      </c>
      <c r="B4275" s="1" t="s">
        <v>10</v>
      </c>
      <c r="C4275" s="1" t="s">
        <v>15099</v>
      </c>
      <c r="D4275" s="1" t="s">
        <v>926</v>
      </c>
      <c r="E4275" s="1" t="s">
        <v>926</v>
      </c>
      <c r="F4275" s="1" t="s">
        <v>30</v>
      </c>
      <c r="G4275" s="1" t="s">
        <v>15100</v>
      </c>
      <c r="H4275" s="1" t="s">
        <v>1762</v>
      </c>
      <c r="I4275" t="b">
        <f>COUNTIF(Estadísticas!I:I,'centraldecomunicacion.es'!H4275)&gt;0</f>
        <v>0</v>
      </c>
    </row>
    <row r="4276" spans="1:9" hidden="1">
      <c r="A4276" s="1" t="s">
        <v>15101</v>
      </c>
      <c r="B4276" s="1" t="s">
        <v>10</v>
      </c>
      <c r="C4276" s="1" t="s">
        <v>15102</v>
      </c>
      <c r="D4276" s="1" t="s">
        <v>926</v>
      </c>
      <c r="E4276" s="1" t="s">
        <v>926</v>
      </c>
      <c r="F4276" s="1" t="s">
        <v>30</v>
      </c>
      <c r="G4276" s="1" t="s">
        <v>15103</v>
      </c>
      <c r="H4276" s="1" t="s">
        <v>1762</v>
      </c>
      <c r="I4276" t="b">
        <f>COUNTIF(Estadísticas!I:I,'centraldecomunicacion.es'!H4276)&gt;0</f>
        <v>0</v>
      </c>
    </row>
    <row r="4277" spans="1:9" hidden="1">
      <c r="A4277" s="1" t="s">
        <v>15104</v>
      </c>
      <c r="B4277" s="1" t="s">
        <v>10</v>
      </c>
      <c r="C4277" s="1" t="s">
        <v>15105</v>
      </c>
      <c r="D4277" s="1" t="s">
        <v>926</v>
      </c>
      <c r="E4277" s="1" t="s">
        <v>926</v>
      </c>
      <c r="F4277" s="1" t="s">
        <v>30</v>
      </c>
      <c r="G4277" s="1" t="s">
        <v>30</v>
      </c>
      <c r="H4277" s="1" t="s">
        <v>1762</v>
      </c>
      <c r="I4277" t="b">
        <f>COUNTIF(Estadísticas!I:I,'centraldecomunicacion.es'!H4277)&gt;0</f>
        <v>0</v>
      </c>
    </row>
    <row r="4278" spans="1:9" hidden="1">
      <c r="A4278" s="1" t="s">
        <v>15106</v>
      </c>
      <c r="B4278" s="1" t="s">
        <v>10</v>
      </c>
      <c r="C4278" s="1" t="s">
        <v>15107</v>
      </c>
      <c r="D4278" s="1" t="s">
        <v>926</v>
      </c>
      <c r="E4278" s="1" t="s">
        <v>926</v>
      </c>
      <c r="F4278" s="1" t="s">
        <v>15108</v>
      </c>
      <c r="G4278" s="1" t="s">
        <v>15109</v>
      </c>
      <c r="H4278" s="1" t="s">
        <v>1762</v>
      </c>
      <c r="I4278" t="b">
        <f>COUNTIF(Estadísticas!I:I,'centraldecomunicacion.es'!H4278)&gt;0</f>
        <v>0</v>
      </c>
    </row>
    <row r="4279" spans="1:9" hidden="1">
      <c r="A4279" s="1" t="s">
        <v>1995</v>
      </c>
      <c r="B4279" s="1" t="s">
        <v>10</v>
      </c>
      <c r="C4279" s="1" t="s">
        <v>15110</v>
      </c>
      <c r="D4279" s="1" t="s">
        <v>926</v>
      </c>
      <c r="E4279" s="1" t="s">
        <v>926</v>
      </c>
      <c r="F4279" s="1" t="s">
        <v>30</v>
      </c>
      <c r="G4279" s="1" t="s">
        <v>15111</v>
      </c>
      <c r="H4279" s="1" t="s">
        <v>1762</v>
      </c>
      <c r="I4279" t="b">
        <f>COUNTIF(Estadísticas!I:I,'centraldecomunicacion.es'!H4279)&gt;0</f>
        <v>0</v>
      </c>
    </row>
    <row r="4280" spans="1:9" hidden="1">
      <c r="A4280" s="1" t="s">
        <v>15112</v>
      </c>
      <c r="B4280" s="1" t="s">
        <v>18</v>
      </c>
      <c r="C4280" s="1" t="s">
        <v>15113</v>
      </c>
      <c r="D4280" s="1" t="s">
        <v>926</v>
      </c>
      <c r="E4280" s="1" t="s">
        <v>926</v>
      </c>
      <c r="F4280" s="1" t="s">
        <v>30</v>
      </c>
      <c r="G4280" s="1" t="s">
        <v>15114</v>
      </c>
      <c r="H4280" s="1" t="s">
        <v>1762</v>
      </c>
      <c r="I4280" t="b">
        <f>COUNTIF(Estadísticas!I:I,'centraldecomunicacion.es'!H4280)&gt;0</f>
        <v>0</v>
      </c>
    </row>
    <row r="4281" spans="1:9" hidden="1">
      <c r="A4281" s="1" t="s">
        <v>15115</v>
      </c>
      <c r="B4281" s="1" t="s">
        <v>10</v>
      </c>
      <c r="C4281" s="1" t="s">
        <v>13785</v>
      </c>
      <c r="D4281" s="1" t="s">
        <v>13706</v>
      </c>
      <c r="E4281" s="1" t="s">
        <v>1348</v>
      </c>
      <c r="F4281" s="1" t="s">
        <v>30</v>
      </c>
      <c r="G4281" s="1" t="s">
        <v>30</v>
      </c>
      <c r="H4281" s="1" t="s">
        <v>1762</v>
      </c>
      <c r="I4281" t="b">
        <f>COUNTIF(Estadísticas!I:I,'centraldecomunicacion.es'!H4281)&gt;0</f>
        <v>0</v>
      </c>
    </row>
    <row r="4282" spans="1:9" hidden="1">
      <c r="A4282" s="1" t="s">
        <v>15116</v>
      </c>
      <c r="B4282" s="1" t="s">
        <v>10</v>
      </c>
      <c r="C4282" s="1" t="s">
        <v>15117</v>
      </c>
      <c r="D4282" s="1" t="s">
        <v>926</v>
      </c>
      <c r="E4282" s="1" t="s">
        <v>926</v>
      </c>
      <c r="F4282" s="1" t="s">
        <v>1984</v>
      </c>
      <c r="G4282" s="1" t="s">
        <v>15118</v>
      </c>
      <c r="H4282" s="1" t="s">
        <v>1762</v>
      </c>
      <c r="I4282" t="b">
        <f>COUNTIF(Estadísticas!I:I,'centraldecomunicacion.es'!H4282)&gt;0</f>
        <v>0</v>
      </c>
    </row>
    <row r="4283" spans="1:9" hidden="1">
      <c r="A4283" s="1" t="s">
        <v>15119</v>
      </c>
      <c r="B4283" s="1" t="s">
        <v>10</v>
      </c>
      <c r="C4283" s="1" t="s">
        <v>30</v>
      </c>
      <c r="D4283" s="1" t="s">
        <v>14810</v>
      </c>
      <c r="E4283" s="1" t="s">
        <v>30</v>
      </c>
      <c r="F4283" s="1" t="s">
        <v>15120</v>
      </c>
      <c r="G4283" s="1" t="s">
        <v>7776</v>
      </c>
      <c r="H4283" s="1" t="s">
        <v>1762</v>
      </c>
      <c r="I4283" t="b">
        <f>COUNTIF(Estadísticas!I:I,'centraldecomunicacion.es'!H4283)&gt;0</f>
        <v>0</v>
      </c>
    </row>
    <row r="4284" spans="1:9" hidden="1">
      <c r="A4284" s="1" t="s">
        <v>15121</v>
      </c>
      <c r="B4284" s="1" t="s">
        <v>10</v>
      </c>
      <c r="C4284" s="1" t="s">
        <v>15122</v>
      </c>
      <c r="D4284" s="1" t="s">
        <v>926</v>
      </c>
      <c r="E4284" s="1" t="s">
        <v>926</v>
      </c>
      <c r="F4284" s="1" t="s">
        <v>15123</v>
      </c>
      <c r="G4284" s="1" t="s">
        <v>15124</v>
      </c>
      <c r="H4284" s="1" t="s">
        <v>1762</v>
      </c>
      <c r="I4284" t="b">
        <f>COUNTIF(Estadísticas!I:I,'centraldecomunicacion.es'!H4284)&gt;0</f>
        <v>0</v>
      </c>
    </row>
    <row r="4285" spans="1:9" hidden="1">
      <c r="A4285" s="1" t="s">
        <v>15125</v>
      </c>
      <c r="B4285" s="1" t="s">
        <v>10</v>
      </c>
      <c r="C4285" s="1" t="s">
        <v>30</v>
      </c>
      <c r="D4285" s="1" t="s">
        <v>14810</v>
      </c>
      <c r="E4285" s="1" t="s">
        <v>30</v>
      </c>
      <c r="F4285" s="1" t="s">
        <v>30</v>
      </c>
      <c r="G4285" s="1" t="s">
        <v>15126</v>
      </c>
      <c r="H4285" s="1" t="s">
        <v>1762</v>
      </c>
      <c r="I4285" t="b">
        <f>COUNTIF(Estadísticas!I:I,'centraldecomunicacion.es'!H4285)&gt;0</f>
        <v>0</v>
      </c>
    </row>
    <row r="4286" spans="1:9" hidden="1">
      <c r="A4286" s="1" t="s">
        <v>15127</v>
      </c>
      <c r="B4286" s="1" t="s">
        <v>10</v>
      </c>
      <c r="C4286" s="1" t="s">
        <v>15128</v>
      </c>
      <c r="D4286" s="1" t="s">
        <v>926</v>
      </c>
      <c r="E4286" s="1" t="s">
        <v>926</v>
      </c>
      <c r="F4286" s="1" t="s">
        <v>30</v>
      </c>
      <c r="G4286" s="1" t="s">
        <v>15129</v>
      </c>
      <c r="H4286" s="1" t="s">
        <v>1762</v>
      </c>
      <c r="I4286" t="b">
        <f>COUNTIF(Estadísticas!I:I,'centraldecomunicacion.es'!H4286)&gt;0</f>
        <v>0</v>
      </c>
    </row>
    <row r="4287" spans="1:9" hidden="1">
      <c r="A4287" s="1" t="s">
        <v>15130</v>
      </c>
      <c r="B4287" s="1" t="s">
        <v>10</v>
      </c>
      <c r="C4287" s="1" t="s">
        <v>30</v>
      </c>
      <c r="D4287" s="1" t="s">
        <v>14810</v>
      </c>
      <c r="E4287" s="1" t="s">
        <v>30</v>
      </c>
      <c r="F4287" s="1" t="s">
        <v>30</v>
      </c>
      <c r="G4287" s="1" t="s">
        <v>15131</v>
      </c>
      <c r="H4287" s="1" t="s">
        <v>1762</v>
      </c>
      <c r="I4287" t="b">
        <f>COUNTIF(Estadísticas!I:I,'centraldecomunicacion.es'!H4287)&gt;0</f>
        <v>0</v>
      </c>
    </row>
    <row r="4288" spans="1:9" hidden="1">
      <c r="A4288" s="1" t="s">
        <v>15132</v>
      </c>
      <c r="B4288" s="1" t="s">
        <v>18</v>
      </c>
      <c r="C4288" s="1" t="s">
        <v>15133</v>
      </c>
      <c r="D4288" s="1" t="s">
        <v>926</v>
      </c>
      <c r="E4288" s="1" t="s">
        <v>926</v>
      </c>
      <c r="F4288" s="1" t="s">
        <v>15134</v>
      </c>
      <c r="G4288" s="1" t="s">
        <v>15135</v>
      </c>
      <c r="H4288" s="1" t="s">
        <v>1762</v>
      </c>
      <c r="I4288" t="b">
        <f>COUNTIF(Estadísticas!I:I,'centraldecomunicacion.es'!H4288)&gt;0</f>
        <v>0</v>
      </c>
    </row>
    <row r="4289" spans="1:9">
      <c r="A4289" s="1" t="s">
        <v>1593</v>
      </c>
      <c r="B4289" s="1" t="s">
        <v>10</v>
      </c>
      <c r="C4289" s="1" t="s">
        <v>1594</v>
      </c>
      <c r="D4289" s="1" t="s">
        <v>926</v>
      </c>
      <c r="E4289" s="1" t="s">
        <v>926</v>
      </c>
      <c r="F4289" s="1" t="s">
        <v>1595</v>
      </c>
      <c r="G4289" s="1" t="s">
        <v>1596</v>
      </c>
      <c r="H4289" s="1" t="s">
        <v>1597</v>
      </c>
      <c r="I4289" t="b">
        <f>COUNTIF(Estadísticas!I:I,'centraldecomunicacion.es'!H4289)&gt;0</f>
        <v>1</v>
      </c>
    </row>
    <row r="4290" spans="1:9" hidden="1">
      <c r="A4290" s="1" t="s">
        <v>15136</v>
      </c>
      <c r="B4290" s="1" t="s">
        <v>18</v>
      </c>
      <c r="C4290" s="1" t="s">
        <v>15137</v>
      </c>
      <c r="D4290" s="1" t="s">
        <v>926</v>
      </c>
      <c r="E4290" s="1" t="s">
        <v>926</v>
      </c>
      <c r="F4290" s="1" t="s">
        <v>30</v>
      </c>
      <c r="G4290" s="1" t="s">
        <v>15138</v>
      </c>
      <c r="H4290" s="1" t="s">
        <v>1762</v>
      </c>
      <c r="I4290" t="b">
        <f>COUNTIF(Estadísticas!I:I,'centraldecomunicacion.es'!H4290)&gt;0</f>
        <v>0</v>
      </c>
    </row>
    <row r="4291" spans="1:9" hidden="1">
      <c r="A4291" s="1" t="s">
        <v>15139</v>
      </c>
      <c r="B4291" s="1" t="s">
        <v>10</v>
      </c>
      <c r="C4291" s="1" t="s">
        <v>15140</v>
      </c>
      <c r="D4291" s="1" t="s">
        <v>926</v>
      </c>
      <c r="E4291" s="1" t="s">
        <v>926</v>
      </c>
      <c r="F4291" s="1" t="s">
        <v>30</v>
      </c>
      <c r="G4291" s="1" t="s">
        <v>15141</v>
      </c>
      <c r="H4291" s="1" t="s">
        <v>1762</v>
      </c>
      <c r="I4291" t="b">
        <f>COUNTIF(Estadísticas!I:I,'centraldecomunicacion.es'!H4291)&gt;0</f>
        <v>0</v>
      </c>
    </row>
    <row r="4292" spans="1:9" hidden="1">
      <c r="A4292" s="1" t="s">
        <v>15142</v>
      </c>
      <c r="B4292" s="1" t="s">
        <v>10</v>
      </c>
      <c r="C4292" s="1" t="s">
        <v>30</v>
      </c>
      <c r="D4292" s="1" t="s">
        <v>14810</v>
      </c>
      <c r="E4292" s="1" t="s">
        <v>30</v>
      </c>
      <c r="F4292" s="1" t="s">
        <v>30</v>
      </c>
      <c r="G4292" s="1" t="s">
        <v>15143</v>
      </c>
      <c r="H4292" s="1" t="s">
        <v>1762</v>
      </c>
      <c r="I4292" t="b">
        <f>COUNTIF(Estadísticas!I:I,'centraldecomunicacion.es'!H4292)&gt;0</f>
        <v>0</v>
      </c>
    </row>
    <row r="4293" spans="1:9" hidden="1">
      <c r="A4293" s="1" t="s">
        <v>15144</v>
      </c>
      <c r="B4293" s="1" t="s">
        <v>10</v>
      </c>
      <c r="C4293" s="1" t="s">
        <v>15145</v>
      </c>
      <c r="D4293" s="1" t="s">
        <v>926</v>
      </c>
      <c r="E4293" s="1" t="s">
        <v>926</v>
      </c>
      <c r="F4293" s="1" t="s">
        <v>15146</v>
      </c>
      <c r="G4293" s="1" t="s">
        <v>15147</v>
      </c>
      <c r="H4293" s="1" t="s">
        <v>15148</v>
      </c>
      <c r="I4293" t="b">
        <f>COUNTIF(Estadísticas!I:I,'centraldecomunicacion.es'!H4293)&gt;0</f>
        <v>0</v>
      </c>
    </row>
    <row r="4294" spans="1:9" hidden="1">
      <c r="A4294" s="1" t="s">
        <v>15149</v>
      </c>
      <c r="B4294" s="1" t="s">
        <v>18</v>
      </c>
      <c r="C4294" s="1" t="s">
        <v>15150</v>
      </c>
      <c r="D4294" s="1" t="s">
        <v>926</v>
      </c>
      <c r="E4294" s="1" t="s">
        <v>926</v>
      </c>
      <c r="F4294" s="1" t="s">
        <v>30</v>
      </c>
      <c r="G4294" s="1" t="s">
        <v>15151</v>
      </c>
      <c r="H4294" s="1" t="s">
        <v>1762</v>
      </c>
      <c r="I4294" t="b">
        <f>COUNTIF(Estadísticas!I:I,'centraldecomunicacion.es'!H4294)&gt;0</f>
        <v>0</v>
      </c>
    </row>
    <row r="4295" spans="1:9" hidden="1">
      <c r="A4295" s="1" t="s">
        <v>15152</v>
      </c>
      <c r="B4295" s="1" t="s">
        <v>10</v>
      </c>
      <c r="C4295" s="1" t="s">
        <v>30</v>
      </c>
      <c r="D4295" s="1" t="s">
        <v>14810</v>
      </c>
      <c r="E4295" s="1" t="s">
        <v>30</v>
      </c>
      <c r="F4295" s="1" t="s">
        <v>15153</v>
      </c>
      <c r="G4295" s="1" t="s">
        <v>15154</v>
      </c>
      <c r="H4295" s="1" t="s">
        <v>1762</v>
      </c>
      <c r="I4295" t="b">
        <f>COUNTIF(Estadísticas!I:I,'centraldecomunicacion.es'!H4295)&gt;0</f>
        <v>0</v>
      </c>
    </row>
    <row r="4296" spans="1:9" hidden="1">
      <c r="A4296" s="1" t="s">
        <v>15155</v>
      </c>
      <c r="B4296" s="1" t="s">
        <v>10</v>
      </c>
      <c r="C4296" s="1" t="s">
        <v>15156</v>
      </c>
      <c r="D4296" s="1" t="s">
        <v>926</v>
      </c>
      <c r="E4296" s="1" t="s">
        <v>926</v>
      </c>
      <c r="F4296" s="1" t="s">
        <v>15157</v>
      </c>
      <c r="G4296" s="1" t="s">
        <v>15158</v>
      </c>
      <c r="H4296" s="1" t="s">
        <v>1762</v>
      </c>
      <c r="I4296" t="b">
        <f>COUNTIF(Estadísticas!I:I,'centraldecomunicacion.es'!H4296)&gt;0</f>
        <v>0</v>
      </c>
    </row>
    <row r="4297" spans="1:9" hidden="1">
      <c r="A4297" s="1" t="s">
        <v>15159</v>
      </c>
      <c r="B4297" s="1" t="s">
        <v>10</v>
      </c>
      <c r="C4297" s="1" t="s">
        <v>15160</v>
      </c>
      <c r="D4297" s="1" t="s">
        <v>926</v>
      </c>
      <c r="E4297" s="1" t="s">
        <v>926</v>
      </c>
      <c r="F4297" s="1" t="s">
        <v>15161</v>
      </c>
      <c r="G4297" s="1" t="s">
        <v>15162</v>
      </c>
      <c r="H4297" s="1" t="s">
        <v>15163</v>
      </c>
      <c r="I4297" t="b">
        <f>COUNTIF(Estadísticas!I:I,'centraldecomunicacion.es'!H4297)&gt;0</f>
        <v>0</v>
      </c>
    </row>
    <row r="4298" spans="1:9" hidden="1">
      <c r="A4298" s="1" t="s">
        <v>15164</v>
      </c>
      <c r="B4298" s="1" t="s">
        <v>18</v>
      </c>
      <c r="C4298" s="1" t="s">
        <v>15165</v>
      </c>
      <c r="D4298" s="1" t="s">
        <v>926</v>
      </c>
      <c r="E4298" s="1" t="s">
        <v>926</v>
      </c>
      <c r="F4298" s="1" t="s">
        <v>15166</v>
      </c>
      <c r="G4298" s="1" t="s">
        <v>7764</v>
      </c>
      <c r="H4298" s="1" t="s">
        <v>1762</v>
      </c>
      <c r="I4298" t="b">
        <f>COUNTIF(Estadísticas!I:I,'centraldecomunicacion.es'!H4298)&gt;0</f>
        <v>0</v>
      </c>
    </row>
    <row r="4299" spans="1:9" hidden="1">
      <c r="A4299" s="1" t="s">
        <v>15167</v>
      </c>
      <c r="B4299" s="1" t="s">
        <v>10</v>
      </c>
      <c r="C4299" s="1" t="s">
        <v>15168</v>
      </c>
      <c r="D4299" s="1" t="s">
        <v>926</v>
      </c>
      <c r="E4299" s="1" t="s">
        <v>926</v>
      </c>
      <c r="F4299" s="1" t="s">
        <v>15169</v>
      </c>
      <c r="G4299" s="1" t="s">
        <v>15170</v>
      </c>
      <c r="H4299" s="1" t="s">
        <v>1762</v>
      </c>
      <c r="I4299" t="b">
        <f>COUNTIF(Estadísticas!I:I,'centraldecomunicacion.es'!H4299)&gt;0</f>
        <v>0</v>
      </c>
    </row>
    <row r="4300" spans="1:9" hidden="1">
      <c r="A4300" s="1" t="s">
        <v>15171</v>
      </c>
      <c r="B4300" s="1" t="s">
        <v>10</v>
      </c>
      <c r="C4300" s="1" t="s">
        <v>15172</v>
      </c>
      <c r="D4300" s="1" t="s">
        <v>13525</v>
      </c>
      <c r="E4300" s="1" t="s">
        <v>926</v>
      </c>
      <c r="F4300" s="1" t="s">
        <v>15173</v>
      </c>
      <c r="G4300" s="1" t="s">
        <v>15174</v>
      </c>
      <c r="H4300" s="1" t="s">
        <v>15175</v>
      </c>
      <c r="I4300" t="b">
        <f>COUNTIF(Estadísticas!I:I,'centraldecomunicacion.es'!H4300)&gt;0</f>
        <v>0</v>
      </c>
    </row>
    <row r="4301" spans="1:9" hidden="1">
      <c r="A4301" s="1" t="s">
        <v>15176</v>
      </c>
      <c r="B4301" s="1" t="s">
        <v>10</v>
      </c>
      <c r="C4301" s="1" t="s">
        <v>30</v>
      </c>
      <c r="D4301" s="1" t="s">
        <v>14810</v>
      </c>
      <c r="E4301" s="1" t="s">
        <v>30</v>
      </c>
      <c r="F4301" s="1" t="s">
        <v>30</v>
      </c>
      <c r="G4301" s="1" t="s">
        <v>15177</v>
      </c>
      <c r="H4301" s="1" t="s">
        <v>1762</v>
      </c>
      <c r="I4301" t="b">
        <f>COUNTIF(Estadísticas!I:I,'centraldecomunicacion.es'!H4301)&gt;0</f>
        <v>0</v>
      </c>
    </row>
    <row r="4302" spans="1:9" hidden="1">
      <c r="A4302" s="1" t="s">
        <v>15178</v>
      </c>
      <c r="B4302" s="1" t="s">
        <v>18</v>
      </c>
      <c r="C4302" s="1" t="s">
        <v>15179</v>
      </c>
      <c r="D4302" s="1" t="s">
        <v>926</v>
      </c>
      <c r="E4302" s="1" t="s">
        <v>926</v>
      </c>
      <c r="F4302" s="1" t="s">
        <v>30</v>
      </c>
      <c r="G4302" s="1" t="s">
        <v>15180</v>
      </c>
      <c r="H4302" s="1" t="s">
        <v>1762</v>
      </c>
      <c r="I4302" t="b">
        <f>COUNTIF(Estadísticas!I:I,'centraldecomunicacion.es'!H4302)&gt;0</f>
        <v>0</v>
      </c>
    </row>
    <row r="4303" spans="1:9" hidden="1">
      <c r="A4303" s="1" t="s">
        <v>15181</v>
      </c>
      <c r="B4303" s="1" t="s">
        <v>18</v>
      </c>
      <c r="C4303" s="1" t="s">
        <v>15182</v>
      </c>
      <c r="D4303" s="1" t="s">
        <v>8530</v>
      </c>
      <c r="E4303" s="1" t="s">
        <v>926</v>
      </c>
      <c r="F4303" s="1" t="s">
        <v>15183</v>
      </c>
      <c r="G4303" s="1" t="s">
        <v>15184</v>
      </c>
      <c r="H4303" s="1" t="s">
        <v>15185</v>
      </c>
      <c r="I4303" t="b">
        <f>COUNTIF(Estadísticas!I:I,'centraldecomunicacion.es'!H4303)&gt;0</f>
        <v>0</v>
      </c>
    </row>
    <row r="4304" spans="1:9" hidden="1">
      <c r="A4304" s="1" t="s">
        <v>15186</v>
      </c>
      <c r="B4304" s="1" t="s">
        <v>18</v>
      </c>
      <c r="C4304" s="1" t="s">
        <v>15187</v>
      </c>
      <c r="D4304" s="1" t="s">
        <v>15188</v>
      </c>
      <c r="E4304" s="1" t="s">
        <v>926</v>
      </c>
      <c r="F4304" s="1" t="s">
        <v>15189</v>
      </c>
      <c r="G4304" s="1" t="s">
        <v>15190</v>
      </c>
      <c r="H4304" s="1" t="s">
        <v>15191</v>
      </c>
      <c r="I4304" t="b">
        <f>COUNTIF(Estadísticas!I:I,'centraldecomunicacion.es'!H4304)&gt;0</f>
        <v>0</v>
      </c>
    </row>
    <row r="4305" spans="1:9" hidden="1">
      <c r="A4305" s="1" t="s">
        <v>15192</v>
      </c>
      <c r="B4305" s="1" t="s">
        <v>10</v>
      </c>
      <c r="C4305" s="1" t="s">
        <v>15193</v>
      </c>
      <c r="D4305" s="1" t="s">
        <v>13525</v>
      </c>
      <c r="E4305" s="1" t="s">
        <v>926</v>
      </c>
      <c r="F4305" s="1" t="s">
        <v>15194</v>
      </c>
      <c r="G4305" s="1" t="s">
        <v>15195</v>
      </c>
      <c r="H4305" s="1" t="s">
        <v>1762</v>
      </c>
      <c r="I4305" t="b">
        <f>COUNTIF(Estadísticas!I:I,'centraldecomunicacion.es'!H4305)&gt;0</f>
        <v>0</v>
      </c>
    </row>
    <row r="4306" spans="1:9" hidden="1">
      <c r="A4306" s="1" t="s">
        <v>15196</v>
      </c>
      <c r="B4306" s="1" t="s">
        <v>10</v>
      </c>
      <c r="C4306" s="1" t="s">
        <v>15197</v>
      </c>
      <c r="D4306" s="1" t="s">
        <v>15198</v>
      </c>
      <c r="E4306" s="1" t="s">
        <v>926</v>
      </c>
      <c r="F4306" s="1" t="s">
        <v>1984</v>
      </c>
      <c r="G4306" s="1" t="s">
        <v>15199</v>
      </c>
      <c r="H4306" s="1" t="s">
        <v>1762</v>
      </c>
      <c r="I4306" t="b">
        <f>COUNTIF(Estadísticas!I:I,'centraldecomunicacion.es'!H4306)&gt;0</f>
        <v>0</v>
      </c>
    </row>
    <row r="4307" spans="1:9" hidden="1">
      <c r="A4307" s="1" t="s">
        <v>15200</v>
      </c>
      <c r="B4307" s="1" t="s">
        <v>10</v>
      </c>
      <c r="C4307" s="1" t="s">
        <v>15201</v>
      </c>
      <c r="D4307" s="1" t="s">
        <v>926</v>
      </c>
      <c r="E4307" s="1" t="s">
        <v>926</v>
      </c>
      <c r="F4307" s="1" t="s">
        <v>30</v>
      </c>
      <c r="G4307" s="1" t="s">
        <v>30</v>
      </c>
      <c r="H4307" s="1" t="s">
        <v>1762</v>
      </c>
      <c r="I4307" t="b">
        <f>COUNTIF(Estadísticas!I:I,'centraldecomunicacion.es'!H4307)&gt;0</f>
        <v>0</v>
      </c>
    </row>
    <row r="4308" spans="1:9" hidden="1">
      <c r="A4308" s="1" t="s">
        <v>15202</v>
      </c>
      <c r="B4308" s="1" t="s">
        <v>18</v>
      </c>
      <c r="C4308" s="1" t="s">
        <v>15203</v>
      </c>
      <c r="D4308" s="1" t="s">
        <v>926</v>
      </c>
      <c r="E4308" s="1" t="s">
        <v>926</v>
      </c>
      <c r="F4308" s="1" t="s">
        <v>15204</v>
      </c>
      <c r="G4308" s="1" t="s">
        <v>15205</v>
      </c>
      <c r="H4308" s="1" t="s">
        <v>15206</v>
      </c>
      <c r="I4308" t="b">
        <f>COUNTIF(Estadísticas!I:I,'centraldecomunicacion.es'!H4308)&gt;0</f>
        <v>0</v>
      </c>
    </row>
    <row r="4309" spans="1:9" hidden="1">
      <c r="A4309" s="1" t="s">
        <v>15207</v>
      </c>
      <c r="B4309" s="1" t="s">
        <v>10</v>
      </c>
      <c r="C4309" s="1" t="s">
        <v>15208</v>
      </c>
      <c r="D4309" s="1" t="s">
        <v>926</v>
      </c>
      <c r="E4309" s="1" t="s">
        <v>926</v>
      </c>
      <c r="F4309" s="1" t="s">
        <v>2851</v>
      </c>
      <c r="G4309" s="1" t="s">
        <v>15209</v>
      </c>
      <c r="H4309" s="1" t="s">
        <v>1762</v>
      </c>
      <c r="I4309" t="b">
        <f>COUNTIF(Estadísticas!I:I,'centraldecomunicacion.es'!H4309)&gt;0</f>
        <v>0</v>
      </c>
    </row>
    <row r="4310" spans="1:9" hidden="1">
      <c r="A4310" s="1" t="s">
        <v>15210</v>
      </c>
      <c r="B4310" s="1" t="s">
        <v>10</v>
      </c>
      <c r="C4310" s="1" t="s">
        <v>15211</v>
      </c>
      <c r="D4310" s="1" t="s">
        <v>15188</v>
      </c>
      <c r="E4310" s="1" t="s">
        <v>926</v>
      </c>
      <c r="F4310" s="1" t="s">
        <v>15212</v>
      </c>
      <c r="G4310" s="1" t="s">
        <v>15213</v>
      </c>
      <c r="H4310" s="1" t="s">
        <v>15214</v>
      </c>
      <c r="I4310" t="b">
        <f>COUNTIF(Estadísticas!I:I,'centraldecomunicacion.es'!H4310)&gt;0</f>
        <v>0</v>
      </c>
    </row>
    <row r="4311" spans="1:9" hidden="1">
      <c r="A4311" s="1" t="s">
        <v>15215</v>
      </c>
      <c r="B4311" s="1" t="s">
        <v>18</v>
      </c>
      <c r="C4311" s="1" t="s">
        <v>15216</v>
      </c>
      <c r="D4311" s="1" t="s">
        <v>15217</v>
      </c>
      <c r="E4311" s="1" t="s">
        <v>926</v>
      </c>
      <c r="F4311" s="1" t="s">
        <v>15218</v>
      </c>
      <c r="G4311" s="1" t="s">
        <v>30</v>
      </c>
      <c r="H4311" s="1" t="s">
        <v>1762</v>
      </c>
      <c r="I4311" t="b">
        <f>COUNTIF(Estadísticas!I:I,'centraldecomunicacion.es'!H4311)&gt;0</f>
        <v>0</v>
      </c>
    </row>
    <row r="4312" spans="1:9" hidden="1">
      <c r="A4312" s="1" t="s">
        <v>15219</v>
      </c>
      <c r="B4312" s="1" t="s">
        <v>10</v>
      </c>
      <c r="C4312" s="1" t="s">
        <v>15220</v>
      </c>
      <c r="D4312" s="1" t="s">
        <v>15221</v>
      </c>
      <c r="E4312" s="1" t="s">
        <v>926</v>
      </c>
      <c r="F4312" s="1" t="s">
        <v>15222</v>
      </c>
      <c r="G4312" s="1" t="s">
        <v>15223</v>
      </c>
      <c r="H4312" s="1" t="s">
        <v>15224</v>
      </c>
      <c r="I4312" t="b">
        <f>COUNTIF(Estadísticas!I:I,'centraldecomunicacion.es'!H4312)&gt;0</f>
        <v>0</v>
      </c>
    </row>
    <row r="4313" spans="1:9" hidden="1">
      <c r="A4313" s="1" t="s">
        <v>15225</v>
      </c>
      <c r="B4313" s="1" t="s">
        <v>10</v>
      </c>
      <c r="C4313" s="1" t="s">
        <v>15226</v>
      </c>
      <c r="D4313" s="1" t="s">
        <v>15227</v>
      </c>
      <c r="E4313" s="1" t="s">
        <v>926</v>
      </c>
      <c r="F4313" s="1" t="s">
        <v>15228</v>
      </c>
      <c r="G4313" s="1" t="s">
        <v>7764</v>
      </c>
      <c r="H4313" s="1" t="s">
        <v>1762</v>
      </c>
      <c r="I4313" t="b">
        <f>COUNTIF(Estadísticas!I:I,'centraldecomunicacion.es'!H4313)&gt;0</f>
        <v>0</v>
      </c>
    </row>
    <row r="4314" spans="1:9" hidden="1">
      <c r="A4314" s="1" t="s">
        <v>15229</v>
      </c>
      <c r="B4314" s="1" t="s">
        <v>10</v>
      </c>
      <c r="C4314" s="1" t="s">
        <v>15230</v>
      </c>
      <c r="D4314" s="1" t="s">
        <v>8530</v>
      </c>
      <c r="E4314" s="1" t="s">
        <v>926</v>
      </c>
      <c r="F4314" s="1" t="s">
        <v>15231</v>
      </c>
      <c r="G4314" s="1" t="s">
        <v>15232</v>
      </c>
      <c r="H4314" s="1" t="s">
        <v>1762</v>
      </c>
      <c r="I4314" t="b">
        <f>COUNTIF(Estadísticas!I:I,'centraldecomunicacion.es'!H4314)&gt;0</f>
        <v>0</v>
      </c>
    </row>
    <row r="4315" spans="1:9" hidden="1">
      <c r="A4315" s="1" t="s">
        <v>15233</v>
      </c>
      <c r="B4315" s="1" t="s">
        <v>10</v>
      </c>
      <c r="C4315" s="1" t="s">
        <v>15234</v>
      </c>
      <c r="D4315" s="1" t="s">
        <v>15227</v>
      </c>
      <c r="E4315" s="1" t="s">
        <v>926</v>
      </c>
      <c r="F4315" s="1" t="s">
        <v>30</v>
      </c>
      <c r="G4315" s="1" t="s">
        <v>15235</v>
      </c>
      <c r="H4315" s="1" t="s">
        <v>1762</v>
      </c>
      <c r="I4315" t="b">
        <f>COUNTIF(Estadísticas!I:I,'centraldecomunicacion.es'!H4315)&gt;0</f>
        <v>0</v>
      </c>
    </row>
    <row r="4316" spans="1:9" hidden="1">
      <c r="A4316" s="1" t="s">
        <v>15236</v>
      </c>
      <c r="B4316" s="1" t="s">
        <v>10</v>
      </c>
      <c r="C4316" s="1" t="s">
        <v>15237</v>
      </c>
      <c r="D4316" s="1" t="s">
        <v>15238</v>
      </c>
      <c r="E4316" s="1" t="s">
        <v>926</v>
      </c>
      <c r="F4316" s="1" t="s">
        <v>30</v>
      </c>
      <c r="G4316" s="1" t="s">
        <v>15239</v>
      </c>
      <c r="H4316" s="1" t="s">
        <v>1762</v>
      </c>
      <c r="I4316" t="b">
        <f>COUNTIF(Estadísticas!I:I,'centraldecomunicacion.es'!H4316)&gt;0</f>
        <v>0</v>
      </c>
    </row>
    <row r="4317" spans="1:9" hidden="1">
      <c r="A4317" s="1" t="s">
        <v>15240</v>
      </c>
      <c r="B4317" s="1" t="s">
        <v>10</v>
      </c>
      <c r="C4317" s="1" t="s">
        <v>15241</v>
      </c>
      <c r="D4317" s="1" t="s">
        <v>15242</v>
      </c>
      <c r="E4317" s="1" t="s">
        <v>926</v>
      </c>
      <c r="F4317" s="1" t="s">
        <v>30</v>
      </c>
      <c r="G4317" s="1" t="s">
        <v>15243</v>
      </c>
      <c r="H4317" s="1" t="s">
        <v>1762</v>
      </c>
      <c r="I4317" t="b">
        <f>COUNTIF(Estadísticas!I:I,'centraldecomunicacion.es'!H4317)&gt;0</f>
        <v>0</v>
      </c>
    </row>
    <row r="4318" spans="1:9" hidden="1">
      <c r="A4318" s="1" t="s">
        <v>15244</v>
      </c>
      <c r="B4318" s="1" t="s">
        <v>10</v>
      </c>
      <c r="C4318" s="1" t="s">
        <v>15245</v>
      </c>
      <c r="D4318" s="1" t="s">
        <v>15246</v>
      </c>
      <c r="E4318" s="1" t="s">
        <v>926</v>
      </c>
      <c r="F4318" s="1" t="s">
        <v>30</v>
      </c>
      <c r="G4318" s="1" t="s">
        <v>15247</v>
      </c>
      <c r="H4318" s="1" t="s">
        <v>1762</v>
      </c>
      <c r="I4318" t="b">
        <f>COUNTIF(Estadísticas!I:I,'centraldecomunicacion.es'!H4318)&gt;0</f>
        <v>0</v>
      </c>
    </row>
    <row r="4319" spans="1:9" hidden="1">
      <c r="A4319" s="1" t="s">
        <v>15248</v>
      </c>
      <c r="B4319" s="1" t="s">
        <v>3050</v>
      </c>
      <c r="C4319" s="1" t="s">
        <v>15249</v>
      </c>
      <c r="D4319" s="1" t="s">
        <v>15250</v>
      </c>
      <c r="E4319" s="1" t="s">
        <v>926</v>
      </c>
      <c r="F4319" s="1" t="s">
        <v>30</v>
      </c>
      <c r="G4319" s="1" t="s">
        <v>15251</v>
      </c>
      <c r="H4319" s="1" t="s">
        <v>1762</v>
      </c>
      <c r="I4319" t="b">
        <f>COUNTIF(Estadísticas!I:I,'centraldecomunicacion.es'!H4319)&gt;0</f>
        <v>0</v>
      </c>
    </row>
    <row r="4320" spans="1:9" hidden="1">
      <c r="A4320" s="1" t="s">
        <v>15252</v>
      </c>
      <c r="B4320" s="1" t="s">
        <v>10</v>
      </c>
      <c r="C4320" s="1" t="s">
        <v>15253</v>
      </c>
      <c r="D4320" s="1" t="s">
        <v>15254</v>
      </c>
      <c r="E4320" s="1" t="s">
        <v>926</v>
      </c>
      <c r="F4320" s="1" t="s">
        <v>15255</v>
      </c>
      <c r="G4320" s="1" t="s">
        <v>15256</v>
      </c>
      <c r="H4320" s="1" t="s">
        <v>15257</v>
      </c>
      <c r="I4320" t="b">
        <f>COUNTIF(Estadísticas!I:I,'centraldecomunicacion.es'!H4320)&gt;0</f>
        <v>0</v>
      </c>
    </row>
    <row r="4321" spans="1:9" hidden="1">
      <c r="A4321" s="1" t="s">
        <v>15258</v>
      </c>
      <c r="B4321" s="1" t="s">
        <v>10</v>
      </c>
      <c r="C4321" s="1" t="s">
        <v>15259</v>
      </c>
      <c r="D4321" s="1" t="s">
        <v>15260</v>
      </c>
      <c r="E4321" s="1" t="s">
        <v>926</v>
      </c>
      <c r="F4321" s="1" t="s">
        <v>30</v>
      </c>
      <c r="G4321" s="1" t="s">
        <v>15261</v>
      </c>
      <c r="H4321" s="1" t="s">
        <v>1762</v>
      </c>
      <c r="I4321" t="b">
        <f>COUNTIF(Estadísticas!I:I,'centraldecomunicacion.es'!H4321)&gt;0</f>
        <v>0</v>
      </c>
    </row>
    <row r="4322" spans="1:9">
      <c r="A4322" s="1" t="s">
        <v>1598</v>
      </c>
      <c r="B4322" s="1" t="s">
        <v>10</v>
      </c>
      <c r="C4322" s="1" t="s">
        <v>1599</v>
      </c>
      <c r="D4322" s="1" t="s">
        <v>1600</v>
      </c>
      <c r="E4322" s="1" t="s">
        <v>1600</v>
      </c>
      <c r="F4322" s="1" t="s">
        <v>1601</v>
      </c>
      <c r="G4322" s="1" t="s">
        <v>1602</v>
      </c>
      <c r="H4322" s="1" t="s">
        <v>1603</v>
      </c>
      <c r="I4322" t="b">
        <f>COUNTIF(Estadísticas!I:I,'centraldecomunicacion.es'!H4322)&gt;0</f>
        <v>1</v>
      </c>
    </row>
    <row r="4323" spans="1:9" hidden="1">
      <c r="A4323" s="1" t="s">
        <v>15262</v>
      </c>
      <c r="B4323" s="1" t="s">
        <v>10</v>
      </c>
      <c r="C4323" s="1" t="s">
        <v>15263</v>
      </c>
      <c r="D4323" s="1" t="s">
        <v>1600</v>
      </c>
      <c r="E4323" s="1" t="s">
        <v>1600</v>
      </c>
      <c r="F4323" s="1" t="s">
        <v>30</v>
      </c>
      <c r="G4323" s="1" t="s">
        <v>15264</v>
      </c>
      <c r="H4323" s="1" t="s">
        <v>1762</v>
      </c>
      <c r="I4323" t="b">
        <f>COUNTIF(Estadísticas!I:I,'centraldecomunicacion.es'!H4323)&gt;0</f>
        <v>0</v>
      </c>
    </row>
    <row r="4324" spans="1:9" hidden="1">
      <c r="A4324" s="1" t="s">
        <v>15265</v>
      </c>
      <c r="B4324" s="1" t="s">
        <v>18</v>
      </c>
      <c r="C4324" s="1" t="s">
        <v>15266</v>
      </c>
      <c r="D4324" s="1" t="s">
        <v>1600</v>
      </c>
      <c r="E4324" s="1" t="s">
        <v>1600</v>
      </c>
      <c r="F4324" s="1" t="s">
        <v>15267</v>
      </c>
      <c r="G4324" s="1" t="s">
        <v>15268</v>
      </c>
      <c r="H4324" s="1" t="s">
        <v>15269</v>
      </c>
      <c r="I4324" t="b">
        <f>COUNTIF(Estadísticas!I:I,'centraldecomunicacion.es'!H4324)&gt;0</f>
        <v>0</v>
      </c>
    </row>
    <row r="4325" spans="1:9" hidden="1">
      <c r="A4325" s="1" t="s">
        <v>15270</v>
      </c>
      <c r="B4325" s="1" t="s">
        <v>10</v>
      </c>
      <c r="C4325" s="1" t="s">
        <v>15271</v>
      </c>
      <c r="D4325" s="1" t="s">
        <v>1600</v>
      </c>
      <c r="E4325" s="1" t="s">
        <v>1600</v>
      </c>
      <c r="F4325" s="1" t="s">
        <v>30</v>
      </c>
      <c r="G4325" s="1" t="s">
        <v>15272</v>
      </c>
      <c r="H4325" s="1" t="s">
        <v>1762</v>
      </c>
      <c r="I4325" t="b">
        <f>COUNTIF(Estadísticas!I:I,'centraldecomunicacion.es'!H4325)&gt;0</f>
        <v>0</v>
      </c>
    </row>
    <row r="4326" spans="1:9" hidden="1">
      <c r="A4326" s="1" t="s">
        <v>15273</v>
      </c>
      <c r="B4326" s="1" t="s">
        <v>10</v>
      </c>
      <c r="C4326" s="1" t="s">
        <v>30</v>
      </c>
      <c r="D4326" s="1" t="s">
        <v>1600</v>
      </c>
      <c r="E4326" s="1" t="s">
        <v>30</v>
      </c>
      <c r="F4326" s="1" t="s">
        <v>30</v>
      </c>
      <c r="G4326" s="1" t="s">
        <v>15274</v>
      </c>
      <c r="H4326" s="1" t="s">
        <v>1762</v>
      </c>
      <c r="I4326" t="b">
        <f>COUNTIF(Estadísticas!I:I,'centraldecomunicacion.es'!H4326)&gt;0</f>
        <v>0</v>
      </c>
    </row>
    <row r="4327" spans="1:9" hidden="1">
      <c r="A4327" s="1" t="s">
        <v>15275</v>
      </c>
      <c r="B4327" s="1" t="s">
        <v>10</v>
      </c>
      <c r="C4327" s="1" t="s">
        <v>15276</v>
      </c>
      <c r="D4327" s="1" t="s">
        <v>1600</v>
      </c>
      <c r="E4327" s="1" t="s">
        <v>1600</v>
      </c>
      <c r="F4327" s="1" t="s">
        <v>30</v>
      </c>
      <c r="G4327" s="1" t="s">
        <v>30</v>
      </c>
      <c r="H4327" s="1" t="s">
        <v>1762</v>
      </c>
      <c r="I4327" t="b">
        <f>COUNTIF(Estadísticas!I:I,'centraldecomunicacion.es'!H4327)&gt;0</f>
        <v>0</v>
      </c>
    </row>
    <row r="4328" spans="1:9" hidden="1">
      <c r="A4328" s="1" t="s">
        <v>15277</v>
      </c>
      <c r="B4328" s="1" t="s">
        <v>18</v>
      </c>
      <c r="C4328" s="1" t="s">
        <v>15278</v>
      </c>
      <c r="D4328" s="1" t="s">
        <v>1600</v>
      </c>
      <c r="E4328" s="1" t="s">
        <v>1600</v>
      </c>
      <c r="F4328" s="1" t="s">
        <v>15279</v>
      </c>
      <c r="G4328" s="1" t="s">
        <v>15280</v>
      </c>
      <c r="H4328" s="1" t="s">
        <v>1762</v>
      </c>
      <c r="I4328" t="b">
        <f>COUNTIF(Estadísticas!I:I,'centraldecomunicacion.es'!H4328)&gt;0</f>
        <v>0</v>
      </c>
    </row>
    <row r="4329" spans="1:9" hidden="1">
      <c r="A4329" s="1" t="s">
        <v>15281</v>
      </c>
      <c r="B4329" s="1" t="s">
        <v>18</v>
      </c>
      <c r="C4329" s="1" t="s">
        <v>15282</v>
      </c>
      <c r="D4329" s="1" t="s">
        <v>1600</v>
      </c>
      <c r="E4329" s="1" t="s">
        <v>1600</v>
      </c>
      <c r="F4329" s="1" t="s">
        <v>15279</v>
      </c>
      <c r="G4329" s="1" t="s">
        <v>15283</v>
      </c>
      <c r="H4329" s="1" t="s">
        <v>1762</v>
      </c>
      <c r="I4329" t="b">
        <f>COUNTIF(Estadísticas!I:I,'centraldecomunicacion.es'!H4329)&gt;0</f>
        <v>0</v>
      </c>
    </row>
    <row r="4330" spans="1:9" hidden="1">
      <c r="A4330" s="1" t="s">
        <v>15284</v>
      </c>
      <c r="B4330" s="1" t="s">
        <v>18</v>
      </c>
      <c r="C4330" s="1" t="s">
        <v>15285</v>
      </c>
      <c r="D4330" s="1" t="s">
        <v>1600</v>
      </c>
      <c r="E4330" s="1" t="s">
        <v>1600</v>
      </c>
      <c r="F4330" s="1" t="s">
        <v>15267</v>
      </c>
      <c r="G4330" s="1" t="s">
        <v>15268</v>
      </c>
      <c r="H4330" s="1" t="s">
        <v>15269</v>
      </c>
      <c r="I4330" t="b">
        <f>COUNTIF(Estadísticas!I:I,'centraldecomunicacion.es'!H4330)&gt;0</f>
        <v>0</v>
      </c>
    </row>
    <row r="4331" spans="1:9" hidden="1">
      <c r="A4331" s="1" t="s">
        <v>15286</v>
      </c>
      <c r="B4331" s="1" t="s">
        <v>10</v>
      </c>
      <c r="C4331" s="1" t="s">
        <v>15287</v>
      </c>
      <c r="D4331" s="1" t="s">
        <v>1600</v>
      </c>
      <c r="E4331" s="1" t="s">
        <v>1600</v>
      </c>
      <c r="F4331" s="1" t="s">
        <v>30</v>
      </c>
      <c r="G4331" s="1" t="s">
        <v>30</v>
      </c>
      <c r="H4331" s="1" t="s">
        <v>1762</v>
      </c>
      <c r="I4331" t="b">
        <f>COUNTIF(Estadísticas!I:I,'centraldecomunicacion.es'!H4331)&gt;0</f>
        <v>0</v>
      </c>
    </row>
    <row r="4332" spans="1:9" hidden="1">
      <c r="A4332" s="1" t="s">
        <v>15288</v>
      </c>
      <c r="B4332" s="1" t="s">
        <v>10</v>
      </c>
      <c r="C4332" s="1" t="s">
        <v>15289</v>
      </c>
      <c r="D4332" s="1" t="s">
        <v>1600</v>
      </c>
      <c r="E4332" s="1" t="s">
        <v>15290</v>
      </c>
      <c r="F4332" s="1" t="s">
        <v>30</v>
      </c>
      <c r="G4332" s="1" t="s">
        <v>15291</v>
      </c>
      <c r="H4332" s="1" t="s">
        <v>1762</v>
      </c>
      <c r="I4332" t="b">
        <f>COUNTIF(Estadísticas!I:I,'centraldecomunicacion.es'!H4332)&gt;0</f>
        <v>0</v>
      </c>
    </row>
    <row r="4333" spans="1:9" hidden="1">
      <c r="A4333" s="1" t="s">
        <v>15292</v>
      </c>
      <c r="B4333" s="1" t="s">
        <v>18</v>
      </c>
      <c r="C4333" s="1" t="s">
        <v>15293</v>
      </c>
      <c r="D4333" s="1" t="s">
        <v>1600</v>
      </c>
      <c r="E4333" s="1" t="s">
        <v>1600</v>
      </c>
      <c r="F4333" s="1" t="s">
        <v>30</v>
      </c>
      <c r="G4333" s="1" t="s">
        <v>30</v>
      </c>
      <c r="H4333" s="1" t="s">
        <v>1762</v>
      </c>
      <c r="I4333" t="b">
        <f>COUNTIF(Estadísticas!I:I,'centraldecomunicacion.es'!H4333)&gt;0</f>
        <v>0</v>
      </c>
    </row>
    <row r="4334" spans="1:9" hidden="1">
      <c r="A4334" s="1" t="s">
        <v>15294</v>
      </c>
      <c r="B4334" s="1" t="s">
        <v>10</v>
      </c>
      <c r="C4334" s="1" t="s">
        <v>15295</v>
      </c>
      <c r="D4334" s="1" t="s">
        <v>2279</v>
      </c>
      <c r="E4334" s="1" t="s">
        <v>37</v>
      </c>
      <c r="F4334" s="1" t="s">
        <v>30</v>
      </c>
      <c r="G4334" s="1" t="s">
        <v>15296</v>
      </c>
      <c r="H4334" s="1" t="s">
        <v>1762</v>
      </c>
      <c r="I4334" t="b">
        <f>COUNTIF(Estadísticas!I:I,'centraldecomunicacion.es'!H4334)&gt;0</f>
        <v>0</v>
      </c>
    </row>
    <row r="4335" spans="1:9" hidden="1">
      <c r="A4335" s="1" t="s">
        <v>15297</v>
      </c>
      <c r="B4335" s="1" t="s">
        <v>10</v>
      </c>
      <c r="C4335" s="1" t="s">
        <v>15298</v>
      </c>
      <c r="D4335" s="1" t="s">
        <v>15188</v>
      </c>
      <c r="E4335" s="1" t="s">
        <v>926</v>
      </c>
      <c r="F4335" s="1" t="s">
        <v>1984</v>
      </c>
      <c r="G4335" s="1" t="s">
        <v>15299</v>
      </c>
      <c r="H4335" s="1" t="s">
        <v>1762</v>
      </c>
      <c r="I4335" t="b">
        <f>COUNTIF(Estadísticas!I:I,'centraldecomunicacion.es'!H4335)&gt;0</f>
        <v>0</v>
      </c>
    </row>
    <row r="4336" spans="1:9" hidden="1">
      <c r="A4336" s="1" t="s">
        <v>5454</v>
      </c>
      <c r="B4336" s="1" t="s">
        <v>10</v>
      </c>
      <c r="C4336" s="1" t="s">
        <v>15300</v>
      </c>
      <c r="D4336" s="1" t="s">
        <v>1606</v>
      </c>
      <c r="E4336" s="1" t="s">
        <v>1606</v>
      </c>
      <c r="F4336" s="1" t="s">
        <v>15301</v>
      </c>
      <c r="G4336" s="1" t="s">
        <v>15302</v>
      </c>
      <c r="H4336" s="1" t="s">
        <v>1762</v>
      </c>
      <c r="I4336" t="b">
        <f>COUNTIF(Estadísticas!I:I,'centraldecomunicacion.es'!H4336)&gt;0</f>
        <v>0</v>
      </c>
    </row>
    <row r="4337" spans="1:9" hidden="1">
      <c r="A4337" s="1" t="s">
        <v>15303</v>
      </c>
      <c r="B4337" s="1" t="s">
        <v>10</v>
      </c>
      <c r="C4337" s="1" t="s">
        <v>15304</v>
      </c>
      <c r="D4337" s="1" t="s">
        <v>1606</v>
      </c>
      <c r="E4337" s="1" t="s">
        <v>1606</v>
      </c>
      <c r="F4337" s="1" t="s">
        <v>1984</v>
      </c>
      <c r="G4337" s="1" t="s">
        <v>15305</v>
      </c>
      <c r="H4337" s="1" t="s">
        <v>1762</v>
      </c>
      <c r="I4337" t="b">
        <f>COUNTIF(Estadísticas!I:I,'centraldecomunicacion.es'!H4337)&gt;0</f>
        <v>0</v>
      </c>
    </row>
    <row r="4338" spans="1:9" hidden="1">
      <c r="A4338" s="1" t="s">
        <v>15306</v>
      </c>
      <c r="B4338" s="1" t="s">
        <v>10</v>
      </c>
      <c r="C4338" s="1" t="s">
        <v>15307</v>
      </c>
      <c r="D4338" s="1" t="s">
        <v>1606</v>
      </c>
      <c r="E4338" s="1" t="s">
        <v>1606</v>
      </c>
      <c r="F4338" s="1" t="s">
        <v>30</v>
      </c>
      <c r="G4338" s="1" t="s">
        <v>15305</v>
      </c>
      <c r="H4338" s="1" t="s">
        <v>1762</v>
      </c>
      <c r="I4338" t="b">
        <f>COUNTIF(Estadísticas!I:I,'centraldecomunicacion.es'!H4338)&gt;0</f>
        <v>0</v>
      </c>
    </row>
    <row r="4339" spans="1:9" hidden="1">
      <c r="A4339" s="1" t="s">
        <v>15308</v>
      </c>
      <c r="B4339" s="1" t="s">
        <v>10</v>
      </c>
      <c r="C4339" s="1" t="s">
        <v>15309</v>
      </c>
      <c r="D4339" s="1" t="s">
        <v>1606</v>
      </c>
      <c r="E4339" s="1" t="s">
        <v>1606</v>
      </c>
      <c r="F4339" s="1" t="s">
        <v>15310</v>
      </c>
      <c r="G4339" s="1" t="s">
        <v>15311</v>
      </c>
      <c r="H4339" s="1" t="s">
        <v>1762</v>
      </c>
      <c r="I4339" t="b">
        <f>COUNTIF(Estadísticas!I:I,'centraldecomunicacion.es'!H4339)&gt;0</f>
        <v>0</v>
      </c>
    </row>
    <row r="4340" spans="1:9" hidden="1">
      <c r="A4340" s="1" t="s">
        <v>15312</v>
      </c>
      <c r="B4340" s="1" t="s">
        <v>10</v>
      </c>
      <c r="C4340" s="1" t="s">
        <v>30</v>
      </c>
      <c r="D4340" s="1" t="s">
        <v>15313</v>
      </c>
      <c r="E4340" s="1" t="s">
        <v>30</v>
      </c>
      <c r="F4340" s="1" t="s">
        <v>15314</v>
      </c>
      <c r="G4340" s="1" t="s">
        <v>15315</v>
      </c>
      <c r="H4340" s="1" t="s">
        <v>1762</v>
      </c>
      <c r="I4340" t="b">
        <f>COUNTIF(Estadísticas!I:I,'centraldecomunicacion.es'!H4340)&gt;0</f>
        <v>0</v>
      </c>
    </row>
    <row r="4341" spans="1:9">
      <c r="A4341" s="1" t="s">
        <v>1604</v>
      </c>
      <c r="B4341" s="1" t="s">
        <v>10</v>
      </c>
      <c r="C4341" s="1" t="s">
        <v>1605</v>
      </c>
      <c r="D4341" s="1" t="s">
        <v>1606</v>
      </c>
      <c r="E4341" s="1" t="s">
        <v>1606</v>
      </c>
      <c r="F4341" s="1" t="s">
        <v>1607</v>
      </c>
      <c r="G4341" s="1" t="s">
        <v>1608</v>
      </c>
      <c r="H4341" s="1" t="s">
        <v>1609</v>
      </c>
      <c r="I4341" t="b">
        <f>COUNTIF(Estadísticas!I:I,'centraldecomunicacion.es'!H4341)&gt;0</f>
        <v>1</v>
      </c>
    </row>
    <row r="4342" spans="1:9">
      <c r="A4342" s="1" t="s">
        <v>1610</v>
      </c>
      <c r="B4342" s="1" t="s">
        <v>18</v>
      </c>
      <c r="C4342" s="1" t="s">
        <v>1611</v>
      </c>
      <c r="D4342" s="1" t="s">
        <v>1606</v>
      </c>
      <c r="E4342" s="1" t="s">
        <v>1606</v>
      </c>
      <c r="F4342" s="1" t="s">
        <v>1612</v>
      </c>
      <c r="G4342" s="1" t="s">
        <v>1613</v>
      </c>
      <c r="H4342" s="1" t="s">
        <v>1614</v>
      </c>
      <c r="I4342" t="b">
        <f>COUNTIF(Estadísticas!I:I,'centraldecomunicacion.es'!H4342)&gt;0</f>
        <v>1</v>
      </c>
    </row>
    <row r="4343" spans="1:9">
      <c r="A4343" s="1" t="s">
        <v>1615</v>
      </c>
      <c r="B4343" s="1" t="s">
        <v>10</v>
      </c>
      <c r="C4343" s="1" t="s">
        <v>1616</v>
      </c>
      <c r="D4343" s="1" t="s">
        <v>1606</v>
      </c>
      <c r="E4343" s="1" t="s">
        <v>1606</v>
      </c>
      <c r="F4343" s="1" t="s">
        <v>1617</v>
      </c>
      <c r="G4343" s="1" t="s">
        <v>1618</v>
      </c>
      <c r="H4343" s="1" t="s">
        <v>1619</v>
      </c>
      <c r="I4343" t="b">
        <f>COUNTIF(Estadísticas!I:I,'centraldecomunicacion.es'!H4343)&gt;0</f>
        <v>1</v>
      </c>
    </row>
    <row r="4344" spans="1:9" hidden="1">
      <c r="A4344" s="1" t="s">
        <v>15316</v>
      </c>
      <c r="B4344" s="1" t="s">
        <v>18</v>
      </c>
      <c r="C4344" s="1" t="s">
        <v>15317</v>
      </c>
      <c r="D4344" s="1" t="s">
        <v>1606</v>
      </c>
      <c r="E4344" s="1" t="s">
        <v>1606</v>
      </c>
      <c r="F4344" s="1" t="s">
        <v>15318</v>
      </c>
      <c r="G4344" s="1" t="s">
        <v>15319</v>
      </c>
      <c r="H4344" s="1" t="s">
        <v>15320</v>
      </c>
      <c r="I4344" t="b">
        <f>COUNTIF(Estadísticas!I:I,'centraldecomunicacion.es'!H4344)&gt;0</f>
        <v>0</v>
      </c>
    </row>
    <row r="4345" spans="1:9" hidden="1">
      <c r="A4345" s="1" t="s">
        <v>15321</v>
      </c>
      <c r="B4345" s="1" t="s">
        <v>18</v>
      </c>
      <c r="C4345" s="1" t="s">
        <v>15322</v>
      </c>
      <c r="D4345" s="1" t="s">
        <v>1606</v>
      </c>
      <c r="E4345" s="1" t="s">
        <v>1606</v>
      </c>
      <c r="F4345" s="1" t="s">
        <v>15323</v>
      </c>
      <c r="G4345" s="1" t="s">
        <v>15324</v>
      </c>
      <c r="H4345" s="1" t="s">
        <v>1762</v>
      </c>
      <c r="I4345" t="b">
        <f>COUNTIF(Estadísticas!I:I,'centraldecomunicacion.es'!H4345)&gt;0</f>
        <v>0</v>
      </c>
    </row>
    <row r="4346" spans="1:9" hidden="1">
      <c r="A4346" s="1" t="s">
        <v>15325</v>
      </c>
      <c r="B4346" s="1" t="s">
        <v>10</v>
      </c>
      <c r="C4346" s="1" t="s">
        <v>15326</v>
      </c>
      <c r="D4346" s="1" t="s">
        <v>1606</v>
      </c>
      <c r="E4346" s="1" t="s">
        <v>1606</v>
      </c>
      <c r="F4346" s="1" t="s">
        <v>15327</v>
      </c>
      <c r="G4346" s="1" t="s">
        <v>15328</v>
      </c>
      <c r="H4346" s="1" t="s">
        <v>1762</v>
      </c>
      <c r="I4346" t="b">
        <f>COUNTIF(Estadísticas!I:I,'centraldecomunicacion.es'!H4346)&gt;0</f>
        <v>0</v>
      </c>
    </row>
    <row r="4347" spans="1:9" hidden="1">
      <c r="A4347" s="1" t="s">
        <v>15329</v>
      </c>
      <c r="B4347" s="1" t="s">
        <v>18</v>
      </c>
      <c r="C4347" s="1" t="s">
        <v>15330</v>
      </c>
      <c r="D4347" s="1" t="s">
        <v>1606</v>
      </c>
      <c r="E4347" s="1" t="s">
        <v>1606</v>
      </c>
      <c r="F4347" s="1" t="s">
        <v>1984</v>
      </c>
      <c r="G4347" s="1" t="s">
        <v>15331</v>
      </c>
      <c r="H4347" s="1" t="s">
        <v>1762</v>
      </c>
      <c r="I4347" t="b">
        <f>COUNTIF(Estadísticas!I:I,'centraldecomunicacion.es'!H4347)&gt;0</f>
        <v>0</v>
      </c>
    </row>
    <row r="4348" spans="1:9">
      <c r="A4348" s="1" t="s">
        <v>1620</v>
      </c>
      <c r="B4348" s="1" t="s">
        <v>10</v>
      </c>
      <c r="C4348" s="1" t="s">
        <v>1621</v>
      </c>
      <c r="D4348" s="1" t="s">
        <v>1606</v>
      </c>
      <c r="E4348" s="1" t="s">
        <v>1606</v>
      </c>
      <c r="F4348" s="1" t="s">
        <v>1622</v>
      </c>
      <c r="G4348" s="1" t="s">
        <v>1623</v>
      </c>
      <c r="H4348" s="1" t="s">
        <v>1624</v>
      </c>
      <c r="I4348" t="b">
        <f>COUNTIF(Estadísticas!I:I,'centraldecomunicacion.es'!H4348)&gt;0</f>
        <v>1</v>
      </c>
    </row>
    <row r="4349" spans="1:9" hidden="1">
      <c r="A4349" s="1" t="s">
        <v>15332</v>
      </c>
      <c r="B4349" s="1" t="s">
        <v>10</v>
      </c>
      <c r="C4349" s="1" t="s">
        <v>15333</v>
      </c>
      <c r="D4349" s="1" t="s">
        <v>1606</v>
      </c>
      <c r="E4349" s="1" t="s">
        <v>1606</v>
      </c>
      <c r="F4349" s="1" t="s">
        <v>15327</v>
      </c>
      <c r="G4349" s="1" t="s">
        <v>15334</v>
      </c>
      <c r="H4349" s="1" t="s">
        <v>1762</v>
      </c>
      <c r="I4349" t="b">
        <f>COUNTIF(Estadísticas!I:I,'centraldecomunicacion.es'!H4349)&gt;0</f>
        <v>0</v>
      </c>
    </row>
    <row r="4350" spans="1:9" hidden="1">
      <c r="A4350" s="1" t="s">
        <v>15335</v>
      </c>
      <c r="B4350" s="1" t="s">
        <v>10</v>
      </c>
      <c r="C4350" s="1" t="s">
        <v>15336</v>
      </c>
      <c r="D4350" s="1" t="s">
        <v>1606</v>
      </c>
      <c r="E4350" s="1" t="s">
        <v>1606</v>
      </c>
      <c r="F4350" s="1" t="s">
        <v>15337</v>
      </c>
      <c r="G4350" s="1" t="s">
        <v>15338</v>
      </c>
      <c r="H4350" s="1" t="s">
        <v>1762</v>
      </c>
      <c r="I4350" t="b">
        <f>COUNTIF(Estadísticas!I:I,'centraldecomunicacion.es'!H4350)&gt;0</f>
        <v>0</v>
      </c>
    </row>
    <row r="4351" spans="1:9" hidden="1">
      <c r="A4351" s="1" t="s">
        <v>15339</v>
      </c>
      <c r="B4351" s="1" t="s">
        <v>18</v>
      </c>
      <c r="C4351" s="1" t="s">
        <v>15340</v>
      </c>
      <c r="D4351" s="1" t="s">
        <v>1606</v>
      </c>
      <c r="E4351" s="1" t="s">
        <v>1606</v>
      </c>
      <c r="F4351" s="1" t="s">
        <v>30</v>
      </c>
      <c r="G4351" s="1" t="s">
        <v>15341</v>
      </c>
      <c r="H4351" s="1" t="s">
        <v>1762</v>
      </c>
      <c r="I4351" t="b">
        <f>COUNTIF(Estadísticas!I:I,'centraldecomunicacion.es'!H4351)&gt;0</f>
        <v>0</v>
      </c>
    </row>
    <row r="4352" spans="1:9" hidden="1">
      <c r="A4352" s="1" t="s">
        <v>15342</v>
      </c>
      <c r="B4352" s="1" t="s">
        <v>10</v>
      </c>
      <c r="C4352" s="1" t="s">
        <v>15343</v>
      </c>
      <c r="D4352" s="1" t="s">
        <v>1606</v>
      </c>
      <c r="E4352" s="1" t="s">
        <v>1606</v>
      </c>
      <c r="F4352" s="1" t="s">
        <v>30</v>
      </c>
      <c r="G4352" s="1" t="s">
        <v>15344</v>
      </c>
      <c r="H4352" s="1" t="s">
        <v>1762</v>
      </c>
      <c r="I4352" t="b">
        <f>COUNTIF(Estadísticas!I:I,'centraldecomunicacion.es'!H4352)&gt;0</f>
        <v>0</v>
      </c>
    </row>
    <row r="4353" spans="1:9" hidden="1">
      <c r="A4353" s="1" t="s">
        <v>15345</v>
      </c>
      <c r="B4353" s="1" t="s">
        <v>10</v>
      </c>
      <c r="C4353" s="1" t="s">
        <v>15346</v>
      </c>
      <c r="D4353" s="1" t="s">
        <v>1606</v>
      </c>
      <c r="E4353" s="1" t="s">
        <v>1606</v>
      </c>
      <c r="F4353" s="1" t="s">
        <v>15327</v>
      </c>
      <c r="G4353" s="1" t="s">
        <v>15334</v>
      </c>
      <c r="H4353" s="1" t="s">
        <v>1762</v>
      </c>
      <c r="I4353" t="b">
        <f>COUNTIF(Estadísticas!I:I,'centraldecomunicacion.es'!H4353)&gt;0</f>
        <v>0</v>
      </c>
    </row>
    <row r="4354" spans="1:9" hidden="1">
      <c r="A4354" s="1" t="s">
        <v>15347</v>
      </c>
      <c r="B4354" s="1" t="s">
        <v>10</v>
      </c>
      <c r="C4354" s="1" t="s">
        <v>15348</v>
      </c>
      <c r="D4354" s="1" t="s">
        <v>1606</v>
      </c>
      <c r="E4354" s="1" t="s">
        <v>1606</v>
      </c>
      <c r="F4354" s="1" t="s">
        <v>15349</v>
      </c>
      <c r="G4354" s="1" t="s">
        <v>15350</v>
      </c>
      <c r="H4354" s="1" t="s">
        <v>15351</v>
      </c>
      <c r="I4354" t="b">
        <f>COUNTIF(Estadísticas!I:I,'centraldecomunicacion.es'!H4354)&gt;0</f>
        <v>0</v>
      </c>
    </row>
    <row r="4355" spans="1:9">
      <c r="A4355" s="1" t="s">
        <v>15352</v>
      </c>
      <c r="B4355" s="1" t="s">
        <v>10</v>
      </c>
      <c r="C4355" s="1" t="s">
        <v>1605</v>
      </c>
      <c r="D4355" s="1" t="s">
        <v>1606</v>
      </c>
      <c r="E4355" s="1" t="s">
        <v>1606</v>
      </c>
      <c r="F4355" s="1" t="s">
        <v>1607</v>
      </c>
      <c r="G4355" s="1" t="s">
        <v>1608</v>
      </c>
      <c r="H4355" s="1" t="s">
        <v>1609</v>
      </c>
      <c r="I4355" t="b">
        <f>COUNTIF(Estadísticas!I:I,'centraldecomunicacion.es'!H4355)&gt;0</f>
        <v>1</v>
      </c>
    </row>
    <row r="4356" spans="1:9" hidden="1">
      <c r="A4356" s="1" t="s">
        <v>15353</v>
      </c>
      <c r="B4356" s="1" t="s">
        <v>18</v>
      </c>
      <c r="C4356" s="1" t="s">
        <v>15354</v>
      </c>
      <c r="D4356" s="1" t="s">
        <v>1606</v>
      </c>
      <c r="E4356" s="1" t="s">
        <v>1606</v>
      </c>
      <c r="F4356" s="1" t="s">
        <v>7158</v>
      </c>
      <c r="G4356" s="1" t="s">
        <v>15355</v>
      </c>
      <c r="H4356" s="1" t="s">
        <v>7160</v>
      </c>
      <c r="I4356" t="b">
        <f>COUNTIF(Estadísticas!I:I,'centraldecomunicacion.es'!H4356)&gt;0</f>
        <v>0</v>
      </c>
    </row>
    <row r="4357" spans="1:9" hidden="1">
      <c r="A4357" s="1" t="s">
        <v>15356</v>
      </c>
      <c r="B4357" s="1" t="s">
        <v>10</v>
      </c>
      <c r="C4357" s="1" t="s">
        <v>15357</v>
      </c>
      <c r="D4357" s="1" t="s">
        <v>1606</v>
      </c>
      <c r="E4357" s="1" t="s">
        <v>1606</v>
      </c>
      <c r="F4357" s="1" t="s">
        <v>15358</v>
      </c>
      <c r="G4357" s="1" t="s">
        <v>15359</v>
      </c>
      <c r="H4357" s="1" t="s">
        <v>1762</v>
      </c>
      <c r="I4357" t="b">
        <f>COUNTIF(Estadísticas!I:I,'centraldecomunicacion.es'!H4357)&gt;0</f>
        <v>0</v>
      </c>
    </row>
    <row r="4358" spans="1:9" hidden="1">
      <c r="A4358" s="1" t="s">
        <v>15360</v>
      </c>
      <c r="B4358" s="1" t="s">
        <v>18</v>
      </c>
      <c r="C4358" s="1" t="s">
        <v>15361</v>
      </c>
      <c r="D4358" s="1" t="s">
        <v>1606</v>
      </c>
      <c r="E4358" s="1" t="s">
        <v>1606</v>
      </c>
      <c r="F4358" s="1" t="s">
        <v>15362</v>
      </c>
      <c r="G4358" s="1" t="s">
        <v>15363</v>
      </c>
      <c r="H4358" s="1" t="s">
        <v>1783</v>
      </c>
      <c r="I4358" t="b">
        <f>COUNTIF(Estadísticas!I:I,'centraldecomunicacion.es'!H4358)&gt;0</f>
        <v>0</v>
      </c>
    </row>
    <row r="4359" spans="1:9">
      <c r="A4359" s="1" t="s">
        <v>15364</v>
      </c>
      <c r="B4359" s="1" t="s">
        <v>10</v>
      </c>
      <c r="C4359" s="1" t="s">
        <v>30</v>
      </c>
      <c r="D4359" s="1" t="s">
        <v>15313</v>
      </c>
      <c r="E4359" s="1" t="s">
        <v>30</v>
      </c>
      <c r="F4359" s="1" t="s">
        <v>1617</v>
      </c>
      <c r="G4359" s="1" t="s">
        <v>1618</v>
      </c>
      <c r="H4359" s="1" t="s">
        <v>1619</v>
      </c>
      <c r="I4359" t="b">
        <f>COUNTIF(Estadísticas!I:I,'centraldecomunicacion.es'!H4359)&gt;0</f>
        <v>1</v>
      </c>
    </row>
    <row r="4360" spans="1:9" hidden="1">
      <c r="A4360" s="1" t="s">
        <v>15365</v>
      </c>
      <c r="B4360" s="1" t="s">
        <v>10</v>
      </c>
      <c r="C4360" s="1" t="s">
        <v>15366</v>
      </c>
      <c r="D4360" s="1" t="s">
        <v>1606</v>
      </c>
      <c r="E4360" s="1" t="s">
        <v>1606</v>
      </c>
      <c r="F4360" s="1" t="s">
        <v>1984</v>
      </c>
      <c r="G4360" s="1" t="s">
        <v>15359</v>
      </c>
      <c r="H4360" s="1" t="s">
        <v>1762</v>
      </c>
      <c r="I4360" t="b">
        <f>COUNTIF(Estadísticas!I:I,'centraldecomunicacion.es'!H4360)&gt;0</f>
        <v>0</v>
      </c>
    </row>
    <row r="4361" spans="1:9" hidden="1">
      <c r="A4361" s="1" t="s">
        <v>15367</v>
      </c>
      <c r="B4361" s="1" t="s">
        <v>10</v>
      </c>
      <c r="C4361" s="1" t="s">
        <v>15368</v>
      </c>
      <c r="D4361" s="1" t="s">
        <v>15369</v>
      </c>
      <c r="E4361" s="1" t="s">
        <v>1606</v>
      </c>
      <c r="F4361" s="1" t="s">
        <v>30</v>
      </c>
      <c r="G4361" s="1" t="s">
        <v>30</v>
      </c>
      <c r="H4361" s="1" t="s">
        <v>1762</v>
      </c>
      <c r="I4361" t="b">
        <f>COUNTIF(Estadísticas!I:I,'centraldecomunicacion.es'!H4361)&gt;0</f>
        <v>0</v>
      </c>
    </row>
    <row r="4362" spans="1:9" hidden="1">
      <c r="A4362" s="1" t="s">
        <v>15370</v>
      </c>
      <c r="B4362" s="1" t="s">
        <v>10</v>
      </c>
      <c r="C4362" s="1" t="s">
        <v>15371</v>
      </c>
      <c r="D4362" s="1" t="s">
        <v>15313</v>
      </c>
      <c r="E4362" s="1" t="s">
        <v>1606</v>
      </c>
      <c r="F4362" s="1" t="s">
        <v>30</v>
      </c>
      <c r="G4362" s="1" t="s">
        <v>15372</v>
      </c>
      <c r="H4362" s="1" t="s">
        <v>1762</v>
      </c>
      <c r="I4362" t="b">
        <f>COUNTIF(Estadísticas!I:I,'centraldecomunicacion.es'!H4362)&gt;0</f>
        <v>0</v>
      </c>
    </row>
    <row r="4363" spans="1:9" hidden="1">
      <c r="A4363" s="1" t="s">
        <v>15373</v>
      </c>
      <c r="B4363" s="1" t="s">
        <v>10</v>
      </c>
      <c r="C4363" s="1" t="s">
        <v>15374</v>
      </c>
      <c r="D4363" s="1" t="s">
        <v>1606</v>
      </c>
      <c r="E4363" s="1" t="s">
        <v>1606</v>
      </c>
      <c r="F4363" s="1" t="s">
        <v>30</v>
      </c>
      <c r="G4363" s="1" t="s">
        <v>15375</v>
      </c>
      <c r="H4363" s="1" t="s">
        <v>1762</v>
      </c>
      <c r="I4363" t="b">
        <f>COUNTIF(Estadísticas!I:I,'centraldecomunicacion.es'!H4363)&gt;0</f>
        <v>0</v>
      </c>
    </row>
    <row r="4364" spans="1:9" hidden="1">
      <c r="A4364" s="1" t="s">
        <v>15376</v>
      </c>
      <c r="B4364" s="1" t="s">
        <v>10</v>
      </c>
      <c r="C4364" s="1" t="s">
        <v>15377</v>
      </c>
      <c r="D4364" s="1" t="s">
        <v>1606</v>
      </c>
      <c r="E4364" s="1" t="s">
        <v>1606</v>
      </c>
      <c r="F4364" s="1" t="s">
        <v>30</v>
      </c>
      <c r="G4364" s="1" t="s">
        <v>15378</v>
      </c>
      <c r="H4364" s="1" t="s">
        <v>1762</v>
      </c>
      <c r="I4364" t="b">
        <f>COUNTIF(Estadísticas!I:I,'centraldecomunicacion.es'!H4364)&gt;0</f>
        <v>0</v>
      </c>
    </row>
    <row r="4365" spans="1:9" hidden="1">
      <c r="A4365" s="1" t="s">
        <v>15379</v>
      </c>
      <c r="B4365" s="1" t="s">
        <v>10</v>
      </c>
      <c r="C4365" s="1" t="s">
        <v>15380</v>
      </c>
      <c r="D4365" s="1" t="s">
        <v>1606</v>
      </c>
      <c r="E4365" s="1" t="s">
        <v>1606</v>
      </c>
      <c r="F4365" s="1" t="s">
        <v>1984</v>
      </c>
      <c r="G4365" s="1" t="s">
        <v>15359</v>
      </c>
      <c r="H4365" s="1" t="s">
        <v>1762</v>
      </c>
      <c r="I4365" t="b">
        <f>COUNTIF(Estadísticas!I:I,'centraldecomunicacion.es'!H4365)&gt;0</f>
        <v>0</v>
      </c>
    </row>
    <row r="4366" spans="1:9">
      <c r="A4366" s="1" t="s">
        <v>15381</v>
      </c>
      <c r="B4366" s="1" t="s">
        <v>10</v>
      </c>
      <c r="C4366" s="1" t="s">
        <v>15382</v>
      </c>
      <c r="D4366" s="1" t="s">
        <v>1606</v>
      </c>
      <c r="E4366" s="1" t="s">
        <v>1606</v>
      </c>
      <c r="F4366" s="1" t="s">
        <v>1617</v>
      </c>
      <c r="G4366" s="1" t="s">
        <v>1618</v>
      </c>
      <c r="H4366" s="1" t="s">
        <v>1619</v>
      </c>
      <c r="I4366" t="b">
        <f>COUNTIF(Estadísticas!I:I,'centraldecomunicacion.es'!H4366)&gt;0</f>
        <v>1</v>
      </c>
    </row>
    <row r="4367" spans="1:9" hidden="1">
      <c r="A4367" s="1" t="s">
        <v>15383</v>
      </c>
      <c r="B4367" s="1" t="s">
        <v>10</v>
      </c>
      <c r="C4367" s="1" t="s">
        <v>15384</v>
      </c>
      <c r="D4367" s="1" t="s">
        <v>1606</v>
      </c>
      <c r="E4367" s="1" t="s">
        <v>1606</v>
      </c>
      <c r="F4367" s="1" t="s">
        <v>15385</v>
      </c>
      <c r="G4367" s="1" t="s">
        <v>15386</v>
      </c>
      <c r="H4367" s="1" t="s">
        <v>15387</v>
      </c>
      <c r="I4367" t="b">
        <f>COUNTIF(Estadísticas!I:I,'centraldecomunicacion.es'!H4367)&gt;0</f>
        <v>0</v>
      </c>
    </row>
    <row r="4368" spans="1:9" hidden="1">
      <c r="A4368" s="1" t="s">
        <v>15388</v>
      </c>
      <c r="B4368" s="1" t="s">
        <v>10</v>
      </c>
      <c r="C4368" s="1" t="s">
        <v>15389</v>
      </c>
      <c r="D4368" s="1" t="s">
        <v>15369</v>
      </c>
      <c r="E4368" s="1" t="s">
        <v>1606</v>
      </c>
      <c r="F4368" s="1" t="s">
        <v>30</v>
      </c>
      <c r="G4368" s="1" t="s">
        <v>30</v>
      </c>
      <c r="H4368" s="1" t="s">
        <v>1762</v>
      </c>
      <c r="I4368" t="b">
        <f>COUNTIF(Estadísticas!I:I,'centraldecomunicacion.es'!H4368)&gt;0</f>
        <v>0</v>
      </c>
    </row>
    <row r="4369" spans="1:9" hidden="1">
      <c r="A4369" s="1" t="s">
        <v>15390</v>
      </c>
      <c r="B4369" s="1" t="s">
        <v>10</v>
      </c>
      <c r="C4369" s="1" t="s">
        <v>15391</v>
      </c>
      <c r="D4369" s="1" t="s">
        <v>1606</v>
      </c>
      <c r="E4369" s="1" t="s">
        <v>1606</v>
      </c>
      <c r="F4369" s="1" t="s">
        <v>15392</v>
      </c>
      <c r="G4369" s="1" t="s">
        <v>15393</v>
      </c>
      <c r="H4369" s="1" t="s">
        <v>1783</v>
      </c>
      <c r="I4369" t="b">
        <f>COUNTIF(Estadísticas!I:I,'centraldecomunicacion.es'!H4369)&gt;0</f>
        <v>0</v>
      </c>
    </row>
    <row r="4370" spans="1:9" hidden="1">
      <c r="A4370" s="1" t="s">
        <v>15394</v>
      </c>
      <c r="B4370" s="1" t="s">
        <v>10</v>
      </c>
      <c r="C4370" s="1" t="s">
        <v>15395</v>
      </c>
      <c r="D4370" s="1" t="s">
        <v>1606</v>
      </c>
      <c r="E4370" s="1" t="s">
        <v>1606</v>
      </c>
      <c r="F4370" s="1" t="s">
        <v>30</v>
      </c>
      <c r="G4370" s="1" t="s">
        <v>15396</v>
      </c>
      <c r="H4370" s="1" t="s">
        <v>1762</v>
      </c>
      <c r="I4370" t="b">
        <f>COUNTIF(Estadísticas!I:I,'centraldecomunicacion.es'!H4370)&gt;0</f>
        <v>0</v>
      </c>
    </row>
    <row r="4371" spans="1:9" hidden="1">
      <c r="A4371" s="1" t="s">
        <v>15397</v>
      </c>
      <c r="B4371" s="1" t="s">
        <v>10</v>
      </c>
      <c r="C4371" s="1" t="s">
        <v>15398</v>
      </c>
      <c r="D4371" s="1" t="s">
        <v>1606</v>
      </c>
      <c r="E4371" s="1" t="s">
        <v>1606</v>
      </c>
      <c r="F4371" s="1" t="s">
        <v>15399</v>
      </c>
      <c r="G4371" s="1" t="s">
        <v>15400</v>
      </c>
      <c r="H4371" s="1" t="s">
        <v>15401</v>
      </c>
      <c r="I4371" t="b">
        <f>COUNTIF(Estadísticas!I:I,'centraldecomunicacion.es'!H4371)&gt;0</f>
        <v>0</v>
      </c>
    </row>
    <row r="4372" spans="1:9">
      <c r="A4372" s="1" t="s">
        <v>15402</v>
      </c>
      <c r="B4372" s="1" t="s">
        <v>10</v>
      </c>
      <c r="C4372" s="1" t="s">
        <v>15403</v>
      </c>
      <c r="D4372" s="1" t="s">
        <v>1606</v>
      </c>
      <c r="E4372" s="1" t="s">
        <v>1606</v>
      </c>
      <c r="F4372" s="1" t="s">
        <v>1617</v>
      </c>
      <c r="G4372" s="1" t="s">
        <v>1618</v>
      </c>
      <c r="H4372" s="1" t="s">
        <v>1619</v>
      </c>
      <c r="I4372" t="b">
        <f>COUNTIF(Estadísticas!I:I,'centraldecomunicacion.es'!H4372)&gt;0</f>
        <v>1</v>
      </c>
    </row>
    <row r="4373" spans="1:9" hidden="1">
      <c r="A4373" s="1" t="s">
        <v>15404</v>
      </c>
      <c r="B4373" s="1" t="s">
        <v>10</v>
      </c>
      <c r="C4373" s="1" t="s">
        <v>30</v>
      </c>
      <c r="D4373" s="1" t="s">
        <v>15313</v>
      </c>
      <c r="E4373" s="1" t="s">
        <v>30</v>
      </c>
      <c r="F4373" s="1" t="s">
        <v>30</v>
      </c>
      <c r="G4373" s="1" t="s">
        <v>15405</v>
      </c>
      <c r="H4373" s="1" t="s">
        <v>1762</v>
      </c>
      <c r="I4373" t="b">
        <f>COUNTIF(Estadísticas!I:I,'centraldecomunicacion.es'!H4373)&gt;0</f>
        <v>0</v>
      </c>
    </row>
    <row r="4374" spans="1:9" hidden="1">
      <c r="A4374" s="1" t="s">
        <v>15406</v>
      </c>
      <c r="B4374" s="1" t="s">
        <v>10</v>
      </c>
      <c r="C4374" s="1" t="s">
        <v>15407</v>
      </c>
      <c r="D4374" s="1" t="s">
        <v>1606</v>
      </c>
      <c r="E4374" s="1" t="s">
        <v>1606</v>
      </c>
      <c r="F4374" s="1" t="s">
        <v>30</v>
      </c>
      <c r="G4374" s="1" t="s">
        <v>15408</v>
      </c>
      <c r="H4374" s="1" t="s">
        <v>1762</v>
      </c>
      <c r="I4374" t="b">
        <f>COUNTIF(Estadísticas!I:I,'centraldecomunicacion.es'!H4374)&gt;0</f>
        <v>0</v>
      </c>
    </row>
    <row r="4375" spans="1:9">
      <c r="A4375" s="1" t="s">
        <v>15409</v>
      </c>
      <c r="B4375" s="1" t="s">
        <v>10</v>
      </c>
      <c r="C4375" s="1" t="s">
        <v>15410</v>
      </c>
      <c r="D4375" s="1" t="s">
        <v>1606</v>
      </c>
      <c r="E4375" s="1" t="s">
        <v>1606</v>
      </c>
      <c r="F4375" s="1" t="s">
        <v>1617</v>
      </c>
      <c r="G4375" s="1" t="s">
        <v>1618</v>
      </c>
      <c r="H4375" s="1" t="s">
        <v>1619</v>
      </c>
      <c r="I4375" t="b">
        <f>COUNTIF(Estadísticas!I:I,'centraldecomunicacion.es'!H4375)&gt;0</f>
        <v>1</v>
      </c>
    </row>
    <row r="4376" spans="1:9" hidden="1">
      <c r="A4376" s="1" t="s">
        <v>15411</v>
      </c>
      <c r="B4376" s="1" t="s">
        <v>10</v>
      </c>
      <c r="C4376" s="1" t="s">
        <v>15412</v>
      </c>
      <c r="D4376" s="1" t="s">
        <v>1606</v>
      </c>
      <c r="E4376" s="1" t="s">
        <v>1606</v>
      </c>
      <c r="F4376" s="1" t="s">
        <v>2692</v>
      </c>
      <c r="G4376" s="1" t="s">
        <v>15359</v>
      </c>
      <c r="H4376" s="1" t="s">
        <v>1762</v>
      </c>
      <c r="I4376" t="b">
        <f>COUNTIF(Estadísticas!I:I,'centraldecomunicacion.es'!H4376)&gt;0</f>
        <v>0</v>
      </c>
    </row>
    <row r="4377" spans="1:9" hidden="1">
      <c r="A4377" s="1" t="s">
        <v>15413</v>
      </c>
      <c r="B4377" s="1" t="s">
        <v>10</v>
      </c>
      <c r="C4377" s="1" t="s">
        <v>15414</v>
      </c>
      <c r="D4377" s="1" t="s">
        <v>1606</v>
      </c>
      <c r="E4377" s="1" t="s">
        <v>1606</v>
      </c>
      <c r="F4377" s="1" t="s">
        <v>30</v>
      </c>
      <c r="G4377" s="1" t="s">
        <v>15359</v>
      </c>
      <c r="H4377" s="1" t="s">
        <v>1762</v>
      </c>
      <c r="I4377" t="b">
        <f>COUNTIF(Estadísticas!I:I,'centraldecomunicacion.es'!H4377)&gt;0</f>
        <v>0</v>
      </c>
    </row>
    <row r="4378" spans="1:9" hidden="1">
      <c r="A4378" s="1" t="s">
        <v>15415</v>
      </c>
      <c r="B4378" s="1" t="s">
        <v>10</v>
      </c>
      <c r="C4378" s="1" t="s">
        <v>15416</v>
      </c>
      <c r="D4378" s="1" t="s">
        <v>1606</v>
      </c>
      <c r="E4378" s="1" t="s">
        <v>1606</v>
      </c>
      <c r="F4378" s="1" t="s">
        <v>30</v>
      </c>
      <c r="G4378" s="1" t="s">
        <v>15417</v>
      </c>
      <c r="H4378" s="1" t="s">
        <v>1762</v>
      </c>
      <c r="I4378" t="b">
        <f>COUNTIF(Estadísticas!I:I,'centraldecomunicacion.es'!H4378)&gt;0</f>
        <v>0</v>
      </c>
    </row>
    <row r="4379" spans="1:9" hidden="1">
      <c r="A4379" s="1" t="s">
        <v>15418</v>
      </c>
      <c r="B4379" s="1" t="s">
        <v>10</v>
      </c>
      <c r="C4379" s="1" t="s">
        <v>15419</v>
      </c>
      <c r="D4379" s="1" t="s">
        <v>1606</v>
      </c>
      <c r="E4379" s="1" t="s">
        <v>1606</v>
      </c>
      <c r="F4379" s="1" t="s">
        <v>30</v>
      </c>
      <c r="G4379" s="1" t="s">
        <v>15420</v>
      </c>
      <c r="H4379" s="1" t="s">
        <v>1762</v>
      </c>
      <c r="I4379" t="b">
        <f>COUNTIF(Estadísticas!I:I,'centraldecomunicacion.es'!H4379)&gt;0</f>
        <v>0</v>
      </c>
    </row>
    <row r="4380" spans="1:9" hidden="1">
      <c r="A4380" s="1" t="s">
        <v>15421</v>
      </c>
      <c r="B4380" s="1" t="s">
        <v>10</v>
      </c>
      <c r="C4380" s="1" t="s">
        <v>15422</v>
      </c>
      <c r="D4380" s="1" t="s">
        <v>15423</v>
      </c>
      <c r="E4380" s="1" t="s">
        <v>1606</v>
      </c>
      <c r="F4380" s="1" t="s">
        <v>30</v>
      </c>
      <c r="G4380" s="1" t="s">
        <v>15424</v>
      </c>
      <c r="H4380" s="1" t="s">
        <v>1762</v>
      </c>
      <c r="I4380" t="b">
        <f>COUNTIF(Estadísticas!I:I,'centraldecomunicacion.es'!H4380)&gt;0</f>
        <v>0</v>
      </c>
    </row>
    <row r="4381" spans="1:9" hidden="1">
      <c r="A4381" s="1" t="s">
        <v>15425</v>
      </c>
      <c r="B4381" s="1" t="s">
        <v>10</v>
      </c>
      <c r="C4381" s="1" t="s">
        <v>15426</v>
      </c>
      <c r="D4381" s="1" t="s">
        <v>1606</v>
      </c>
      <c r="E4381" s="1" t="s">
        <v>1606</v>
      </c>
      <c r="F4381" s="1" t="s">
        <v>15427</v>
      </c>
      <c r="G4381" s="1" t="s">
        <v>15428</v>
      </c>
      <c r="H4381" s="1" t="s">
        <v>15429</v>
      </c>
      <c r="I4381" t="b">
        <f>COUNTIF(Estadísticas!I:I,'centraldecomunicacion.es'!H4381)&gt;0</f>
        <v>0</v>
      </c>
    </row>
    <row r="4382" spans="1:9" hidden="1">
      <c r="A4382" s="1" t="s">
        <v>15430</v>
      </c>
      <c r="B4382" s="1" t="s">
        <v>10</v>
      </c>
      <c r="C4382" s="1" t="s">
        <v>15431</v>
      </c>
      <c r="D4382" s="1" t="s">
        <v>1606</v>
      </c>
      <c r="E4382" s="1" t="s">
        <v>1606</v>
      </c>
      <c r="F4382" s="1" t="s">
        <v>30</v>
      </c>
      <c r="G4382" s="1" t="s">
        <v>15432</v>
      </c>
      <c r="H4382" s="1" t="s">
        <v>1762</v>
      </c>
      <c r="I4382" t="b">
        <f>COUNTIF(Estadísticas!I:I,'centraldecomunicacion.es'!H4382)&gt;0</f>
        <v>0</v>
      </c>
    </row>
    <row r="4383" spans="1:9" hidden="1">
      <c r="A4383" s="1" t="s">
        <v>15433</v>
      </c>
      <c r="B4383" s="1" t="s">
        <v>10</v>
      </c>
      <c r="C4383" s="1" t="s">
        <v>15434</v>
      </c>
      <c r="D4383" s="1" t="s">
        <v>1606</v>
      </c>
      <c r="E4383" s="1" t="s">
        <v>1606</v>
      </c>
      <c r="F4383" s="1" t="s">
        <v>30</v>
      </c>
      <c r="G4383" s="1" t="s">
        <v>30</v>
      </c>
      <c r="H4383" s="1" t="s">
        <v>1762</v>
      </c>
      <c r="I4383" t="b">
        <f>COUNTIF(Estadísticas!I:I,'centraldecomunicacion.es'!H4383)&gt;0</f>
        <v>0</v>
      </c>
    </row>
    <row r="4384" spans="1:9" hidden="1">
      <c r="A4384" s="1" t="s">
        <v>15435</v>
      </c>
      <c r="B4384" s="1" t="s">
        <v>10</v>
      </c>
      <c r="C4384" s="1" t="s">
        <v>15436</v>
      </c>
      <c r="D4384" s="1" t="s">
        <v>1606</v>
      </c>
      <c r="E4384" s="1" t="s">
        <v>1606</v>
      </c>
      <c r="F4384" s="1" t="s">
        <v>30</v>
      </c>
      <c r="G4384" s="1" t="s">
        <v>15437</v>
      </c>
      <c r="H4384" s="1" t="s">
        <v>1762</v>
      </c>
      <c r="I4384" t="b">
        <f>COUNTIF(Estadísticas!I:I,'centraldecomunicacion.es'!H4384)&gt;0</f>
        <v>0</v>
      </c>
    </row>
    <row r="4385" spans="1:9" hidden="1">
      <c r="A4385" s="1" t="s">
        <v>15438</v>
      </c>
      <c r="B4385" s="1" t="s">
        <v>10</v>
      </c>
      <c r="C4385" s="1" t="s">
        <v>15439</v>
      </c>
      <c r="D4385" s="1" t="s">
        <v>1606</v>
      </c>
      <c r="E4385" s="1" t="s">
        <v>1606</v>
      </c>
      <c r="F4385" s="1" t="s">
        <v>1984</v>
      </c>
      <c r="G4385" s="1" t="s">
        <v>15359</v>
      </c>
      <c r="H4385" s="1" t="s">
        <v>1762</v>
      </c>
      <c r="I4385" t="b">
        <f>COUNTIF(Estadísticas!I:I,'centraldecomunicacion.es'!H4385)&gt;0</f>
        <v>0</v>
      </c>
    </row>
    <row r="4386" spans="1:9" hidden="1">
      <c r="A4386" s="1" t="s">
        <v>15440</v>
      </c>
      <c r="B4386" s="1" t="s">
        <v>10</v>
      </c>
      <c r="C4386" s="1" t="s">
        <v>15441</v>
      </c>
      <c r="D4386" s="1" t="s">
        <v>1606</v>
      </c>
      <c r="E4386" s="1" t="s">
        <v>1606</v>
      </c>
      <c r="F4386" s="1" t="s">
        <v>30</v>
      </c>
      <c r="G4386" s="1" t="s">
        <v>15442</v>
      </c>
      <c r="H4386" s="1" t="s">
        <v>1762</v>
      </c>
      <c r="I4386" t="b">
        <f>COUNTIF(Estadísticas!I:I,'centraldecomunicacion.es'!H4386)&gt;0</f>
        <v>0</v>
      </c>
    </row>
    <row r="4387" spans="1:9" hidden="1">
      <c r="A4387" s="1" t="s">
        <v>15443</v>
      </c>
      <c r="B4387" s="1" t="s">
        <v>10</v>
      </c>
      <c r="C4387" s="1" t="s">
        <v>15444</v>
      </c>
      <c r="D4387" s="1" t="s">
        <v>1606</v>
      </c>
      <c r="E4387" s="1" t="s">
        <v>1606</v>
      </c>
      <c r="F4387" s="1" t="s">
        <v>1984</v>
      </c>
      <c r="G4387" s="1" t="s">
        <v>15445</v>
      </c>
      <c r="H4387" s="1" t="s">
        <v>1762</v>
      </c>
      <c r="I4387" t="b">
        <f>COUNTIF(Estadísticas!I:I,'centraldecomunicacion.es'!H4387)&gt;0</f>
        <v>0</v>
      </c>
    </row>
    <row r="4388" spans="1:9" hidden="1">
      <c r="A4388" s="1" t="s">
        <v>15446</v>
      </c>
      <c r="B4388" s="1" t="s">
        <v>10</v>
      </c>
      <c r="C4388" s="1" t="s">
        <v>15447</v>
      </c>
      <c r="D4388" s="1" t="s">
        <v>1606</v>
      </c>
      <c r="E4388" s="1" t="s">
        <v>1606</v>
      </c>
      <c r="F4388" s="1" t="s">
        <v>1864</v>
      </c>
      <c r="G4388" s="1" t="s">
        <v>1865</v>
      </c>
      <c r="H4388" s="1" t="s">
        <v>1762</v>
      </c>
      <c r="I4388" t="b">
        <f>COUNTIF(Estadísticas!I:I,'centraldecomunicacion.es'!H4388)&gt;0</f>
        <v>0</v>
      </c>
    </row>
    <row r="4389" spans="1:9" hidden="1">
      <c r="A4389" s="1" t="s">
        <v>15448</v>
      </c>
      <c r="B4389" s="1" t="s">
        <v>10</v>
      </c>
      <c r="C4389" s="1" t="s">
        <v>30</v>
      </c>
      <c r="D4389" s="1" t="s">
        <v>15313</v>
      </c>
      <c r="E4389" s="1" t="s">
        <v>30</v>
      </c>
      <c r="F4389" s="1" t="s">
        <v>1984</v>
      </c>
      <c r="G4389" s="1" t="s">
        <v>15449</v>
      </c>
      <c r="H4389" s="1" t="s">
        <v>1762</v>
      </c>
      <c r="I4389" t="b">
        <f>COUNTIF(Estadísticas!I:I,'centraldecomunicacion.es'!H4389)&gt;0</f>
        <v>0</v>
      </c>
    </row>
    <row r="4390" spans="1:9" hidden="1">
      <c r="A4390" s="1" t="s">
        <v>15450</v>
      </c>
      <c r="B4390" s="1" t="s">
        <v>10</v>
      </c>
      <c r="C4390" s="1" t="s">
        <v>15451</v>
      </c>
      <c r="D4390" s="1" t="s">
        <v>1606</v>
      </c>
      <c r="E4390" s="1" t="s">
        <v>1606</v>
      </c>
      <c r="F4390" s="1" t="s">
        <v>30</v>
      </c>
      <c r="G4390" s="1" t="s">
        <v>15452</v>
      </c>
      <c r="H4390" s="1" t="s">
        <v>1762</v>
      </c>
      <c r="I4390" t="b">
        <f>COUNTIF(Estadísticas!I:I,'centraldecomunicacion.es'!H4390)&gt;0</f>
        <v>0</v>
      </c>
    </row>
    <row r="4391" spans="1:9" hidden="1">
      <c r="A4391" s="1" t="s">
        <v>15453</v>
      </c>
      <c r="B4391" s="1" t="s">
        <v>10</v>
      </c>
      <c r="C4391" s="1" t="s">
        <v>15454</v>
      </c>
      <c r="D4391" s="1" t="s">
        <v>15369</v>
      </c>
      <c r="E4391" s="1" t="s">
        <v>1606</v>
      </c>
      <c r="F4391" s="1" t="s">
        <v>30</v>
      </c>
      <c r="G4391" s="1" t="s">
        <v>15455</v>
      </c>
      <c r="H4391" s="1" t="s">
        <v>1762</v>
      </c>
      <c r="I4391" t="b">
        <f>COUNTIF(Estadísticas!I:I,'centraldecomunicacion.es'!H4391)&gt;0</f>
        <v>0</v>
      </c>
    </row>
    <row r="4392" spans="1:9" hidden="1">
      <c r="A4392" s="1" t="s">
        <v>15456</v>
      </c>
      <c r="B4392" s="1" t="s">
        <v>10</v>
      </c>
      <c r="C4392" s="1" t="s">
        <v>15457</v>
      </c>
      <c r="D4392" s="1" t="s">
        <v>1606</v>
      </c>
      <c r="E4392" s="1" t="s">
        <v>1606</v>
      </c>
      <c r="F4392" s="1" t="s">
        <v>30</v>
      </c>
      <c r="G4392" s="1" t="s">
        <v>15359</v>
      </c>
      <c r="H4392" s="1" t="s">
        <v>1762</v>
      </c>
      <c r="I4392" t="b">
        <f>COUNTIF(Estadísticas!I:I,'centraldecomunicacion.es'!H4392)&gt;0</f>
        <v>0</v>
      </c>
    </row>
    <row r="4393" spans="1:9" hidden="1">
      <c r="A4393" s="1" t="s">
        <v>15458</v>
      </c>
      <c r="B4393" s="1" t="s">
        <v>18</v>
      </c>
      <c r="C4393" s="1" t="s">
        <v>15459</v>
      </c>
      <c r="D4393" s="1" t="s">
        <v>1606</v>
      </c>
      <c r="E4393" s="1" t="s">
        <v>1606</v>
      </c>
      <c r="F4393" s="1" t="s">
        <v>15460</v>
      </c>
      <c r="G4393" s="1" t="s">
        <v>15461</v>
      </c>
      <c r="H4393" s="1" t="s">
        <v>1762</v>
      </c>
      <c r="I4393" t="b">
        <f>COUNTIF(Estadísticas!I:I,'centraldecomunicacion.es'!H4393)&gt;0</f>
        <v>0</v>
      </c>
    </row>
    <row r="4394" spans="1:9" hidden="1">
      <c r="A4394" s="1" t="s">
        <v>15462</v>
      </c>
      <c r="B4394" s="1" t="s">
        <v>10</v>
      </c>
      <c r="C4394" s="1" t="s">
        <v>15463</v>
      </c>
      <c r="D4394" s="1" t="s">
        <v>1606</v>
      </c>
      <c r="E4394" s="1" t="s">
        <v>1606</v>
      </c>
      <c r="F4394" s="1" t="s">
        <v>30</v>
      </c>
      <c r="G4394" s="1" t="s">
        <v>15464</v>
      </c>
      <c r="H4394" s="1" t="s">
        <v>1762</v>
      </c>
      <c r="I4394" t="b">
        <f>COUNTIF(Estadísticas!I:I,'centraldecomunicacion.es'!H4394)&gt;0</f>
        <v>0</v>
      </c>
    </row>
    <row r="4395" spans="1:9" hidden="1">
      <c r="A4395" s="1" t="s">
        <v>15465</v>
      </c>
      <c r="B4395" s="1" t="s">
        <v>10</v>
      </c>
      <c r="C4395" s="1" t="s">
        <v>15466</v>
      </c>
      <c r="D4395" s="1" t="s">
        <v>15467</v>
      </c>
      <c r="E4395" s="1" t="s">
        <v>1606</v>
      </c>
      <c r="F4395" s="1" t="s">
        <v>30</v>
      </c>
      <c r="G4395" s="1" t="s">
        <v>15468</v>
      </c>
      <c r="H4395" s="1" t="s">
        <v>1762</v>
      </c>
      <c r="I4395" t="b">
        <f>COUNTIF(Estadísticas!I:I,'centraldecomunicacion.es'!H4395)&gt;0</f>
        <v>0</v>
      </c>
    </row>
    <row r="4396" spans="1:9" hidden="1">
      <c r="A4396" s="1" t="s">
        <v>15469</v>
      </c>
      <c r="B4396" s="1" t="s">
        <v>10</v>
      </c>
      <c r="C4396" s="1" t="s">
        <v>15470</v>
      </c>
      <c r="D4396" s="1" t="s">
        <v>1606</v>
      </c>
      <c r="E4396" s="1" t="s">
        <v>1606</v>
      </c>
      <c r="F4396" s="1" t="s">
        <v>15471</v>
      </c>
      <c r="G4396" s="1" t="s">
        <v>15472</v>
      </c>
      <c r="H4396" s="1" t="s">
        <v>15473</v>
      </c>
      <c r="I4396" t="b">
        <f>COUNTIF(Estadísticas!I:I,'centraldecomunicacion.es'!H4396)&gt;0</f>
        <v>0</v>
      </c>
    </row>
    <row r="4397" spans="1:9" hidden="1">
      <c r="A4397" s="1" t="s">
        <v>15474</v>
      </c>
      <c r="B4397" s="1" t="s">
        <v>10</v>
      </c>
      <c r="C4397" s="1" t="s">
        <v>15475</v>
      </c>
      <c r="D4397" s="1" t="s">
        <v>15476</v>
      </c>
      <c r="E4397" s="1" t="s">
        <v>1606</v>
      </c>
      <c r="F4397" s="1" t="s">
        <v>30</v>
      </c>
      <c r="G4397" s="1" t="s">
        <v>30</v>
      </c>
      <c r="H4397" s="1" t="s">
        <v>1762</v>
      </c>
      <c r="I4397" t="b">
        <f>COUNTIF(Estadísticas!I:I,'centraldecomunicacion.es'!H4397)&gt;0</f>
        <v>0</v>
      </c>
    </row>
    <row r="4398" spans="1:9">
      <c r="A4398" s="1" t="s">
        <v>15364</v>
      </c>
      <c r="B4398" s="1" t="s">
        <v>10</v>
      </c>
      <c r="C4398" s="1" t="s">
        <v>15477</v>
      </c>
      <c r="D4398" s="1" t="s">
        <v>15478</v>
      </c>
      <c r="E4398" s="1" t="s">
        <v>1606</v>
      </c>
      <c r="F4398" s="1" t="s">
        <v>1617</v>
      </c>
      <c r="G4398" s="1" t="s">
        <v>15479</v>
      </c>
      <c r="H4398" s="1" t="s">
        <v>1619</v>
      </c>
      <c r="I4398" t="b">
        <f>COUNTIF(Estadísticas!I:I,'centraldecomunicacion.es'!H4398)&gt;0</f>
        <v>1</v>
      </c>
    </row>
    <row r="4399" spans="1:9" hidden="1">
      <c r="A4399" s="1" t="s">
        <v>15480</v>
      </c>
      <c r="B4399" s="1" t="s">
        <v>18</v>
      </c>
      <c r="C4399" s="1" t="s">
        <v>15481</v>
      </c>
      <c r="D4399" s="1" t="s">
        <v>1606</v>
      </c>
      <c r="E4399" s="1" t="s">
        <v>1606</v>
      </c>
      <c r="F4399" s="1" t="s">
        <v>30</v>
      </c>
      <c r="G4399" s="1" t="s">
        <v>15482</v>
      </c>
      <c r="H4399" s="1" t="s">
        <v>1762</v>
      </c>
      <c r="I4399" t="b">
        <f>COUNTIF(Estadísticas!I:I,'centraldecomunicacion.es'!H4399)&gt;0</f>
        <v>0</v>
      </c>
    </row>
    <row r="4400" spans="1:9" hidden="1">
      <c r="A4400" s="1" t="s">
        <v>15483</v>
      </c>
      <c r="B4400" s="1" t="s">
        <v>10</v>
      </c>
      <c r="C4400" s="1" t="s">
        <v>15484</v>
      </c>
      <c r="D4400" s="1" t="s">
        <v>1606</v>
      </c>
      <c r="E4400" s="1" t="s">
        <v>1606</v>
      </c>
      <c r="F4400" s="1" t="s">
        <v>15385</v>
      </c>
      <c r="G4400" s="1" t="s">
        <v>15386</v>
      </c>
      <c r="H4400" s="1" t="s">
        <v>15387</v>
      </c>
      <c r="I4400" t="b">
        <f>COUNTIF(Estadísticas!I:I,'centraldecomunicacion.es'!H4400)&gt;0</f>
        <v>0</v>
      </c>
    </row>
    <row r="4401" spans="1:9" hidden="1">
      <c r="A4401" s="1" t="s">
        <v>15485</v>
      </c>
      <c r="B4401" s="1" t="s">
        <v>10</v>
      </c>
      <c r="C4401" s="1" t="s">
        <v>15486</v>
      </c>
      <c r="D4401" s="1" t="s">
        <v>15478</v>
      </c>
      <c r="E4401" s="1" t="s">
        <v>1606</v>
      </c>
      <c r="F4401" s="1" t="s">
        <v>15487</v>
      </c>
      <c r="G4401" s="1" t="s">
        <v>15488</v>
      </c>
      <c r="H4401" s="1" t="s">
        <v>1762</v>
      </c>
      <c r="I4401" t="b">
        <f>COUNTIF(Estadísticas!I:I,'centraldecomunicacion.es'!H4401)&gt;0</f>
        <v>0</v>
      </c>
    </row>
    <row r="4402" spans="1:9" hidden="1">
      <c r="A4402" s="1" t="s">
        <v>15489</v>
      </c>
      <c r="B4402" s="1" t="s">
        <v>10</v>
      </c>
      <c r="C4402" s="1" t="s">
        <v>15490</v>
      </c>
      <c r="D4402" s="1" t="s">
        <v>15491</v>
      </c>
      <c r="E4402" s="1" t="s">
        <v>1606</v>
      </c>
      <c r="F4402" s="1" t="s">
        <v>15492</v>
      </c>
      <c r="G4402" s="1" t="s">
        <v>15493</v>
      </c>
      <c r="H4402" s="1" t="s">
        <v>15494</v>
      </c>
      <c r="I4402" t="b">
        <f>COUNTIF(Estadísticas!I:I,'centraldecomunicacion.es'!H4402)&gt;0</f>
        <v>0</v>
      </c>
    </row>
    <row r="4403" spans="1:9" hidden="1">
      <c r="A4403" s="1" t="s">
        <v>15495</v>
      </c>
      <c r="B4403" s="1" t="s">
        <v>18</v>
      </c>
      <c r="C4403" s="1" t="s">
        <v>15496</v>
      </c>
      <c r="D4403" s="1" t="s">
        <v>1606</v>
      </c>
      <c r="E4403" s="1" t="s">
        <v>1606</v>
      </c>
      <c r="F4403" s="1" t="s">
        <v>30</v>
      </c>
      <c r="G4403" s="1" t="s">
        <v>30</v>
      </c>
      <c r="H4403" s="1" t="s">
        <v>1762</v>
      </c>
      <c r="I4403" t="b">
        <f>COUNTIF(Estadísticas!I:I,'centraldecomunicacion.es'!H4403)&gt;0</f>
        <v>0</v>
      </c>
    </row>
    <row r="4404" spans="1:9" hidden="1">
      <c r="A4404" s="1" t="s">
        <v>15497</v>
      </c>
      <c r="B4404" s="1" t="s">
        <v>10</v>
      </c>
      <c r="C4404" s="1" t="s">
        <v>15498</v>
      </c>
      <c r="D4404" s="1" t="s">
        <v>1632</v>
      </c>
      <c r="E4404" s="1" t="s">
        <v>1606</v>
      </c>
      <c r="F4404" s="1" t="s">
        <v>15499</v>
      </c>
      <c r="G4404" s="1" t="s">
        <v>15500</v>
      </c>
      <c r="H4404" s="1" t="s">
        <v>15501</v>
      </c>
      <c r="I4404" t="b">
        <f>COUNTIF(Estadísticas!I:I,'centraldecomunicacion.es'!H4404)&gt;0</f>
        <v>0</v>
      </c>
    </row>
    <row r="4405" spans="1:9" hidden="1">
      <c r="A4405" s="1" t="s">
        <v>15502</v>
      </c>
      <c r="B4405" s="1" t="s">
        <v>10</v>
      </c>
      <c r="C4405" s="1" t="s">
        <v>15503</v>
      </c>
      <c r="D4405" s="1" t="s">
        <v>15478</v>
      </c>
      <c r="E4405" s="1" t="s">
        <v>1606</v>
      </c>
      <c r="F4405" s="1" t="s">
        <v>1984</v>
      </c>
      <c r="G4405" s="1" t="s">
        <v>15504</v>
      </c>
      <c r="H4405" s="1" t="s">
        <v>1762</v>
      </c>
      <c r="I4405" t="b">
        <f>COUNTIF(Estadísticas!I:I,'centraldecomunicacion.es'!H4405)&gt;0</f>
        <v>0</v>
      </c>
    </row>
    <row r="4406" spans="1:9" hidden="1">
      <c r="A4406" s="1" t="s">
        <v>15505</v>
      </c>
      <c r="B4406" s="1" t="s">
        <v>10</v>
      </c>
      <c r="C4406" s="1" t="s">
        <v>15506</v>
      </c>
      <c r="D4406" s="1" t="s">
        <v>1606</v>
      </c>
      <c r="E4406" s="1" t="s">
        <v>1606</v>
      </c>
      <c r="F4406" s="1" t="s">
        <v>30</v>
      </c>
      <c r="G4406" s="1" t="s">
        <v>15507</v>
      </c>
      <c r="H4406" s="1" t="s">
        <v>1762</v>
      </c>
      <c r="I4406" t="b">
        <f>COUNTIF(Estadísticas!I:I,'centraldecomunicacion.es'!H4406)&gt;0</f>
        <v>0</v>
      </c>
    </row>
    <row r="4407" spans="1:9" hidden="1">
      <c r="A4407" s="1" t="s">
        <v>15508</v>
      </c>
      <c r="B4407" s="1" t="s">
        <v>10</v>
      </c>
      <c r="C4407" s="1" t="s">
        <v>15509</v>
      </c>
      <c r="D4407" s="1" t="s">
        <v>15510</v>
      </c>
      <c r="E4407" s="1" t="s">
        <v>1606</v>
      </c>
      <c r="F4407" s="1" t="s">
        <v>15511</v>
      </c>
      <c r="G4407" s="1" t="s">
        <v>15512</v>
      </c>
      <c r="H4407" s="1" t="s">
        <v>15513</v>
      </c>
      <c r="I4407" t="b">
        <f>COUNTIF(Estadísticas!I:I,'centraldecomunicacion.es'!H4407)&gt;0</f>
        <v>0</v>
      </c>
    </row>
    <row r="4408" spans="1:9" hidden="1">
      <c r="A4408" s="1" t="s">
        <v>15514</v>
      </c>
      <c r="B4408" s="1" t="s">
        <v>10</v>
      </c>
      <c r="C4408" s="1" t="s">
        <v>15515</v>
      </c>
      <c r="D4408" s="1" t="s">
        <v>1606</v>
      </c>
      <c r="E4408" s="1" t="s">
        <v>1606</v>
      </c>
      <c r="F4408" s="1" t="s">
        <v>30</v>
      </c>
      <c r="G4408" s="1" t="s">
        <v>15516</v>
      </c>
      <c r="H4408" s="1" t="s">
        <v>1762</v>
      </c>
      <c r="I4408" t="b">
        <f>COUNTIF(Estadísticas!I:I,'centraldecomunicacion.es'!H4408)&gt;0</f>
        <v>0</v>
      </c>
    </row>
    <row r="4409" spans="1:9">
      <c r="A4409" s="1" t="s">
        <v>15364</v>
      </c>
      <c r="B4409" s="1" t="s">
        <v>10</v>
      </c>
      <c r="C4409" s="1" t="s">
        <v>15517</v>
      </c>
      <c r="D4409" s="1" t="s">
        <v>15518</v>
      </c>
      <c r="E4409" s="1" t="s">
        <v>1606</v>
      </c>
      <c r="F4409" s="1" t="s">
        <v>1617</v>
      </c>
      <c r="G4409" s="1" t="s">
        <v>1618</v>
      </c>
      <c r="H4409" s="1" t="s">
        <v>1619</v>
      </c>
      <c r="I4409" t="b">
        <f>COUNTIF(Estadísticas!I:I,'centraldecomunicacion.es'!H4409)&gt;0</f>
        <v>1</v>
      </c>
    </row>
    <row r="4410" spans="1:9" hidden="1">
      <c r="A4410" s="1" t="s">
        <v>15519</v>
      </c>
      <c r="B4410" s="1" t="s">
        <v>10</v>
      </c>
      <c r="C4410" s="1" t="s">
        <v>15520</v>
      </c>
      <c r="D4410" s="1" t="s">
        <v>15521</v>
      </c>
      <c r="E4410" s="1" t="s">
        <v>15521</v>
      </c>
      <c r="F4410" s="1" t="s">
        <v>15522</v>
      </c>
      <c r="G4410" s="1" t="s">
        <v>15523</v>
      </c>
      <c r="H4410" s="1" t="s">
        <v>1762</v>
      </c>
      <c r="I4410" t="b">
        <f>COUNTIF(Estadísticas!I:I,'centraldecomunicacion.es'!H4410)&gt;0</f>
        <v>0</v>
      </c>
    </row>
    <row r="4411" spans="1:9" hidden="1">
      <c r="A4411" s="1" t="s">
        <v>15524</v>
      </c>
      <c r="B4411" s="1" t="s">
        <v>18</v>
      </c>
      <c r="C4411" s="1" t="s">
        <v>15525</v>
      </c>
      <c r="D4411" s="1" t="s">
        <v>1632</v>
      </c>
      <c r="E4411" s="1" t="s">
        <v>1606</v>
      </c>
      <c r="F4411" s="1" t="s">
        <v>15526</v>
      </c>
      <c r="G4411" s="1" t="s">
        <v>15527</v>
      </c>
      <c r="H4411" s="1" t="s">
        <v>15528</v>
      </c>
      <c r="I4411" t="b">
        <f>COUNTIF(Estadísticas!I:I,'centraldecomunicacion.es'!H4411)&gt;0</f>
        <v>0</v>
      </c>
    </row>
    <row r="4412" spans="1:9">
      <c r="A4412" s="1" t="s">
        <v>1625</v>
      </c>
      <c r="B4412" s="1" t="s">
        <v>10</v>
      </c>
      <c r="C4412" s="1" t="s">
        <v>1626</v>
      </c>
      <c r="D4412" s="1" t="s">
        <v>1606</v>
      </c>
      <c r="E4412" s="1" t="s">
        <v>1606</v>
      </c>
      <c r="F4412" s="1" t="s">
        <v>1627</v>
      </c>
      <c r="G4412" s="1" t="s">
        <v>1628</v>
      </c>
      <c r="H4412" s="1" t="s">
        <v>1629</v>
      </c>
      <c r="I4412" t="b">
        <f>COUNTIF(Estadísticas!I:I,'centraldecomunicacion.es'!H4412)&gt;0</f>
        <v>1</v>
      </c>
    </row>
    <row r="4413" spans="1:9" hidden="1">
      <c r="A4413" s="1" t="s">
        <v>15529</v>
      </c>
      <c r="B4413" s="1" t="s">
        <v>10</v>
      </c>
      <c r="C4413" s="1" t="s">
        <v>15530</v>
      </c>
      <c r="D4413" s="1" t="s">
        <v>15467</v>
      </c>
      <c r="E4413" s="1" t="s">
        <v>1606</v>
      </c>
      <c r="F4413" s="1" t="s">
        <v>30</v>
      </c>
      <c r="G4413" s="1" t="s">
        <v>15531</v>
      </c>
      <c r="H4413" s="1" t="s">
        <v>1762</v>
      </c>
      <c r="I4413" t="b">
        <f>COUNTIF(Estadísticas!I:I,'centraldecomunicacion.es'!H4413)&gt;0</f>
        <v>0</v>
      </c>
    </row>
    <row r="4414" spans="1:9" hidden="1">
      <c r="A4414" s="1" t="s">
        <v>15532</v>
      </c>
      <c r="B4414" s="1" t="s">
        <v>18</v>
      </c>
      <c r="C4414" s="1" t="s">
        <v>15533</v>
      </c>
      <c r="D4414" s="1" t="s">
        <v>1606</v>
      </c>
      <c r="E4414" s="1" t="s">
        <v>1606</v>
      </c>
      <c r="F4414" s="1" t="s">
        <v>3929</v>
      </c>
      <c r="G4414" s="1" t="s">
        <v>30</v>
      </c>
      <c r="H4414" s="1" t="s">
        <v>3931</v>
      </c>
      <c r="I4414" t="b">
        <f>COUNTIF(Estadísticas!I:I,'centraldecomunicacion.es'!H4414)&gt;0</f>
        <v>0</v>
      </c>
    </row>
    <row r="4415" spans="1:9" hidden="1">
      <c r="A4415" s="1" t="s">
        <v>15534</v>
      </c>
      <c r="B4415" s="1" t="s">
        <v>10</v>
      </c>
      <c r="C4415" s="1" t="s">
        <v>15535</v>
      </c>
      <c r="D4415" s="1" t="s">
        <v>15313</v>
      </c>
      <c r="E4415" s="1" t="s">
        <v>1606</v>
      </c>
      <c r="F4415" s="1" t="s">
        <v>30</v>
      </c>
      <c r="G4415" s="1" t="s">
        <v>30</v>
      </c>
      <c r="H4415" s="1" t="s">
        <v>1762</v>
      </c>
      <c r="I4415" t="b">
        <f>COUNTIF(Estadísticas!I:I,'centraldecomunicacion.es'!H4415)&gt;0</f>
        <v>0</v>
      </c>
    </row>
    <row r="4416" spans="1:9" hidden="1">
      <c r="A4416" s="1" t="s">
        <v>15536</v>
      </c>
      <c r="B4416" s="1" t="s">
        <v>10</v>
      </c>
      <c r="C4416" s="1" t="s">
        <v>15537</v>
      </c>
      <c r="D4416" s="1" t="s">
        <v>1606</v>
      </c>
      <c r="E4416" s="1" t="s">
        <v>1606</v>
      </c>
      <c r="F4416" s="1" t="s">
        <v>30</v>
      </c>
      <c r="G4416" s="1" t="s">
        <v>15538</v>
      </c>
      <c r="H4416" s="1" t="s">
        <v>1762</v>
      </c>
      <c r="I4416" t="b">
        <f>COUNTIF(Estadísticas!I:I,'centraldecomunicacion.es'!H4416)&gt;0</f>
        <v>0</v>
      </c>
    </row>
    <row r="4417" spans="1:9" hidden="1">
      <c r="A4417" s="1" t="s">
        <v>15539</v>
      </c>
      <c r="B4417" s="1" t="s">
        <v>10</v>
      </c>
      <c r="C4417" s="1" t="s">
        <v>15540</v>
      </c>
      <c r="D4417" s="1" t="s">
        <v>1632</v>
      </c>
      <c r="E4417" s="1" t="s">
        <v>1606</v>
      </c>
      <c r="F4417" s="1" t="s">
        <v>15541</v>
      </c>
      <c r="G4417" s="1" t="s">
        <v>15542</v>
      </c>
      <c r="H4417" s="1" t="s">
        <v>1762</v>
      </c>
      <c r="I4417" t="b">
        <f>COUNTIF(Estadísticas!I:I,'centraldecomunicacion.es'!H4417)&gt;0</f>
        <v>0</v>
      </c>
    </row>
    <row r="4418" spans="1:9" hidden="1">
      <c r="A4418" s="1" t="s">
        <v>15543</v>
      </c>
      <c r="B4418" s="1" t="s">
        <v>10</v>
      </c>
      <c r="C4418" s="1" t="s">
        <v>15544</v>
      </c>
      <c r="D4418" s="1" t="s">
        <v>15518</v>
      </c>
      <c r="E4418" s="1" t="s">
        <v>1606</v>
      </c>
      <c r="F4418" s="1" t="s">
        <v>1984</v>
      </c>
      <c r="G4418" s="1" t="s">
        <v>15545</v>
      </c>
      <c r="H4418" s="1" t="s">
        <v>1762</v>
      </c>
      <c r="I4418" t="b">
        <f>COUNTIF(Estadísticas!I:I,'centraldecomunicacion.es'!H4418)&gt;0</f>
        <v>0</v>
      </c>
    </row>
    <row r="4419" spans="1:9" hidden="1">
      <c r="A4419" s="1" t="s">
        <v>15546</v>
      </c>
      <c r="B4419" s="1" t="s">
        <v>10</v>
      </c>
      <c r="C4419" s="1" t="s">
        <v>15547</v>
      </c>
      <c r="D4419" s="1" t="s">
        <v>1606</v>
      </c>
      <c r="E4419" s="1" t="s">
        <v>1606</v>
      </c>
      <c r="F4419" s="1" t="s">
        <v>30</v>
      </c>
      <c r="G4419" s="1" t="s">
        <v>30</v>
      </c>
      <c r="H4419" s="1" t="s">
        <v>1762</v>
      </c>
      <c r="I4419" t="b">
        <f>COUNTIF(Estadísticas!I:I,'centraldecomunicacion.es'!H4419)&gt;0</f>
        <v>0</v>
      </c>
    </row>
    <row r="4420" spans="1:9" hidden="1">
      <c r="A4420" s="1" t="s">
        <v>15548</v>
      </c>
      <c r="B4420" s="1" t="s">
        <v>10</v>
      </c>
      <c r="C4420" s="1" t="s">
        <v>15549</v>
      </c>
      <c r="D4420" s="1" t="s">
        <v>15550</v>
      </c>
      <c r="E4420" s="1" t="s">
        <v>15551</v>
      </c>
      <c r="F4420" s="1" t="s">
        <v>30</v>
      </c>
      <c r="G4420" s="1" t="s">
        <v>15552</v>
      </c>
      <c r="H4420" s="1" t="s">
        <v>1762</v>
      </c>
      <c r="I4420" t="b">
        <f>COUNTIF(Estadísticas!I:I,'centraldecomunicacion.es'!H4420)&gt;0</f>
        <v>0</v>
      </c>
    </row>
    <row r="4421" spans="1:9" hidden="1">
      <c r="A4421" s="1" t="s">
        <v>15553</v>
      </c>
      <c r="B4421" s="1" t="s">
        <v>10</v>
      </c>
      <c r="C4421" s="1" t="s">
        <v>15554</v>
      </c>
      <c r="D4421" s="1" t="s">
        <v>15555</v>
      </c>
      <c r="E4421" s="1" t="s">
        <v>1606</v>
      </c>
      <c r="F4421" s="1" t="s">
        <v>30</v>
      </c>
      <c r="G4421" s="1" t="s">
        <v>15359</v>
      </c>
      <c r="H4421" s="1" t="s">
        <v>1762</v>
      </c>
      <c r="I4421" t="b">
        <f>COUNTIF(Estadísticas!I:I,'centraldecomunicacion.es'!H4421)&gt;0</f>
        <v>0</v>
      </c>
    </row>
    <row r="4422" spans="1:9" hidden="1">
      <c r="A4422" s="1" t="s">
        <v>15556</v>
      </c>
      <c r="B4422" s="1" t="s">
        <v>10</v>
      </c>
      <c r="C4422" s="1" t="s">
        <v>15557</v>
      </c>
      <c r="D4422" s="1" t="s">
        <v>15558</v>
      </c>
      <c r="E4422" s="1" t="s">
        <v>1606</v>
      </c>
      <c r="F4422" s="1" t="s">
        <v>30</v>
      </c>
      <c r="G4422" s="1" t="s">
        <v>30</v>
      </c>
      <c r="H4422" s="1" t="s">
        <v>1762</v>
      </c>
      <c r="I4422" t="b">
        <f>COUNTIF(Estadísticas!I:I,'centraldecomunicacion.es'!H4422)&gt;0</f>
        <v>0</v>
      </c>
    </row>
    <row r="4423" spans="1:9">
      <c r="A4423" s="1" t="s">
        <v>1630</v>
      </c>
      <c r="B4423" s="1" t="s">
        <v>10</v>
      </c>
      <c r="C4423" s="1" t="s">
        <v>1631</v>
      </c>
      <c r="D4423" s="1" t="s">
        <v>1632</v>
      </c>
      <c r="E4423" s="1" t="s">
        <v>1606</v>
      </c>
      <c r="F4423" s="1" t="s">
        <v>1633</v>
      </c>
      <c r="G4423" s="1" t="s">
        <v>1634</v>
      </c>
      <c r="H4423" s="1" t="s">
        <v>1635</v>
      </c>
      <c r="I4423" t="b">
        <f>COUNTIF(Estadísticas!I:I,'centraldecomunicacion.es'!H4423)&gt;0</f>
        <v>1</v>
      </c>
    </row>
    <row r="4424" spans="1:9" hidden="1">
      <c r="A4424" s="1" t="s">
        <v>15559</v>
      </c>
      <c r="B4424" s="1" t="s">
        <v>10</v>
      </c>
      <c r="C4424" s="1" t="s">
        <v>15560</v>
      </c>
      <c r="D4424" s="1" t="s">
        <v>2654</v>
      </c>
      <c r="E4424" s="1" t="s">
        <v>1606</v>
      </c>
      <c r="F4424" s="1" t="s">
        <v>1984</v>
      </c>
      <c r="G4424" s="1" t="s">
        <v>15545</v>
      </c>
      <c r="H4424" s="1" t="s">
        <v>1762</v>
      </c>
      <c r="I4424" t="b">
        <f>COUNTIF(Estadísticas!I:I,'centraldecomunicacion.es'!H4424)&gt;0</f>
        <v>0</v>
      </c>
    </row>
    <row r="4425" spans="1:9" hidden="1">
      <c r="A4425" s="1" t="s">
        <v>15561</v>
      </c>
      <c r="B4425" s="1" t="s">
        <v>10</v>
      </c>
      <c r="C4425" s="1" t="s">
        <v>15562</v>
      </c>
      <c r="D4425" s="1" t="s">
        <v>15518</v>
      </c>
      <c r="E4425" s="1" t="s">
        <v>1606</v>
      </c>
      <c r="F4425" s="1" t="s">
        <v>30</v>
      </c>
      <c r="G4425" s="1" t="s">
        <v>15563</v>
      </c>
      <c r="H4425" s="1" t="s">
        <v>1762</v>
      </c>
      <c r="I4425" t="b">
        <f>COUNTIF(Estadísticas!I:I,'centraldecomunicacion.es'!H4425)&gt;0</f>
        <v>0</v>
      </c>
    </row>
    <row r="4426" spans="1:9">
      <c r="A4426" s="1" t="s">
        <v>15564</v>
      </c>
      <c r="B4426" s="1" t="s">
        <v>10</v>
      </c>
      <c r="C4426" s="1" t="s">
        <v>15565</v>
      </c>
      <c r="D4426" s="1" t="s">
        <v>1606</v>
      </c>
      <c r="E4426" s="1" t="s">
        <v>1606</v>
      </c>
      <c r="F4426" s="1" t="s">
        <v>1617</v>
      </c>
      <c r="G4426" s="1" t="s">
        <v>1618</v>
      </c>
      <c r="H4426" s="1" t="s">
        <v>1619</v>
      </c>
      <c r="I4426" t="b">
        <f>COUNTIF(Estadísticas!I:I,'centraldecomunicacion.es'!H4426)&gt;0</f>
        <v>1</v>
      </c>
    </row>
    <row r="4427" spans="1:9" hidden="1">
      <c r="A4427" s="1" t="s">
        <v>15566</v>
      </c>
      <c r="B4427" s="1" t="s">
        <v>10</v>
      </c>
      <c r="C4427" s="1" t="s">
        <v>15567</v>
      </c>
      <c r="D4427" s="1" t="s">
        <v>1606</v>
      </c>
      <c r="E4427" s="1" t="s">
        <v>1606</v>
      </c>
      <c r="F4427" s="1" t="s">
        <v>6237</v>
      </c>
      <c r="G4427" s="1" t="s">
        <v>15568</v>
      </c>
      <c r="H4427" s="1" t="s">
        <v>1762</v>
      </c>
      <c r="I4427" t="b">
        <f>COUNTIF(Estadísticas!I:I,'centraldecomunicacion.es'!H4427)&gt;0</f>
        <v>0</v>
      </c>
    </row>
    <row r="4428" spans="1:9" hidden="1">
      <c r="A4428" s="1" t="s">
        <v>15569</v>
      </c>
      <c r="B4428" s="1" t="s">
        <v>10</v>
      </c>
      <c r="C4428" s="1" t="s">
        <v>15570</v>
      </c>
      <c r="D4428" s="1" t="s">
        <v>15571</v>
      </c>
      <c r="E4428" s="1" t="s">
        <v>1606</v>
      </c>
      <c r="F4428" s="1" t="s">
        <v>30</v>
      </c>
      <c r="G4428" s="1" t="s">
        <v>15572</v>
      </c>
      <c r="H4428" s="1" t="s">
        <v>1762</v>
      </c>
      <c r="I4428" t="b">
        <f>COUNTIF(Estadísticas!I:I,'centraldecomunicacion.es'!H4428)&gt;0</f>
        <v>0</v>
      </c>
    </row>
    <row r="4429" spans="1:9" hidden="1">
      <c r="A4429" s="1" t="s">
        <v>15573</v>
      </c>
      <c r="B4429" s="1" t="s">
        <v>10</v>
      </c>
      <c r="C4429" s="1" t="s">
        <v>15574</v>
      </c>
      <c r="D4429" s="1" t="s">
        <v>15575</v>
      </c>
      <c r="E4429" s="1" t="s">
        <v>1606</v>
      </c>
      <c r="F4429" s="1" t="s">
        <v>30</v>
      </c>
      <c r="G4429" s="1" t="s">
        <v>15576</v>
      </c>
      <c r="H4429" s="1" t="s">
        <v>1762</v>
      </c>
      <c r="I4429" t="b">
        <f>COUNTIF(Estadísticas!I:I,'centraldecomunicacion.es'!H4429)&gt;0</f>
        <v>0</v>
      </c>
    </row>
    <row r="4430" spans="1:9" hidden="1">
      <c r="A4430" s="1" t="s">
        <v>15577</v>
      </c>
      <c r="B4430" s="1" t="s">
        <v>10</v>
      </c>
      <c r="C4430" s="1" t="s">
        <v>15578</v>
      </c>
      <c r="D4430" s="1" t="s">
        <v>15510</v>
      </c>
      <c r="E4430" s="1" t="s">
        <v>1606</v>
      </c>
      <c r="F4430" s="1" t="s">
        <v>30</v>
      </c>
      <c r="G4430" s="1" t="s">
        <v>15579</v>
      </c>
      <c r="H4430" s="1" t="s">
        <v>1762</v>
      </c>
      <c r="I4430" t="b">
        <f>COUNTIF(Estadísticas!I:I,'centraldecomunicacion.es'!H4430)&gt;0</f>
        <v>0</v>
      </c>
    </row>
    <row r="4431" spans="1:9" hidden="1">
      <c r="A4431" s="1" t="s">
        <v>15580</v>
      </c>
      <c r="B4431" s="1" t="s">
        <v>18</v>
      </c>
      <c r="C4431" s="1" t="s">
        <v>15581</v>
      </c>
      <c r="D4431" s="1" t="s">
        <v>15575</v>
      </c>
      <c r="E4431" s="1" t="s">
        <v>1606</v>
      </c>
      <c r="F4431" s="1" t="s">
        <v>15582</v>
      </c>
      <c r="G4431" s="1" t="s">
        <v>15583</v>
      </c>
      <c r="H4431" s="1" t="s">
        <v>15584</v>
      </c>
      <c r="I4431" t="b">
        <f>COUNTIF(Estadísticas!I:I,'centraldecomunicacion.es'!H4431)&gt;0</f>
        <v>0</v>
      </c>
    </row>
    <row r="4432" spans="1:9" hidden="1">
      <c r="A4432" s="1" t="s">
        <v>15585</v>
      </c>
      <c r="B4432" s="1" t="s">
        <v>18</v>
      </c>
      <c r="C4432" s="1" t="s">
        <v>15586</v>
      </c>
      <c r="D4432" s="1" t="s">
        <v>15313</v>
      </c>
      <c r="E4432" s="1" t="s">
        <v>1606</v>
      </c>
      <c r="F4432" s="1" t="s">
        <v>30</v>
      </c>
      <c r="G4432" s="1" t="s">
        <v>15587</v>
      </c>
      <c r="H4432" s="1" t="s">
        <v>1762</v>
      </c>
      <c r="I4432" t="b">
        <f>COUNTIF(Estadísticas!I:I,'centraldecomunicacion.es'!H4432)&gt;0</f>
        <v>0</v>
      </c>
    </row>
    <row r="4433" spans="1:9" hidden="1">
      <c r="A4433" s="1" t="s">
        <v>11959</v>
      </c>
      <c r="B4433" s="1" t="s">
        <v>10</v>
      </c>
      <c r="C4433" s="1" t="s">
        <v>15588</v>
      </c>
      <c r="D4433" s="1" t="s">
        <v>1632</v>
      </c>
      <c r="E4433" s="1" t="s">
        <v>1606</v>
      </c>
      <c r="F4433" s="1" t="s">
        <v>30</v>
      </c>
      <c r="G4433" s="1" t="s">
        <v>15589</v>
      </c>
      <c r="H4433" s="1" t="s">
        <v>1762</v>
      </c>
      <c r="I4433" t="b">
        <f>COUNTIF(Estadísticas!I:I,'centraldecomunicacion.es'!H4433)&gt;0</f>
        <v>0</v>
      </c>
    </row>
    <row r="4434" spans="1:9" hidden="1">
      <c r="A4434" s="1" t="s">
        <v>15590</v>
      </c>
      <c r="B4434" s="1" t="s">
        <v>10</v>
      </c>
      <c r="C4434" s="1" t="s">
        <v>15591</v>
      </c>
      <c r="D4434" s="1" t="s">
        <v>15592</v>
      </c>
      <c r="E4434" s="1" t="s">
        <v>1606</v>
      </c>
      <c r="F4434" s="1" t="s">
        <v>30</v>
      </c>
      <c r="G4434" s="1" t="s">
        <v>15593</v>
      </c>
      <c r="H4434" s="1" t="s">
        <v>1762</v>
      </c>
      <c r="I4434" t="b">
        <f>COUNTIF(Estadísticas!I:I,'centraldecomunicacion.es'!H4434)&gt;0</f>
        <v>0</v>
      </c>
    </row>
    <row r="4435" spans="1:9" hidden="1">
      <c r="A4435" s="1" t="s">
        <v>15594</v>
      </c>
      <c r="B4435" s="1" t="s">
        <v>10</v>
      </c>
      <c r="C4435" s="1" t="s">
        <v>15595</v>
      </c>
      <c r="D4435" s="1" t="s">
        <v>15596</v>
      </c>
      <c r="E4435" s="1" t="s">
        <v>1606</v>
      </c>
      <c r="F4435" s="1" t="s">
        <v>1984</v>
      </c>
      <c r="G4435" s="1" t="s">
        <v>1618</v>
      </c>
      <c r="H4435" s="1" t="s">
        <v>1762</v>
      </c>
      <c r="I4435" t="b">
        <f>COUNTIF(Estadísticas!I:I,'centraldecomunicacion.es'!H4435)&gt;0</f>
        <v>0</v>
      </c>
    </row>
    <row r="4436" spans="1:9" hidden="1">
      <c r="A4436" s="1" t="s">
        <v>15597</v>
      </c>
      <c r="B4436" s="1" t="s">
        <v>10</v>
      </c>
      <c r="C4436" s="1" t="s">
        <v>15598</v>
      </c>
      <c r="D4436" s="1" t="s">
        <v>15599</v>
      </c>
      <c r="E4436" s="1" t="s">
        <v>1606</v>
      </c>
      <c r="F4436" s="1" t="s">
        <v>30</v>
      </c>
      <c r="G4436" s="1" t="s">
        <v>15600</v>
      </c>
      <c r="H4436" s="1" t="s">
        <v>1762</v>
      </c>
      <c r="I4436" t="b">
        <f>COUNTIF(Estadísticas!I:I,'centraldecomunicacion.es'!H4436)&gt;0</f>
        <v>0</v>
      </c>
    </row>
    <row r="4437" spans="1:9" hidden="1">
      <c r="A4437" s="1" t="s">
        <v>15601</v>
      </c>
      <c r="B4437" s="1" t="s">
        <v>10</v>
      </c>
      <c r="C4437" s="1" t="s">
        <v>15602</v>
      </c>
      <c r="D4437" s="1" t="s">
        <v>15313</v>
      </c>
      <c r="E4437" s="1" t="s">
        <v>1606</v>
      </c>
      <c r="F4437" s="1" t="s">
        <v>30</v>
      </c>
      <c r="G4437" s="1" t="s">
        <v>15603</v>
      </c>
      <c r="H4437" s="1" t="s">
        <v>1762</v>
      </c>
      <c r="I4437" t="b">
        <f>COUNTIF(Estadísticas!I:I,'centraldecomunicacion.es'!H4437)&gt;0</f>
        <v>0</v>
      </c>
    </row>
    <row r="4438" spans="1:9" hidden="1">
      <c r="A4438" s="1" t="s">
        <v>15604</v>
      </c>
      <c r="B4438" s="1" t="s">
        <v>3050</v>
      </c>
      <c r="C4438" s="1" t="s">
        <v>15605</v>
      </c>
      <c r="D4438" s="1" t="s">
        <v>1606</v>
      </c>
      <c r="E4438" s="1" t="s">
        <v>1606</v>
      </c>
      <c r="F4438" s="1" t="s">
        <v>30</v>
      </c>
      <c r="G4438" s="1" t="s">
        <v>15606</v>
      </c>
      <c r="H4438" s="1" t="s">
        <v>1762</v>
      </c>
      <c r="I4438" t="b">
        <f>COUNTIF(Estadísticas!I:I,'centraldecomunicacion.es'!H4438)&gt;0</f>
        <v>0</v>
      </c>
    </row>
    <row r="4439" spans="1:9" hidden="1">
      <c r="A4439" s="1" t="s">
        <v>15607</v>
      </c>
      <c r="B4439" s="1" t="s">
        <v>10</v>
      </c>
      <c r="C4439" s="1" t="s">
        <v>15608</v>
      </c>
      <c r="D4439" s="1" t="s">
        <v>15313</v>
      </c>
      <c r="E4439" s="1" t="s">
        <v>1606</v>
      </c>
      <c r="F4439" s="1" t="s">
        <v>30</v>
      </c>
      <c r="G4439" s="1" t="s">
        <v>15609</v>
      </c>
      <c r="H4439" s="1" t="s">
        <v>1762</v>
      </c>
      <c r="I4439" t="b">
        <f>COUNTIF(Estadísticas!I:I,'centraldecomunicacion.es'!H4439)&gt;0</f>
        <v>0</v>
      </c>
    </row>
    <row r="4440" spans="1:9" hidden="1">
      <c r="A4440" s="1" t="s">
        <v>15610</v>
      </c>
      <c r="B4440" s="1" t="s">
        <v>10</v>
      </c>
      <c r="C4440" s="1" t="s">
        <v>15611</v>
      </c>
      <c r="D4440" s="1" t="s">
        <v>15592</v>
      </c>
      <c r="E4440" s="1" t="s">
        <v>1606</v>
      </c>
      <c r="F4440" s="1" t="s">
        <v>15612</v>
      </c>
      <c r="G4440" s="1" t="s">
        <v>15613</v>
      </c>
      <c r="H4440" s="1" t="s">
        <v>15614</v>
      </c>
      <c r="I4440" t="b">
        <f>COUNTIF(Estadísticas!I:I,'centraldecomunicacion.es'!H4440)&gt;0</f>
        <v>0</v>
      </c>
    </row>
    <row r="4441" spans="1:9" hidden="1">
      <c r="A4441" s="1" t="s">
        <v>15615</v>
      </c>
      <c r="B4441" s="1" t="s">
        <v>10</v>
      </c>
      <c r="C4441" s="1" t="s">
        <v>15616</v>
      </c>
      <c r="D4441" s="1" t="s">
        <v>15617</v>
      </c>
      <c r="E4441" s="1" t="s">
        <v>1606</v>
      </c>
      <c r="F4441" s="1" t="s">
        <v>30</v>
      </c>
      <c r="G4441" s="1" t="s">
        <v>15618</v>
      </c>
      <c r="H4441" s="1" t="s">
        <v>1762</v>
      </c>
      <c r="I4441" t="b">
        <f>COUNTIF(Estadísticas!I:I,'centraldecomunicacion.es'!H4441)&gt;0</f>
        <v>0</v>
      </c>
    </row>
    <row r="4442" spans="1:9" hidden="1">
      <c r="A4442" s="1" t="s">
        <v>15619</v>
      </c>
      <c r="B4442" s="1" t="s">
        <v>10</v>
      </c>
      <c r="C4442" s="1" t="s">
        <v>15620</v>
      </c>
      <c r="D4442" s="1" t="s">
        <v>15621</v>
      </c>
      <c r="E4442" s="1" t="s">
        <v>1606</v>
      </c>
      <c r="F4442" s="1" t="s">
        <v>30</v>
      </c>
      <c r="G4442" s="1" t="s">
        <v>30</v>
      </c>
      <c r="H4442" s="1" t="s">
        <v>1762</v>
      </c>
      <c r="I4442" t="b">
        <f>COUNTIF(Estadísticas!I:I,'centraldecomunicacion.es'!H4442)&gt;0</f>
        <v>0</v>
      </c>
    </row>
    <row r="4443" spans="1:9" hidden="1">
      <c r="A4443" s="1" t="s">
        <v>15622</v>
      </c>
      <c r="B4443" s="1" t="s">
        <v>10</v>
      </c>
      <c r="C4443" s="1" t="s">
        <v>15623</v>
      </c>
      <c r="D4443" s="1" t="s">
        <v>15624</v>
      </c>
      <c r="E4443" s="1" t="s">
        <v>1606</v>
      </c>
      <c r="F4443" s="1" t="s">
        <v>15625</v>
      </c>
      <c r="G4443" s="1" t="s">
        <v>15626</v>
      </c>
      <c r="H4443" s="1" t="s">
        <v>15627</v>
      </c>
      <c r="I4443" t="b">
        <f>COUNTIF(Estadísticas!I:I,'centraldecomunicacion.es'!H4443)&gt;0</f>
        <v>0</v>
      </c>
    </row>
    <row r="4444" spans="1:9" hidden="1">
      <c r="A4444" s="1" t="s">
        <v>15628</v>
      </c>
      <c r="B4444" s="1" t="s">
        <v>10</v>
      </c>
      <c r="C4444" s="1" t="s">
        <v>15629</v>
      </c>
      <c r="D4444" s="1" t="s">
        <v>15621</v>
      </c>
      <c r="E4444" s="1" t="s">
        <v>1606</v>
      </c>
      <c r="F4444" s="1" t="s">
        <v>1984</v>
      </c>
      <c r="G4444" s="1" t="s">
        <v>15545</v>
      </c>
      <c r="H4444" s="1" t="s">
        <v>1762</v>
      </c>
      <c r="I4444" t="b">
        <f>COUNTIF(Estadísticas!I:I,'centraldecomunicacion.es'!H4444)&gt;0</f>
        <v>0</v>
      </c>
    </row>
    <row r="4445" spans="1:9" hidden="1">
      <c r="A4445" s="1" t="s">
        <v>15630</v>
      </c>
      <c r="B4445" s="1" t="s">
        <v>10</v>
      </c>
      <c r="C4445" s="1" t="s">
        <v>15631</v>
      </c>
      <c r="D4445" s="1" t="s">
        <v>15632</v>
      </c>
      <c r="E4445" s="1" t="s">
        <v>1606</v>
      </c>
      <c r="F4445" s="1" t="s">
        <v>15633</v>
      </c>
      <c r="G4445" s="1" t="s">
        <v>15634</v>
      </c>
      <c r="H4445" s="1" t="s">
        <v>1762</v>
      </c>
      <c r="I4445" t="b">
        <f>COUNTIF(Estadísticas!I:I,'centraldecomunicacion.es'!H4445)&gt;0</f>
        <v>0</v>
      </c>
    </row>
    <row r="4446" spans="1:9" hidden="1">
      <c r="A4446" s="1" t="s">
        <v>15635</v>
      </c>
      <c r="B4446" s="1" t="s">
        <v>10</v>
      </c>
      <c r="C4446" s="1" t="s">
        <v>15636</v>
      </c>
      <c r="D4446" s="1" t="s">
        <v>15637</v>
      </c>
      <c r="E4446" s="1" t="s">
        <v>1606</v>
      </c>
      <c r="F4446" s="1" t="s">
        <v>30</v>
      </c>
      <c r="G4446" s="1" t="s">
        <v>15638</v>
      </c>
      <c r="H4446" s="1" t="s">
        <v>1762</v>
      </c>
      <c r="I4446" t="b">
        <f>COUNTIF(Estadísticas!I:I,'centraldecomunicacion.es'!H4446)&gt;0</f>
        <v>0</v>
      </c>
    </row>
    <row r="4447" spans="1:9" hidden="1">
      <c r="A4447" s="1" t="s">
        <v>15639</v>
      </c>
      <c r="B4447" s="1" t="s">
        <v>10</v>
      </c>
      <c r="C4447" s="1" t="s">
        <v>15640</v>
      </c>
      <c r="D4447" s="1" t="s">
        <v>15621</v>
      </c>
      <c r="E4447" s="1" t="s">
        <v>1606</v>
      </c>
      <c r="F4447" s="1" t="s">
        <v>30</v>
      </c>
      <c r="G4447" s="1" t="s">
        <v>15641</v>
      </c>
      <c r="H4447" s="1" t="s">
        <v>1762</v>
      </c>
      <c r="I4447" t="b">
        <f>COUNTIF(Estadísticas!I:I,'centraldecomunicacion.es'!H4447)&gt;0</f>
        <v>0</v>
      </c>
    </row>
    <row r="4448" spans="1:9" hidden="1">
      <c r="A4448" s="1" t="s">
        <v>15642</v>
      </c>
      <c r="B4448" s="1" t="s">
        <v>10</v>
      </c>
      <c r="C4448" s="1" t="s">
        <v>15643</v>
      </c>
      <c r="D4448" s="1" t="s">
        <v>15596</v>
      </c>
      <c r="E4448" s="1" t="s">
        <v>1606</v>
      </c>
      <c r="F4448" s="1" t="s">
        <v>30</v>
      </c>
      <c r="G4448" s="1" t="s">
        <v>15644</v>
      </c>
      <c r="H4448" s="1" t="s">
        <v>1762</v>
      </c>
      <c r="I4448" t="b">
        <f>COUNTIF(Estadísticas!I:I,'centraldecomunicacion.es'!H4448)&gt;0</f>
        <v>0</v>
      </c>
    </row>
    <row r="4449" spans="1:9" hidden="1">
      <c r="A4449" s="1" t="s">
        <v>15645</v>
      </c>
      <c r="B4449" s="1" t="s">
        <v>18</v>
      </c>
      <c r="C4449" s="1" t="s">
        <v>15646</v>
      </c>
      <c r="D4449" s="1" t="s">
        <v>1606</v>
      </c>
      <c r="E4449" s="1" t="s">
        <v>1606</v>
      </c>
      <c r="F4449" s="1" t="s">
        <v>15647</v>
      </c>
      <c r="G4449" s="1" t="s">
        <v>15648</v>
      </c>
      <c r="H4449" s="1" t="s">
        <v>15649</v>
      </c>
      <c r="I4449" t="b">
        <f>COUNTIF(Estadísticas!I:I,'centraldecomunicacion.es'!H4449)&gt;0</f>
        <v>0</v>
      </c>
    </row>
    <row r="4450" spans="1:9" hidden="1">
      <c r="A4450" s="1" t="s">
        <v>15650</v>
      </c>
      <c r="B4450" s="1" t="s">
        <v>10</v>
      </c>
      <c r="C4450" s="1" t="s">
        <v>15651</v>
      </c>
      <c r="D4450" s="1" t="s">
        <v>15652</v>
      </c>
      <c r="E4450" s="1" t="s">
        <v>1606</v>
      </c>
      <c r="F4450" s="1" t="s">
        <v>30</v>
      </c>
      <c r="G4450" s="1" t="s">
        <v>15653</v>
      </c>
      <c r="H4450" s="1" t="s">
        <v>1762</v>
      </c>
      <c r="I4450" t="b">
        <f>COUNTIF(Estadísticas!I:I,'centraldecomunicacion.es'!H4450)&gt;0</f>
        <v>0</v>
      </c>
    </row>
    <row r="4451" spans="1:9" hidden="1">
      <c r="A4451" s="1" t="s">
        <v>15654</v>
      </c>
      <c r="B4451" s="1" t="s">
        <v>10</v>
      </c>
      <c r="C4451" s="1" t="s">
        <v>15655</v>
      </c>
      <c r="D4451" s="1" t="s">
        <v>15656</v>
      </c>
      <c r="E4451" s="1" t="s">
        <v>1606</v>
      </c>
      <c r="F4451" s="1" t="s">
        <v>30</v>
      </c>
      <c r="G4451" s="1" t="s">
        <v>15657</v>
      </c>
      <c r="H4451" s="1" t="s">
        <v>1762</v>
      </c>
      <c r="I4451" t="b">
        <f>COUNTIF(Estadísticas!I:I,'centraldecomunicacion.es'!H4451)&gt;0</f>
        <v>0</v>
      </c>
    </row>
    <row r="4452" spans="1:9" hidden="1">
      <c r="A4452" s="1" t="s">
        <v>15658</v>
      </c>
      <c r="B4452" s="1" t="s">
        <v>10</v>
      </c>
      <c r="C4452" s="1" t="s">
        <v>15659</v>
      </c>
      <c r="D4452" s="1" t="s">
        <v>15660</v>
      </c>
      <c r="E4452" s="1" t="s">
        <v>1606</v>
      </c>
      <c r="F4452" s="1" t="s">
        <v>30</v>
      </c>
      <c r="G4452" s="1" t="s">
        <v>15661</v>
      </c>
      <c r="H4452" s="1" t="s">
        <v>1762</v>
      </c>
      <c r="I4452" t="b">
        <f>COUNTIF(Estadísticas!I:I,'centraldecomunicacion.es'!H4452)&gt;0</f>
        <v>0</v>
      </c>
    </row>
    <row r="4453" spans="1:9" hidden="1">
      <c r="A4453" s="1" t="s">
        <v>15662</v>
      </c>
      <c r="B4453" s="1" t="s">
        <v>18</v>
      </c>
      <c r="C4453" s="1" t="s">
        <v>15663</v>
      </c>
      <c r="D4453" s="1" t="s">
        <v>15518</v>
      </c>
      <c r="E4453" s="1" t="s">
        <v>1606</v>
      </c>
      <c r="F4453" s="1" t="s">
        <v>30</v>
      </c>
      <c r="G4453" s="1" t="s">
        <v>15664</v>
      </c>
      <c r="H4453" s="1" t="s">
        <v>1762</v>
      </c>
      <c r="I4453" t="b">
        <f>COUNTIF(Estadísticas!I:I,'centraldecomunicacion.es'!H4453)&gt;0</f>
        <v>0</v>
      </c>
    </row>
    <row r="4454" spans="1:9" hidden="1">
      <c r="A4454" s="1" t="s">
        <v>15665</v>
      </c>
      <c r="B4454" s="1" t="s">
        <v>10</v>
      </c>
      <c r="C4454" s="1" t="s">
        <v>15666</v>
      </c>
      <c r="D4454" s="1" t="s">
        <v>1638</v>
      </c>
      <c r="E4454" s="1" t="s">
        <v>1606</v>
      </c>
      <c r="F4454" s="1" t="s">
        <v>15667</v>
      </c>
      <c r="G4454" s="1" t="s">
        <v>15668</v>
      </c>
      <c r="H4454" s="1" t="s">
        <v>1762</v>
      </c>
      <c r="I4454" t="b">
        <f>COUNTIF(Estadísticas!I:I,'centraldecomunicacion.es'!H4454)&gt;0</f>
        <v>0</v>
      </c>
    </row>
    <row r="4455" spans="1:9" hidden="1">
      <c r="A4455" s="1" t="s">
        <v>15669</v>
      </c>
      <c r="B4455" s="1" t="s">
        <v>10</v>
      </c>
      <c r="C4455" s="1" t="s">
        <v>15670</v>
      </c>
      <c r="D4455" s="1" t="s">
        <v>15660</v>
      </c>
      <c r="E4455" s="1" t="s">
        <v>1606</v>
      </c>
      <c r="F4455" s="1" t="s">
        <v>1984</v>
      </c>
      <c r="G4455" s="1" t="s">
        <v>15671</v>
      </c>
      <c r="H4455" s="1" t="s">
        <v>1762</v>
      </c>
      <c r="I4455" t="b">
        <f>COUNTIF(Estadísticas!I:I,'centraldecomunicacion.es'!H4455)&gt;0</f>
        <v>0</v>
      </c>
    </row>
    <row r="4456" spans="1:9" hidden="1">
      <c r="A4456" s="1" t="s">
        <v>15672</v>
      </c>
      <c r="B4456" s="1" t="s">
        <v>10</v>
      </c>
      <c r="C4456" s="1" t="s">
        <v>15673</v>
      </c>
      <c r="D4456" s="1" t="s">
        <v>15674</v>
      </c>
      <c r="E4456" s="1" t="s">
        <v>1606</v>
      </c>
      <c r="F4456" s="1" t="s">
        <v>30</v>
      </c>
      <c r="G4456" s="1" t="s">
        <v>15675</v>
      </c>
      <c r="H4456" s="1" t="s">
        <v>1762</v>
      </c>
      <c r="I4456" t="b">
        <f>COUNTIF(Estadísticas!I:I,'centraldecomunicacion.es'!H4456)&gt;0</f>
        <v>0</v>
      </c>
    </row>
    <row r="4457" spans="1:9" hidden="1">
      <c r="A4457" s="1" t="s">
        <v>15676</v>
      </c>
      <c r="B4457" s="1" t="s">
        <v>10</v>
      </c>
      <c r="C4457" s="1" t="s">
        <v>15677</v>
      </c>
      <c r="D4457" s="1" t="s">
        <v>15678</v>
      </c>
      <c r="E4457" s="1" t="s">
        <v>1606</v>
      </c>
      <c r="F4457" s="1" t="s">
        <v>30</v>
      </c>
      <c r="G4457" s="1" t="s">
        <v>30</v>
      </c>
      <c r="H4457" s="1" t="s">
        <v>1762</v>
      </c>
      <c r="I4457" t="b">
        <f>COUNTIF(Estadísticas!I:I,'centraldecomunicacion.es'!H4457)&gt;0</f>
        <v>0</v>
      </c>
    </row>
    <row r="4458" spans="1:9" hidden="1">
      <c r="A4458" s="1" t="s">
        <v>15679</v>
      </c>
      <c r="B4458" s="1" t="s">
        <v>18</v>
      </c>
      <c r="C4458" s="1" t="s">
        <v>15680</v>
      </c>
      <c r="D4458" s="1" t="s">
        <v>15681</v>
      </c>
      <c r="E4458" s="1" t="s">
        <v>1606</v>
      </c>
      <c r="F4458" s="1" t="s">
        <v>15682</v>
      </c>
      <c r="G4458" s="1" t="s">
        <v>15683</v>
      </c>
      <c r="H4458" s="1" t="s">
        <v>1762</v>
      </c>
      <c r="I4458" t="b">
        <f>COUNTIF(Estadísticas!I:I,'centraldecomunicacion.es'!H4458)&gt;0</f>
        <v>0</v>
      </c>
    </row>
    <row r="4459" spans="1:9" hidden="1">
      <c r="A4459" s="1" t="s">
        <v>15684</v>
      </c>
      <c r="B4459" s="1" t="s">
        <v>10</v>
      </c>
      <c r="C4459" s="1" t="s">
        <v>15685</v>
      </c>
      <c r="D4459" s="1" t="s">
        <v>15686</v>
      </c>
      <c r="E4459" s="1" t="s">
        <v>1606</v>
      </c>
      <c r="F4459" s="1" t="s">
        <v>30</v>
      </c>
      <c r="G4459" s="1" t="s">
        <v>30</v>
      </c>
      <c r="H4459" s="1" t="s">
        <v>1762</v>
      </c>
      <c r="I4459" t="b">
        <f>COUNTIF(Estadísticas!I:I,'centraldecomunicacion.es'!H4459)&gt;0</f>
        <v>0</v>
      </c>
    </row>
    <row r="4460" spans="1:9" hidden="1">
      <c r="A4460" s="1" t="s">
        <v>15687</v>
      </c>
      <c r="B4460" s="1" t="s">
        <v>10</v>
      </c>
      <c r="C4460" s="1" t="s">
        <v>15688</v>
      </c>
      <c r="D4460" s="1" t="s">
        <v>15632</v>
      </c>
      <c r="E4460" s="1" t="s">
        <v>1606</v>
      </c>
      <c r="F4460" s="1" t="s">
        <v>30</v>
      </c>
      <c r="G4460" s="1" t="s">
        <v>15689</v>
      </c>
      <c r="H4460" s="1" t="s">
        <v>1762</v>
      </c>
      <c r="I4460" t="b">
        <f>COUNTIF(Estadísticas!I:I,'centraldecomunicacion.es'!H4460)&gt;0</f>
        <v>0</v>
      </c>
    </row>
    <row r="4461" spans="1:9">
      <c r="A4461" s="1" t="s">
        <v>1636</v>
      </c>
      <c r="B4461" s="1" t="s">
        <v>10</v>
      </c>
      <c r="C4461" s="1" t="s">
        <v>1637</v>
      </c>
      <c r="D4461" s="1" t="s">
        <v>1638</v>
      </c>
      <c r="E4461" s="1" t="s">
        <v>1606</v>
      </c>
      <c r="F4461" s="1" t="s">
        <v>1639</v>
      </c>
      <c r="G4461" s="1" t="s">
        <v>1640</v>
      </c>
      <c r="H4461" s="1" t="s">
        <v>1641</v>
      </c>
      <c r="I4461" t="b">
        <f>COUNTIF(Estadísticas!I:I,'centraldecomunicacion.es'!H4461)&gt;0</f>
        <v>1</v>
      </c>
    </row>
    <row r="4462" spans="1:9" hidden="1">
      <c r="A4462" s="1" t="s">
        <v>15690</v>
      </c>
      <c r="B4462" s="1" t="s">
        <v>10</v>
      </c>
      <c r="C4462" s="1" t="s">
        <v>15691</v>
      </c>
      <c r="D4462" s="1" t="s">
        <v>15692</v>
      </c>
      <c r="E4462" s="1" t="s">
        <v>1606</v>
      </c>
      <c r="F4462" s="1" t="s">
        <v>30</v>
      </c>
      <c r="G4462" s="1" t="s">
        <v>15693</v>
      </c>
      <c r="H4462" s="1" t="s">
        <v>1762</v>
      </c>
      <c r="I4462" t="b">
        <f>COUNTIF(Estadísticas!I:I,'centraldecomunicacion.es'!H4462)&gt;0</f>
        <v>0</v>
      </c>
    </row>
    <row r="4463" spans="1:9" hidden="1">
      <c r="A4463" s="1" t="s">
        <v>15694</v>
      </c>
      <c r="B4463" s="1" t="s">
        <v>10</v>
      </c>
      <c r="C4463" s="1" t="s">
        <v>15695</v>
      </c>
      <c r="D4463" s="1" t="s">
        <v>15696</v>
      </c>
      <c r="E4463" s="1" t="s">
        <v>1606</v>
      </c>
      <c r="F4463" s="1" t="s">
        <v>30</v>
      </c>
      <c r="G4463" s="1" t="s">
        <v>30</v>
      </c>
      <c r="H4463" s="1" t="s">
        <v>1762</v>
      </c>
      <c r="I4463" t="b">
        <f>COUNTIF(Estadísticas!I:I,'centraldecomunicacion.es'!H4463)&gt;0</f>
        <v>0</v>
      </c>
    </row>
    <row r="4464" spans="1:9" hidden="1">
      <c r="A4464" s="1" t="s">
        <v>15697</v>
      </c>
      <c r="B4464" s="1" t="s">
        <v>10</v>
      </c>
      <c r="C4464" s="1" t="s">
        <v>15698</v>
      </c>
      <c r="D4464" s="1" t="s">
        <v>15699</v>
      </c>
      <c r="E4464" s="1" t="s">
        <v>1606</v>
      </c>
      <c r="F4464" s="1" t="s">
        <v>30</v>
      </c>
      <c r="G4464" s="1" t="s">
        <v>30</v>
      </c>
      <c r="H4464" s="1" t="s">
        <v>1762</v>
      </c>
      <c r="I4464" t="b">
        <f>COUNTIF(Estadísticas!I:I,'centraldecomunicacion.es'!H4464)&gt;0</f>
        <v>0</v>
      </c>
    </row>
    <row r="4465" spans="1:9" hidden="1">
      <c r="A4465" s="1" t="s">
        <v>15700</v>
      </c>
      <c r="B4465" s="1" t="s">
        <v>10</v>
      </c>
      <c r="C4465" s="1" t="s">
        <v>15701</v>
      </c>
      <c r="D4465" s="1" t="s">
        <v>15632</v>
      </c>
      <c r="E4465" s="1" t="s">
        <v>1606</v>
      </c>
      <c r="F4465" s="1" t="s">
        <v>30</v>
      </c>
      <c r="G4465" s="1" t="s">
        <v>15702</v>
      </c>
      <c r="H4465" s="1" t="s">
        <v>1762</v>
      </c>
      <c r="I4465" t="b">
        <f>COUNTIF(Estadísticas!I:I,'centraldecomunicacion.es'!H4465)&gt;0</f>
        <v>0</v>
      </c>
    </row>
    <row r="4466" spans="1:9" hidden="1">
      <c r="A4466" s="1" t="s">
        <v>15703</v>
      </c>
      <c r="B4466" s="1" t="s">
        <v>10</v>
      </c>
      <c r="C4466" s="1" t="s">
        <v>15704</v>
      </c>
      <c r="D4466" s="1" t="s">
        <v>15705</v>
      </c>
      <c r="E4466" s="1" t="s">
        <v>1606</v>
      </c>
      <c r="F4466" s="1" t="s">
        <v>1984</v>
      </c>
      <c r="G4466" s="1" t="s">
        <v>15706</v>
      </c>
      <c r="H4466" s="1" t="s">
        <v>1762</v>
      </c>
      <c r="I4466" t="b">
        <f>COUNTIF(Estadísticas!I:I,'centraldecomunicacion.es'!H4466)&gt;0</f>
        <v>0</v>
      </c>
    </row>
    <row r="4467" spans="1:9" hidden="1">
      <c r="A4467" s="1" t="s">
        <v>15707</v>
      </c>
      <c r="B4467" s="1" t="s">
        <v>10</v>
      </c>
      <c r="C4467" s="1" t="s">
        <v>15708</v>
      </c>
      <c r="D4467" s="1" t="s">
        <v>15709</v>
      </c>
      <c r="E4467" s="1" t="s">
        <v>1606</v>
      </c>
      <c r="F4467" s="1" t="s">
        <v>30</v>
      </c>
      <c r="G4467" s="1" t="s">
        <v>30</v>
      </c>
      <c r="H4467" s="1" t="s">
        <v>1762</v>
      </c>
      <c r="I4467" t="b">
        <f>COUNTIF(Estadísticas!I:I,'centraldecomunicacion.es'!H4467)&gt;0</f>
        <v>0</v>
      </c>
    </row>
    <row r="4468" spans="1:9" hidden="1">
      <c r="A4468" s="1" t="s">
        <v>15710</v>
      </c>
      <c r="B4468" s="1" t="s">
        <v>10</v>
      </c>
      <c r="C4468" s="1" t="s">
        <v>15711</v>
      </c>
      <c r="D4468" s="1" t="s">
        <v>15596</v>
      </c>
      <c r="E4468" s="1" t="s">
        <v>1606</v>
      </c>
      <c r="F4468" s="1" t="s">
        <v>15712</v>
      </c>
      <c r="G4468" s="1" t="s">
        <v>15713</v>
      </c>
      <c r="H4468" s="1" t="s">
        <v>1762</v>
      </c>
      <c r="I4468" t="b">
        <f>COUNTIF(Estadísticas!I:I,'centraldecomunicacion.es'!H4468)&gt;0</f>
        <v>0</v>
      </c>
    </row>
    <row r="4469" spans="1:9" hidden="1">
      <c r="A4469" s="1" t="s">
        <v>15714</v>
      </c>
      <c r="B4469" s="1" t="s">
        <v>18</v>
      </c>
      <c r="C4469" s="1" t="s">
        <v>15715</v>
      </c>
      <c r="D4469" s="1" t="s">
        <v>13675</v>
      </c>
      <c r="E4469" s="1" t="s">
        <v>1606</v>
      </c>
      <c r="F4469" s="1" t="s">
        <v>15716</v>
      </c>
      <c r="G4469" s="1" t="s">
        <v>15717</v>
      </c>
      <c r="H4469" s="1" t="s">
        <v>1762</v>
      </c>
      <c r="I4469" t="b">
        <f>COUNTIF(Estadísticas!I:I,'centraldecomunicacion.es'!H4469)&gt;0</f>
        <v>0</v>
      </c>
    </row>
    <row r="4470" spans="1:9" hidden="1">
      <c r="A4470" s="1" t="s">
        <v>15718</v>
      </c>
      <c r="B4470" s="1" t="s">
        <v>10</v>
      </c>
      <c r="C4470" s="1" t="s">
        <v>15719</v>
      </c>
      <c r="D4470" s="1" t="s">
        <v>6044</v>
      </c>
      <c r="E4470" s="1" t="s">
        <v>1606</v>
      </c>
      <c r="F4470" s="1" t="s">
        <v>30</v>
      </c>
      <c r="G4470" s="1" t="s">
        <v>15720</v>
      </c>
      <c r="H4470" s="1" t="s">
        <v>1762</v>
      </c>
      <c r="I4470" t="b">
        <f>COUNTIF(Estadísticas!I:I,'centraldecomunicacion.es'!H4470)&gt;0</f>
        <v>0</v>
      </c>
    </row>
    <row r="4471" spans="1:9" hidden="1">
      <c r="A4471" s="1" t="s">
        <v>15721</v>
      </c>
      <c r="B4471" s="1" t="s">
        <v>18</v>
      </c>
      <c r="C4471" s="1" t="s">
        <v>15722</v>
      </c>
      <c r="D4471" s="1" t="s">
        <v>12066</v>
      </c>
      <c r="E4471" s="1" t="s">
        <v>1606</v>
      </c>
      <c r="F4471" s="1" t="s">
        <v>15723</v>
      </c>
      <c r="G4471" s="1" t="s">
        <v>15724</v>
      </c>
      <c r="H4471" s="1" t="s">
        <v>15725</v>
      </c>
      <c r="I4471" t="b">
        <f>COUNTIF(Estadísticas!I:I,'centraldecomunicacion.es'!H4471)&gt;0</f>
        <v>0</v>
      </c>
    </row>
    <row r="4472" spans="1:9" hidden="1">
      <c r="A4472" s="1" t="s">
        <v>15726</v>
      </c>
      <c r="B4472" s="1" t="s">
        <v>18</v>
      </c>
      <c r="C4472" s="1" t="s">
        <v>15727</v>
      </c>
      <c r="D4472" s="1" t="s">
        <v>15510</v>
      </c>
      <c r="E4472" s="1" t="s">
        <v>1606</v>
      </c>
      <c r="F4472" s="1" t="s">
        <v>15728</v>
      </c>
      <c r="G4472" s="1" t="s">
        <v>15729</v>
      </c>
      <c r="H4472" s="1" t="s">
        <v>1762</v>
      </c>
      <c r="I4472" t="b">
        <f>COUNTIF(Estadísticas!I:I,'centraldecomunicacion.es'!H4472)&gt;0</f>
        <v>0</v>
      </c>
    </row>
    <row r="4473" spans="1:9" hidden="1">
      <c r="A4473" s="1" t="s">
        <v>15730</v>
      </c>
      <c r="B4473" s="1" t="s">
        <v>10</v>
      </c>
      <c r="C4473" s="1" t="s">
        <v>15731</v>
      </c>
      <c r="D4473" s="1" t="s">
        <v>15313</v>
      </c>
      <c r="E4473" s="1" t="s">
        <v>1606</v>
      </c>
      <c r="F4473" s="1" t="s">
        <v>15732</v>
      </c>
      <c r="G4473" s="1" t="s">
        <v>30</v>
      </c>
      <c r="H4473" s="1" t="s">
        <v>1762</v>
      </c>
      <c r="I4473" t="b">
        <f>COUNTIF(Estadísticas!I:I,'centraldecomunicacion.es'!H4473)&gt;0</f>
        <v>0</v>
      </c>
    </row>
    <row r="4474" spans="1:9" hidden="1">
      <c r="A4474" s="1" t="s">
        <v>15733</v>
      </c>
      <c r="B4474" s="1" t="s">
        <v>10</v>
      </c>
      <c r="C4474" s="1" t="s">
        <v>15734</v>
      </c>
      <c r="D4474" s="1" t="s">
        <v>12066</v>
      </c>
      <c r="E4474" s="1" t="s">
        <v>1606</v>
      </c>
      <c r="F4474" s="1" t="s">
        <v>30</v>
      </c>
      <c r="G4474" s="1" t="s">
        <v>15735</v>
      </c>
      <c r="H4474" s="1" t="s">
        <v>1762</v>
      </c>
      <c r="I4474" t="b">
        <f>COUNTIF(Estadísticas!I:I,'centraldecomunicacion.es'!H4474)&gt;0</f>
        <v>0</v>
      </c>
    </row>
    <row r="4475" spans="1:9" hidden="1">
      <c r="A4475" s="1" t="s">
        <v>15736</v>
      </c>
      <c r="B4475" s="1" t="s">
        <v>10</v>
      </c>
      <c r="C4475" s="1" t="s">
        <v>15737</v>
      </c>
      <c r="D4475" s="1" t="s">
        <v>15738</v>
      </c>
      <c r="E4475" s="1" t="s">
        <v>1606</v>
      </c>
      <c r="F4475" s="1" t="s">
        <v>30</v>
      </c>
      <c r="G4475" s="1" t="s">
        <v>15739</v>
      </c>
      <c r="H4475" s="1" t="s">
        <v>1762</v>
      </c>
      <c r="I4475" t="b">
        <f>COUNTIF(Estadísticas!I:I,'centraldecomunicacion.es'!H4475)&gt;0</f>
        <v>0</v>
      </c>
    </row>
    <row r="4476" spans="1:9" hidden="1">
      <c r="A4476" s="1" t="s">
        <v>15740</v>
      </c>
      <c r="B4476" s="1" t="s">
        <v>10</v>
      </c>
      <c r="C4476" s="1" t="s">
        <v>15741</v>
      </c>
      <c r="D4476" s="1" t="s">
        <v>15313</v>
      </c>
      <c r="E4476" s="1" t="s">
        <v>1606</v>
      </c>
      <c r="F4476" s="1" t="s">
        <v>30</v>
      </c>
      <c r="G4476" s="1" t="s">
        <v>30</v>
      </c>
      <c r="H4476" s="1" t="s">
        <v>1762</v>
      </c>
      <c r="I4476" t="b">
        <f>COUNTIF(Estadísticas!I:I,'centraldecomunicacion.es'!H4476)&gt;0</f>
        <v>0</v>
      </c>
    </row>
    <row r="4477" spans="1:9" hidden="1">
      <c r="A4477" s="1" t="s">
        <v>15742</v>
      </c>
      <c r="B4477" s="1" t="s">
        <v>10</v>
      </c>
      <c r="C4477" s="1" t="s">
        <v>15743</v>
      </c>
      <c r="D4477" s="1" t="s">
        <v>15744</v>
      </c>
      <c r="E4477" s="1" t="s">
        <v>1132</v>
      </c>
      <c r="F4477" s="1" t="s">
        <v>15745</v>
      </c>
      <c r="G4477" s="1" t="s">
        <v>15746</v>
      </c>
      <c r="H4477" s="1" t="s">
        <v>1762</v>
      </c>
      <c r="I4477" t="b">
        <f>COUNTIF(Estadísticas!I:I,'centraldecomunicacion.es'!H4477)&gt;0</f>
        <v>0</v>
      </c>
    </row>
    <row r="4478" spans="1:9">
      <c r="A4478" s="1" t="s">
        <v>1642</v>
      </c>
      <c r="B4478" s="1" t="s">
        <v>10</v>
      </c>
      <c r="C4478" s="1" t="s">
        <v>1643</v>
      </c>
      <c r="D4478" s="1" t="s">
        <v>1644</v>
      </c>
      <c r="E4478" s="1" t="s">
        <v>1606</v>
      </c>
      <c r="F4478" s="1" t="s">
        <v>1645</v>
      </c>
      <c r="G4478" s="1" t="s">
        <v>1646</v>
      </c>
      <c r="H4478" s="1" t="s">
        <v>1647</v>
      </c>
      <c r="I4478" t="b">
        <f>COUNTIF(Estadísticas!I:I,'centraldecomunicacion.es'!H4478)&gt;0</f>
        <v>1</v>
      </c>
    </row>
    <row r="4479" spans="1:9" hidden="1">
      <c r="A4479" s="1" t="s">
        <v>15747</v>
      </c>
      <c r="B4479" s="1" t="s">
        <v>10</v>
      </c>
      <c r="C4479" s="1" t="s">
        <v>15748</v>
      </c>
      <c r="D4479" s="1" t="s">
        <v>12066</v>
      </c>
      <c r="E4479" s="1" t="s">
        <v>1606</v>
      </c>
      <c r="F4479" s="1" t="s">
        <v>30</v>
      </c>
      <c r="G4479" s="1" t="s">
        <v>15749</v>
      </c>
      <c r="H4479" s="1" t="s">
        <v>1762</v>
      </c>
      <c r="I4479" t="b">
        <f>COUNTIF(Estadísticas!I:I,'centraldecomunicacion.es'!H4479)&gt;0</f>
        <v>0</v>
      </c>
    </row>
    <row r="4480" spans="1:9" hidden="1">
      <c r="A4480" s="1" t="s">
        <v>15750</v>
      </c>
      <c r="B4480" s="1" t="s">
        <v>10</v>
      </c>
      <c r="C4480" s="1" t="s">
        <v>15751</v>
      </c>
      <c r="D4480" s="1" t="s">
        <v>1644</v>
      </c>
      <c r="E4480" s="1" t="s">
        <v>1606</v>
      </c>
      <c r="F4480" s="1" t="s">
        <v>30</v>
      </c>
      <c r="G4480" s="1" t="s">
        <v>1646</v>
      </c>
      <c r="H4480" s="1" t="s">
        <v>1762</v>
      </c>
      <c r="I4480" t="b">
        <f>COUNTIF(Estadísticas!I:I,'centraldecomunicacion.es'!H4480)&gt;0</f>
        <v>0</v>
      </c>
    </row>
    <row r="4481" spans="1:9" hidden="1">
      <c r="A4481" s="1" t="s">
        <v>15752</v>
      </c>
      <c r="B4481" s="1" t="s">
        <v>10</v>
      </c>
      <c r="C4481" s="1" t="s">
        <v>15753</v>
      </c>
      <c r="D4481" s="1" t="s">
        <v>15738</v>
      </c>
      <c r="E4481" s="1" t="s">
        <v>1606</v>
      </c>
      <c r="F4481" s="1" t="s">
        <v>2692</v>
      </c>
      <c r="G4481" s="1" t="s">
        <v>15754</v>
      </c>
      <c r="H4481" s="1" t="s">
        <v>1762</v>
      </c>
      <c r="I4481" t="b">
        <f>COUNTIF(Estadísticas!I:I,'centraldecomunicacion.es'!H4481)&gt;0</f>
        <v>0</v>
      </c>
    </row>
    <row r="4482" spans="1:9">
      <c r="A4482" s="1" t="s">
        <v>1648</v>
      </c>
      <c r="B4482" s="1" t="s">
        <v>10</v>
      </c>
      <c r="C4482" s="1" t="s">
        <v>1649</v>
      </c>
      <c r="D4482" s="1" t="s">
        <v>1650</v>
      </c>
      <c r="E4482" s="1" t="s">
        <v>1606</v>
      </c>
      <c r="F4482" s="1" t="s">
        <v>1651</v>
      </c>
      <c r="G4482" s="1" t="s">
        <v>1652</v>
      </c>
      <c r="H4482" s="1" t="s">
        <v>1653</v>
      </c>
      <c r="I4482" t="b">
        <f>COUNTIF(Estadísticas!I:I,'centraldecomunicacion.es'!H4482)&gt;0</f>
        <v>1</v>
      </c>
    </row>
    <row r="4483" spans="1:9" hidden="1">
      <c r="A4483" s="1" t="s">
        <v>15755</v>
      </c>
      <c r="B4483" s="1" t="s">
        <v>18</v>
      </c>
      <c r="C4483" s="1" t="s">
        <v>30</v>
      </c>
      <c r="D4483" s="1" t="s">
        <v>15313</v>
      </c>
      <c r="E4483" s="1" t="s">
        <v>30</v>
      </c>
      <c r="F4483" s="1" t="s">
        <v>15756</v>
      </c>
      <c r="G4483" s="1" t="s">
        <v>15757</v>
      </c>
      <c r="H4483" s="1" t="s">
        <v>15758</v>
      </c>
      <c r="I4483" t="b">
        <f>COUNTIF(Estadísticas!I:I,'centraldecomunicacion.es'!H4483)&gt;0</f>
        <v>0</v>
      </c>
    </row>
    <row r="4484" spans="1:9" hidden="1">
      <c r="A4484" s="1" t="s">
        <v>15759</v>
      </c>
      <c r="B4484" s="1" t="s">
        <v>10</v>
      </c>
      <c r="C4484" s="1" t="s">
        <v>15760</v>
      </c>
      <c r="D4484" s="1" t="s">
        <v>15692</v>
      </c>
      <c r="E4484" s="1" t="s">
        <v>1606</v>
      </c>
      <c r="F4484" s="1" t="s">
        <v>30</v>
      </c>
      <c r="G4484" s="1" t="s">
        <v>15761</v>
      </c>
      <c r="H4484" s="1" t="s">
        <v>1762</v>
      </c>
      <c r="I4484" t="b">
        <f>COUNTIF(Estadísticas!I:I,'centraldecomunicacion.es'!H4484)&gt;0</f>
        <v>0</v>
      </c>
    </row>
    <row r="4485" spans="1:9" hidden="1">
      <c r="A4485" s="1" t="s">
        <v>15762</v>
      </c>
      <c r="B4485" s="1" t="s">
        <v>10</v>
      </c>
      <c r="C4485" s="1" t="s">
        <v>15763</v>
      </c>
      <c r="D4485" s="1" t="s">
        <v>15764</v>
      </c>
      <c r="E4485" s="1" t="s">
        <v>1606</v>
      </c>
      <c r="F4485" s="1" t="s">
        <v>2851</v>
      </c>
      <c r="G4485" s="1" t="s">
        <v>15765</v>
      </c>
      <c r="H4485" s="1" t="s">
        <v>1762</v>
      </c>
      <c r="I4485" t="b">
        <f>COUNTIF(Estadísticas!I:I,'centraldecomunicacion.es'!H4485)&gt;0</f>
        <v>0</v>
      </c>
    </row>
    <row r="4486" spans="1:9" hidden="1">
      <c r="A4486" s="1" t="s">
        <v>15766</v>
      </c>
      <c r="B4486" s="1" t="s">
        <v>18</v>
      </c>
      <c r="C4486" s="1" t="s">
        <v>15767</v>
      </c>
      <c r="D4486" s="1" t="s">
        <v>12066</v>
      </c>
      <c r="E4486" s="1" t="s">
        <v>1606</v>
      </c>
      <c r="F4486" s="1" t="s">
        <v>15768</v>
      </c>
      <c r="G4486" s="1" t="s">
        <v>15769</v>
      </c>
      <c r="H4486" s="1" t="s">
        <v>15770</v>
      </c>
      <c r="I4486" t="b">
        <f>COUNTIF(Estadísticas!I:I,'centraldecomunicacion.es'!H4486)&gt;0</f>
        <v>0</v>
      </c>
    </row>
    <row r="4487" spans="1:9" hidden="1">
      <c r="A4487" s="1" t="s">
        <v>15771</v>
      </c>
      <c r="B4487" s="1" t="s">
        <v>10</v>
      </c>
      <c r="C4487" s="1" t="s">
        <v>15772</v>
      </c>
      <c r="D4487" s="1" t="s">
        <v>15709</v>
      </c>
      <c r="E4487" s="1" t="s">
        <v>1606</v>
      </c>
      <c r="F4487" s="1" t="s">
        <v>30</v>
      </c>
      <c r="G4487" s="1" t="s">
        <v>30</v>
      </c>
      <c r="H4487" s="1" t="s">
        <v>1762</v>
      </c>
      <c r="I4487" t="b">
        <f>COUNTIF(Estadísticas!I:I,'centraldecomunicacion.es'!H4487)&gt;0</f>
        <v>0</v>
      </c>
    </row>
    <row r="4488" spans="1:9" hidden="1">
      <c r="A4488" s="1" t="s">
        <v>15773</v>
      </c>
      <c r="B4488" s="1" t="s">
        <v>10</v>
      </c>
      <c r="C4488" s="1" t="s">
        <v>1472</v>
      </c>
      <c r="D4488" s="1" t="s">
        <v>1473</v>
      </c>
      <c r="E4488" s="1" t="s">
        <v>945</v>
      </c>
      <c r="F4488" s="1" t="s">
        <v>30</v>
      </c>
      <c r="G4488" s="1" t="s">
        <v>1475</v>
      </c>
      <c r="H4488" s="1" t="s">
        <v>1762</v>
      </c>
      <c r="I4488" t="b">
        <f>COUNTIF(Estadísticas!I:I,'centraldecomunicacion.es'!H4488)&gt;0</f>
        <v>0</v>
      </c>
    </row>
    <row r="4489" spans="1:9" hidden="1">
      <c r="A4489" s="1" t="s">
        <v>14426</v>
      </c>
      <c r="B4489" s="1" t="s">
        <v>10</v>
      </c>
      <c r="C4489" s="1" t="s">
        <v>15774</v>
      </c>
      <c r="D4489" s="1" t="s">
        <v>1473</v>
      </c>
      <c r="E4489" s="1" t="s">
        <v>945</v>
      </c>
      <c r="F4489" s="1" t="s">
        <v>14428</v>
      </c>
      <c r="G4489" s="1" t="s">
        <v>15775</v>
      </c>
      <c r="H4489" s="1" t="s">
        <v>1762</v>
      </c>
      <c r="I4489" t="b">
        <f>COUNTIF(Estadísticas!I:I,'centraldecomunicacion.es'!H4489)&gt;0</f>
        <v>0</v>
      </c>
    </row>
    <row r="4490" spans="1:9" hidden="1">
      <c r="A4490" s="1" t="s">
        <v>15776</v>
      </c>
      <c r="B4490" s="1" t="s">
        <v>10</v>
      </c>
      <c r="C4490" s="1" t="s">
        <v>15777</v>
      </c>
      <c r="D4490" s="1" t="s">
        <v>15778</v>
      </c>
      <c r="E4490" s="1" t="s">
        <v>945</v>
      </c>
      <c r="F4490" s="1" t="s">
        <v>15779</v>
      </c>
      <c r="G4490" s="1" t="s">
        <v>15780</v>
      </c>
      <c r="H4490" s="1" t="s">
        <v>1762</v>
      </c>
      <c r="I4490" t="b">
        <f>COUNTIF(Estadísticas!I:I,'centraldecomunicacion.es'!H4490)&gt;0</f>
        <v>0</v>
      </c>
    </row>
    <row r="4491" spans="1:9" hidden="1">
      <c r="A4491" s="1" t="s">
        <v>15781</v>
      </c>
      <c r="B4491" s="1" t="s">
        <v>10</v>
      </c>
      <c r="C4491" s="1" t="s">
        <v>30</v>
      </c>
      <c r="D4491" s="1" t="s">
        <v>1667</v>
      </c>
      <c r="E4491" s="1" t="s">
        <v>30</v>
      </c>
      <c r="F4491" s="1" t="s">
        <v>30</v>
      </c>
      <c r="G4491" s="1" t="s">
        <v>15782</v>
      </c>
      <c r="H4491" s="1" t="s">
        <v>1762</v>
      </c>
      <c r="I4491" t="b">
        <f>COUNTIF(Estadísticas!I:I,'centraldecomunicacion.es'!H4491)&gt;0</f>
        <v>0</v>
      </c>
    </row>
    <row r="4492" spans="1:9" hidden="1">
      <c r="A4492" s="1" t="s">
        <v>15783</v>
      </c>
      <c r="B4492" s="1" t="s">
        <v>10</v>
      </c>
      <c r="C4492" s="1" t="s">
        <v>15784</v>
      </c>
      <c r="D4492" s="1" t="s">
        <v>15785</v>
      </c>
      <c r="E4492" s="1" t="s">
        <v>945</v>
      </c>
      <c r="F4492" s="1" t="s">
        <v>15786</v>
      </c>
      <c r="G4492" s="1" t="s">
        <v>15787</v>
      </c>
      <c r="H4492" s="1" t="s">
        <v>1762</v>
      </c>
      <c r="I4492" t="b">
        <f>COUNTIF(Estadísticas!I:I,'centraldecomunicacion.es'!H4492)&gt;0</f>
        <v>0</v>
      </c>
    </row>
    <row r="4493" spans="1:9" hidden="1">
      <c r="A4493" s="1" t="s">
        <v>15788</v>
      </c>
      <c r="B4493" s="1" t="s">
        <v>10</v>
      </c>
      <c r="C4493" s="1" t="s">
        <v>15789</v>
      </c>
      <c r="D4493" s="1" t="s">
        <v>1473</v>
      </c>
      <c r="E4493" s="1" t="s">
        <v>945</v>
      </c>
      <c r="F4493" s="1" t="s">
        <v>30</v>
      </c>
      <c r="G4493" s="1" t="s">
        <v>15790</v>
      </c>
      <c r="H4493" s="1" t="s">
        <v>1762</v>
      </c>
      <c r="I4493" t="b">
        <f>COUNTIF(Estadísticas!I:I,'centraldecomunicacion.es'!H4493)&gt;0</f>
        <v>0</v>
      </c>
    </row>
    <row r="4494" spans="1:9" hidden="1">
      <c r="A4494" s="1" t="s">
        <v>15791</v>
      </c>
      <c r="B4494" s="1" t="s">
        <v>10</v>
      </c>
      <c r="C4494" s="1" t="s">
        <v>15792</v>
      </c>
      <c r="D4494" s="1" t="s">
        <v>15793</v>
      </c>
      <c r="E4494" s="1" t="s">
        <v>945</v>
      </c>
      <c r="F4494" s="1" t="s">
        <v>30</v>
      </c>
      <c r="G4494" s="1" t="s">
        <v>30</v>
      </c>
      <c r="H4494" s="1" t="s">
        <v>1762</v>
      </c>
      <c r="I4494" t="b">
        <f>COUNTIF(Estadísticas!I:I,'centraldecomunicacion.es'!H4494)&gt;0</f>
        <v>0</v>
      </c>
    </row>
    <row r="4495" spans="1:9" hidden="1">
      <c r="A4495" s="1" t="s">
        <v>15794</v>
      </c>
      <c r="B4495" s="1" t="s">
        <v>10</v>
      </c>
      <c r="C4495" s="1" t="s">
        <v>15795</v>
      </c>
      <c r="D4495" s="1" t="s">
        <v>15796</v>
      </c>
      <c r="E4495" s="1" t="s">
        <v>945</v>
      </c>
      <c r="F4495" s="1" t="s">
        <v>15797</v>
      </c>
      <c r="G4495" s="1" t="s">
        <v>15798</v>
      </c>
      <c r="H4495" s="1" t="s">
        <v>15799</v>
      </c>
      <c r="I4495" t="b">
        <f>COUNTIF(Estadísticas!I:I,'centraldecomunicacion.es'!H4495)&gt;0</f>
        <v>0</v>
      </c>
    </row>
    <row r="4496" spans="1:9" hidden="1">
      <c r="A4496" s="1" t="s">
        <v>15800</v>
      </c>
      <c r="B4496" s="1" t="s">
        <v>10</v>
      </c>
      <c r="C4496" s="1" t="s">
        <v>15801</v>
      </c>
      <c r="D4496" s="1" t="s">
        <v>14557</v>
      </c>
      <c r="E4496" s="1" t="s">
        <v>945</v>
      </c>
      <c r="F4496" s="1" t="s">
        <v>15802</v>
      </c>
      <c r="G4496" s="1" t="s">
        <v>15803</v>
      </c>
      <c r="H4496" s="1" t="s">
        <v>1762</v>
      </c>
      <c r="I4496" t="b">
        <f>COUNTIF(Estadísticas!I:I,'centraldecomunicacion.es'!H4496)&gt;0</f>
        <v>0</v>
      </c>
    </row>
    <row r="4497" spans="1:9" hidden="1">
      <c r="A4497" s="1" t="s">
        <v>15804</v>
      </c>
      <c r="B4497" s="1" t="s">
        <v>10</v>
      </c>
      <c r="C4497" s="1" t="s">
        <v>15805</v>
      </c>
      <c r="D4497" s="1" t="s">
        <v>1473</v>
      </c>
      <c r="E4497" s="1" t="s">
        <v>945</v>
      </c>
      <c r="F4497" s="1" t="s">
        <v>15806</v>
      </c>
      <c r="G4497" s="1" t="s">
        <v>15807</v>
      </c>
      <c r="H4497" s="1" t="s">
        <v>15808</v>
      </c>
      <c r="I4497" t="b">
        <f>COUNTIF(Estadísticas!I:I,'centraldecomunicacion.es'!H4497)&gt;0</f>
        <v>0</v>
      </c>
    </row>
    <row r="4498" spans="1:9" hidden="1">
      <c r="A4498" s="1" t="s">
        <v>15809</v>
      </c>
      <c r="B4498" s="1" t="s">
        <v>10</v>
      </c>
      <c r="C4498" s="1" t="s">
        <v>15810</v>
      </c>
      <c r="D4498" s="1" t="s">
        <v>15811</v>
      </c>
      <c r="E4498" s="1" t="s">
        <v>945</v>
      </c>
      <c r="F4498" s="1" t="s">
        <v>15812</v>
      </c>
      <c r="G4498" s="1" t="s">
        <v>15813</v>
      </c>
      <c r="H4498" s="1" t="s">
        <v>1762</v>
      </c>
      <c r="I4498" t="b">
        <f>COUNTIF(Estadísticas!I:I,'centraldecomunicacion.es'!H4498)&gt;0</f>
        <v>0</v>
      </c>
    </row>
    <row r="4499" spans="1:9" hidden="1">
      <c r="A4499" s="1" t="s">
        <v>15814</v>
      </c>
      <c r="B4499" s="1" t="s">
        <v>10</v>
      </c>
      <c r="C4499" s="1" t="s">
        <v>15815</v>
      </c>
      <c r="D4499" s="1" t="s">
        <v>15816</v>
      </c>
      <c r="E4499" s="1" t="s">
        <v>945</v>
      </c>
      <c r="F4499" s="1" t="s">
        <v>1984</v>
      </c>
      <c r="G4499" s="1" t="s">
        <v>15817</v>
      </c>
      <c r="H4499" s="1" t="s">
        <v>1762</v>
      </c>
      <c r="I4499" t="b">
        <f>COUNTIF(Estadísticas!I:I,'centraldecomunicacion.es'!H4499)&gt;0</f>
        <v>0</v>
      </c>
    </row>
    <row r="4500" spans="1:9" hidden="1">
      <c r="A4500" s="1" t="s">
        <v>15818</v>
      </c>
      <c r="B4500" s="1" t="s">
        <v>10</v>
      </c>
      <c r="C4500" s="1" t="s">
        <v>15819</v>
      </c>
      <c r="D4500" s="1" t="s">
        <v>15820</v>
      </c>
      <c r="E4500" s="1" t="s">
        <v>945</v>
      </c>
      <c r="F4500" s="1" t="s">
        <v>30</v>
      </c>
      <c r="G4500" s="1" t="s">
        <v>15821</v>
      </c>
      <c r="H4500" s="1" t="s">
        <v>1762</v>
      </c>
      <c r="I4500" t="b">
        <f>COUNTIF(Estadísticas!I:I,'centraldecomunicacion.es'!H4500)&gt;0</f>
        <v>0</v>
      </c>
    </row>
    <row r="4501" spans="1:9" hidden="1">
      <c r="A4501" s="1" t="s">
        <v>15822</v>
      </c>
      <c r="B4501" s="1" t="s">
        <v>10</v>
      </c>
      <c r="C4501" s="1" t="s">
        <v>15823</v>
      </c>
      <c r="D4501" s="1" t="s">
        <v>1473</v>
      </c>
      <c r="E4501" s="1" t="s">
        <v>945</v>
      </c>
      <c r="F4501" s="1" t="s">
        <v>30</v>
      </c>
      <c r="G4501" s="1" t="s">
        <v>15824</v>
      </c>
      <c r="H4501" s="1" t="s">
        <v>1762</v>
      </c>
      <c r="I4501" t="b">
        <f>COUNTIF(Estadísticas!I:I,'centraldecomunicacion.es'!H4501)&gt;0</f>
        <v>0</v>
      </c>
    </row>
    <row r="4502" spans="1:9" hidden="1">
      <c r="A4502" s="1" t="s">
        <v>15825</v>
      </c>
      <c r="B4502" s="1" t="s">
        <v>10</v>
      </c>
      <c r="C4502" s="1" t="s">
        <v>15826</v>
      </c>
      <c r="D4502" s="1" t="s">
        <v>9827</v>
      </c>
      <c r="E4502" s="1" t="s">
        <v>945</v>
      </c>
      <c r="F4502" s="1" t="s">
        <v>30</v>
      </c>
      <c r="G4502" s="1" t="s">
        <v>15827</v>
      </c>
      <c r="H4502" s="1" t="s">
        <v>1762</v>
      </c>
      <c r="I4502" t="b">
        <f>COUNTIF(Estadísticas!I:I,'centraldecomunicacion.es'!H4502)&gt;0</f>
        <v>0</v>
      </c>
    </row>
    <row r="4503" spans="1:9" hidden="1">
      <c r="A4503" s="1" t="s">
        <v>15828</v>
      </c>
      <c r="B4503" s="1" t="s">
        <v>10</v>
      </c>
      <c r="C4503" s="1" t="s">
        <v>15829</v>
      </c>
      <c r="D4503" s="1" t="s">
        <v>15830</v>
      </c>
      <c r="E4503" s="1" t="s">
        <v>945</v>
      </c>
      <c r="F4503" s="1" t="s">
        <v>30</v>
      </c>
      <c r="G4503" s="1" t="s">
        <v>15831</v>
      </c>
      <c r="H4503" s="1" t="s">
        <v>1762</v>
      </c>
      <c r="I4503" t="b">
        <f>COUNTIF(Estadísticas!I:I,'centraldecomunicacion.es'!H4503)&gt;0</f>
        <v>0</v>
      </c>
    </row>
    <row r="4504" spans="1:9" hidden="1">
      <c r="A4504" s="1" t="s">
        <v>15832</v>
      </c>
      <c r="B4504" s="1" t="s">
        <v>10</v>
      </c>
      <c r="C4504" s="1" t="s">
        <v>15833</v>
      </c>
      <c r="D4504" s="1" t="s">
        <v>1473</v>
      </c>
      <c r="E4504" s="1" t="s">
        <v>945</v>
      </c>
      <c r="F4504" s="1" t="s">
        <v>30</v>
      </c>
      <c r="G4504" s="1" t="s">
        <v>30</v>
      </c>
      <c r="H4504" s="1" t="s">
        <v>1762</v>
      </c>
      <c r="I4504" t="b">
        <f>COUNTIF(Estadísticas!I:I,'centraldecomunicacion.es'!H4504)&gt;0</f>
        <v>0</v>
      </c>
    </row>
    <row r="4505" spans="1:9" hidden="1">
      <c r="A4505" s="1" t="s">
        <v>15834</v>
      </c>
      <c r="B4505" s="1" t="s">
        <v>10</v>
      </c>
      <c r="C4505" s="1" t="s">
        <v>15835</v>
      </c>
      <c r="D4505" s="1" t="s">
        <v>15836</v>
      </c>
      <c r="E4505" s="1" t="s">
        <v>945</v>
      </c>
      <c r="F4505" s="1" t="s">
        <v>30</v>
      </c>
      <c r="G4505" s="1" t="s">
        <v>30</v>
      </c>
      <c r="H4505" s="1" t="s">
        <v>1762</v>
      </c>
      <c r="I4505" t="b">
        <f>COUNTIF(Estadísticas!I:I,'centraldecomunicacion.es'!H4505)&gt;0</f>
        <v>0</v>
      </c>
    </row>
    <row r="4506" spans="1:9" hidden="1">
      <c r="A4506" s="1" t="s">
        <v>15837</v>
      </c>
      <c r="B4506" s="1" t="s">
        <v>10</v>
      </c>
      <c r="C4506" s="1" t="s">
        <v>15838</v>
      </c>
      <c r="D4506" s="1" t="s">
        <v>15839</v>
      </c>
      <c r="E4506" s="1" t="s">
        <v>945</v>
      </c>
      <c r="F4506" s="1" t="s">
        <v>30</v>
      </c>
      <c r="G4506" s="1" t="s">
        <v>15840</v>
      </c>
      <c r="H4506" s="1" t="s">
        <v>1762</v>
      </c>
      <c r="I4506" t="b">
        <f>COUNTIF(Estadísticas!I:I,'centraldecomunicacion.es'!H4506)&gt;0</f>
        <v>0</v>
      </c>
    </row>
    <row r="4507" spans="1:9" hidden="1">
      <c r="A4507" s="1" t="s">
        <v>15841</v>
      </c>
      <c r="B4507" s="1" t="s">
        <v>10</v>
      </c>
      <c r="C4507" s="1" t="s">
        <v>15842</v>
      </c>
      <c r="D4507" s="1" t="s">
        <v>15811</v>
      </c>
      <c r="E4507" s="1" t="s">
        <v>945</v>
      </c>
      <c r="F4507" s="1" t="s">
        <v>15843</v>
      </c>
      <c r="G4507" s="1" t="s">
        <v>15844</v>
      </c>
      <c r="H4507" s="1" t="s">
        <v>1762</v>
      </c>
      <c r="I4507" t="b">
        <f>COUNTIF(Estadísticas!I:I,'centraldecomunicacion.es'!H4507)&gt;0</f>
        <v>0</v>
      </c>
    </row>
    <row r="4508" spans="1:9" hidden="1">
      <c r="A4508" s="1" t="s">
        <v>15845</v>
      </c>
      <c r="B4508" s="1" t="s">
        <v>18</v>
      </c>
      <c r="C4508" s="1" t="s">
        <v>15846</v>
      </c>
      <c r="D4508" s="1" t="s">
        <v>9827</v>
      </c>
      <c r="E4508" s="1" t="s">
        <v>9827</v>
      </c>
      <c r="F4508" s="1" t="s">
        <v>15847</v>
      </c>
      <c r="G4508" s="1" t="s">
        <v>15848</v>
      </c>
      <c r="H4508" s="1" t="s">
        <v>15849</v>
      </c>
      <c r="I4508" t="b">
        <f>COUNTIF(Estadísticas!I:I,'centraldecomunicacion.es'!H4508)&gt;0</f>
        <v>0</v>
      </c>
    </row>
    <row r="4509" spans="1:9" hidden="1">
      <c r="A4509" s="1" t="s">
        <v>15850</v>
      </c>
      <c r="B4509" s="1" t="s">
        <v>10</v>
      </c>
      <c r="C4509" s="1" t="s">
        <v>15851</v>
      </c>
      <c r="D4509" s="1" t="s">
        <v>14708</v>
      </c>
      <c r="E4509" s="1" t="s">
        <v>945</v>
      </c>
      <c r="F4509" s="1" t="s">
        <v>30</v>
      </c>
      <c r="G4509" s="1" t="s">
        <v>15852</v>
      </c>
      <c r="H4509" s="1" t="s">
        <v>1762</v>
      </c>
      <c r="I4509" t="b">
        <f>COUNTIF(Estadísticas!I:I,'centraldecomunicacion.es'!H4509)&gt;0</f>
        <v>0</v>
      </c>
    </row>
    <row r="4510" spans="1:9" hidden="1">
      <c r="A4510" s="1" t="s">
        <v>15853</v>
      </c>
      <c r="B4510" s="1" t="s">
        <v>18</v>
      </c>
      <c r="C4510" s="1" t="s">
        <v>15854</v>
      </c>
      <c r="D4510" s="1" t="s">
        <v>1473</v>
      </c>
      <c r="E4510" s="1" t="s">
        <v>945</v>
      </c>
      <c r="F4510" s="1" t="s">
        <v>30</v>
      </c>
      <c r="G4510" s="1" t="s">
        <v>15855</v>
      </c>
      <c r="H4510" s="1" t="s">
        <v>1762</v>
      </c>
      <c r="I4510" t="b">
        <f>COUNTIF(Estadísticas!I:I,'centraldecomunicacion.es'!H4510)&gt;0</f>
        <v>0</v>
      </c>
    </row>
    <row r="4511" spans="1:9" hidden="1">
      <c r="A4511" s="1" t="s">
        <v>15856</v>
      </c>
      <c r="B4511" s="1" t="s">
        <v>10</v>
      </c>
      <c r="C4511" s="1" t="s">
        <v>15857</v>
      </c>
      <c r="D4511" s="1" t="s">
        <v>1473</v>
      </c>
      <c r="E4511" s="1" t="s">
        <v>945</v>
      </c>
      <c r="F4511" s="1" t="s">
        <v>30</v>
      </c>
      <c r="G4511" s="1" t="s">
        <v>15858</v>
      </c>
      <c r="H4511" s="1" t="s">
        <v>1762</v>
      </c>
      <c r="I4511" t="b">
        <f>COUNTIF(Estadísticas!I:I,'centraldecomunicacion.es'!H4511)&gt;0</f>
        <v>0</v>
      </c>
    </row>
    <row r="4512" spans="1:9" hidden="1">
      <c r="A4512" s="1" t="s">
        <v>15859</v>
      </c>
      <c r="B4512" s="1" t="s">
        <v>18</v>
      </c>
      <c r="C4512" s="1" t="s">
        <v>15860</v>
      </c>
      <c r="D4512" s="1" t="s">
        <v>14557</v>
      </c>
      <c r="E4512" s="1" t="s">
        <v>945</v>
      </c>
      <c r="F4512" s="1" t="s">
        <v>30</v>
      </c>
      <c r="G4512" s="1" t="s">
        <v>15861</v>
      </c>
      <c r="H4512" s="1" t="s">
        <v>1762</v>
      </c>
      <c r="I4512" t="b">
        <f>COUNTIF(Estadísticas!I:I,'centraldecomunicacion.es'!H4512)&gt;0</f>
        <v>0</v>
      </c>
    </row>
    <row r="4513" spans="1:9" hidden="1">
      <c r="A4513" s="1" t="s">
        <v>15862</v>
      </c>
      <c r="B4513" s="1" t="s">
        <v>10</v>
      </c>
      <c r="C4513" s="1" t="s">
        <v>15863</v>
      </c>
      <c r="D4513" s="1" t="s">
        <v>15864</v>
      </c>
      <c r="E4513" s="1" t="s">
        <v>945</v>
      </c>
      <c r="F4513" s="1" t="s">
        <v>30</v>
      </c>
      <c r="G4513" s="1" t="s">
        <v>30</v>
      </c>
      <c r="H4513" s="1" t="s">
        <v>1762</v>
      </c>
      <c r="I4513" t="b">
        <f>COUNTIF(Estadísticas!I:I,'centraldecomunicacion.es'!H4513)&gt;0</f>
        <v>0</v>
      </c>
    </row>
    <row r="4514" spans="1:9" hidden="1">
      <c r="A4514" s="1" t="s">
        <v>15865</v>
      </c>
      <c r="B4514" s="1" t="s">
        <v>10</v>
      </c>
      <c r="C4514" s="1" t="s">
        <v>15866</v>
      </c>
      <c r="D4514" s="1" t="s">
        <v>15867</v>
      </c>
      <c r="E4514" s="1" t="s">
        <v>945</v>
      </c>
      <c r="F4514" s="1" t="s">
        <v>15868</v>
      </c>
      <c r="G4514" s="1" t="s">
        <v>15869</v>
      </c>
      <c r="H4514" s="1" t="s">
        <v>1762</v>
      </c>
      <c r="I4514" t="b">
        <f>COUNTIF(Estadísticas!I:I,'centraldecomunicacion.es'!H4514)&gt;0</f>
        <v>0</v>
      </c>
    </row>
    <row r="4515" spans="1:9" hidden="1">
      <c r="A4515" s="1" t="s">
        <v>15870</v>
      </c>
      <c r="B4515" s="1" t="s">
        <v>10</v>
      </c>
      <c r="C4515" s="1" t="s">
        <v>15871</v>
      </c>
      <c r="D4515" s="1" t="s">
        <v>15872</v>
      </c>
      <c r="E4515" s="1" t="s">
        <v>945</v>
      </c>
      <c r="F4515" s="1" t="s">
        <v>15873</v>
      </c>
      <c r="G4515" s="1" t="s">
        <v>15874</v>
      </c>
      <c r="H4515" s="1" t="s">
        <v>15875</v>
      </c>
      <c r="I4515" t="b">
        <f>COUNTIF(Estadísticas!I:I,'centraldecomunicacion.es'!H4515)&gt;0</f>
        <v>0</v>
      </c>
    </row>
    <row r="4516" spans="1:9" hidden="1">
      <c r="A4516" s="1" t="s">
        <v>15876</v>
      </c>
      <c r="B4516" s="1" t="s">
        <v>10</v>
      </c>
      <c r="C4516" s="1" t="s">
        <v>15877</v>
      </c>
      <c r="D4516" s="1" t="s">
        <v>14699</v>
      </c>
      <c r="E4516" s="1" t="s">
        <v>14721</v>
      </c>
      <c r="F4516" s="1" t="s">
        <v>2692</v>
      </c>
      <c r="G4516" s="1" t="s">
        <v>15878</v>
      </c>
      <c r="H4516" s="1" t="s">
        <v>1762</v>
      </c>
      <c r="I4516" t="b">
        <f>COUNTIF(Estadísticas!I:I,'centraldecomunicacion.es'!H4516)&gt;0</f>
        <v>0</v>
      </c>
    </row>
    <row r="4517" spans="1:9" hidden="1">
      <c r="A4517" s="1" t="s">
        <v>15879</v>
      </c>
      <c r="B4517" s="1" t="s">
        <v>10</v>
      </c>
      <c r="C4517" s="1" t="s">
        <v>15880</v>
      </c>
      <c r="D4517" s="1" t="s">
        <v>1473</v>
      </c>
      <c r="E4517" s="1" t="s">
        <v>945</v>
      </c>
      <c r="F4517" s="1" t="s">
        <v>30</v>
      </c>
      <c r="G4517" s="1" t="s">
        <v>15881</v>
      </c>
      <c r="H4517" s="1" t="s">
        <v>1762</v>
      </c>
      <c r="I4517" t="b">
        <f>COUNTIF(Estadísticas!I:I,'centraldecomunicacion.es'!H4517)&gt;0</f>
        <v>0</v>
      </c>
    </row>
    <row r="4518" spans="1:9">
      <c r="A4518" s="1" t="s">
        <v>15882</v>
      </c>
      <c r="B4518" s="1" t="s">
        <v>18</v>
      </c>
      <c r="C4518" s="1" t="s">
        <v>15883</v>
      </c>
      <c r="D4518" s="1" t="s">
        <v>15884</v>
      </c>
      <c r="E4518" s="1" t="s">
        <v>945</v>
      </c>
      <c r="F4518" s="1" t="s">
        <v>1039</v>
      </c>
      <c r="G4518" s="1" t="s">
        <v>15885</v>
      </c>
      <c r="H4518" s="1" t="s">
        <v>1041</v>
      </c>
      <c r="I4518" t="b">
        <f>COUNTIF(Estadísticas!I:I,'centraldecomunicacion.es'!H4518)&gt;0</f>
        <v>1</v>
      </c>
    </row>
    <row r="4519" spans="1:9" hidden="1">
      <c r="A4519" s="1" t="s">
        <v>15886</v>
      </c>
      <c r="B4519" s="1" t="s">
        <v>10</v>
      </c>
      <c r="C4519" s="1" t="s">
        <v>15887</v>
      </c>
      <c r="D4519" s="1" t="s">
        <v>14557</v>
      </c>
      <c r="E4519" s="1" t="s">
        <v>945</v>
      </c>
      <c r="F4519" s="1" t="s">
        <v>30</v>
      </c>
      <c r="G4519" s="1" t="s">
        <v>14666</v>
      </c>
      <c r="H4519" s="1" t="s">
        <v>1762</v>
      </c>
      <c r="I4519" t="b">
        <f>COUNTIF(Estadísticas!I:I,'centraldecomunicacion.es'!H4519)&gt;0</f>
        <v>0</v>
      </c>
    </row>
    <row r="4520" spans="1:9" hidden="1">
      <c r="A4520" s="1" t="s">
        <v>15888</v>
      </c>
      <c r="B4520" s="1" t="s">
        <v>10</v>
      </c>
      <c r="C4520" s="1" t="s">
        <v>15889</v>
      </c>
      <c r="D4520" s="1" t="s">
        <v>15890</v>
      </c>
      <c r="E4520" s="1" t="s">
        <v>945</v>
      </c>
      <c r="F4520" s="1" t="s">
        <v>15891</v>
      </c>
      <c r="G4520" s="1" t="s">
        <v>15892</v>
      </c>
      <c r="H4520" s="1" t="s">
        <v>15893</v>
      </c>
      <c r="I4520" t="b">
        <f>COUNTIF(Estadísticas!I:I,'centraldecomunicacion.es'!H4520)&gt;0</f>
        <v>0</v>
      </c>
    </row>
    <row r="4521" spans="1:9" hidden="1">
      <c r="A4521" s="1" t="s">
        <v>15894</v>
      </c>
      <c r="B4521" s="1" t="s">
        <v>10</v>
      </c>
      <c r="C4521" s="1" t="s">
        <v>15895</v>
      </c>
      <c r="D4521" s="1" t="s">
        <v>14557</v>
      </c>
      <c r="E4521" s="1" t="s">
        <v>945</v>
      </c>
      <c r="F4521" s="1" t="s">
        <v>30</v>
      </c>
      <c r="G4521" s="1" t="s">
        <v>15896</v>
      </c>
      <c r="H4521" s="1" t="s">
        <v>1762</v>
      </c>
      <c r="I4521" t="b">
        <f>COUNTIF(Estadísticas!I:I,'centraldecomunicacion.es'!H4521)&gt;0</f>
        <v>0</v>
      </c>
    </row>
    <row r="4522" spans="1:9" hidden="1">
      <c r="A4522" s="1" t="s">
        <v>15897</v>
      </c>
      <c r="B4522" s="1" t="s">
        <v>10</v>
      </c>
      <c r="C4522" s="1" t="s">
        <v>15898</v>
      </c>
      <c r="D4522" s="1" t="s">
        <v>14699</v>
      </c>
      <c r="E4522" s="1" t="s">
        <v>14721</v>
      </c>
      <c r="F4522" s="1" t="s">
        <v>30</v>
      </c>
      <c r="G4522" s="1" t="s">
        <v>15899</v>
      </c>
      <c r="H4522" s="1" t="s">
        <v>1762</v>
      </c>
      <c r="I4522" t="b">
        <f>COUNTIF(Estadísticas!I:I,'centraldecomunicacion.es'!H4522)&gt;0</f>
        <v>0</v>
      </c>
    </row>
    <row r="4523" spans="1:9">
      <c r="A4523" s="1" t="s">
        <v>1654</v>
      </c>
      <c r="B4523" s="1" t="s">
        <v>10</v>
      </c>
      <c r="C4523" s="1" t="s">
        <v>1655</v>
      </c>
      <c r="D4523" s="1" t="s">
        <v>1656</v>
      </c>
      <c r="E4523" s="1" t="s">
        <v>945</v>
      </c>
      <c r="F4523" s="1" t="s">
        <v>1657</v>
      </c>
      <c r="G4523" s="1" t="s">
        <v>1658</v>
      </c>
      <c r="H4523" s="1" t="s">
        <v>1659</v>
      </c>
      <c r="I4523" t="b">
        <f>COUNTIF(Estadísticas!I:I,'centraldecomunicacion.es'!H4523)&gt;0</f>
        <v>1</v>
      </c>
    </row>
    <row r="4524" spans="1:9" hidden="1">
      <c r="A4524" s="1" t="s">
        <v>1995</v>
      </c>
      <c r="B4524" s="1" t="s">
        <v>10</v>
      </c>
      <c r="C4524" s="1" t="s">
        <v>15900</v>
      </c>
      <c r="D4524" s="1" t="s">
        <v>15811</v>
      </c>
      <c r="E4524" s="1" t="s">
        <v>945</v>
      </c>
      <c r="F4524" s="1" t="s">
        <v>30</v>
      </c>
      <c r="G4524" s="1" t="s">
        <v>30</v>
      </c>
      <c r="H4524" s="1" t="s">
        <v>1762</v>
      </c>
      <c r="I4524" t="b">
        <f>COUNTIF(Estadísticas!I:I,'centraldecomunicacion.es'!H4524)&gt;0</f>
        <v>0</v>
      </c>
    </row>
    <row r="4525" spans="1:9" hidden="1">
      <c r="A4525" s="1" t="s">
        <v>13387</v>
      </c>
      <c r="B4525" s="1" t="s">
        <v>10</v>
      </c>
      <c r="C4525" s="1" t="s">
        <v>15901</v>
      </c>
      <c r="D4525" s="1" t="s">
        <v>1473</v>
      </c>
      <c r="E4525" s="1" t="s">
        <v>945</v>
      </c>
      <c r="F4525" s="1" t="s">
        <v>30</v>
      </c>
      <c r="G4525" s="1" t="s">
        <v>30</v>
      </c>
      <c r="H4525" s="1" t="s">
        <v>1762</v>
      </c>
      <c r="I4525" t="b">
        <f>COUNTIF(Estadísticas!I:I,'centraldecomunicacion.es'!H4525)&gt;0</f>
        <v>0</v>
      </c>
    </row>
    <row r="4526" spans="1:9" hidden="1">
      <c r="A4526" s="1" t="s">
        <v>3050</v>
      </c>
      <c r="B4526" s="1" t="s">
        <v>10</v>
      </c>
      <c r="C4526" s="1" t="s">
        <v>15902</v>
      </c>
      <c r="D4526" s="1" t="s">
        <v>15867</v>
      </c>
      <c r="E4526" s="1" t="s">
        <v>945</v>
      </c>
      <c r="F4526" s="1" t="s">
        <v>30</v>
      </c>
      <c r="G4526" s="1" t="s">
        <v>30</v>
      </c>
      <c r="H4526" s="1" t="s">
        <v>1762</v>
      </c>
      <c r="I4526" t="b">
        <f>COUNTIF(Estadísticas!I:I,'centraldecomunicacion.es'!H4526)&gt;0</f>
        <v>0</v>
      </c>
    </row>
    <row r="4527" spans="1:9" hidden="1">
      <c r="A4527" s="1" t="s">
        <v>3050</v>
      </c>
      <c r="B4527" s="1" t="s">
        <v>10</v>
      </c>
      <c r="C4527" s="1" t="s">
        <v>15903</v>
      </c>
      <c r="D4527" s="1" t="s">
        <v>15904</v>
      </c>
      <c r="E4527" s="1" t="s">
        <v>945</v>
      </c>
      <c r="F4527" s="1" t="s">
        <v>30</v>
      </c>
      <c r="G4527" s="1" t="s">
        <v>30</v>
      </c>
      <c r="H4527" s="1" t="s">
        <v>1762</v>
      </c>
      <c r="I4527" t="b">
        <f>COUNTIF(Estadísticas!I:I,'centraldecomunicacion.es'!H4527)&gt;0</f>
        <v>0</v>
      </c>
    </row>
    <row r="4528" spans="1:9" hidden="1">
      <c r="A4528" s="1" t="s">
        <v>15905</v>
      </c>
      <c r="B4528" s="1" t="s">
        <v>10</v>
      </c>
      <c r="C4528" s="1" t="s">
        <v>15906</v>
      </c>
      <c r="D4528" s="1" t="s">
        <v>13160</v>
      </c>
      <c r="E4528" s="1" t="s">
        <v>15907</v>
      </c>
      <c r="F4528" s="1" t="s">
        <v>30</v>
      </c>
      <c r="G4528" s="1" t="s">
        <v>15908</v>
      </c>
      <c r="H4528" s="1" t="s">
        <v>1762</v>
      </c>
      <c r="I4528" t="b">
        <f>COUNTIF(Estadísticas!I:I,'centraldecomunicacion.es'!H4528)&gt;0</f>
        <v>0</v>
      </c>
    </row>
    <row r="4529" spans="1:9" hidden="1">
      <c r="A4529" s="1" t="s">
        <v>15909</v>
      </c>
      <c r="B4529" s="1" t="s">
        <v>10</v>
      </c>
      <c r="C4529" s="1" t="s">
        <v>15910</v>
      </c>
      <c r="D4529" s="1" t="s">
        <v>13160</v>
      </c>
      <c r="E4529" s="1" t="s">
        <v>945</v>
      </c>
      <c r="F4529" s="1" t="s">
        <v>30</v>
      </c>
      <c r="G4529" s="1" t="s">
        <v>15911</v>
      </c>
      <c r="H4529" s="1" t="s">
        <v>1762</v>
      </c>
      <c r="I4529" t="b">
        <f>COUNTIF(Estadísticas!I:I,'centraldecomunicacion.es'!H4529)&gt;0</f>
        <v>0</v>
      </c>
    </row>
    <row r="4530" spans="1:9" hidden="1">
      <c r="A4530" s="1" t="s">
        <v>15912</v>
      </c>
      <c r="B4530" s="1" t="s">
        <v>10</v>
      </c>
      <c r="C4530" s="1" t="s">
        <v>15913</v>
      </c>
      <c r="D4530" s="1" t="s">
        <v>14708</v>
      </c>
      <c r="E4530" s="1" t="s">
        <v>945</v>
      </c>
      <c r="F4530" s="1" t="s">
        <v>30</v>
      </c>
      <c r="G4530" s="1" t="s">
        <v>15914</v>
      </c>
      <c r="H4530" s="1" t="s">
        <v>1762</v>
      </c>
      <c r="I4530" t="b">
        <f>COUNTIF(Estadísticas!I:I,'centraldecomunicacion.es'!H4530)&gt;0</f>
        <v>0</v>
      </c>
    </row>
    <row r="4531" spans="1:9" hidden="1">
      <c r="A4531" s="1" t="s">
        <v>15915</v>
      </c>
      <c r="B4531" s="1" t="s">
        <v>10</v>
      </c>
      <c r="C4531" s="1" t="s">
        <v>15916</v>
      </c>
      <c r="D4531" s="1" t="s">
        <v>15796</v>
      </c>
      <c r="E4531" s="1" t="s">
        <v>945</v>
      </c>
      <c r="F4531" s="1" t="s">
        <v>30</v>
      </c>
      <c r="G4531" s="1" t="s">
        <v>30</v>
      </c>
      <c r="H4531" s="1" t="s">
        <v>1762</v>
      </c>
      <c r="I4531" t="b">
        <f>COUNTIF(Estadísticas!I:I,'centraldecomunicacion.es'!H4531)&gt;0</f>
        <v>0</v>
      </c>
    </row>
    <row r="4532" spans="1:9" hidden="1">
      <c r="A4532" s="1" t="s">
        <v>15917</v>
      </c>
      <c r="B4532" s="1" t="s">
        <v>10</v>
      </c>
      <c r="C4532" s="1" t="s">
        <v>15918</v>
      </c>
      <c r="D4532" s="1" t="s">
        <v>15919</v>
      </c>
      <c r="E4532" s="1" t="s">
        <v>945</v>
      </c>
      <c r="F4532" s="1" t="s">
        <v>30</v>
      </c>
      <c r="G4532" s="1" t="s">
        <v>15920</v>
      </c>
      <c r="H4532" s="1" t="s">
        <v>1762</v>
      </c>
      <c r="I4532" t="b">
        <f>COUNTIF(Estadísticas!I:I,'centraldecomunicacion.es'!H4532)&gt;0</f>
        <v>0</v>
      </c>
    </row>
    <row r="4533" spans="1:9" hidden="1">
      <c r="A4533" s="1" t="s">
        <v>15921</v>
      </c>
      <c r="B4533" s="1" t="s">
        <v>10</v>
      </c>
      <c r="C4533" s="1" t="s">
        <v>15922</v>
      </c>
      <c r="D4533" s="1" t="s">
        <v>15923</v>
      </c>
      <c r="E4533" s="1" t="s">
        <v>945</v>
      </c>
      <c r="F4533" s="1" t="s">
        <v>15924</v>
      </c>
      <c r="G4533" s="1" t="s">
        <v>15925</v>
      </c>
      <c r="H4533" s="1" t="s">
        <v>15926</v>
      </c>
      <c r="I4533" t="b">
        <f>COUNTIF(Estadísticas!I:I,'centraldecomunicacion.es'!H4533)&gt;0</f>
        <v>0</v>
      </c>
    </row>
    <row r="4534" spans="1:9" hidden="1">
      <c r="A4534" s="1" t="s">
        <v>15927</v>
      </c>
      <c r="B4534" s="1" t="s">
        <v>10</v>
      </c>
      <c r="C4534" s="1" t="s">
        <v>15928</v>
      </c>
      <c r="D4534" s="1" t="s">
        <v>15929</v>
      </c>
      <c r="E4534" s="1" t="s">
        <v>945</v>
      </c>
      <c r="F4534" s="1" t="s">
        <v>30</v>
      </c>
      <c r="G4534" s="1" t="s">
        <v>30</v>
      </c>
      <c r="H4534" s="1" t="s">
        <v>1762</v>
      </c>
      <c r="I4534" t="b">
        <f>COUNTIF(Estadísticas!I:I,'centraldecomunicacion.es'!H4534)&gt;0</f>
        <v>0</v>
      </c>
    </row>
    <row r="4535" spans="1:9" hidden="1">
      <c r="A4535" s="1" t="s">
        <v>15930</v>
      </c>
      <c r="B4535" s="1" t="s">
        <v>10</v>
      </c>
      <c r="C4535" s="1" t="s">
        <v>15931</v>
      </c>
      <c r="D4535" s="1" t="s">
        <v>9827</v>
      </c>
      <c r="E4535" s="1" t="s">
        <v>945</v>
      </c>
      <c r="F4535" s="1" t="s">
        <v>30</v>
      </c>
      <c r="G4535" s="1" t="s">
        <v>15932</v>
      </c>
      <c r="H4535" s="1" t="s">
        <v>1762</v>
      </c>
      <c r="I4535" t="b">
        <f>COUNTIF(Estadísticas!I:I,'centraldecomunicacion.es'!H4535)&gt;0</f>
        <v>0</v>
      </c>
    </row>
    <row r="4536" spans="1:9" hidden="1">
      <c r="A4536" s="1" t="s">
        <v>15933</v>
      </c>
      <c r="B4536" s="1" t="s">
        <v>10</v>
      </c>
      <c r="C4536" s="1" t="s">
        <v>15934</v>
      </c>
      <c r="D4536" s="1" t="s">
        <v>15890</v>
      </c>
      <c r="E4536" s="1" t="s">
        <v>945</v>
      </c>
      <c r="F4536" s="1" t="s">
        <v>15935</v>
      </c>
      <c r="G4536" s="1" t="s">
        <v>15936</v>
      </c>
      <c r="H4536" s="1" t="s">
        <v>15937</v>
      </c>
      <c r="I4536" t="b">
        <f>COUNTIF(Estadísticas!I:I,'centraldecomunicacion.es'!H4536)&gt;0</f>
        <v>0</v>
      </c>
    </row>
    <row r="4537" spans="1:9" hidden="1">
      <c r="A4537" s="1" t="s">
        <v>15938</v>
      </c>
      <c r="B4537" s="1" t="s">
        <v>10</v>
      </c>
      <c r="C4537" s="1" t="s">
        <v>15939</v>
      </c>
      <c r="D4537" s="1" t="s">
        <v>1656</v>
      </c>
      <c r="E4537" s="1" t="s">
        <v>945</v>
      </c>
      <c r="F4537" s="1" t="s">
        <v>15940</v>
      </c>
      <c r="G4537" s="1" t="s">
        <v>30</v>
      </c>
      <c r="H4537" s="1" t="s">
        <v>1762</v>
      </c>
      <c r="I4537" t="b">
        <f>COUNTIF(Estadísticas!I:I,'centraldecomunicacion.es'!H4537)&gt;0</f>
        <v>0</v>
      </c>
    </row>
    <row r="4538" spans="1:9" hidden="1">
      <c r="A4538" s="1" t="s">
        <v>15941</v>
      </c>
      <c r="B4538" s="1" t="s">
        <v>10</v>
      </c>
      <c r="C4538" s="1" t="s">
        <v>15942</v>
      </c>
      <c r="D4538" s="1" t="s">
        <v>15943</v>
      </c>
      <c r="E4538" s="1" t="s">
        <v>945</v>
      </c>
      <c r="F4538" s="1" t="s">
        <v>15944</v>
      </c>
      <c r="G4538" s="1" t="s">
        <v>15945</v>
      </c>
      <c r="H4538" s="1" t="s">
        <v>15946</v>
      </c>
      <c r="I4538" t="b">
        <f>COUNTIF(Estadísticas!I:I,'centraldecomunicacion.es'!H4538)&gt;0</f>
        <v>0</v>
      </c>
    </row>
    <row r="4539" spans="1:9" hidden="1">
      <c r="A4539" s="1" t="s">
        <v>15947</v>
      </c>
      <c r="B4539" s="1" t="s">
        <v>10</v>
      </c>
      <c r="C4539" s="1" t="s">
        <v>15948</v>
      </c>
      <c r="D4539" s="1" t="s">
        <v>14708</v>
      </c>
      <c r="E4539" s="1" t="s">
        <v>945</v>
      </c>
      <c r="F4539" s="1" t="s">
        <v>30</v>
      </c>
      <c r="G4539" s="1" t="s">
        <v>30</v>
      </c>
      <c r="H4539" s="1" t="s">
        <v>1762</v>
      </c>
      <c r="I4539" t="b">
        <f>COUNTIF(Estadísticas!I:I,'centraldecomunicacion.es'!H4539)&gt;0</f>
        <v>0</v>
      </c>
    </row>
    <row r="4540" spans="1:9" hidden="1">
      <c r="A4540" s="1" t="s">
        <v>15949</v>
      </c>
      <c r="B4540" s="1" t="s">
        <v>10</v>
      </c>
      <c r="C4540" s="1" t="s">
        <v>15950</v>
      </c>
      <c r="D4540" s="1" t="s">
        <v>9827</v>
      </c>
      <c r="E4540" s="1" t="s">
        <v>945</v>
      </c>
      <c r="F4540" s="1" t="s">
        <v>30</v>
      </c>
      <c r="G4540" s="1" t="s">
        <v>15951</v>
      </c>
      <c r="H4540" s="1" t="s">
        <v>1762</v>
      </c>
      <c r="I4540" t="b">
        <f>COUNTIF(Estadísticas!I:I,'centraldecomunicacion.es'!H4540)&gt;0</f>
        <v>0</v>
      </c>
    </row>
    <row r="4541" spans="1:9" hidden="1">
      <c r="A4541" s="1" t="s">
        <v>15952</v>
      </c>
      <c r="B4541" s="1" t="s">
        <v>10</v>
      </c>
      <c r="C4541" s="1" t="s">
        <v>15953</v>
      </c>
      <c r="D4541" s="1" t="s">
        <v>15954</v>
      </c>
      <c r="E4541" s="1" t="s">
        <v>945</v>
      </c>
      <c r="F4541" s="1" t="s">
        <v>30</v>
      </c>
      <c r="G4541" s="1" t="s">
        <v>15955</v>
      </c>
      <c r="H4541" s="1" t="s">
        <v>1762</v>
      </c>
      <c r="I4541" t="b">
        <f>COUNTIF(Estadísticas!I:I,'centraldecomunicacion.es'!H4541)&gt;0</f>
        <v>0</v>
      </c>
    </row>
    <row r="4542" spans="1:9" hidden="1">
      <c r="A4542" s="1" t="s">
        <v>15956</v>
      </c>
      <c r="B4542" s="1" t="s">
        <v>10</v>
      </c>
      <c r="C4542" s="1" t="s">
        <v>15957</v>
      </c>
      <c r="D4542" s="1" t="s">
        <v>15958</v>
      </c>
      <c r="E4542" s="1" t="s">
        <v>945</v>
      </c>
      <c r="F4542" s="1" t="s">
        <v>30</v>
      </c>
      <c r="G4542" s="1" t="s">
        <v>15959</v>
      </c>
      <c r="H4542" s="1" t="s">
        <v>1762</v>
      </c>
      <c r="I4542" t="b">
        <f>COUNTIF(Estadísticas!I:I,'centraldecomunicacion.es'!H4542)&gt;0</f>
        <v>0</v>
      </c>
    </row>
    <row r="4543" spans="1:9" hidden="1">
      <c r="A4543" s="1" t="s">
        <v>15960</v>
      </c>
      <c r="B4543" s="1" t="s">
        <v>10</v>
      </c>
      <c r="C4543" s="1" t="s">
        <v>15961</v>
      </c>
      <c r="D4543" s="1" t="s">
        <v>1473</v>
      </c>
      <c r="E4543" s="1" t="s">
        <v>945</v>
      </c>
      <c r="F4543" s="1" t="s">
        <v>30</v>
      </c>
      <c r="G4543" s="1" t="s">
        <v>30</v>
      </c>
      <c r="H4543" s="1" t="s">
        <v>1762</v>
      </c>
      <c r="I4543" t="b">
        <f>COUNTIF(Estadísticas!I:I,'centraldecomunicacion.es'!H4543)&gt;0</f>
        <v>0</v>
      </c>
    </row>
    <row r="4544" spans="1:9" hidden="1">
      <c r="A4544" s="1" t="s">
        <v>15962</v>
      </c>
      <c r="B4544" s="1" t="s">
        <v>10</v>
      </c>
      <c r="C4544" s="1" t="s">
        <v>30</v>
      </c>
      <c r="D4544" s="1" t="s">
        <v>1667</v>
      </c>
      <c r="E4544" s="1" t="s">
        <v>30</v>
      </c>
      <c r="F4544" s="1" t="s">
        <v>30</v>
      </c>
      <c r="G4544" s="1" t="s">
        <v>15963</v>
      </c>
      <c r="H4544" s="1" t="s">
        <v>1762</v>
      </c>
      <c r="I4544" t="b">
        <f>COUNTIF(Estadísticas!I:I,'centraldecomunicacion.es'!H4544)&gt;0</f>
        <v>0</v>
      </c>
    </row>
    <row r="4545" spans="1:9" hidden="1">
      <c r="A4545" s="1" t="s">
        <v>15964</v>
      </c>
      <c r="B4545" s="1" t="s">
        <v>10</v>
      </c>
      <c r="C4545" s="1" t="s">
        <v>15965</v>
      </c>
      <c r="D4545" s="1" t="s">
        <v>1473</v>
      </c>
      <c r="E4545" s="1" t="s">
        <v>945</v>
      </c>
      <c r="F4545" s="1" t="s">
        <v>30</v>
      </c>
      <c r="G4545" s="1" t="s">
        <v>15966</v>
      </c>
      <c r="H4545" s="1" t="s">
        <v>1762</v>
      </c>
      <c r="I4545" t="b">
        <f>COUNTIF(Estadísticas!I:I,'centraldecomunicacion.es'!H4545)&gt;0</f>
        <v>0</v>
      </c>
    </row>
    <row r="4546" spans="1:9" hidden="1">
      <c r="A4546" s="1" t="s">
        <v>15967</v>
      </c>
      <c r="B4546" s="1" t="s">
        <v>10</v>
      </c>
      <c r="C4546" s="1" t="s">
        <v>15968</v>
      </c>
      <c r="D4546" s="1" t="s">
        <v>1473</v>
      </c>
      <c r="E4546" s="1" t="s">
        <v>945</v>
      </c>
      <c r="F4546" s="1" t="s">
        <v>15969</v>
      </c>
      <c r="G4546" s="1" t="s">
        <v>30</v>
      </c>
      <c r="H4546" s="1" t="s">
        <v>1762</v>
      </c>
      <c r="I4546" t="b">
        <f>COUNTIF(Estadísticas!I:I,'centraldecomunicacion.es'!H4546)&gt;0</f>
        <v>0</v>
      </c>
    </row>
    <row r="4547" spans="1:9" hidden="1">
      <c r="A4547" s="1" t="s">
        <v>15970</v>
      </c>
      <c r="B4547" s="1" t="s">
        <v>10</v>
      </c>
      <c r="C4547" s="1" t="s">
        <v>30</v>
      </c>
      <c r="D4547" s="1" t="s">
        <v>1667</v>
      </c>
      <c r="E4547" s="1" t="s">
        <v>30</v>
      </c>
      <c r="F4547" s="1" t="s">
        <v>15971</v>
      </c>
      <c r="G4547" s="1" t="s">
        <v>15972</v>
      </c>
      <c r="H4547" s="1" t="s">
        <v>15973</v>
      </c>
      <c r="I4547" t="b">
        <f>COUNTIF(Estadísticas!I:I,'centraldecomunicacion.es'!H4547)&gt;0</f>
        <v>0</v>
      </c>
    </row>
    <row r="4548" spans="1:9" hidden="1">
      <c r="A4548" s="1" t="s">
        <v>15974</v>
      </c>
      <c r="B4548" s="1" t="s">
        <v>10</v>
      </c>
      <c r="C4548" s="1" t="s">
        <v>15975</v>
      </c>
      <c r="D4548" s="1" t="s">
        <v>15976</v>
      </c>
      <c r="E4548" s="1" t="s">
        <v>945</v>
      </c>
      <c r="F4548" s="1" t="s">
        <v>15977</v>
      </c>
      <c r="G4548" s="1" t="s">
        <v>15963</v>
      </c>
      <c r="H4548" s="1" t="s">
        <v>15978</v>
      </c>
      <c r="I4548" t="b">
        <f>COUNTIF(Estadísticas!I:I,'centraldecomunicacion.es'!H4548)&gt;0</f>
        <v>0</v>
      </c>
    </row>
    <row r="4549" spans="1:9" hidden="1">
      <c r="A4549" s="1" t="s">
        <v>15979</v>
      </c>
      <c r="B4549" s="1" t="s">
        <v>10</v>
      </c>
      <c r="C4549" s="1" t="s">
        <v>15980</v>
      </c>
      <c r="D4549" s="1" t="s">
        <v>15981</v>
      </c>
      <c r="E4549" s="1" t="s">
        <v>945</v>
      </c>
      <c r="F4549" s="1" t="s">
        <v>30</v>
      </c>
      <c r="G4549" s="1" t="s">
        <v>30</v>
      </c>
      <c r="H4549" s="1" t="s">
        <v>1762</v>
      </c>
      <c r="I4549" t="b">
        <f>COUNTIF(Estadísticas!I:I,'centraldecomunicacion.es'!H4549)&gt;0</f>
        <v>0</v>
      </c>
    </row>
    <row r="4550" spans="1:9" hidden="1">
      <c r="A4550" s="1" t="s">
        <v>15982</v>
      </c>
      <c r="B4550" s="1" t="s">
        <v>10</v>
      </c>
      <c r="C4550" s="1" t="s">
        <v>15983</v>
      </c>
      <c r="D4550" s="1" t="s">
        <v>14632</v>
      </c>
      <c r="E4550" s="1" t="s">
        <v>945</v>
      </c>
      <c r="F4550" s="1" t="s">
        <v>30</v>
      </c>
      <c r="G4550" s="1" t="s">
        <v>30</v>
      </c>
      <c r="H4550" s="1" t="s">
        <v>1762</v>
      </c>
      <c r="I4550" t="b">
        <f>COUNTIF(Estadísticas!I:I,'centraldecomunicacion.es'!H4550)&gt;0</f>
        <v>0</v>
      </c>
    </row>
    <row r="4551" spans="1:9" hidden="1">
      <c r="A4551" s="1" t="s">
        <v>15984</v>
      </c>
      <c r="B4551" s="1" t="s">
        <v>10</v>
      </c>
      <c r="C4551" s="1" t="s">
        <v>15985</v>
      </c>
      <c r="D4551" s="1" t="s">
        <v>9827</v>
      </c>
      <c r="E4551" s="1" t="s">
        <v>945</v>
      </c>
      <c r="F4551" s="1" t="s">
        <v>30</v>
      </c>
      <c r="G4551" s="1" t="s">
        <v>15986</v>
      </c>
      <c r="H4551" s="1" t="s">
        <v>1762</v>
      </c>
      <c r="I4551" t="b">
        <f>COUNTIF(Estadísticas!I:I,'centraldecomunicacion.es'!H4551)&gt;0</f>
        <v>0</v>
      </c>
    </row>
    <row r="4552" spans="1:9" hidden="1">
      <c r="A4552" s="1" t="s">
        <v>15987</v>
      </c>
      <c r="B4552" s="1" t="s">
        <v>10</v>
      </c>
      <c r="C4552" s="1" t="s">
        <v>15988</v>
      </c>
      <c r="D4552" s="1" t="s">
        <v>1532</v>
      </c>
      <c r="E4552" s="1" t="s">
        <v>945</v>
      </c>
      <c r="F4552" s="1" t="s">
        <v>30</v>
      </c>
      <c r="G4552" s="1" t="s">
        <v>30</v>
      </c>
      <c r="H4552" s="1" t="s">
        <v>1762</v>
      </c>
      <c r="I4552" t="b">
        <f>COUNTIF(Estadísticas!I:I,'centraldecomunicacion.es'!H4552)&gt;0</f>
        <v>0</v>
      </c>
    </row>
    <row r="4553" spans="1:9" hidden="1">
      <c r="A4553" s="1" t="s">
        <v>15989</v>
      </c>
      <c r="B4553" s="1" t="s">
        <v>10</v>
      </c>
      <c r="C4553" s="1" t="s">
        <v>15990</v>
      </c>
      <c r="D4553" s="1" t="s">
        <v>15991</v>
      </c>
      <c r="E4553" s="1" t="s">
        <v>945</v>
      </c>
      <c r="F4553" s="1" t="s">
        <v>30</v>
      </c>
      <c r="G4553" s="1" t="s">
        <v>15992</v>
      </c>
      <c r="H4553" s="1" t="s">
        <v>1762</v>
      </c>
      <c r="I4553" t="b">
        <f>COUNTIF(Estadísticas!I:I,'centraldecomunicacion.es'!H4553)&gt;0</f>
        <v>0</v>
      </c>
    </row>
    <row r="4554" spans="1:9" hidden="1">
      <c r="A4554" s="1" t="s">
        <v>15993</v>
      </c>
      <c r="B4554" s="1" t="s">
        <v>10</v>
      </c>
      <c r="C4554" s="1" t="s">
        <v>15994</v>
      </c>
      <c r="D4554" s="1" t="s">
        <v>15995</v>
      </c>
      <c r="E4554" s="1" t="s">
        <v>945</v>
      </c>
      <c r="F4554" s="1" t="s">
        <v>15996</v>
      </c>
      <c r="G4554" s="1" t="s">
        <v>15997</v>
      </c>
      <c r="H4554" s="1" t="s">
        <v>15998</v>
      </c>
      <c r="I4554" t="b">
        <f>COUNTIF(Estadísticas!I:I,'centraldecomunicacion.es'!H4554)&gt;0</f>
        <v>0</v>
      </c>
    </row>
    <row r="4555" spans="1:9" hidden="1">
      <c r="A4555" s="1" t="s">
        <v>15999</v>
      </c>
      <c r="B4555" s="1" t="s">
        <v>10</v>
      </c>
      <c r="C4555" s="1" t="s">
        <v>16000</v>
      </c>
      <c r="D4555" s="1" t="s">
        <v>16001</v>
      </c>
      <c r="E4555" s="1" t="s">
        <v>16001</v>
      </c>
      <c r="F4555" s="1" t="s">
        <v>30</v>
      </c>
      <c r="G4555" s="1" t="s">
        <v>16002</v>
      </c>
      <c r="H4555" s="1" t="s">
        <v>1762</v>
      </c>
      <c r="I4555" t="b">
        <f>COUNTIF(Estadísticas!I:I,'centraldecomunicacion.es'!H4555)&gt;0</f>
        <v>0</v>
      </c>
    </row>
    <row r="4556" spans="1:9" hidden="1">
      <c r="A4556" s="1" t="s">
        <v>16003</v>
      </c>
      <c r="B4556" s="1" t="s">
        <v>10</v>
      </c>
      <c r="C4556" s="1" t="s">
        <v>16004</v>
      </c>
      <c r="D4556" s="1" t="s">
        <v>944</v>
      </c>
      <c r="E4556" s="1" t="s">
        <v>945</v>
      </c>
      <c r="F4556" s="1" t="s">
        <v>30</v>
      </c>
      <c r="G4556" s="1" t="s">
        <v>16005</v>
      </c>
      <c r="H4556" s="1" t="s">
        <v>1762</v>
      </c>
      <c r="I4556" t="b">
        <f>COUNTIF(Estadísticas!I:I,'centraldecomunicacion.es'!H4556)&gt;0</f>
        <v>0</v>
      </c>
    </row>
    <row r="4557" spans="1:9" hidden="1">
      <c r="A4557" s="1" t="s">
        <v>3058</v>
      </c>
      <c r="B4557" s="1" t="s">
        <v>10</v>
      </c>
      <c r="C4557" s="1" t="s">
        <v>16006</v>
      </c>
      <c r="D4557" s="1" t="s">
        <v>15811</v>
      </c>
      <c r="E4557" s="1" t="s">
        <v>945</v>
      </c>
      <c r="F4557" s="1" t="s">
        <v>30</v>
      </c>
      <c r="G4557" s="1" t="s">
        <v>16007</v>
      </c>
      <c r="H4557" s="1" t="s">
        <v>1762</v>
      </c>
      <c r="I4557" t="b">
        <f>COUNTIF(Estadísticas!I:I,'centraldecomunicacion.es'!H4557)&gt;0</f>
        <v>0</v>
      </c>
    </row>
    <row r="4558" spans="1:9">
      <c r="A4558" s="1" t="s">
        <v>16008</v>
      </c>
      <c r="B4558" s="1" t="s">
        <v>10</v>
      </c>
      <c r="C4558" s="1" t="s">
        <v>30</v>
      </c>
      <c r="D4558" s="1" t="s">
        <v>1667</v>
      </c>
      <c r="E4558" s="1" t="s">
        <v>30</v>
      </c>
      <c r="F4558" s="1" t="s">
        <v>16009</v>
      </c>
      <c r="G4558" s="1" t="s">
        <v>1475</v>
      </c>
      <c r="H4558" s="1" t="s">
        <v>1476</v>
      </c>
      <c r="I4558" t="b">
        <f>COUNTIF(Estadísticas!I:I,'centraldecomunicacion.es'!H4558)&gt;0</f>
        <v>1</v>
      </c>
    </row>
    <row r="4559" spans="1:9" hidden="1">
      <c r="A4559" s="1" t="s">
        <v>16010</v>
      </c>
      <c r="B4559" s="1" t="s">
        <v>10</v>
      </c>
      <c r="C4559" s="1" t="s">
        <v>16011</v>
      </c>
      <c r="D4559" s="1" t="s">
        <v>15943</v>
      </c>
      <c r="E4559" s="1" t="s">
        <v>945</v>
      </c>
      <c r="F4559" s="1" t="s">
        <v>15944</v>
      </c>
      <c r="G4559" s="1" t="s">
        <v>16012</v>
      </c>
      <c r="H4559" s="1" t="s">
        <v>15946</v>
      </c>
      <c r="I4559" t="b">
        <f>COUNTIF(Estadísticas!I:I,'centraldecomunicacion.es'!H4559)&gt;0</f>
        <v>0</v>
      </c>
    </row>
    <row r="4560" spans="1:9" hidden="1">
      <c r="A4560" s="1" t="s">
        <v>16013</v>
      </c>
      <c r="B4560" s="1" t="s">
        <v>10</v>
      </c>
      <c r="C4560" s="1" t="s">
        <v>16014</v>
      </c>
      <c r="D4560" s="1" t="s">
        <v>14765</v>
      </c>
      <c r="E4560" s="1" t="s">
        <v>945</v>
      </c>
      <c r="F4560" s="1" t="s">
        <v>30</v>
      </c>
      <c r="G4560" s="1" t="s">
        <v>16015</v>
      </c>
      <c r="H4560" s="1" t="s">
        <v>1762</v>
      </c>
      <c r="I4560" t="b">
        <f>COUNTIF(Estadísticas!I:I,'centraldecomunicacion.es'!H4560)&gt;0</f>
        <v>0</v>
      </c>
    </row>
    <row r="4561" spans="1:9" hidden="1">
      <c r="A4561" s="1" t="s">
        <v>16016</v>
      </c>
      <c r="B4561" s="1" t="s">
        <v>10</v>
      </c>
      <c r="C4561" s="1" t="s">
        <v>16017</v>
      </c>
      <c r="D4561" s="1" t="s">
        <v>16018</v>
      </c>
      <c r="E4561" s="1" t="s">
        <v>945</v>
      </c>
      <c r="F4561" s="1" t="s">
        <v>16019</v>
      </c>
      <c r="G4561" s="1" t="s">
        <v>16020</v>
      </c>
      <c r="H4561" s="1" t="s">
        <v>1762</v>
      </c>
      <c r="I4561" t="b">
        <f>COUNTIF(Estadísticas!I:I,'centraldecomunicacion.es'!H4561)&gt;0</f>
        <v>0</v>
      </c>
    </row>
    <row r="4562" spans="1:9" hidden="1">
      <c r="A4562" s="1" t="s">
        <v>16021</v>
      </c>
      <c r="B4562" s="1" t="s">
        <v>10</v>
      </c>
      <c r="C4562" s="1" t="s">
        <v>16022</v>
      </c>
      <c r="D4562" s="1" t="s">
        <v>1532</v>
      </c>
      <c r="E4562" s="1" t="s">
        <v>1532</v>
      </c>
      <c r="F4562" s="1" t="s">
        <v>30</v>
      </c>
      <c r="G4562" s="1" t="s">
        <v>16023</v>
      </c>
      <c r="H4562" s="1" t="s">
        <v>1762</v>
      </c>
      <c r="I4562" t="b">
        <f>COUNTIF(Estadísticas!I:I,'centraldecomunicacion.es'!H4562)&gt;0</f>
        <v>0</v>
      </c>
    </row>
    <row r="4563" spans="1:9" hidden="1">
      <c r="A4563" s="1" t="s">
        <v>16024</v>
      </c>
      <c r="B4563" s="1" t="s">
        <v>10</v>
      </c>
      <c r="C4563" s="1" t="s">
        <v>16025</v>
      </c>
      <c r="D4563" s="1" t="s">
        <v>16026</v>
      </c>
      <c r="E4563" s="1" t="s">
        <v>16026</v>
      </c>
      <c r="F4563" s="1" t="s">
        <v>30</v>
      </c>
      <c r="G4563" s="1" t="s">
        <v>16027</v>
      </c>
      <c r="H4563" s="1" t="s">
        <v>1762</v>
      </c>
      <c r="I4563" t="b">
        <f>COUNTIF(Estadísticas!I:I,'centraldecomunicacion.es'!H4563)&gt;0</f>
        <v>0</v>
      </c>
    </row>
    <row r="4564" spans="1:9" hidden="1">
      <c r="A4564" s="1" t="s">
        <v>16028</v>
      </c>
      <c r="B4564" s="1" t="s">
        <v>10</v>
      </c>
      <c r="C4564" s="1" t="s">
        <v>16029</v>
      </c>
      <c r="D4564" s="1" t="s">
        <v>15890</v>
      </c>
      <c r="E4564" s="1" t="s">
        <v>945</v>
      </c>
      <c r="F4564" s="1" t="s">
        <v>30</v>
      </c>
      <c r="G4564" s="1" t="s">
        <v>30</v>
      </c>
      <c r="H4564" s="1" t="s">
        <v>1762</v>
      </c>
      <c r="I4564" t="b">
        <f>COUNTIF(Estadísticas!I:I,'centraldecomunicacion.es'!H4564)&gt;0</f>
        <v>0</v>
      </c>
    </row>
    <row r="4565" spans="1:9" hidden="1">
      <c r="A4565" s="1" t="s">
        <v>16030</v>
      </c>
      <c r="B4565" s="1" t="s">
        <v>10</v>
      </c>
      <c r="C4565" s="1" t="s">
        <v>16031</v>
      </c>
      <c r="D4565" s="1" t="s">
        <v>16032</v>
      </c>
      <c r="E4565" s="1" t="s">
        <v>945</v>
      </c>
      <c r="F4565" s="1" t="s">
        <v>30</v>
      </c>
      <c r="G4565" s="1" t="s">
        <v>16033</v>
      </c>
      <c r="H4565" s="1" t="s">
        <v>1762</v>
      </c>
      <c r="I4565" t="b">
        <f>COUNTIF(Estadísticas!I:I,'centraldecomunicacion.es'!H4565)&gt;0</f>
        <v>0</v>
      </c>
    </row>
    <row r="4566" spans="1:9" hidden="1">
      <c r="A4566" s="1" t="s">
        <v>16034</v>
      </c>
      <c r="B4566" s="1" t="s">
        <v>10</v>
      </c>
      <c r="C4566" s="1" t="s">
        <v>16035</v>
      </c>
      <c r="D4566" s="1" t="s">
        <v>14648</v>
      </c>
      <c r="E4566" s="1" t="s">
        <v>945</v>
      </c>
      <c r="F4566" s="1" t="s">
        <v>30</v>
      </c>
      <c r="G4566" s="1" t="s">
        <v>30</v>
      </c>
      <c r="H4566" s="1" t="s">
        <v>1762</v>
      </c>
      <c r="I4566" t="b">
        <f>COUNTIF(Estadísticas!I:I,'centraldecomunicacion.es'!H4566)&gt;0</f>
        <v>0</v>
      </c>
    </row>
    <row r="4567" spans="1:9" hidden="1">
      <c r="A4567" s="1" t="s">
        <v>16036</v>
      </c>
      <c r="B4567" s="1" t="s">
        <v>10</v>
      </c>
      <c r="C4567" s="1" t="s">
        <v>16037</v>
      </c>
      <c r="D4567" s="1" t="s">
        <v>16038</v>
      </c>
      <c r="E4567" s="1" t="s">
        <v>16038</v>
      </c>
      <c r="F4567" s="1" t="s">
        <v>30</v>
      </c>
      <c r="G4567" s="1" t="s">
        <v>30</v>
      </c>
      <c r="H4567" s="1" t="s">
        <v>1762</v>
      </c>
      <c r="I4567" t="b">
        <f>COUNTIF(Estadísticas!I:I,'centraldecomunicacion.es'!H4567)&gt;0</f>
        <v>0</v>
      </c>
    </row>
    <row r="4568" spans="1:9" hidden="1">
      <c r="A4568" s="1" t="s">
        <v>16039</v>
      </c>
      <c r="B4568" s="1" t="s">
        <v>10</v>
      </c>
      <c r="C4568" s="1" t="s">
        <v>16040</v>
      </c>
      <c r="D4568" s="1" t="s">
        <v>16041</v>
      </c>
      <c r="E4568" s="1" t="s">
        <v>945</v>
      </c>
      <c r="F4568" s="1" t="s">
        <v>30</v>
      </c>
      <c r="G4568" s="1" t="s">
        <v>30</v>
      </c>
      <c r="H4568" s="1" t="s">
        <v>1762</v>
      </c>
      <c r="I4568" t="b">
        <f>COUNTIF(Estadísticas!I:I,'centraldecomunicacion.es'!H4568)&gt;0</f>
        <v>0</v>
      </c>
    </row>
    <row r="4569" spans="1:9" hidden="1">
      <c r="A4569" s="1" t="s">
        <v>16042</v>
      </c>
      <c r="B4569" s="1" t="s">
        <v>10</v>
      </c>
      <c r="C4569" s="1" t="s">
        <v>16043</v>
      </c>
      <c r="D4569" s="1" t="s">
        <v>1473</v>
      </c>
      <c r="E4569" s="1" t="s">
        <v>945</v>
      </c>
      <c r="F4569" s="1" t="s">
        <v>30</v>
      </c>
      <c r="G4569" s="1" t="s">
        <v>30</v>
      </c>
      <c r="H4569" s="1" t="s">
        <v>1762</v>
      </c>
      <c r="I4569" t="b">
        <f>COUNTIF(Estadísticas!I:I,'centraldecomunicacion.es'!H4569)&gt;0</f>
        <v>0</v>
      </c>
    </row>
    <row r="4570" spans="1:9" hidden="1">
      <c r="A4570" s="1" t="s">
        <v>16044</v>
      </c>
      <c r="B4570" s="1" t="s">
        <v>10</v>
      </c>
      <c r="C4570" s="1" t="s">
        <v>16045</v>
      </c>
      <c r="D4570" s="1" t="s">
        <v>15785</v>
      </c>
      <c r="E4570" s="1" t="s">
        <v>14721</v>
      </c>
      <c r="F4570" s="1" t="s">
        <v>30</v>
      </c>
      <c r="G4570" s="1" t="s">
        <v>30</v>
      </c>
      <c r="H4570" s="1" t="s">
        <v>1762</v>
      </c>
      <c r="I4570" t="b">
        <f>COUNTIF(Estadísticas!I:I,'centraldecomunicacion.es'!H4570)&gt;0</f>
        <v>0</v>
      </c>
    </row>
    <row r="4571" spans="1:9" hidden="1">
      <c r="A4571" s="1" t="s">
        <v>16046</v>
      </c>
      <c r="B4571" s="1" t="s">
        <v>10</v>
      </c>
      <c r="C4571" s="1" t="s">
        <v>16047</v>
      </c>
      <c r="D4571" s="1" t="s">
        <v>16048</v>
      </c>
      <c r="E4571" s="1" t="s">
        <v>945</v>
      </c>
      <c r="F4571" s="1" t="s">
        <v>30</v>
      </c>
      <c r="G4571" s="1" t="s">
        <v>30</v>
      </c>
      <c r="H4571" s="1" t="s">
        <v>1762</v>
      </c>
      <c r="I4571" t="b">
        <f>COUNTIF(Estadísticas!I:I,'centraldecomunicacion.es'!H4571)&gt;0</f>
        <v>0</v>
      </c>
    </row>
    <row r="4572" spans="1:9" hidden="1">
      <c r="A4572" s="1" t="s">
        <v>16049</v>
      </c>
      <c r="B4572" s="1" t="s">
        <v>10</v>
      </c>
      <c r="C4572" s="1" t="s">
        <v>16050</v>
      </c>
      <c r="D4572" s="1" t="s">
        <v>16051</v>
      </c>
      <c r="E4572" s="1" t="s">
        <v>945</v>
      </c>
      <c r="F4572" s="1" t="s">
        <v>30</v>
      </c>
      <c r="G4572" s="1" t="s">
        <v>16052</v>
      </c>
      <c r="H4572" s="1" t="s">
        <v>1762</v>
      </c>
      <c r="I4572" t="b">
        <f>COUNTIF(Estadísticas!I:I,'centraldecomunicacion.es'!H4572)&gt;0</f>
        <v>0</v>
      </c>
    </row>
    <row r="4573" spans="1:9" hidden="1">
      <c r="A4573" s="1" t="s">
        <v>16053</v>
      </c>
      <c r="B4573" s="1" t="s">
        <v>10</v>
      </c>
      <c r="C4573" s="1" t="s">
        <v>16054</v>
      </c>
      <c r="D4573" s="1" t="s">
        <v>15872</v>
      </c>
      <c r="E4573" s="1" t="s">
        <v>945</v>
      </c>
      <c r="F4573" s="1" t="s">
        <v>30</v>
      </c>
      <c r="G4573" s="1" t="s">
        <v>16055</v>
      </c>
      <c r="H4573" s="1" t="s">
        <v>1762</v>
      </c>
      <c r="I4573" t="b">
        <f>COUNTIF(Estadísticas!I:I,'centraldecomunicacion.es'!H4573)&gt;0</f>
        <v>0</v>
      </c>
    </row>
    <row r="4574" spans="1:9" hidden="1">
      <c r="A4574" s="1" t="s">
        <v>16056</v>
      </c>
      <c r="B4574" s="1" t="s">
        <v>10</v>
      </c>
      <c r="C4574" s="1" t="s">
        <v>16057</v>
      </c>
      <c r="D4574" s="1" t="s">
        <v>16058</v>
      </c>
      <c r="E4574" s="1" t="s">
        <v>945</v>
      </c>
      <c r="F4574" s="1" t="s">
        <v>30</v>
      </c>
      <c r="G4574" s="1" t="s">
        <v>16059</v>
      </c>
      <c r="H4574" s="1" t="s">
        <v>1762</v>
      </c>
      <c r="I4574" t="b">
        <f>COUNTIF(Estadísticas!I:I,'centraldecomunicacion.es'!H4574)&gt;0</f>
        <v>0</v>
      </c>
    </row>
    <row r="4575" spans="1:9" hidden="1">
      <c r="A4575" s="1" t="s">
        <v>16060</v>
      </c>
      <c r="B4575" s="1" t="s">
        <v>10</v>
      </c>
      <c r="C4575" s="1" t="s">
        <v>16061</v>
      </c>
      <c r="D4575" s="1" t="s">
        <v>1473</v>
      </c>
      <c r="E4575" s="1" t="s">
        <v>1473</v>
      </c>
      <c r="F4575" s="1" t="s">
        <v>30</v>
      </c>
      <c r="G4575" s="1" t="s">
        <v>1545</v>
      </c>
      <c r="H4575" s="1" t="s">
        <v>1762</v>
      </c>
      <c r="I4575" t="b">
        <f>COUNTIF(Estadísticas!I:I,'centraldecomunicacion.es'!H4575)&gt;0</f>
        <v>0</v>
      </c>
    </row>
    <row r="4576" spans="1:9" hidden="1">
      <c r="A4576" s="1" t="s">
        <v>16062</v>
      </c>
      <c r="B4576" s="1" t="s">
        <v>10</v>
      </c>
      <c r="C4576" s="1" t="s">
        <v>16063</v>
      </c>
      <c r="D4576" s="1" t="s">
        <v>16064</v>
      </c>
      <c r="E4576" s="1" t="s">
        <v>945</v>
      </c>
      <c r="F4576" s="1" t="s">
        <v>16065</v>
      </c>
      <c r="G4576" s="1" t="s">
        <v>16066</v>
      </c>
      <c r="H4576" s="1" t="s">
        <v>1762</v>
      </c>
      <c r="I4576" t="b">
        <f>COUNTIF(Estadísticas!I:I,'centraldecomunicacion.es'!H4576)&gt;0</f>
        <v>0</v>
      </c>
    </row>
    <row r="4577" spans="1:9" hidden="1">
      <c r="A4577" s="1" t="s">
        <v>16067</v>
      </c>
      <c r="B4577" s="1" t="s">
        <v>10</v>
      </c>
      <c r="C4577" s="1" t="s">
        <v>16068</v>
      </c>
      <c r="D4577" s="1" t="s">
        <v>16069</v>
      </c>
      <c r="E4577" s="1" t="s">
        <v>945</v>
      </c>
      <c r="F4577" s="1" t="s">
        <v>30</v>
      </c>
      <c r="G4577" s="1" t="s">
        <v>30</v>
      </c>
      <c r="H4577" s="1" t="s">
        <v>1762</v>
      </c>
      <c r="I4577" t="b">
        <f>COUNTIF(Estadísticas!I:I,'centraldecomunicacion.es'!H4577)&gt;0</f>
        <v>0</v>
      </c>
    </row>
    <row r="4578" spans="1:9" hidden="1">
      <c r="A4578" s="1" t="s">
        <v>16070</v>
      </c>
      <c r="B4578" s="1" t="s">
        <v>10</v>
      </c>
      <c r="C4578" s="1" t="s">
        <v>16071</v>
      </c>
      <c r="D4578" s="1" t="s">
        <v>1473</v>
      </c>
      <c r="E4578" s="1" t="s">
        <v>945</v>
      </c>
      <c r="F4578" s="1" t="s">
        <v>30</v>
      </c>
      <c r="G4578" s="1" t="s">
        <v>30</v>
      </c>
      <c r="H4578" s="1" t="s">
        <v>1762</v>
      </c>
      <c r="I4578" t="b">
        <f>COUNTIF(Estadísticas!I:I,'centraldecomunicacion.es'!H4578)&gt;0</f>
        <v>0</v>
      </c>
    </row>
    <row r="4579" spans="1:9" hidden="1">
      <c r="A4579" s="1" t="s">
        <v>16072</v>
      </c>
      <c r="B4579" s="1" t="s">
        <v>10</v>
      </c>
      <c r="C4579" s="1" t="s">
        <v>16073</v>
      </c>
      <c r="D4579" s="1" t="s">
        <v>16074</v>
      </c>
      <c r="E4579" s="1" t="s">
        <v>945</v>
      </c>
      <c r="F4579" s="1" t="s">
        <v>16075</v>
      </c>
      <c r="G4579" s="1" t="s">
        <v>16076</v>
      </c>
      <c r="H4579" s="1" t="s">
        <v>16077</v>
      </c>
      <c r="I4579" t="b">
        <f>COUNTIF(Estadísticas!I:I,'centraldecomunicacion.es'!H4579)&gt;0</f>
        <v>0</v>
      </c>
    </row>
    <row r="4580" spans="1:9" hidden="1">
      <c r="A4580" s="1" t="s">
        <v>16078</v>
      </c>
      <c r="B4580" s="1" t="s">
        <v>10</v>
      </c>
      <c r="C4580" s="1" t="s">
        <v>16079</v>
      </c>
      <c r="D4580" s="1" t="s">
        <v>9827</v>
      </c>
      <c r="E4580" s="1" t="s">
        <v>945</v>
      </c>
      <c r="F4580" s="1" t="s">
        <v>30</v>
      </c>
      <c r="G4580" s="1" t="s">
        <v>30</v>
      </c>
      <c r="H4580" s="1" t="s">
        <v>1762</v>
      </c>
      <c r="I4580" t="b">
        <f>COUNTIF(Estadísticas!I:I,'centraldecomunicacion.es'!H4580)&gt;0</f>
        <v>0</v>
      </c>
    </row>
    <row r="4581" spans="1:9" hidden="1">
      <c r="A4581" s="1" t="s">
        <v>16080</v>
      </c>
      <c r="B4581" s="1" t="s">
        <v>18</v>
      </c>
      <c r="C4581" s="1" t="s">
        <v>16081</v>
      </c>
      <c r="D4581" s="1" t="s">
        <v>1473</v>
      </c>
      <c r="E4581" s="1" t="s">
        <v>945</v>
      </c>
      <c r="F4581" s="1" t="s">
        <v>30</v>
      </c>
      <c r="G4581" s="1" t="s">
        <v>30</v>
      </c>
      <c r="H4581" s="1" t="s">
        <v>1762</v>
      </c>
      <c r="I4581" t="b">
        <f>COUNTIF(Estadísticas!I:I,'centraldecomunicacion.es'!H4581)&gt;0</f>
        <v>0</v>
      </c>
    </row>
    <row r="4582" spans="1:9" hidden="1">
      <c r="A4582" s="1" t="s">
        <v>16082</v>
      </c>
      <c r="B4582" s="1" t="s">
        <v>3050</v>
      </c>
      <c r="C4582" s="1" t="s">
        <v>16083</v>
      </c>
      <c r="D4582" s="1" t="s">
        <v>15923</v>
      </c>
      <c r="E4582" s="1" t="s">
        <v>945</v>
      </c>
      <c r="F4582" s="1" t="s">
        <v>30</v>
      </c>
      <c r="G4582" s="1" t="s">
        <v>16084</v>
      </c>
      <c r="H4582" s="1" t="s">
        <v>1762</v>
      </c>
      <c r="I4582" t="b">
        <f>COUNTIF(Estadísticas!I:I,'centraldecomunicacion.es'!H4582)&gt;0</f>
        <v>0</v>
      </c>
    </row>
    <row r="4583" spans="1:9" hidden="1">
      <c r="A4583" s="1" t="s">
        <v>16085</v>
      </c>
      <c r="B4583" s="1" t="s">
        <v>10</v>
      </c>
      <c r="C4583" s="1" t="s">
        <v>16086</v>
      </c>
      <c r="D4583" s="1" t="s">
        <v>1538</v>
      </c>
      <c r="E4583" s="1" t="s">
        <v>945</v>
      </c>
      <c r="F4583" s="1" t="s">
        <v>30</v>
      </c>
      <c r="G4583" s="1" t="s">
        <v>16087</v>
      </c>
      <c r="H4583" s="1" t="s">
        <v>1762</v>
      </c>
      <c r="I4583" t="b">
        <f>COUNTIF(Estadísticas!I:I,'centraldecomunicacion.es'!H4583)&gt;0</f>
        <v>0</v>
      </c>
    </row>
    <row r="4584" spans="1:9" hidden="1">
      <c r="A4584" s="1" t="s">
        <v>16088</v>
      </c>
      <c r="B4584" s="1" t="s">
        <v>10</v>
      </c>
      <c r="C4584" s="1" t="s">
        <v>16089</v>
      </c>
      <c r="D4584" s="1" t="s">
        <v>1473</v>
      </c>
      <c r="E4584" s="1" t="s">
        <v>945</v>
      </c>
      <c r="F4584" s="1" t="s">
        <v>14600</v>
      </c>
      <c r="G4584" s="1" t="s">
        <v>16090</v>
      </c>
      <c r="H4584" s="1" t="s">
        <v>1762</v>
      </c>
      <c r="I4584" t="b">
        <f>COUNTIF(Estadísticas!I:I,'centraldecomunicacion.es'!H4584)&gt;0</f>
        <v>0</v>
      </c>
    </row>
    <row r="4585" spans="1:9" hidden="1">
      <c r="A4585" s="1" t="s">
        <v>16091</v>
      </c>
      <c r="B4585" s="1" t="s">
        <v>10</v>
      </c>
      <c r="C4585" s="1" t="s">
        <v>16092</v>
      </c>
      <c r="D4585" s="1" t="s">
        <v>16093</v>
      </c>
      <c r="E4585" s="1" t="s">
        <v>1507</v>
      </c>
      <c r="F4585" s="1" t="s">
        <v>30</v>
      </c>
      <c r="G4585" s="1" t="s">
        <v>16094</v>
      </c>
      <c r="H4585" s="1" t="s">
        <v>1762</v>
      </c>
      <c r="I4585" t="b">
        <f>COUNTIF(Estadísticas!I:I,'centraldecomunicacion.es'!H4585)&gt;0</f>
        <v>0</v>
      </c>
    </row>
    <row r="4586" spans="1:9">
      <c r="A4586" s="1" t="s">
        <v>1660</v>
      </c>
      <c r="B4586" s="1" t="s">
        <v>10</v>
      </c>
      <c r="C4586" s="1" t="s">
        <v>1661</v>
      </c>
      <c r="D4586" s="1" t="s">
        <v>1662</v>
      </c>
      <c r="E4586" s="1" t="s">
        <v>1507</v>
      </c>
      <c r="F4586" s="1" t="s">
        <v>1663</v>
      </c>
      <c r="G4586" s="1" t="s">
        <v>1664</v>
      </c>
      <c r="H4586" s="1" t="s">
        <v>1665</v>
      </c>
      <c r="I4586" t="b">
        <f>COUNTIF(Estadísticas!I:I,'centraldecomunicacion.es'!H4586)&gt;0</f>
        <v>1</v>
      </c>
    </row>
    <row r="4587" spans="1:9" hidden="1">
      <c r="A4587" s="1" t="s">
        <v>16095</v>
      </c>
      <c r="B4587" s="1" t="s">
        <v>18</v>
      </c>
      <c r="C4587" s="1" t="s">
        <v>16096</v>
      </c>
      <c r="D4587" s="1" t="s">
        <v>16097</v>
      </c>
      <c r="E4587" s="1" t="s">
        <v>945</v>
      </c>
      <c r="F4587" s="1" t="s">
        <v>30</v>
      </c>
      <c r="G4587" s="1" t="s">
        <v>16098</v>
      </c>
      <c r="H4587" s="1" t="s">
        <v>1762</v>
      </c>
      <c r="I4587" t="b">
        <f>COUNTIF(Estadísticas!I:I,'centraldecomunicacion.es'!H4587)&gt;0</f>
        <v>0</v>
      </c>
    </row>
    <row r="4588" spans="1:9" hidden="1">
      <c r="A4588" s="1" t="s">
        <v>16099</v>
      </c>
      <c r="B4588" s="1" t="s">
        <v>18</v>
      </c>
      <c r="C4588" s="1" t="s">
        <v>16100</v>
      </c>
      <c r="D4588" s="1" t="s">
        <v>1473</v>
      </c>
      <c r="E4588" s="1" t="s">
        <v>945</v>
      </c>
      <c r="F4588" s="1" t="s">
        <v>30</v>
      </c>
      <c r="G4588" s="1" t="s">
        <v>30</v>
      </c>
      <c r="H4588" s="1" t="s">
        <v>1762</v>
      </c>
      <c r="I4588" t="b">
        <f>COUNTIF(Estadísticas!I:I,'centraldecomunicacion.es'!H4588)&gt;0</f>
        <v>0</v>
      </c>
    </row>
    <row r="4589" spans="1:9" hidden="1">
      <c r="A4589" s="1" t="s">
        <v>16101</v>
      </c>
      <c r="B4589" s="1" t="s">
        <v>10</v>
      </c>
      <c r="C4589" s="1" t="s">
        <v>16102</v>
      </c>
      <c r="D4589" s="1" t="s">
        <v>5192</v>
      </c>
      <c r="E4589" s="1" t="s">
        <v>294</v>
      </c>
      <c r="F4589" s="1" t="s">
        <v>30</v>
      </c>
      <c r="G4589" s="1" t="s">
        <v>16103</v>
      </c>
      <c r="H4589" s="1" t="s">
        <v>1762</v>
      </c>
      <c r="I4589" t="b">
        <f>COUNTIF(Estadísticas!I:I,'centraldecomunicacion.es'!H4589)&gt;0</f>
        <v>0</v>
      </c>
    </row>
    <row r="4590" spans="1:9" hidden="1">
      <c r="A4590" s="1" t="s">
        <v>16104</v>
      </c>
      <c r="B4590" s="1" t="s">
        <v>10</v>
      </c>
      <c r="C4590" s="1" t="s">
        <v>16105</v>
      </c>
      <c r="D4590" s="1" t="s">
        <v>16106</v>
      </c>
      <c r="E4590" s="1" t="s">
        <v>294</v>
      </c>
      <c r="F4590" s="1" t="s">
        <v>30</v>
      </c>
      <c r="G4590" s="1" t="s">
        <v>15951</v>
      </c>
      <c r="H4590" s="1" t="s">
        <v>1762</v>
      </c>
      <c r="I4590" t="b">
        <f>COUNTIF(Estadísticas!I:I,'centraldecomunicacion.es'!H4590)&gt;0</f>
        <v>0</v>
      </c>
    </row>
    <row r="4591" spans="1:9" hidden="1">
      <c r="A4591" s="1" t="s">
        <v>16107</v>
      </c>
      <c r="B4591" s="1" t="s">
        <v>10</v>
      </c>
      <c r="C4591" s="1" t="s">
        <v>16108</v>
      </c>
      <c r="D4591" s="1" t="s">
        <v>16109</v>
      </c>
      <c r="E4591" s="1" t="s">
        <v>1507</v>
      </c>
      <c r="F4591" s="1" t="s">
        <v>16110</v>
      </c>
      <c r="G4591" s="1" t="s">
        <v>16111</v>
      </c>
      <c r="H4591" s="1" t="s">
        <v>1762</v>
      </c>
      <c r="I4591" t="b">
        <f>COUNTIF(Estadísticas!I:I,'centraldecomunicacion.es'!H4591)&gt;0</f>
        <v>0</v>
      </c>
    </row>
    <row r="4592" spans="1:9">
      <c r="A4592" s="1" t="s">
        <v>1666</v>
      </c>
      <c r="B4592" s="1" t="s">
        <v>10</v>
      </c>
      <c r="C4592" s="1" t="s">
        <v>30</v>
      </c>
      <c r="D4592" s="1" t="s">
        <v>1667</v>
      </c>
      <c r="E4592" s="1" t="s">
        <v>30</v>
      </c>
      <c r="F4592" s="1" t="s">
        <v>1668</v>
      </c>
      <c r="G4592" s="1" t="s">
        <v>1669</v>
      </c>
      <c r="H4592" s="1" t="s">
        <v>1670</v>
      </c>
      <c r="I4592" t="b">
        <f>COUNTIF(Estadísticas!I:I,'centraldecomunicacion.es'!H4592)&gt;0</f>
        <v>1</v>
      </c>
    </row>
    <row r="4593" spans="1:9" hidden="1">
      <c r="A4593" s="1" t="s">
        <v>16112</v>
      </c>
      <c r="B4593" s="1" t="s">
        <v>10</v>
      </c>
      <c r="C4593" s="1" t="s">
        <v>16113</v>
      </c>
      <c r="D4593" s="1" t="s">
        <v>16114</v>
      </c>
      <c r="E4593" s="1" t="s">
        <v>1507</v>
      </c>
      <c r="F4593" s="1" t="s">
        <v>30</v>
      </c>
      <c r="G4593" s="1" t="s">
        <v>16115</v>
      </c>
      <c r="H4593" s="1" t="s">
        <v>1762</v>
      </c>
      <c r="I4593" t="b">
        <f>COUNTIF(Estadísticas!I:I,'centraldecomunicacion.es'!H4593)&gt;0</f>
        <v>0</v>
      </c>
    </row>
    <row r="4594" spans="1:9" hidden="1">
      <c r="A4594" s="1" t="s">
        <v>16116</v>
      </c>
      <c r="B4594" s="1" t="s">
        <v>10</v>
      </c>
      <c r="C4594" s="1" t="s">
        <v>16117</v>
      </c>
      <c r="D4594" s="1" t="s">
        <v>16109</v>
      </c>
      <c r="E4594" s="1" t="s">
        <v>1507</v>
      </c>
      <c r="F4594" s="1" t="s">
        <v>30</v>
      </c>
      <c r="G4594" s="1" t="s">
        <v>16118</v>
      </c>
      <c r="H4594" s="1" t="s">
        <v>1762</v>
      </c>
      <c r="I4594" t="b">
        <f>COUNTIF(Estadísticas!I:I,'centraldecomunicacion.es'!H4594)&gt;0</f>
        <v>0</v>
      </c>
    </row>
    <row r="4595" spans="1:9" hidden="1">
      <c r="A4595" s="1" t="s">
        <v>16119</v>
      </c>
      <c r="B4595" s="1" t="s">
        <v>10</v>
      </c>
      <c r="C4595" s="1" t="s">
        <v>16120</v>
      </c>
      <c r="D4595" s="1" t="s">
        <v>14479</v>
      </c>
      <c r="E4595" s="1" t="s">
        <v>1507</v>
      </c>
      <c r="F4595" s="1" t="s">
        <v>30</v>
      </c>
      <c r="G4595" s="1" t="s">
        <v>16121</v>
      </c>
      <c r="H4595" s="1" t="s">
        <v>1762</v>
      </c>
      <c r="I4595" t="b">
        <f>COUNTIF(Estadísticas!I:I,'centraldecomunicacion.es'!H4595)&gt;0</f>
        <v>0</v>
      </c>
    </row>
    <row r="4596" spans="1:9" hidden="1">
      <c r="A4596" s="1" t="s">
        <v>16122</v>
      </c>
      <c r="B4596" s="1" t="s">
        <v>10</v>
      </c>
      <c r="C4596" s="1" t="s">
        <v>16123</v>
      </c>
      <c r="D4596" s="1" t="s">
        <v>16124</v>
      </c>
      <c r="E4596" s="1" t="s">
        <v>1507</v>
      </c>
      <c r="F4596" s="1" t="s">
        <v>30</v>
      </c>
      <c r="G4596" s="1" t="s">
        <v>16125</v>
      </c>
      <c r="H4596" s="1" t="s">
        <v>1762</v>
      </c>
      <c r="I4596" t="b">
        <f>COUNTIF(Estadísticas!I:I,'centraldecomunicacion.es'!H4596)&gt;0</f>
        <v>0</v>
      </c>
    </row>
    <row r="4597" spans="1:9" hidden="1">
      <c r="A4597" s="1" t="s">
        <v>16126</v>
      </c>
      <c r="B4597" s="1" t="s">
        <v>10</v>
      </c>
      <c r="C4597" s="1" t="s">
        <v>16127</v>
      </c>
      <c r="D4597" s="1" t="s">
        <v>16114</v>
      </c>
      <c r="E4597" s="1" t="s">
        <v>1507</v>
      </c>
      <c r="F4597" s="1" t="s">
        <v>30</v>
      </c>
      <c r="G4597" s="1" t="s">
        <v>16128</v>
      </c>
      <c r="H4597" s="1" t="s">
        <v>1762</v>
      </c>
      <c r="I4597" t="b">
        <f>COUNTIF(Estadísticas!I:I,'centraldecomunicacion.es'!H4597)&gt;0</f>
        <v>0</v>
      </c>
    </row>
    <row r="4598" spans="1:9" hidden="1">
      <c r="A4598" s="1" t="s">
        <v>16129</v>
      </c>
      <c r="B4598" s="1" t="s">
        <v>10</v>
      </c>
      <c r="C4598" s="1" t="s">
        <v>16130</v>
      </c>
      <c r="D4598" s="1" t="s">
        <v>16093</v>
      </c>
      <c r="E4598" s="1" t="s">
        <v>1507</v>
      </c>
      <c r="F4598" s="1" t="s">
        <v>30</v>
      </c>
      <c r="G4598" s="1" t="s">
        <v>16131</v>
      </c>
      <c r="H4598" s="1" t="s">
        <v>1762</v>
      </c>
      <c r="I4598" t="b">
        <f>COUNTIF(Estadísticas!I:I,'centraldecomunicacion.es'!H4598)&gt;0</f>
        <v>0</v>
      </c>
    </row>
    <row r="4599" spans="1:9" hidden="1">
      <c r="A4599" s="1" t="s">
        <v>16132</v>
      </c>
      <c r="B4599" s="1" t="s">
        <v>10</v>
      </c>
      <c r="C4599" s="1" t="s">
        <v>30</v>
      </c>
      <c r="D4599" s="1" t="s">
        <v>1667</v>
      </c>
      <c r="E4599" s="1" t="s">
        <v>30</v>
      </c>
      <c r="F4599" s="1" t="s">
        <v>30</v>
      </c>
      <c r="G4599" s="1" t="s">
        <v>16133</v>
      </c>
      <c r="H4599" s="1" t="s">
        <v>1762</v>
      </c>
      <c r="I4599" t="b">
        <f>COUNTIF(Estadísticas!I:I,'centraldecomunicacion.es'!H4599)&gt;0</f>
        <v>0</v>
      </c>
    </row>
    <row r="4600" spans="1:9" hidden="1">
      <c r="A4600" s="1" t="s">
        <v>16134</v>
      </c>
      <c r="B4600" s="1" t="s">
        <v>10</v>
      </c>
      <c r="C4600" s="1" t="s">
        <v>16135</v>
      </c>
      <c r="D4600" s="1" t="s">
        <v>16136</v>
      </c>
      <c r="E4600" s="1" t="s">
        <v>1507</v>
      </c>
      <c r="F4600" s="1" t="s">
        <v>16137</v>
      </c>
      <c r="G4600" s="1" t="s">
        <v>16138</v>
      </c>
      <c r="H4600" s="1" t="s">
        <v>16139</v>
      </c>
      <c r="I4600" t="b">
        <f>COUNTIF(Estadísticas!I:I,'centraldecomunicacion.es'!H4600)&gt;0</f>
        <v>0</v>
      </c>
    </row>
    <row r="4601" spans="1:9" hidden="1">
      <c r="A4601" s="1" t="s">
        <v>16140</v>
      </c>
      <c r="B4601" s="1" t="s">
        <v>10</v>
      </c>
      <c r="C4601" s="1" t="s">
        <v>16141</v>
      </c>
      <c r="D4601" s="1" t="s">
        <v>679</v>
      </c>
      <c r="E4601" s="1" t="s">
        <v>667</v>
      </c>
      <c r="F4601" s="1" t="s">
        <v>1984</v>
      </c>
      <c r="G4601" s="1" t="s">
        <v>16142</v>
      </c>
      <c r="H4601" s="1" t="s">
        <v>1762</v>
      </c>
      <c r="I4601" t="b">
        <f>COUNTIF(Estadísticas!I:I,'centraldecomunicacion.es'!H4601)&gt;0</f>
        <v>0</v>
      </c>
    </row>
    <row r="4602" spans="1:9" hidden="1">
      <c r="A4602" s="1" t="s">
        <v>16143</v>
      </c>
      <c r="B4602" s="1" t="s">
        <v>10</v>
      </c>
      <c r="C4602" s="1" t="s">
        <v>16144</v>
      </c>
      <c r="D4602" s="1" t="s">
        <v>16145</v>
      </c>
      <c r="E4602" s="1" t="s">
        <v>667</v>
      </c>
      <c r="F4602" s="1" t="s">
        <v>16146</v>
      </c>
      <c r="G4602" s="1" t="s">
        <v>16147</v>
      </c>
      <c r="H4602" s="1" t="s">
        <v>16148</v>
      </c>
      <c r="I4602" t="b">
        <f>COUNTIF(Estadísticas!I:I,'centraldecomunicacion.es'!H4602)&gt;0</f>
        <v>0</v>
      </c>
    </row>
    <row r="4603" spans="1:9" hidden="1">
      <c r="A4603" s="1" t="s">
        <v>16149</v>
      </c>
      <c r="B4603" s="1" t="s">
        <v>10</v>
      </c>
      <c r="C4603" s="1" t="s">
        <v>16150</v>
      </c>
      <c r="D4603" s="1" t="s">
        <v>679</v>
      </c>
      <c r="E4603" s="1" t="s">
        <v>7090</v>
      </c>
      <c r="F4603" s="1" t="s">
        <v>16146</v>
      </c>
      <c r="G4603" s="1" t="s">
        <v>16151</v>
      </c>
      <c r="H4603" s="1" t="s">
        <v>16148</v>
      </c>
      <c r="I4603" t="b">
        <f>COUNTIF(Estadísticas!I:I,'centraldecomunicacion.es'!H4603)&gt;0</f>
        <v>0</v>
      </c>
    </row>
    <row r="4604" spans="1:9" hidden="1">
      <c r="A4604" s="1" t="s">
        <v>16152</v>
      </c>
      <c r="B4604" s="1" t="s">
        <v>10</v>
      </c>
      <c r="C4604" s="1" t="s">
        <v>16153</v>
      </c>
      <c r="D4604" s="1" t="s">
        <v>7089</v>
      </c>
      <c r="E4604" s="1" t="s">
        <v>667</v>
      </c>
      <c r="F4604" s="1" t="s">
        <v>16154</v>
      </c>
      <c r="G4604" s="1" t="s">
        <v>16155</v>
      </c>
      <c r="H4604" s="1" t="s">
        <v>1762</v>
      </c>
      <c r="I4604" t="b">
        <f>COUNTIF(Estadísticas!I:I,'centraldecomunicacion.es'!H4604)&gt;0</f>
        <v>0</v>
      </c>
    </row>
    <row r="4605" spans="1:9" hidden="1">
      <c r="A4605" s="1" t="s">
        <v>16156</v>
      </c>
      <c r="B4605" s="1" t="s">
        <v>10</v>
      </c>
      <c r="C4605" s="1" t="s">
        <v>16157</v>
      </c>
      <c r="D4605" s="1" t="s">
        <v>16158</v>
      </c>
      <c r="E4605" s="1" t="s">
        <v>7090</v>
      </c>
      <c r="F4605" s="1" t="s">
        <v>16159</v>
      </c>
      <c r="G4605" s="1" t="s">
        <v>16160</v>
      </c>
      <c r="H4605" s="1" t="s">
        <v>1762</v>
      </c>
      <c r="I4605" t="b">
        <f>COUNTIF(Estadísticas!I:I,'centraldecomunicacion.es'!H4605)&gt;0</f>
        <v>0</v>
      </c>
    </row>
    <row r="4606" spans="1:9" hidden="1">
      <c r="A4606" s="1" t="s">
        <v>16161</v>
      </c>
      <c r="B4606" s="1" t="s">
        <v>10</v>
      </c>
      <c r="C4606" s="1" t="s">
        <v>16162</v>
      </c>
      <c r="D4606" s="1" t="s">
        <v>679</v>
      </c>
      <c r="E4606" s="1" t="s">
        <v>7090</v>
      </c>
      <c r="F4606" s="1" t="s">
        <v>16163</v>
      </c>
      <c r="G4606" s="1" t="s">
        <v>16164</v>
      </c>
      <c r="H4606" s="1" t="s">
        <v>1762</v>
      </c>
      <c r="I4606" t="b">
        <f>COUNTIF(Estadísticas!I:I,'centraldecomunicacion.es'!H4606)&gt;0</f>
        <v>0</v>
      </c>
    </row>
    <row r="4607" spans="1:9" hidden="1">
      <c r="A4607" s="1" t="s">
        <v>16165</v>
      </c>
      <c r="B4607" s="1" t="s">
        <v>10</v>
      </c>
      <c r="C4607" s="1" t="s">
        <v>16166</v>
      </c>
      <c r="D4607" s="1" t="s">
        <v>16167</v>
      </c>
      <c r="E4607" s="1" t="s">
        <v>667</v>
      </c>
      <c r="F4607" s="1" t="s">
        <v>30</v>
      </c>
      <c r="G4607" s="1" t="s">
        <v>16168</v>
      </c>
      <c r="H4607" s="1" t="s">
        <v>1762</v>
      </c>
      <c r="I4607" t="b">
        <f>COUNTIF(Estadísticas!I:I,'centraldecomunicacion.es'!H4607)&gt;0</f>
        <v>0</v>
      </c>
    </row>
    <row r="4608" spans="1:9" hidden="1">
      <c r="A4608" s="1" t="s">
        <v>16169</v>
      </c>
      <c r="B4608" s="1" t="s">
        <v>10</v>
      </c>
      <c r="C4608" s="1" t="s">
        <v>16170</v>
      </c>
      <c r="D4608" s="1" t="s">
        <v>16171</v>
      </c>
      <c r="E4608" s="1" t="s">
        <v>667</v>
      </c>
      <c r="F4608" s="1" t="s">
        <v>16172</v>
      </c>
      <c r="G4608" s="1" t="s">
        <v>16173</v>
      </c>
      <c r="H4608" s="1" t="s">
        <v>16174</v>
      </c>
      <c r="I4608" t="b">
        <f>COUNTIF(Estadísticas!I:I,'centraldecomunicacion.es'!H4608)&gt;0</f>
        <v>0</v>
      </c>
    </row>
    <row r="4609" spans="1:9" hidden="1">
      <c r="A4609" s="1" t="s">
        <v>16175</v>
      </c>
      <c r="B4609" s="1" t="s">
        <v>10</v>
      </c>
      <c r="C4609" s="1" t="s">
        <v>16176</v>
      </c>
      <c r="D4609" s="1" t="s">
        <v>16177</v>
      </c>
      <c r="E4609" s="1" t="s">
        <v>667</v>
      </c>
      <c r="F4609" s="1" t="s">
        <v>30</v>
      </c>
      <c r="G4609" s="1" t="s">
        <v>16178</v>
      </c>
      <c r="H4609" s="1" t="s">
        <v>1762</v>
      </c>
      <c r="I4609" t="b">
        <f>COUNTIF(Estadísticas!I:I,'centraldecomunicacion.es'!H4609)&gt;0</f>
        <v>0</v>
      </c>
    </row>
    <row r="4610" spans="1:9">
      <c r="A4610" s="1" t="s">
        <v>1671</v>
      </c>
      <c r="B4610" s="1" t="s">
        <v>10</v>
      </c>
      <c r="C4610" s="1" t="s">
        <v>1672</v>
      </c>
      <c r="D4610" s="1" t="s">
        <v>1673</v>
      </c>
      <c r="E4610" s="1" t="s">
        <v>667</v>
      </c>
      <c r="F4610" s="1" t="s">
        <v>1674</v>
      </c>
      <c r="G4610" s="1" t="s">
        <v>1675</v>
      </c>
      <c r="H4610" s="1" t="s">
        <v>1676</v>
      </c>
      <c r="I4610" t="b">
        <f>COUNTIF(Estadísticas!I:I,'centraldecomunicacion.es'!H4610)&gt;0</f>
        <v>1</v>
      </c>
    </row>
    <row r="4611" spans="1:9">
      <c r="A4611" s="1" t="s">
        <v>1677</v>
      </c>
      <c r="B4611" s="1" t="s">
        <v>10</v>
      </c>
      <c r="C4611" s="1" t="s">
        <v>1678</v>
      </c>
      <c r="D4611" s="1" t="s">
        <v>1525</v>
      </c>
      <c r="E4611" s="1" t="s">
        <v>1526</v>
      </c>
      <c r="F4611" s="1" t="s">
        <v>1679</v>
      </c>
      <c r="G4611" s="1" t="s">
        <v>1680</v>
      </c>
      <c r="H4611" s="1" t="s">
        <v>1681</v>
      </c>
      <c r="I4611" t="b">
        <f>COUNTIF(Estadísticas!I:I,'centraldecomunicacion.es'!H4611)&gt;0</f>
        <v>1</v>
      </c>
    </row>
    <row r="4612" spans="1:9">
      <c r="A4612" s="1" t="s">
        <v>1682</v>
      </c>
      <c r="B4612" s="1" t="s">
        <v>10</v>
      </c>
      <c r="C4612" s="1" t="s">
        <v>1683</v>
      </c>
      <c r="D4612" s="1" t="s">
        <v>1684</v>
      </c>
      <c r="E4612" s="1" t="s">
        <v>1526</v>
      </c>
      <c r="F4612" s="1" t="s">
        <v>1685</v>
      </c>
      <c r="G4612" s="1" t="s">
        <v>1686</v>
      </c>
      <c r="H4612" s="1" t="s">
        <v>1687</v>
      </c>
      <c r="I4612" t="b">
        <f>COUNTIF(Estadísticas!I:I,'centraldecomunicacion.es'!H4612)&gt;0</f>
        <v>1</v>
      </c>
    </row>
    <row r="4613" spans="1:9">
      <c r="A4613" s="1" t="s">
        <v>1688</v>
      </c>
      <c r="B4613" s="1" t="s">
        <v>10</v>
      </c>
      <c r="C4613" s="1" t="s">
        <v>1689</v>
      </c>
      <c r="D4613" s="1" t="s">
        <v>1684</v>
      </c>
      <c r="E4613" s="1" t="s">
        <v>1526</v>
      </c>
      <c r="F4613" s="1" t="s">
        <v>1690</v>
      </c>
      <c r="G4613" s="1" t="s">
        <v>1691</v>
      </c>
      <c r="H4613" s="1" t="s">
        <v>1692</v>
      </c>
      <c r="I4613" t="b">
        <f>COUNTIF(Estadísticas!I:I,'centraldecomunicacion.es'!H4613)&gt;0</f>
        <v>1</v>
      </c>
    </row>
    <row r="4614" spans="1:9" hidden="1">
      <c r="A4614" s="1" t="s">
        <v>16179</v>
      </c>
      <c r="B4614" s="1" t="s">
        <v>18</v>
      </c>
      <c r="C4614" s="1" t="s">
        <v>16180</v>
      </c>
      <c r="D4614" s="1" t="s">
        <v>1525</v>
      </c>
      <c r="E4614" s="1" t="s">
        <v>1526</v>
      </c>
      <c r="F4614" s="1" t="s">
        <v>30</v>
      </c>
      <c r="G4614" s="1" t="s">
        <v>16181</v>
      </c>
      <c r="H4614" s="1" t="s">
        <v>1762</v>
      </c>
      <c r="I4614" t="b">
        <f>COUNTIF(Estadísticas!I:I,'centraldecomunicacion.es'!H4614)&gt;0</f>
        <v>0</v>
      </c>
    </row>
    <row r="4615" spans="1:9" hidden="1">
      <c r="A4615" s="1" t="s">
        <v>16182</v>
      </c>
      <c r="B4615" s="1" t="s">
        <v>10</v>
      </c>
      <c r="C4615" s="1" t="s">
        <v>16183</v>
      </c>
      <c r="D4615" s="1" t="s">
        <v>1525</v>
      </c>
      <c r="E4615" s="1" t="s">
        <v>14385</v>
      </c>
      <c r="F4615" s="1" t="s">
        <v>30</v>
      </c>
      <c r="G4615" s="1" t="s">
        <v>16184</v>
      </c>
      <c r="H4615" s="1" t="s">
        <v>1762</v>
      </c>
      <c r="I4615" t="b">
        <f>COUNTIF(Estadísticas!I:I,'centraldecomunicacion.es'!H4615)&gt;0</f>
        <v>0</v>
      </c>
    </row>
    <row r="4616" spans="1:9" hidden="1">
      <c r="A4616" s="1" t="s">
        <v>16185</v>
      </c>
      <c r="B4616" s="1" t="s">
        <v>10</v>
      </c>
      <c r="C4616" s="1" t="s">
        <v>16186</v>
      </c>
      <c r="D4616" s="1" t="s">
        <v>1525</v>
      </c>
      <c r="E4616" s="1" t="s">
        <v>14385</v>
      </c>
      <c r="F4616" s="1" t="s">
        <v>16187</v>
      </c>
      <c r="G4616" s="1" t="s">
        <v>16188</v>
      </c>
      <c r="H4616" s="1" t="s">
        <v>16189</v>
      </c>
      <c r="I4616" t="b">
        <f>COUNTIF(Estadísticas!I:I,'centraldecomunicacion.es'!H4616)&gt;0</f>
        <v>0</v>
      </c>
    </row>
    <row r="4617" spans="1:9" hidden="1">
      <c r="A4617" s="1" t="s">
        <v>16190</v>
      </c>
      <c r="B4617" s="1" t="s">
        <v>10</v>
      </c>
      <c r="C4617" s="1" t="s">
        <v>16191</v>
      </c>
      <c r="D4617" s="1" t="s">
        <v>1525</v>
      </c>
      <c r="E4617" s="1" t="s">
        <v>1526</v>
      </c>
      <c r="F4617" s="1" t="s">
        <v>16192</v>
      </c>
      <c r="G4617" s="1" t="s">
        <v>16193</v>
      </c>
      <c r="H4617" s="1" t="s">
        <v>1762</v>
      </c>
      <c r="I4617" t="b">
        <f>COUNTIF(Estadísticas!I:I,'centraldecomunicacion.es'!H4617)&gt;0</f>
        <v>0</v>
      </c>
    </row>
    <row r="4618" spans="1:9" hidden="1">
      <c r="A4618" s="1" t="s">
        <v>16194</v>
      </c>
      <c r="B4618" s="1" t="s">
        <v>10</v>
      </c>
      <c r="C4618" s="1" t="s">
        <v>16195</v>
      </c>
      <c r="D4618" s="1" t="s">
        <v>16196</v>
      </c>
      <c r="E4618" s="1" t="s">
        <v>667</v>
      </c>
      <c r="F4618" s="1" t="s">
        <v>30</v>
      </c>
      <c r="G4618" s="1" t="s">
        <v>30</v>
      </c>
      <c r="H4618" s="1" t="s">
        <v>1762</v>
      </c>
      <c r="I4618" t="b">
        <f>COUNTIF(Estadísticas!I:I,'centraldecomunicacion.es'!H4618)&gt;0</f>
        <v>0</v>
      </c>
    </row>
    <row r="4619" spans="1:9" hidden="1">
      <c r="A4619" s="1" t="s">
        <v>16197</v>
      </c>
      <c r="B4619" s="1" t="s">
        <v>10</v>
      </c>
      <c r="C4619" s="1" t="s">
        <v>16198</v>
      </c>
      <c r="D4619" s="1" t="s">
        <v>16199</v>
      </c>
      <c r="E4619" s="1" t="s">
        <v>1526</v>
      </c>
      <c r="F4619" s="1" t="s">
        <v>30</v>
      </c>
      <c r="G4619" s="1" t="s">
        <v>16200</v>
      </c>
      <c r="H4619" s="1" t="s">
        <v>1762</v>
      </c>
      <c r="I4619" t="b">
        <f>COUNTIF(Estadísticas!I:I,'centraldecomunicacion.es'!H4619)&gt;0</f>
        <v>0</v>
      </c>
    </row>
    <row r="4620" spans="1:9" hidden="1">
      <c r="A4620" s="1" t="s">
        <v>16201</v>
      </c>
      <c r="B4620" s="1" t="s">
        <v>10</v>
      </c>
      <c r="C4620" s="1" t="s">
        <v>16202</v>
      </c>
      <c r="D4620" s="1" t="s">
        <v>16199</v>
      </c>
      <c r="E4620" s="1" t="s">
        <v>14385</v>
      </c>
      <c r="F4620" s="1" t="s">
        <v>30</v>
      </c>
      <c r="G4620" s="1" t="s">
        <v>16203</v>
      </c>
      <c r="H4620" s="1" t="s">
        <v>1762</v>
      </c>
      <c r="I4620" t="b">
        <f>COUNTIF(Estadísticas!I:I,'centraldecomunicacion.es'!H4620)&gt;0</f>
        <v>0</v>
      </c>
    </row>
    <row r="4621" spans="1:9" hidden="1">
      <c r="A4621" s="1" t="s">
        <v>16204</v>
      </c>
      <c r="B4621" s="1" t="s">
        <v>10</v>
      </c>
      <c r="C4621" s="1" t="s">
        <v>16205</v>
      </c>
      <c r="D4621" s="1" t="s">
        <v>1525</v>
      </c>
      <c r="E4621" s="1" t="s">
        <v>1526</v>
      </c>
      <c r="F4621" s="1" t="s">
        <v>30</v>
      </c>
      <c r="G4621" s="1" t="s">
        <v>16206</v>
      </c>
      <c r="H4621" s="1" t="s">
        <v>1762</v>
      </c>
      <c r="I4621" t="b">
        <f>COUNTIF(Estadísticas!I:I,'centraldecomunicacion.es'!H4621)&gt;0</f>
        <v>0</v>
      </c>
    </row>
    <row r="4622" spans="1:9" hidden="1">
      <c r="A4622" s="1" t="s">
        <v>16207</v>
      </c>
      <c r="B4622" s="1" t="s">
        <v>3050</v>
      </c>
      <c r="C4622" s="1" t="s">
        <v>16208</v>
      </c>
      <c r="D4622" s="1" t="s">
        <v>1525</v>
      </c>
      <c r="E4622" s="1" t="s">
        <v>1526</v>
      </c>
      <c r="F4622" s="1" t="s">
        <v>1830</v>
      </c>
      <c r="G4622" s="1" t="s">
        <v>16209</v>
      </c>
      <c r="H4622" s="1" t="s">
        <v>1762</v>
      </c>
      <c r="I4622" t="b">
        <f>COUNTIF(Estadísticas!I:I,'centraldecomunicacion.es'!H4622)&gt;0</f>
        <v>0</v>
      </c>
    </row>
    <row r="4623" spans="1:9" hidden="1">
      <c r="A4623" s="1" t="s">
        <v>16210</v>
      </c>
      <c r="B4623" s="1" t="s">
        <v>10</v>
      </c>
      <c r="C4623" s="1" t="s">
        <v>16211</v>
      </c>
      <c r="D4623" s="1" t="s">
        <v>1525</v>
      </c>
      <c r="E4623" s="1" t="s">
        <v>1526</v>
      </c>
      <c r="F4623" s="1" t="s">
        <v>30</v>
      </c>
      <c r="G4623" s="1" t="s">
        <v>30</v>
      </c>
      <c r="H4623" s="1" t="s">
        <v>1762</v>
      </c>
      <c r="I4623" t="b">
        <f>COUNTIF(Estadísticas!I:I,'centraldecomunicacion.es'!H4623)&gt;0</f>
        <v>0</v>
      </c>
    </row>
    <row r="4624" spans="1:9" hidden="1">
      <c r="A4624" s="1" t="s">
        <v>16212</v>
      </c>
      <c r="B4624" s="1" t="s">
        <v>10</v>
      </c>
      <c r="C4624" s="1" t="s">
        <v>16213</v>
      </c>
      <c r="D4624" s="1" t="s">
        <v>1525</v>
      </c>
      <c r="E4624" s="1" t="s">
        <v>1526</v>
      </c>
      <c r="F4624" s="1" t="s">
        <v>30</v>
      </c>
      <c r="G4624" s="1" t="s">
        <v>16214</v>
      </c>
      <c r="H4624" s="1" t="s">
        <v>1762</v>
      </c>
      <c r="I4624" t="b">
        <f>COUNTIF(Estadísticas!I:I,'centraldecomunicacion.es'!H4624)&gt;0</f>
        <v>0</v>
      </c>
    </row>
    <row r="4625" spans="1:9" hidden="1">
      <c r="A4625" s="1" t="s">
        <v>16215</v>
      </c>
      <c r="B4625" s="1" t="s">
        <v>18</v>
      </c>
      <c r="C4625" s="1" t="s">
        <v>16216</v>
      </c>
      <c r="D4625" s="1" t="s">
        <v>16217</v>
      </c>
      <c r="E4625" s="1" t="s">
        <v>14385</v>
      </c>
      <c r="F4625" s="1" t="s">
        <v>16218</v>
      </c>
      <c r="G4625" s="1" t="s">
        <v>16219</v>
      </c>
      <c r="H4625" s="1" t="s">
        <v>16220</v>
      </c>
      <c r="I4625" t="b">
        <f>COUNTIF(Estadísticas!I:I,'centraldecomunicacion.es'!H4625)&gt;0</f>
        <v>0</v>
      </c>
    </row>
    <row r="4626" spans="1:9" hidden="1">
      <c r="A4626" s="1" t="s">
        <v>16221</v>
      </c>
      <c r="B4626" s="1" t="s">
        <v>10</v>
      </c>
      <c r="C4626" s="1" t="s">
        <v>16222</v>
      </c>
      <c r="D4626" s="1" t="s">
        <v>16196</v>
      </c>
      <c r="E4626" s="1" t="s">
        <v>667</v>
      </c>
      <c r="F4626" s="1" t="s">
        <v>30</v>
      </c>
      <c r="G4626" s="1" t="s">
        <v>16223</v>
      </c>
      <c r="H4626" s="1" t="s">
        <v>1762</v>
      </c>
      <c r="I4626" t="b">
        <f>COUNTIF(Estadísticas!I:I,'centraldecomunicacion.es'!H4626)&gt;0</f>
        <v>0</v>
      </c>
    </row>
    <row r="4627" spans="1:9" hidden="1">
      <c r="A4627" s="1" t="s">
        <v>16224</v>
      </c>
      <c r="B4627" s="1" t="s">
        <v>10</v>
      </c>
      <c r="C4627" s="1" t="s">
        <v>16225</v>
      </c>
      <c r="D4627" s="1" t="s">
        <v>16226</v>
      </c>
      <c r="E4627" s="1" t="s">
        <v>1507</v>
      </c>
      <c r="F4627" s="1" t="s">
        <v>30</v>
      </c>
      <c r="G4627" s="1" t="s">
        <v>16227</v>
      </c>
      <c r="H4627" s="1" t="s">
        <v>1762</v>
      </c>
      <c r="I4627" t="b">
        <f>COUNTIF(Estadísticas!I:I,'centraldecomunicacion.es'!H4627)&gt;0</f>
        <v>0</v>
      </c>
    </row>
    <row r="4628" spans="1:9" hidden="1">
      <c r="A4628" s="1" t="s">
        <v>16228</v>
      </c>
      <c r="B4628" s="1" t="s">
        <v>10</v>
      </c>
      <c r="C4628" s="1" t="s">
        <v>16229</v>
      </c>
      <c r="D4628" s="1" t="s">
        <v>871</v>
      </c>
      <c r="E4628" s="1" t="s">
        <v>848</v>
      </c>
      <c r="F4628" s="1" t="s">
        <v>877</v>
      </c>
      <c r="G4628" s="1" t="s">
        <v>16230</v>
      </c>
      <c r="H4628" s="1" t="s">
        <v>1762</v>
      </c>
      <c r="I4628" t="b">
        <f>COUNTIF(Estadísticas!I:I,'centraldecomunicacion.es'!H4628)&gt;0</f>
        <v>0</v>
      </c>
    </row>
    <row r="4629" spans="1:9" hidden="1">
      <c r="A4629" s="1" t="s">
        <v>16231</v>
      </c>
      <c r="B4629" s="1" t="s">
        <v>10</v>
      </c>
      <c r="C4629" s="1" t="s">
        <v>16232</v>
      </c>
      <c r="D4629" s="1" t="s">
        <v>1662</v>
      </c>
      <c r="E4629" s="1" t="s">
        <v>1507</v>
      </c>
      <c r="F4629" s="1" t="s">
        <v>1984</v>
      </c>
      <c r="G4629" s="1" t="s">
        <v>16233</v>
      </c>
      <c r="H4629" s="1" t="s">
        <v>1762</v>
      </c>
      <c r="I4629" t="b">
        <f>COUNTIF(Estadísticas!I:I,'centraldecomunicacion.es'!H4629)&gt;0</f>
        <v>0</v>
      </c>
    </row>
    <row r="4630" spans="1:9" hidden="1">
      <c r="A4630" s="1" t="s">
        <v>16234</v>
      </c>
      <c r="B4630" s="1" t="s">
        <v>10</v>
      </c>
      <c r="C4630" s="1" t="s">
        <v>16235</v>
      </c>
      <c r="D4630" s="1" t="s">
        <v>16124</v>
      </c>
      <c r="E4630" s="1" t="s">
        <v>1507</v>
      </c>
      <c r="F4630" s="1" t="s">
        <v>16236</v>
      </c>
      <c r="G4630" s="1" t="s">
        <v>16237</v>
      </c>
      <c r="H4630" s="1" t="s">
        <v>16238</v>
      </c>
      <c r="I4630" t="b">
        <f>COUNTIF(Estadísticas!I:I,'centraldecomunicacion.es'!H4630)&gt;0</f>
        <v>0</v>
      </c>
    </row>
    <row r="4631" spans="1:9">
      <c r="A4631" s="1" t="s">
        <v>1693</v>
      </c>
      <c r="B4631" s="1" t="s">
        <v>10</v>
      </c>
      <c r="C4631" s="1" t="s">
        <v>1694</v>
      </c>
      <c r="D4631" s="1" t="s">
        <v>1662</v>
      </c>
      <c r="E4631" s="1" t="s">
        <v>1507</v>
      </c>
      <c r="F4631" s="1" t="s">
        <v>1695</v>
      </c>
      <c r="G4631" s="1" t="s">
        <v>1696</v>
      </c>
      <c r="H4631" s="1" t="s">
        <v>1697</v>
      </c>
      <c r="I4631" t="b">
        <f>COUNTIF(Estadísticas!I:I,'centraldecomunicacion.es'!H4631)&gt;0</f>
        <v>1</v>
      </c>
    </row>
    <row r="4632" spans="1:9" hidden="1">
      <c r="A4632" s="1" t="s">
        <v>16239</v>
      </c>
      <c r="B4632" s="1" t="s">
        <v>10</v>
      </c>
      <c r="C4632" s="1" t="s">
        <v>16240</v>
      </c>
      <c r="D4632" s="1" t="s">
        <v>16241</v>
      </c>
      <c r="E4632" s="1" t="s">
        <v>1507</v>
      </c>
      <c r="F4632" s="1" t="s">
        <v>30</v>
      </c>
      <c r="G4632" s="1" t="s">
        <v>16242</v>
      </c>
      <c r="H4632" s="1" t="s">
        <v>1762</v>
      </c>
      <c r="I4632" t="b">
        <f>COUNTIF(Estadísticas!I:I,'centraldecomunicacion.es'!H4632)&gt;0</f>
        <v>0</v>
      </c>
    </row>
    <row r="4633" spans="1:9" hidden="1">
      <c r="A4633" s="1" t="s">
        <v>16243</v>
      </c>
      <c r="B4633" s="1" t="s">
        <v>10</v>
      </c>
      <c r="C4633" s="1" t="s">
        <v>16244</v>
      </c>
      <c r="D4633" s="1" t="s">
        <v>1662</v>
      </c>
      <c r="E4633" s="1" t="s">
        <v>1507</v>
      </c>
      <c r="F4633" s="1" t="s">
        <v>16245</v>
      </c>
      <c r="G4633" s="1" t="s">
        <v>16246</v>
      </c>
      <c r="H4633" s="1" t="s">
        <v>16247</v>
      </c>
      <c r="I4633" t="b">
        <f>COUNTIF(Estadísticas!I:I,'centraldecomunicacion.es'!H4633)&gt;0</f>
        <v>0</v>
      </c>
    </row>
    <row r="4634" spans="1:9">
      <c r="A4634" s="1" t="s">
        <v>1698</v>
      </c>
      <c r="B4634" s="1" t="s">
        <v>10</v>
      </c>
      <c r="C4634" s="1" t="s">
        <v>1699</v>
      </c>
      <c r="D4634" s="1" t="s">
        <v>1700</v>
      </c>
      <c r="E4634" s="1" t="s">
        <v>1507</v>
      </c>
      <c r="F4634" s="1" t="s">
        <v>1701</v>
      </c>
      <c r="G4634" s="1" t="s">
        <v>1702</v>
      </c>
      <c r="H4634" s="1" t="s">
        <v>1703</v>
      </c>
      <c r="I4634" t="b">
        <f>COUNTIF(Estadísticas!I:I,'centraldecomunicacion.es'!H4634)&gt;0</f>
        <v>1</v>
      </c>
    </row>
    <row r="4635" spans="1:9" hidden="1">
      <c r="A4635" s="1" t="s">
        <v>16248</v>
      </c>
      <c r="B4635" s="1" t="s">
        <v>10</v>
      </c>
      <c r="C4635" s="1" t="s">
        <v>16249</v>
      </c>
      <c r="D4635" s="1" t="s">
        <v>16250</v>
      </c>
      <c r="E4635" s="1" t="s">
        <v>1507</v>
      </c>
      <c r="F4635" s="1" t="s">
        <v>16251</v>
      </c>
      <c r="G4635" s="1" t="s">
        <v>16252</v>
      </c>
      <c r="H4635" s="1" t="s">
        <v>1762</v>
      </c>
      <c r="I4635" t="b">
        <f>COUNTIF(Estadísticas!I:I,'centraldecomunicacion.es'!H4635)&gt;0</f>
        <v>0</v>
      </c>
    </row>
    <row r="4636" spans="1:9" hidden="1">
      <c r="A4636" s="1" t="s">
        <v>16253</v>
      </c>
      <c r="B4636" s="1" t="s">
        <v>10</v>
      </c>
      <c r="C4636" s="1" t="s">
        <v>16254</v>
      </c>
      <c r="D4636" s="1" t="s">
        <v>16114</v>
      </c>
      <c r="E4636" s="1" t="s">
        <v>1507</v>
      </c>
      <c r="F4636" s="1" t="s">
        <v>16255</v>
      </c>
      <c r="G4636" s="1" t="s">
        <v>16256</v>
      </c>
      <c r="H4636" s="1" t="s">
        <v>1762</v>
      </c>
      <c r="I4636" t="b">
        <f>COUNTIF(Estadísticas!I:I,'centraldecomunicacion.es'!H4636)&gt;0</f>
        <v>0</v>
      </c>
    </row>
    <row r="4637" spans="1:9" hidden="1">
      <c r="A4637" s="1" t="s">
        <v>16257</v>
      </c>
      <c r="B4637" s="1" t="s">
        <v>10</v>
      </c>
      <c r="C4637" s="1" t="s">
        <v>16258</v>
      </c>
      <c r="D4637" s="1" t="s">
        <v>1700</v>
      </c>
      <c r="E4637" s="1" t="s">
        <v>1507</v>
      </c>
      <c r="F4637" s="1" t="s">
        <v>16259</v>
      </c>
      <c r="G4637" s="1" t="s">
        <v>16260</v>
      </c>
      <c r="H4637" s="1" t="s">
        <v>1762</v>
      </c>
      <c r="I4637" t="b">
        <f>COUNTIF(Estadísticas!I:I,'centraldecomunicacion.es'!H4637)&gt;0</f>
        <v>0</v>
      </c>
    </row>
    <row r="4638" spans="1:9" hidden="1">
      <c r="A4638" s="1" t="s">
        <v>16261</v>
      </c>
      <c r="B4638" s="1" t="s">
        <v>10</v>
      </c>
      <c r="C4638" s="1" t="s">
        <v>16262</v>
      </c>
      <c r="D4638" s="1" t="s">
        <v>16263</v>
      </c>
      <c r="E4638" s="1" t="s">
        <v>1507</v>
      </c>
      <c r="F4638" s="1" t="s">
        <v>16264</v>
      </c>
      <c r="G4638" s="1" t="s">
        <v>16265</v>
      </c>
      <c r="H4638" s="1" t="s">
        <v>16266</v>
      </c>
      <c r="I4638" t="b">
        <f>COUNTIF(Estadísticas!I:I,'centraldecomunicacion.es'!H4638)&gt;0</f>
        <v>0</v>
      </c>
    </row>
    <row r="4639" spans="1:9" hidden="1">
      <c r="A4639" s="1" t="s">
        <v>16267</v>
      </c>
      <c r="B4639" s="1" t="s">
        <v>18</v>
      </c>
      <c r="C4639" s="1" t="s">
        <v>16268</v>
      </c>
      <c r="D4639" s="1" t="s">
        <v>1662</v>
      </c>
      <c r="E4639" s="1" t="s">
        <v>1507</v>
      </c>
      <c r="F4639" s="1" t="s">
        <v>16269</v>
      </c>
      <c r="G4639" s="1" t="s">
        <v>16270</v>
      </c>
      <c r="H4639" s="1" t="s">
        <v>1762</v>
      </c>
      <c r="I4639" t="b">
        <f>COUNTIF(Estadísticas!I:I,'centraldecomunicacion.es'!H4639)&gt;0</f>
        <v>0</v>
      </c>
    </row>
    <row r="4640" spans="1:9" hidden="1">
      <c r="A4640" s="1" t="s">
        <v>16271</v>
      </c>
      <c r="B4640" s="1" t="s">
        <v>10</v>
      </c>
      <c r="C4640" s="1" t="s">
        <v>16272</v>
      </c>
      <c r="D4640" s="1" t="s">
        <v>16273</v>
      </c>
      <c r="E4640" s="1" t="s">
        <v>1507</v>
      </c>
      <c r="F4640" s="1" t="s">
        <v>30</v>
      </c>
      <c r="G4640" s="1" t="s">
        <v>16274</v>
      </c>
      <c r="H4640" s="1" t="s">
        <v>1762</v>
      </c>
      <c r="I4640" t="b">
        <f>COUNTIF(Estadísticas!I:I,'centraldecomunicacion.es'!H4640)&gt;0</f>
        <v>0</v>
      </c>
    </row>
    <row r="4641" spans="1:9" hidden="1">
      <c r="A4641" s="1" t="s">
        <v>16275</v>
      </c>
      <c r="B4641" s="1" t="s">
        <v>10</v>
      </c>
      <c r="C4641" s="1" t="s">
        <v>16276</v>
      </c>
      <c r="D4641" s="1" t="s">
        <v>16124</v>
      </c>
      <c r="E4641" s="1" t="s">
        <v>1507</v>
      </c>
      <c r="F4641" s="1" t="s">
        <v>30</v>
      </c>
      <c r="G4641" s="1" t="s">
        <v>16277</v>
      </c>
      <c r="H4641" s="1" t="s">
        <v>1762</v>
      </c>
      <c r="I4641" t="b">
        <f>COUNTIF(Estadísticas!I:I,'centraldecomunicacion.es'!H4641)&gt;0</f>
        <v>0</v>
      </c>
    </row>
    <row r="4642" spans="1:9" hidden="1">
      <c r="A4642" s="1" t="s">
        <v>16278</v>
      </c>
      <c r="B4642" s="1" t="s">
        <v>10</v>
      </c>
      <c r="C4642" s="1" t="s">
        <v>16279</v>
      </c>
      <c r="D4642" s="1" t="s">
        <v>16124</v>
      </c>
      <c r="E4642" s="1" t="s">
        <v>1507</v>
      </c>
      <c r="F4642" s="1" t="s">
        <v>30</v>
      </c>
      <c r="G4642" s="1" t="s">
        <v>16280</v>
      </c>
      <c r="H4642" s="1" t="s">
        <v>1762</v>
      </c>
      <c r="I4642" t="b">
        <f>COUNTIF(Estadísticas!I:I,'centraldecomunicacion.es'!H4642)&gt;0</f>
        <v>0</v>
      </c>
    </row>
    <row r="4643" spans="1:9">
      <c r="A4643" s="1" t="s">
        <v>1704</v>
      </c>
      <c r="B4643" s="1" t="s">
        <v>10</v>
      </c>
      <c r="C4643" s="1" t="s">
        <v>1705</v>
      </c>
      <c r="D4643" s="1" t="s">
        <v>1706</v>
      </c>
      <c r="E4643" s="1" t="s">
        <v>1507</v>
      </c>
      <c r="F4643" s="1" t="s">
        <v>1707</v>
      </c>
      <c r="G4643" s="1" t="s">
        <v>1708</v>
      </c>
      <c r="H4643" s="1" t="s">
        <v>1709</v>
      </c>
      <c r="I4643" t="b">
        <f>COUNTIF(Estadísticas!I:I,'centraldecomunicacion.es'!H4643)&gt;0</f>
        <v>1</v>
      </c>
    </row>
    <row r="4644" spans="1:9" hidden="1">
      <c r="A4644" s="1" t="s">
        <v>16281</v>
      </c>
      <c r="B4644" s="1" t="s">
        <v>10</v>
      </c>
      <c r="C4644" s="1" t="s">
        <v>16282</v>
      </c>
      <c r="D4644" s="1" t="s">
        <v>16283</v>
      </c>
      <c r="E4644" s="1" t="s">
        <v>1507</v>
      </c>
      <c r="F4644" s="1" t="s">
        <v>16284</v>
      </c>
      <c r="G4644" s="1" t="s">
        <v>16285</v>
      </c>
      <c r="H4644" s="1" t="s">
        <v>15725</v>
      </c>
      <c r="I4644" t="b">
        <f>COUNTIF(Estadísticas!I:I,'centraldecomunicacion.es'!H4644)&gt;0</f>
        <v>0</v>
      </c>
    </row>
    <row r="4645" spans="1:9" hidden="1">
      <c r="A4645" s="1" t="s">
        <v>16286</v>
      </c>
      <c r="B4645" s="1" t="s">
        <v>10</v>
      </c>
      <c r="C4645" s="1" t="s">
        <v>16287</v>
      </c>
      <c r="D4645" s="1" t="s">
        <v>16288</v>
      </c>
      <c r="E4645" s="1" t="s">
        <v>1507</v>
      </c>
      <c r="F4645" s="1" t="s">
        <v>30</v>
      </c>
      <c r="G4645" s="1" t="s">
        <v>16289</v>
      </c>
      <c r="H4645" s="1" t="s">
        <v>1762</v>
      </c>
      <c r="I4645" t="b">
        <f>COUNTIF(Estadísticas!I:I,'centraldecomunicacion.es'!H4645)&gt;0</f>
        <v>0</v>
      </c>
    </row>
    <row r="4646" spans="1:9" hidden="1">
      <c r="A4646" s="1" t="s">
        <v>16290</v>
      </c>
      <c r="B4646" s="1" t="s">
        <v>18</v>
      </c>
      <c r="C4646" s="1" t="s">
        <v>16291</v>
      </c>
      <c r="D4646" s="1" t="s">
        <v>1745</v>
      </c>
      <c r="E4646" s="1" t="s">
        <v>1507</v>
      </c>
      <c r="F4646" s="1" t="s">
        <v>4288</v>
      </c>
      <c r="G4646" s="1" t="s">
        <v>16292</v>
      </c>
      <c r="H4646" s="1" t="s">
        <v>4290</v>
      </c>
      <c r="I4646" t="b">
        <f>COUNTIF(Estadísticas!I:I,'centraldecomunicacion.es'!H4646)&gt;0</f>
        <v>0</v>
      </c>
    </row>
    <row r="4647" spans="1:9">
      <c r="A4647" s="1" t="s">
        <v>1710</v>
      </c>
      <c r="B4647" s="1" t="s">
        <v>10</v>
      </c>
      <c r="C4647" s="1" t="s">
        <v>1711</v>
      </c>
      <c r="D4647" s="1" t="s">
        <v>1662</v>
      </c>
      <c r="E4647" s="1" t="s">
        <v>1507</v>
      </c>
      <c r="F4647" s="1" t="s">
        <v>1712</v>
      </c>
      <c r="G4647" s="1" t="s">
        <v>1713</v>
      </c>
      <c r="H4647" s="1" t="s">
        <v>1714</v>
      </c>
      <c r="I4647" t="b">
        <f>COUNTIF(Estadísticas!I:I,'centraldecomunicacion.es'!H4647)&gt;0</f>
        <v>1</v>
      </c>
    </row>
    <row r="4648" spans="1:9" hidden="1">
      <c r="A4648" s="1" t="s">
        <v>16293</v>
      </c>
      <c r="B4648" s="1" t="s">
        <v>10</v>
      </c>
      <c r="C4648" s="1" t="s">
        <v>16294</v>
      </c>
      <c r="D4648" s="1" t="s">
        <v>16124</v>
      </c>
      <c r="E4648" s="1" t="s">
        <v>1507</v>
      </c>
      <c r="F4648" s="1" t="s">
        <v>30</v>
      </c>
      <c r="G4648" s="1" t="s">
        <v>16295</v>
      </c>
      <c r="H4648" s="1" t="s">
        <v>1762</v>
      </c>
      <c r="I4648" t="b">
        <f>COUNTIF(Estadísticas!I:I,'centraldecomunicacion.es'!H4648)&gt;0</f>
        <v>0</v>
      </c>
    </row>
    <row r="4649" spans="1:9" hidden="1">
      <c r="A4649" s="1" t="s">
        <v>16296</v>
      </c>
      <c r="B4649" s="1" t="s">
        <v>10</v>
      </c>
      <c r="C4649" s="1" t="s">
        <v>16297</v>
      </c>
      <c r="D4649" s="1" t="s">
        <v>16298</v>
      </c>
      <c r="E4649" s="1" t="s">
        <v>1507</v>
      </c>
      <c r="F4649" s="1" t="s">
        <v>30</v>
      </c>
      <c r="G4649" s="1" t="s">
        <v>16299</v>
      </c>
      <c r="H4649" s="1" t="s">
        <v>1762</v>
      </c>
      <c r="I4649" t="b">
        <f>COUNTIF(Estadísticas!I:I,'centraldecomunicacion.es'!H4649)&gt;0</f>
        <v>0</v>
      </c>
    </row>
    <row r="4650" spans="1:9" hidden="1">
      <c r="A4650" s="1" t="s">
        <v>16300</v>
      </c>
      <c r="B4650" s="1" t="s">
        <v>10</v>
      </c>
      <c r="C4650" s="1" t="s">
        <v>16301</v>
      </c>
      <c r="D4650" s="1" t="s">
        <v>1662</v>
      </c>
      <c r="E4650" s="1" t="s">
        <v>1507</v>
      </c>
      <c r="F4650" s="1" t="s">
        <v>30</v>
      </c>
      <c r="G4650" s="1" t="s">
        <v>16302</v>
      </c>
      <c r="H4650" s="1" t="s">
        <v>1762</v>
      </c>
      <c r="I4650" t="b">
        <f>COUNTIF(Estadísticas!I:I,'centraldecomunicacion.es'!H4650)&gt;0</f>
        <v>0</v>
      </c>
    </row>
    <row r="4651" spans="1:9" hidden="1">
      <c r="A4651" s="1" t="s">
        <v>16303</v>
      </c>
      <c r="B4651" s="1" t="s">
        <v>10</v>
      </c>
      <c r="C4651" s="1" t="s">
        <v>16304</v>
      </c>
      <c r="D4651" s="1" t="s">
        <v>1662</v>
      </c>
      <c r="E4651" s="1" t="s">
        <v>1507</v>
      </c>
      <c r="F4651" s="1" t="s">
        <v>30</v>
      </c>
      <c r="G4651" s="1" t="s">
        <v>16305</v>
      </c>
      <c r="H4651" s="1" t="s">
        <v>1762</v>
      </c>
      <c r="I4651" t="b">
        <f>COUNTIF(Estadísticas!I:I,'centraldecomunicacion.es'!H4651)&gt;0</f>
        <v>0</v>
      </c>
    </row>
    <row r="4652" spans="1:9" hidden="1">
      <c r="A4652" s="1" t="s">
        <v>16306</v>
      </c>
      <c r="B4652" s="1" t="s">
        <v>10</v>
      </c>
      <c r="C4652" s="1" t="s">
        <v>16307</v>
      </c>
      <c r="D4652" s="1" t="s">
        <v>16308</v>
      </c>
      <c r="E4652" s="1" t="s">
        <v>1507</v>
      </c>
      <c r="F4652" s="1" t="s">
        <v>30</v>
      </c>
      <c r="G4652" s="1" t="s">
        <v>16309</v>
      </c>
      <c r="H4652" s="1" t="s">
        <v>1762</v>
      </c>
      <c r="I4652" t="b">
        <f>COUNTIF(Estadísticas!I:I,'centraldecomunicacion.es'!H4652)&gt;0</f>
        <v>0</v>
      </c>
    </row>
    <row r="4653" spans="1:9">
      <c r="A4653" s="1" t="s">
        <v>1715</v>
      </c>
      <c r="B4653" s="1" t="s">
        <v>10</v>
      </c>
      <c r="C4653" s="1" t="s">
        <v>1716</v>
      </c>
      <c r="D4653" s="1" t="s">
        <v>1700</v>
      </c>
      <c r="E4653" s="1" t="s">
        <v>1507</v>
      </c>
      <c r="F4653" s="1" t="s">
        <v>1717</v>
      </c>
      <c r="G4653" s="1" t="s">
        <v>1718</v>
      </c>
      <c r="H4653" s="1" t="s">
        <v>1719</v>
      </c>
      <c r="I4653" t="b">
        <f>COUNTIF(Estadísticas!I:I,'centraldecomunicacion.es'!H4653)&gt;0</f>
        <v>1</v>
      </c>
    </row>
    <row r="4654" spans="1:9" hidden="1">
      <c r="A4654" s="1" t="s">
        <v>16310</v>
      </c>
      <c r="B4654" s="1" t="s">
        <v>10</v>
      </c>
      <c r="C4654" s="1" t="s">
        <v>16311</v>
      </c>
      <c r="D4654" s="1" t="s">
        <v>1728</v>
      </c>
      <c r="E4654" s="1" t="s">
        <v>1507</v>
      </c>
      <c r="F4654" s="1" t="s">
        <v>30</v>
      </c>
      <c r="G4654" s="1" t="s">
        <v>30</v>
      </c>
      <c r="H4654" s="1" t="s">
        <v>1762</v>
      </c>
      <c r="I4654" t="b">
        <f>COUNTIF(Estadísticas!I:I,'centraldecomunicacion.es'!H4654)&gt;0</f>
        <v>0</v>
      </c>
    </row>
    <row r="4655" spans="1:9" hidden="1">
      <c r="A4655" s="1" t="s">
        <v>16312</v>
      </c>
      <c r="B4655" s="1" t="s">
        <v>10</v>
      </c>
      <c r="C4655" s="1" t="s">
        <v>16313</v>
      </c>
      <c r="D4655" s="1" t="s">
        <v>16314</v>
      </c>
      <c r="E4655" s="1" t="s">
        <v>1507</v>
      </c>
      <c r="F4655" s="1" t="s">
        <v>16315</v>
      </c>
      <c r="G4655" s="1" t="s">
        <v>16316</v>
      </c>
      <c r="H4655" s="1" t="s">
        <v>16317</v>
      </c>
      <c r="I4655" t="b">
        <f>COUNTIF(Estadísticas!I:I,'centraldecomunicacion.es'!H4655)&gt;0</f>
        <v>0</v>
      </c>
    </row>
    <row r="4656" spans="1:9" hidden="1">
      <c r="A4656" s="1" t="s">
        <v>16318</v>
      </c>
      <c r="B4656" s="1" t="s">
        <v>10</v>
      </c>
      <c r="C4656" s="1" t="s">
        <v>16319</v>
      </c>
      <c r="D4656" s="1" t="s">
        <v>16320</v>
      </c>
      <c r="E4656" s="1" t="s">
        <v>1507</v>
      </c>
      <c r="F4656" s="1" t="s">
        <v>16321</v>
      </c>
      <c r="G4656" s="1" t="s">
        <v>16322</v>
      </c>
      <c r="H4656" s="1" t="s">
        <v>1762</v>
      </c>
      <c r="I4656" t="b">
        <f>COUNTIF(Estadísticas!I:I,'centraldecomunicacion.es'!H4656)&gt;0</f>
        <v>0</v>
      </c>
    </row>
    <row r="4657" spans="1:9" hidden="1">
      <c r="A4657" s="1" t="s">
        <v>16323</v>
      </c>
      <c r="B4657" s="1" t="s">
        <v>10</v>
      </c>
      <c r="C4657" s="1" t="s">
        <v>16324</v>
      </c>
      <c r="D4657" s="1" t="s">
        <v>1700</v>
      </c>
      <c r="E4657" s="1" t="s">
        <v>1507</v>
      </c>
      <c r="F4657" s="1" t="s">
        <v>30</v>
      </c>
      <c r="G4657" s="1" t="s">
        <v>16325</v>
      </c>
      <c r="H4657" s="1" t="s">
        <v>1762</v>
      </c>
      <c r="I4657" t="b">
        <f>COUNTIF(Estadísticas!I:I,'centraldecomunicacion.es'!H4657)&gt;0</f>
        <v>0</v>
      </c>
    </row>
    <row r="4658" spans="1:9" hidden="1">
      <c r="A4658" s="1" t="s">
        <v>16326</v>
      </c>
      <c r="B4658" s="1" t="s">
        <v>10</v>
      </c>
      <c r="C4658" s="1" t="s">
        <v>16327</v>
      </c>
      <c r="D4658" s="1" t="s">
        <v>1662</v>
      </c>
      <c r="E4658" s="1" t="s">
        <v>1507</v>
      </c>
      <c r="F4658" s="1" t="s">
        <v>30</v>
      </c>
      <c r="G4658" s="1" t="s">
        <v>16328</v>
      </c>
      <c r="H4658" s="1" t="s">
        <v>1762</v>
      </c>
      <c r="I4658" t="b">
        <f>COUNTIF(Estadísticas!I:I,'centraldecomunicacion.es'!H4658)&gt;0</f>
        <v>0</v>
      </c>
    </row>
    <row r="4659" spans="1:9">
      <c r="A4659" s="1" t="s">
        <v>1720</v>
      </c>
      <c r="B4659" s="1" t="s">
        <v>10</v>
      </c>
      <c r="C4659" s="1" t="s">
        <v>1721</v>
      </c>
      <c r="D4659" s="1" t="s">
        <v>1722</v>
      </c>
      <c r="E4659" s="1" t="s">
        <v>1507</v>
      </c>
      <c r="F4659" s="1" t="s">
        <v>1723</v>
      </c>
      <c r="G4659" s="1" t="s">
        <v>1724</v>
      </c>
      <c r="H4659" s="1" t="s">
        <v>1725</v>
      </c>
      <c r="I4659" t="b">
        <f>COUNTIF(Estadísticas!I:I,'centraldecomunicacion.es'!H4659)&gt;0</f>
        <v>1</v>
      </c>
    </row>
    <row r="4660" spans="1:9" hidden="1">
      <c r="A4660" s="1" t="s">
        <v>16329</v>
      </c>
      <c r="B4660" s="1" t="s">
        <v>10</v>
      </c>
      <c r="C4660" s="1" t="s">
        <v>16330</v>
      </c>
      <c r="D4660" s="1" t="s">
        <v>1662</v>
      </c>
      <c r="E4660" s="1" t="s">
        <v>1507</v>
      </c>
      <c r="F4660" s="1" t="s">
        <v>16331</v>
      </c>
      <c r="G4660" s="1" t="s">
        <v>16332</v>
      </c>
      <c r="H4660" s="1" t="s">
        <v>16333</v>
      </c>
      <c r="I4660" t="b">
        <f>COUNTIF(Estadísticas!I:I,'centraldecomunicacion.es'!H4660)&gt;0</f>
        <v>0</v>
      </c>
    </row>
    <row r="4661" spans="1:9" hidden="1">
      <c r="A4661" s="1" t="s">
        <v>16334</v>
      </c>
      <c r="B4661" s="1" t="s">
        <v>10</v>
      </c>
      <c r="C4661" s="1" t="s">
        <v>16335</v>
      </c>
      <c r="D4661" s="1" t="s">
        <v>16336</v>
      </c>
      <c r="E4661" s="1" t="s">
        <v>1507</v>
      </c>
      <c r="F4661" s="1" t="s">
        <v>30</v>
      </c>
      <c r="G4661" s="1" t="s">
        <v>16337</v>
      </c>
      <c r="H4661" s="1" t="s">
        <v>1762</v>
      </c>
      <c r="I4661" t="b">
        <f>COUNTIF(Estadísticas!I:I,'centraldecomunicacion.es'!H4661)&gt;0</f>
        <v>0</v>
      </c>
    </row>
    <row r="4662" spans="1:9" hidden="1">
      <c r="A4662" s="1" t="s">
        <v>16338</v>
      </c>
      <c r="B4662" s="1" t="s">
        <v>10</v>
      </c>
      <c r="C4662" s="1" t="s">
        <v>16339</v>
      </c>
      <c r="D4662" s="1" t="s">
        <v>16340</v>
      </c>
      <c r="E4662" s="1" t="s">
        <v>1507</v>
      </c>
      <c r="F4662" s="1" t="s">
        <v>30</v>
      </c>
      <c r="G4662" s="1" t="s">
        <v>16341</v>
      </c>
      <c r="H4662" s="1" t="s">
        <v>1762</v>
      </c>
      <c r="I4662" t="b">
        <f>COUNTIF(Estadísticas!I:I,'centraldecomunicacion.es'!H4662)&gt;0</f>
        <v>0</v>
      </c>
    </row>
    <row r="4663" spans="1:9" hidden="1">
      <c r="A4663" s="1" t="s">
        <v>16342</v>
      </c>
      <c r="B4663" s="1" t="s">
        <v>10</v>
      </c>
      <c r="C4663" s="1" t="s">
        <v>16343</v>
      </c>
      <c r="D4663" s="1" t="s">
        <v>16250</v>
      </c>
      <c r="E4663" s="1" t="s">
        <v>1507</v>
      </c>
      <c r="F4663" s="1" t="s">
        <v>30</v>
      </c>
      <c r="G4663" s="1" t="s">
        <v>16344</v>
      </c>
      <c r="H4663" s="1" t="s">
        <v>1762</v>
      </c>
      <c r="I4663" t="b">
        <f>COUNTIF(Estadísticas!I:I,'centraldecomunicacion.es'!H4663)&gt;0</f>
        <v>0</v>
      </c>
    </row>
    <row r="4664" spans="1:9" hidden="1">
      <c r="A4664" s="1" t="s">
        <v>16345</v>
      </c>
      <c r="B4664" s="1" t="s">
        <v>10</v>
      </c>
      <c r="C4664" s="1" t="s">
        <v>16346</v>
      </c>
      <c r="D4664" s="1" t="s">
        <v>1728</v>
      </c>
      <c r="E4664" s="1" t="s">
        <v>1507</v>
      </c>
      <c r="F4664" s="1" t="s">
        <v>30</v>
      </c>
      <c r="G4664" s="1" t="s">
        <v>16347</v>
      </c>
      <c r="H4664" s="1" t="s">
        <v>1762</v>
      </c>
      <c r="I4664" t="b">
        <f>COUNTIF(Estadísticas!I:I,'centraldecomunicacion.es'!H4664)&gt;0</f>
        <v>0</v>
      </c>
    </row>
    <row r="4665" spans="1:9">
      <c r="A4665" s="1" t="s">
        <v>16348</v>
      </c>
      <c r="B4665" s="1" t="s">
        <v>18</v>
      </c>
      <c r="C4665" s="1" t="s">
        <v>16349</v>
      </c>
      <c r="D4665" s="1" t="s">
        <v>1662</v>
      </c>
      <c r="E4665" s="1" t="s">
        <v>1507</v>
      </c>
      <c r="F4665" s="1" t="s">
        <v>1039</v>
      </c>
      <c r="G4665" s="1" t="s">
        <v>16350</v>
      </c>
      <c r="H4665" s="1" t="s">
        <v>1041</v>
      </c>
      <c r="I4665" t="b">
        <f>COUNTIF(Estadísticas!I:I,'centraldecomunicacion.es'!H4665)&gt;0</f>
        <v>1</v>
      </c>
    </row>
    <row r="4666" spans="1:9">
      <c r="A4666" s="1" t="s">
        <v>1726</v>
      </c>
      <c r="B4666" s="1" t="s">
        <v>10</v>
      </c>
      <c r="C4666" s="1" t="s">
        <v>1727</v>
      </c>
      <c r="D4666" s="1" t="s">
        <v>1728</v>
      </c>
      <c r="E4666" s="1" t="s">
        <v>1507</v>
      </c>
      <c r="F4666" s="1" t="s">
        <v>1729</v>
      </c>
      <c r="G4666" s="1" t="s">
        <v>1730</v>
      </c>
      <c r="H4666" s="1" t="s">
        <v>1731</v>
      </c>
      <c r="I4666" t="b">
        <f>COUNTIF(Estadísticas!I:I,'centraldecomunicacion.es'!H4666)&gt;0</f>
        <v>1</v>
      </c>
    </row>
    <row r="4667" spans="1:9" hidden="1">
      <c r="A4667" s="1" t="s">
        <v>16351</v>
      </c>
      <c r="B4667" s="1" t="s">
        <v>10</v>
      </c>
      <c r="C4667" s="1" t="s">
        <v>16352</v>
      </c>
      <c r="D4667" s="1" t="s">
        <v>1662</v>
      </c>
      <c r="E4667" s="1" t="s">
        <v>1507</v>
      </c>
      <c r="F4667" s="1" t="s">
        <v>16353</v>
      </c>
      <c r="G4667" s="1" t="s">
        <v>16354</v>
      </c>
      <c r="H4667" s="1" t="s">
        <v>1762</v>
      </c>
      <c r="I4667" t="b">
        <f>COUNTIF(Estadísticas!I:I,'centraldecomunicacion.es'!H4667)&gt;0</f>
        <v>0</v>
      </c>
    </row>
    <row r="4668" spans="1:9" hidden="1">
      <c r="A4668" s="1" t="s">
        <v>16355</v>
      </c>
      <c r="B4668" s="1" t="s">
        <v>10</v>
      </c>
      <c r="C4668" s="1" t="s">
        <v>16356</v>
      </c>
      <c r="D4668" s="1" t="s">
        <v>16357</v>
      </c>
      <c r="E4668" s="1" t="s">
        <v>1507</v>
      </c>
      <c r="F4668" s="1" t="s">
        <v>16358</v>
      </c>
      <c r="G4668" s="1" t="s">
        <v>16359</v>
      </c>
      <c r="H4668" s="1" t="s">
        <v>1762</v>
      </c>
      <c r="I4668" t="b">
        <f>COUNTIF(Estadísticas!I:I,'centraldecomunicacion.es'!H4668)&gt;0</f>
        <v>0</v>
      </c>
    </row>
    <row r="4669" spans="1:9" hidden="1">
      <c r="A4669" s="1" t="s">
        <v>16360</v>
      </c>
      <c r="B4669" s="1" t="s">
        <v>10</v>
      </c>
      <c r="C4669" s="1" t="s">
        <v>16361</v>
      </c>
      <c r="D4669" s="1" t="s">
        <v>16114</v>
      </c>
      <c r="E4669" s="1" t="s">
        <v>1507</v>
      </c>
      <c r="F4669" s="1" t="s">
        <v>16362</v>
      </c>
      <c r="G4669" s="1" t="s">
        <v>16363</v>
      </c>
      <c r="H4669" s="1" t="s">
        <v>1762</v>
      </c>
      <c r="I4669" t="b">
        <f>COUNTIF(Estadísticas!I:I,'centraldecomunicacion.es'!H4669)&gt;0</f>
        <v>0</v>
      </c>
    </row>
    <row r="4670" spans="1:9" hidden="1">
      <c r="A4670" s="1" t="s">
        <v>16364</v>
      </c>
      <c r="B4670" s="1" t="s">
        <v>10</v>
      </c>
      <c r="C4670" s="1" t="s">
        <v>16365</v>
      </c>
      <c r="D4670" s="1" t="s">
        <v>16250</v>
      </c>
      <c r="E4670" s="1" t="s">
        <v>1507</v>
      </c>
      <c r="F4670" s="1" t="s">
        <v>1830</v>
      </c>
      <c r="G4670" s="1" t="s">
        <v>16366</v>
      </c>
      <c r="H4670" s="1" t="s">
        <v>1762</v>
      </c>
      <c r="I4670" t="b">
        <f>COUNTIF(Estadísticas!I:I,'centraldecomunicacion.es'!H4670)&gt;0</f>
        <v>0</v>
      </c>
    </row>
    <row r="4671" spans="1:9" hidden="1">
      <c r="A4671" s="1" t="s">
        <v>16367</v>
      </c>
      <c r="B4671" s="1" t="s">
        <v>10</v>
      </c>
      <c r="C4671" s="1" t="s">
        <v>16368</v>
      </c>
      <c r="D4671" s="1" t="s">
        <v>16124</v>
      </c>
      <c r="E4671" s="1" t="s">
        <v>1507</v>
      </c>
      <c r="F4671" s="1" t="s">
        <v>16369</v>
      </c>
      <c r="G4671" s="1" t="s">
        <v>16370</v>
      </c>
      <c r="H4671" s="1" t="s">
        <v>1762</v>
      </c>
      <c r="I4671" t="b">
        <f>COUNTIF(Estadísticas!I:I,'centraldecomunicacion.es'!H4671)&gt;0</f>
        <v>0</v>
      </c>
    </row>
    <row r="4672" spans="1:9" hidden="1">
      <c r="A4672" s="1" t="s">
        <v>16371</v>
      </c>
      <c r="B4672" s="1" t="s">
        <v>10</v>
      </c>
      <c r="C4672" s="1" t="s">
        <v>16372</v>
      </c>
      <c r="D4672" s="1" t="s">
        <v>16124</v>
      </c>
      <c r="E4672" s="1" t="s">
        <v>1507</v>
      </c>
      <c r="F4672" s="1" t="s">
        <v>16373</v>
      </c>
      <c r="G4672" s="1" t="s">
        <v>16374</v>
      </c>
      <c r="H4672" s="1" t="s">
        <v>16375</v>
      </c>
      <c r="I4672" t="b">
        <f>COUNTIF(Estadísticas!I:I,'centraldecomunicacion.es'!H4672)&gt;0</f>
        <v>0</v>
      </c>
    </row>
    <row r="4673" spans="1:9" hidden="1">
      <c r="A4673" s="1" t="s">
        <v>16376</v>
      </c>
      <c r="B4673" s="1" t="s">
        <v>10</v>
      </c>
      <c r="C4673" s="1" t="s">
        <v>16377</v>
      </c>
      <c r="D4673" s="1" t="s">
        <v>1662</v>
      </c>
      <c r="E4673" s="1" t="s">
        <v>1507</v>
      </c>
      <c r="F4673" s="1" t="s">
        <v>16378</v>
      </c>
      <c r="G4673" s="1" t="s">
        <v>16379</v>
      </c>
      <c r="H4673" s="1" t="s">
        <v>1762</v>
      </c>
      <c r="I4673" t="b">
        <f>COUNTIF(Estadísticas!I:I,'centraldecomunicacion.es'!H4673)&gt;0</f>
        <v>0</v>
      </c>
    </row>
    <row r="4674" spans="1:9" hidden="1">
      <c r="A4674" s="1" t="s">
        <v>16380</v>
      </c>
      <c r="B4674" s="1" t="s">
        <v>10</v>
      </c>
      <c r="C4674" s="1" t="s">
        <v>16381</v>
      </c>
      <c r="D4674" s="1" t="s">
        <v>16241</v>
      </c>
      <c r="E4674" s="1" t="s">
        <v>1507</v>
      </c>
      <c r="F4674" s="1" t="s">
        <v>30</v>
      </c>
      <c r="G4674" s="1" t="s">
        <v>16382</v>
      </c>
      <c r="H4674" s="1" t="s">
        <v>1762</v>
      </c>
      <c r="I4674" t="b">
        <f>COUNTIF(Estadísticas!I:I,'centraldecomunicacion.es'!H4674)&gt;0</f>
        <v>0</v>
      </c>
    </row>
    <row r="4675" spans="1:9" hidden="1">
      <c r="A4675" s="1" t="s">
        <v>16383</v>
      </c>
      <c r="B4675" s="1" t="s">
        <v>10</v>
      </c>
      <c r="C4675" s="1" t="s">
        <v>16384</v>
      </c>
      <c r="D4675" s="1" t="s">
        <v>16288</v>
      </c>
      <c r="E4675" s="1" t="s">
        <v>1507</v>
      </c>
      <c r="F4675" s="1" t="s">
        <v>30</v>
      </c>
      <c r="G4675" s="1" t="s">
        <v>16385</v>
      </c>
      <c r="H4675" s="1" t="s">
        <v>1762</v>
      </c>
      <c r="I4675" t="b">
        <f>COUNTIF(Estadísticas!I:I,'centraldecomunicacion.es'!H4675)&gt;0</f>
        <v>0</v>
      </c>
    </row>
    <row r="4676" spans="1:9">
      <c r="A4676" s="1" t="s">
        <v>1732</v>
      </c>
      <c r="B4676" s="1" t="s">
        <v>10</v>
      </c>
      <c r="C4676" s="1" t="s">
        <v>1733</v>
      </c>
      <c r="D4676" s="1" t="s">
        <v>1734</v>
      </c>
      <c r="E4676" s="1" t="s">
        <v>1507</v>
      </c>
      <c r="F4676" s="1" t="s">
        <v>1735</v>
      </c>
      <c r="G4676" s="1" t="s">
        <v>1736</v>
      </c>
      <c r="H4676" s="1" t="s">
        <v>1737</v>
      </c>
      <c r="I4676" t="b">
        <f>COUNTIF(Estadísticas!I:I,'centraldecomunicacion.es'!H4676)&gt;0</f>
        <v>1</v>
      </c>
    </row>
    <row r="4677" spans="1:9" hidden="1">
      <c r="A4677" s="1" t="s">
        <v>16386</v>
      </c>
      <c r="B4677" s="1" t="s">
        <v>10</v>
      </c>
      <c r="C4677" s="1" t="s">
        <v>16387</v>
      </c>
      <c r="D4677" s="1" t="s">
        <v>1662</v>
      </c>
      <c r="E4677" s="1" t="s">
        <v>1507</v>
      </c>
      <c r="F4677" s="1" t="s">
        <v>30</v>
      </c>
      <c r="G4677" s="1" t="s">
        <v>16388</v>
      </c>
      <c r="H4677" s="1" t="s">
        <v>1762</v>
      </c>
      <c r="I4677" t="b">
        <f>COUNTIF(Estadísticas!I:I,'centraldecomunicacion.es'!H4677)&gt;0</f>
        <v>0</v>
      </c>
    </row>
    <row r="4678" spans="1:9" hidden="1">
      <c r="A4678" s="1" t="s">
        <v>15303</v>
      </c>
      <c r="B4678" s="1" t="s">
        <v>10</v>
      </c>
      <c r="C4678" s="1" t="s">
        <v>16389</v>
      </c>
      <c r="D4678" s="1" t="s">
        <v>16124</v>
      </c>
      <c r="E4678" s="1" t="s">
        <v>1507</v>
      </c>
      <c r="F4678" s="1" t="s">
        <v>30</v>
      </c>
      <c r="G4678" s="1" t="s">
        <v>30</v>
      </c>
      <c r="H4678" s="1" t="s">
        <v>1762</v>
      </c>
      <c r="I4678" t="b">
        <f>COUNTIF(Estadísticas!I:I,'centraldecomunicacion.es'!H4678)&gt;0</f>
        <v>0</v>
      </c>
    </row>
    <row r="4679" spans="1:9" hidden="1">
      <c r="A4679" s="1" t="s">
        <v>16390</v>
      </c>
      <c r="B4679" s="1" t="s">
        <v>10</v>
      </c>
      <c r="C4679" s="1" t="s">
        <v>16391</v>
      </c>
      <c r="D4679" s="1" t="s">
        <v>14772</v>
      </c>
      <c r="E4679" s="1" t="s">
        <v>1507</v>
      </c>
      <c r="F4679" s="1" t="s">
        <v>16392</v>
      </c>
      <c r="G4679" s="1" t="s">
        <v>16393</v>
      </c>
      <c r="H4679" s="1" t="s">
        <v>1762</v>
      </c>
      <c r="I4679" t="b">
        <f>COUNTIF(Estadísticas!I:I,'centraldecomunicacion.es'!H4679)&gt;0</f>
        <v>0</v>
      </c>
    </row>
    <row r="4680" spans="1:9" hidden="1">
      <c r="A4680" s="1" t="s">
        <v>16394</v>
      </c>
      <c r="B4680" s="1" t="s">
        <v>10</v>
      </c>
      <c r="C4680" s="1" t="s">
        <v>16395</v>
      </c>
      <c r="D4680" s="1" t="s">
        <v>1706</v>
      </c>
      <c r="E4680" s="1" t="s">
        <v>1507</v>
      </c>
      <c r="F4680" s="1" t="s">
        <v>16396</v>
      </c>
      <c r="G4680" s="1" t="s">
        <v>16397</v>
      </c>
      <c r="H4680" s="1" t="s">
        <v>1762</v>
      </c>
      <c r="I4680" t="b">
        <f>COUNTIF(Estadísticas!I:I,'centraldecomunicacion.es'!H4680)&gt;0</f>
        <v>0</v>
      </c>
    </row>
    <row r="4681" spans="1:9" hidden="1">
      <c r="A4681" s="1" t="s">
        <v>16398</v>
      </c>
      <c r="B4681" s="1" t="s">
        <v>10</v>
      </c>
      <c r="C4681" s="1" t="s">
        <v>16399</v>
      </c>
      <c r="D4681" s="1" t="s">
        <v>1662</v>
      </c>
      <c r="E4681" s="1" t="s">
        <v>1507</v>
      </c>
      <c r="F4681" s="1" t="s">
        <v>16400</v>
      </c>
      <c r="G4681" s="1" t="s">
        <v>16401</v>
      </c>
      <c r="H4681" s="1" t="s">
        <v>16402</v>
      </c>
      <c r="I4681" t="b">
        <f>COUNTIF(Estadísticas!I:I,'centraldecomunicacion.es'!H4681)&gt;0</f>
        <v>0</v>
      </c>
    </row>
    <row r="4682" spans="1:9" hidden="1">
      <c r="A4682" s="1" t="s">
        <v>16403</v>
      </c>
      <c r="B4682" s="1" t="s">
        <v>18</v>
      </c>
      <c r="C4682" s="1" t="s">
        <v>16404</v>
      </c>
      <c r="D4682" s="1" t="s">
        <v>1662</v>
      </c>
      <c r="E4682" s="1" t="s">
        <v>1507</v>
      </c>
      <c r="F4682" s="1" t="s">
        <v>4288</v>
      </c>
      <c r="G4682" s="1" t="s">
        <v>16405</v>
      </c>
      <c r="H4682" s="1" t="s">
        <v>4290</v>
      </c>
      <c r="I4682" t="b">
        <f>COUNTIF(Estadísticas!I:I,'centraldecomunicacion.es'!H4682)&gt;0</f>
        <v>0</v>
      </c>
    </row>
    <row r="4683" spans="1:9" hidden="1">
      <c r="A4683" s="1" t="s">
        <v>16406</v>
      </c>
      <c r="B4683" s="1" t="s">
        <v>10</v>
      </c>
      <c r="C4683" s="1" t="s">
        <v>16407</v>
      </c>
      <c r="D4683" s="1" t="s">
        <v>16408</v>
      </c>
      <c r="E4683" s="1" t="s">
        <v>1507</v>
      </c>
      <c r="F4683" s="1" t="s">
        <v>30</v>
      </c>
      <c r="G4683" s="1" t="s">
        <v>16409</v>
      </c>
      <c r="H4683" s="1" t="s">
        <v>1762</v>
      </c>
      <c r="I4683" t="b">
        <f>COUNTIF(Estadísticas!I:I,'centraldecomunicacion.es'!H4683)&gt;0</f>
        <v>0</v>
      </c>
    </row>
    <row r="4684" spans="1:9" hidden="1">
      <c r="A4684" s="1" t="s">
        <v>16410</v>
      </c>
      <c r="B4684" s="1" t="s">
        <v>10</v>
      </c>
      <c r="C4684" s="1" t="s">
        <v>16411</v>
      </c>
      <c r="D4684" s="1" t="s">
        <v>1662</v>
      </c>
      <c r="E4684" s="1" t="s">
        <v>1507</v>
      </c>
      <c r="F4684" s="1" t="s">
        <v>30</v>
      </c>
      <c r="G4684" s="1" t="s">
        <v>16412</v>
      </c>
      <c r="H4684" s="1" t="s">
        <v>1762</v>
      </c>
      <c r="I4684" t="b">
        <f>COUNTIF(Estadísticas!I:I,'centraldecomunicacion.es'!H4684)&gt;0</f>
        <v>0</v>
      </c>
    </row>
    <row r="4685" spans="1:9" hidden="1">
      <c r="A4685" s="1" t="s">
        <v>16329</v>
      </c>
      <c r="B4685" s="1" t="s">
        <v>10</v>
      </c>
      <c r="C4685" s="1" t="s">
        <v>16413</v>
      </c>
      <c r="D4685" s="1" t="s">
        <v>16114</v>
      </c>
      <c r="E4685" s="1" t="s">
        <v>1507</v>
      </c>
      <c r="F4685" s="1" t="s">
        <v>16331</v>
      </c>
      <c r="G4685" s="1" t="s">
        <v>16332</v>
      </c>
      <c r="H4685" s="1" t="s">
        <v>16333</v>
      </c>
      <c r="I4685" t="b">
        <f>COUNTIF(Estadísticas!I:I,'centraldecomunicacion.es'!H4685)&gt;0</f>
        <v>0</v>
      </c>
    </row>
    <row r="4686" spans="1:9" hidden="1">
      <c r="A4686" s="1" t="s">
        <v>16414</v>
      </c>
      <c r="B4686" s="1" t="s">
        <v>10</v>
      </c>
      <c r="C4686" s="1" t="s">
        <v>16415</v>
      </c>
      <c r="D4686" s="1" t="s">
        <v>16114</v>
      </c>
      <c r="E4686" s="1" t="s">
        <v>1507</v>
      </c>
      <c r="F4686" s="1" t="s">
        <v>30</v>
      </c>
      <c r="G4686" s="1" t="s">
        <v>16416</v>
      </c>
      <c r="H4686" s="1" t="s">
        <v>1762</v>
      </c>
      <c r="I4686" t="b">
        <f>COUNTIF(Estadísticas!I:I,'centraldecomunicacion.es'!H4686)&gt;0</f>
        <v>0</v>
      </c>
    </row>
    <row r="4687" spans="1:9">
      <c r="A4687" s="1" t="s">
        <v>1738</v>
      </c>
      <c r="B4687" s="1" t="s">
        <v>10</v>
      </c>
      <c r="C4687" s="1" t="s">
        <v>1739</v>
      </c>
      <c r="D4687" s="1" t="s">
        <v>1662</v>
      </c>
      <c r="E4687" s="1" t="s">
        <v>1507</v>
      </c>
      <c r="F4687" s="1" t="s">
        <v>1740</v>
      </c>
      <c r="G4687" s="1" t="s">
        <v>1741</v>
      </c>
      <c r="H4687" s="1" t="s">
        <v>1742</v>
      </c>
      <c r="I4687" t="b">
        <f>COUNTIF(Estadísticas!I:I,'centraldecomunicacion.es'!H4687)&gt;0</f>
        <v>1</v>
      </c>
    </row>
    <row r="4688" spans="1:9" hidden="1">
      <c r="A4688" s="1" t="s">
        <v>16417</v>
      </c>
      <c r="B4688" s="1" t="s">
        <v>10</v>
      </c>
      <c r="C4688" s="1" t="s">
        <v>30</v>
      </c>
      <c r="D4688" s="1" t="s">
        <v>16408</v>
      </c>
      <c r="E4688" s="1" t="s">
        <v>30</v>
      </c>
      <c r="F4688" s="1" t="s">
        <v>30</v>
      </c>
      <c r="G4688" s="1" t="s">
        <v>16418</v>
      </c>
      <c r="H4688" s="1" t="s">
        <v>1762</v>
      </c>
      <c r="I4688" t="b">
        <f>COUNTIF(Estadísticas!I:I,'centraldecomunicacion.es'!H4688)&gt;0</f>
        <v>0</v>
      </c>
    </row>
    <row r="4689" spans="1:9" hidden="1">
      <c r="A4689" s="1" t="s">
        <v>16419</v>
      </c>
      <c r="B4689" s="1" t="s">
        <v>10</v>
      </c>
      <c r="C4689" s="1" t="s">
        <v>16420</v>
      </c>
      <c r="D4689" s="1" t="s">
        <v>1662</v>
      </c>
      <c r="E4689" s="1" t="s">
        <v>1507</v>
      </c>
      <c r="F4689" s="1" t="s">
        <v>16421</v>
      </c>
      <c r="G4689" s="1" t="s">
        <v>16422</v>
      </c>
      <c r="H4689" s="1" t="s">
        <v>16423</v>
      </c>
      <c r="I4689" t="b">
        <f>COUNTIF(Estadísticas!I:I,'centraldecomunicacion.es'!H4689)&gt;0</f>
        <v>0</v>
      </c>
    </row>
    <row r="4690" spans="1:9" hidden="1">
      <c r="A4690" s="1" t="s">
        <v>16424</v>
      </c>
      <c r="B4690" s="1" t="s">
        <v>10</v>
      </c>
      <c r="C4690" s="1" t="s">
        <v>16425</v>
      </c>
      <c r="D4690" s="1" t="s">
        <v>1662</v>
      </c>
      <c r="E4690" s="1" t="s">
        <v>1507</v>
      </c>
      <c r="F4690" s="1" t="s">
        <v>30</v>
      </c>
      <c r="G4690" s="1" t="s">
        <v>30</v>
      </c>
      <c r="H4690" s="1" t="s">
        <v>1762</v>
      </c>
      <c r="I4690" t="b">
        <f>COUNTIF(Estadísticas!I:I,'centraldecomunicacion.es'!H4690)&gt;0</f>
        <v>0</v>
      </c>
    </row>
    <row r="4691" spans="1:9" hidden="1">
      <c r="A4691" s="1" t="s">
        <v>16426</v>
      </c>
      <c r="B4691" s="1" t="s">
        <v>10</v>
      </c>
      <c r="C4691" s="1" t="s">
        <v>16427</v>
      </c>
      <c r="D4691" s="1" t="s">
        <v>1662</v>
      </c>
      <c r="E4691" s="1" t="s">
        <v>1507</v>
      </c>
      <c r="F4691" s="1" t="s">
        <v>30</v>
      </c>
      <c r="G4691" s="1" t="s">
        <v>16428</v>
      </c>
      <c r="H4691" s="1" t="s">
        <v>1762</v>
      </c>
      <c r="I4691" t="b">
        <f>COUNTIF(Estadísticas!I:I,'centraldecomunicacion.es'!H4691)&gt;0</f>
        <v>0</v>
      </c>
    </row>
    <row r="4692" spans="1:9" hidden="1">
      <c r="A4692" s="1" t="s">
        <v>16429</v>
      </c>
      <c r="B4692" s="1" t="s">
        <v>10</v>
      </c>
      <c r="C4692" s="1" t="s">
        <v>30</v>
      </c>
      <c r="D4692" s="1" t="s">
        <v>16408</v>
      </c>
      <c r="E4692" s="1" t="s">
        <v>30</v>
      </c>
      <c r="F4692" s="1" t="s">
        <v>16430</v>
      </c>
      <c r="G4692" s="1" t="s">
        <v>16431</v>
      </c>
      <c r="H4692" s="1" t="s">
        <v>1762</v>
      </c>
      <c r="I4692" t="b">
        <f>COUNTIF(Estadísticas!I:I,'centraldecomunicacion.es'!H4692)&gt;0</f>
        <v>0</v>
      </c>
    </row>
    <row r="4693" spans="1:9" hidden="1">
      <c r="A4693" s="1" t="s">
        <v>16432</v>
      </c>
      <c r="B4693" s="1" t="s">
        <v>10</v>
      </c>
      <c r="C4693" s="1" t="s">
        <v>16433</v>
      </c>
      <c r="D4693" s="1" t="s">
        <v>16124</v>
      </c>
      <c r="E4693" s="1" t="s">
        <v>1507</v>
      </c>
      <c r="F4693" s="1" t="s">
        <v>30</v>
      </c>
      <c r="G4693" s="1" t="s">
        <v>16434</v>
      </c>
      <c r="H4693" s="1" t="s">
        <v>1762</v>
      </c>
      <c r="I4693" t="b">
        <f>COUNTIF(Estadísticas!I:I,'centraldecomunicacion.es'!H4693)&gt;0</f>
        <v>0</v>
      </c>
    </row>
    <row r="4694" spans="1:9" hidden="1">
      <c r="A4694" s="1" t="s">
        <v>16435</v>
      </c>
      <c r="B4694" s="1" t="s">
        <v>10</v>
      </c>
      <c r="C4694" s="1" t="s">
        <v>16436</v>
      </c>
      <c r="D4694" s="1" t="s">
        <v>16241</v>
      </c>
      <c r="E4694" s="1" t="s">
        <v>1507</v>
      </c>
      <c r="F4694" s="1" t="s">
        <v>30</v>
      </c>
      <c r="G4694" s="1" t="s">
        <v>16437</v>
      </c>
      <c r="H4694" s="1" t="s">
        <v>1762</v>
      </c>
      <c r="I4694" t="b">
        <f>COUNTIF(Estadísticas!I:I,'centraldecomunicacion.es'!H4694)&gt;0</f>
        <v>0</v>
      </c>
    </row>
    <row r="4695" spans="1:9" hidden="1">
      <c r="A4695" s="1" t="s">
        <v>16438</v>
      </c>
      <c r="B4695" s="1" t="s">
        <v>10</v>
      </c>
      <c r="C4695" s="1" t="s">
        <v>16439</v>
      </c>
      <c r="D4695" s="1" t="s">
        <v>1662</v>
      </c>
      <c r="E4695" s="1" t="s">
        <v>1507</v>
      </c>
      <c r="F4695" s="1" t="s">
        <v>16440</v>
      </c>
      <c r="G4695" s="1" t="s">
        <v>16441</v>
      </c>
      <c r="H4695" s="1" t="s">
        <v>1762</v>
      </c>
      <c r="I4695" t="b">
        <f>COUNTIF(Estadísticas!I:I,'centraldecomunicacion.es'!H4695)&gt;0</f>
        <v>0</v>
      </c>
    </row>
    <row r="4696" spans="1:9" hidden="1">
      <c r="A4696" s="1" t="s">
        <v>16442</v>
      </c>
      <c r="B4696" s="1" t="s">
        <v>10</v>
      </c>
      <c r="C4696" s="1" t="s">
        <v>16443</v>
      </c>
      <c r="D4696" s="1" t="s">
        <v>16124</v>
      </c>
      <c r="E4696" s="1" t="s">
        <v>1507</v>
      </c>
      <c r="F4696" s="1" t="s">
        <v>30</v>
      </c>
      <c r="G4696" s="1" t="s">
        <v>16444</v>
      </c>
      <c r="H4696" s="1" t="s">
        <v>1762</v>
      </c>
      <c r="I4696" t="b">
        <f>COUNTIF(Estadísticas!I:I,'centraldecomunicacion.es'!H4696)&gt;0</f>
        <v>0</v>
      </c>
    </row>
    <row r="4697" spans="1:9" hidden="1">
      <c r="A4697" s="1" t="s">
        <v>16445</v>
      </c>
      <c r="B4697" s="1" t="s">
        <v>10</v>
      </c>
      <c r="C4697" s="1" t="s">
        <v>16446</v>
      </c>
      <c r="D4697" s="1" t="s">
        <v>1700</v>
      </c>
      <c r="E4697" s="1" t="s">
        <v>1507</v>
      </c>
      <c r="F4697" s="1" t="s">
        <v>30</v>
      </c>
      <c r="G4697" s="1" t="s">
        <v>16447</v>
      </c>
      <c r="H4697" s="1" t="s">
        <v>1762</v>
      </c>
      <c r="I4697" t="b">
        <f>COUNTIF(Estadísticas!I:I,'centraldecomunicacion.es'!H4697)&gt;0</f>
        <v>0</v>
      </c>
    </row>
    <row r="4698" spans="1:9" hidden="1">
      <c r="A4698" s="1" t="s">
        <v>16448</v>
      </c>
      <c r="B4698" s="1" t="s">
        <v>10</v>
      </c>
      <c r="C4698" s="1" t="s">
        <v>16449</v>
      </c>
      <c r="D4698" s="1" t="s">
        <v>16450</v>
      </c>
      <c r="E4698" s="1" t="s">
        <v>1507</v>
      </c>
      <c r="F4698" s="1" t="s">
        <v>30</v>
      </c>
      <c r="G4698" s="1" t="s">
        <v>30</v>
      </c>
      <c r="H4698" s="1" t="s">
        <v>1762</v>
      </c>
      <c r="I4698" t="b">
        <f>COUNTIF(Estadísticas!I:I,'centraldecomunicacion.es'!H4698)&gt;0</f>
        <v>0</v>
      </c>
    </row>
    <row r="4699" spans="1:9" hidden="1">
      <c r="A4699" s="1" t="s">
        <v>16451</v>
      </c>
      <c r="B4699" s="1" t="s">
        <v>10</v>
      </c>
      <c r="C4699" s="1" t="s">
        <v>16452</v>
      </c>
      <c r="D4699" s="1" t="s">
        <v>16453</v>
      </c>
      <c r="E4699" s="1" t="s">
        <v>1507</v>
      </c>
      <c r="F4699" s="1" t="s">
        <v>30</v>
      </c>
      <c r="G4699" s="1" t="s">
        <v>16454</v>
      </c>
      <c r="H4699" s="1" t="s">
        <v>1762</v>
      </c>
      <c r="I4699" t="b">
        <f>COUNTIF(Estadísticas!I:I,'centraldecomunicacion.es'!H4699)&gt;0</f>
        <v>0</v>
      </c>
    </row>
    <row r="4700" spans="1:9" hidden="1">
      <c r="A4700" s="1" t="s">
        <v>16455</v>
      </c>
      <c r="B4700" s="1" t="s">
        <v>10</v>
      </c>
      <c r="C4700" s="1" t="s">
        <v>16456</v>
      </c>
      <c r="D4700" s="1" t="s">
        <v>16357</v>
      </c>
      <c r="E4700" s="1" t="s">
        <v>1507</v>
      </c>
      <c r="F4700" s="1" t="s">
        <v>30</v>
      </c>
      <c r="G4700" s="1" t="s">
        <v>16457</v>
      </c>
      <c r="H4700" s="1" t="s">
        <v>1762</v>
      </c>
      <c r="I4700" t="b">
        <f>COUNTIF(Estadísticas!I:I,'centraldecomunicacion.es'!H4700)&gt;0</f>
        <v>0</v>
      </c>
    </row>
    <row r="4701" spans="1:9" hidden="1">
      <c r="A4701" s="1" t="s">
        <v>16458</v>
      </c>
      <c r="B4701" s="1" t="s">
        <v>10</v>
      </c>
      <c r="C4701" s="1" t="s">
        <v>16459</v>
      </c>
      <c r="D4701" s="1" t="s">
        <v>16124</v>
      </c>
      <c r="E4701" s="1" t="s">
        <v>1507</v>
      </c>
      <c r="F4701" s="1" t="s">
        <v>30</v>
      </c>
      <c r="G4701" s="1" t="s">
        <v>16460</v>
      </c>
      <c r="H4701" s="1" t="s">
        <v>1762</v>
      </c>
      <c r="I4701" t="b">
        <f>COUNTIF(Estadísticas!I:I,'centraldecomunicacion.es'!H4701)&gt;0</f>
        <v>0</v>
      </c>
    </row>
    <row r="4702" spans="1:9" hidden="1">
      <c r="A4702" s="1" t="s">
        <v>16461</v>
      </c>
      <c r="B4702" s="1" t="s">
        <v>10</v>
      </c>
      <c r="C4702" s="1" t="s">
        <v>16462</v>
      </c>
      <c r="D4702" s="1" t="s">
        <v>14746</v>
      </c>
      <c r="E4702" s="1" t="s">
        <v>1507</v>
      </c>
      <c r="F4702" s="1" t="s">
        <v>1984</v>
      </c>
      <c r="G4702" s="1" t="s">
        <v>16463</v>
      </c>
      <c r="H4702" s="1" t="s">
        <v>1762</v>
      </c>
      <c r="I4702" t="b">
        <f>COUNTIF(Estadísticas!I:I,'centraldecomunicacion.es'!H4702)&gt;0</f>
        <v>0</v>
      </c>
    </row>
    <row r="4703" spans="1:9" hidden="1">
      <c r="A4703" s="1" t="s">
        <v>16464</v>
      </c>
      <c r="B4703" s="1" t="s">
        <v>10</v>
      </c>
      <c r="C4703" s="1" t="s">
        <v>16465</v>
      </c>
      <c r="D4703" s="1" t="s">
        <v>16466</v>
      </c>
      <c r="E4703" s="1" t="s">
        <v>1507</v>
      </c>
      <c r="F4703" s="1" t="s">
        <v>16467</v>
      </c>
      <c r="G4703" s="1" t="s">
        <v>16468</v>
      </c>
      <c r="H4703" s="1" t="s">
        <v>16469</v>
      </c>
      <c r="I4703" t="b">
        <f>COUNTIF(Estadísticas!I:I,'centraldecomunicacion.es'!H4703)&gt;0</f>
        <v>0</v>
      </c>
    </row>
    <row r="4704" spans="1:9" hidden="1">
      <c r="A4704" s="1" t="s">
        <v>16470</v>
      </c>
      <c r="B4704" s="1" t="s">
        <v>10</v>
      </c>
      <c r="C4704" s="1" t="s">
        <v>16471</v>
      </c>
      <c r="D4704" s="1" t="s">
        <v>1662</v>
      </c>
      <c r="E4704" s="1" t="s">
        <v>1507</v>
      </c>
      <c r="F4704" s="1" t="s">
        <v>30</v>
      </c>
      <c r="G4704" s="1" t="s">
        <v>16472</v>
      </c>
      <c r="H4704" s="1" t="s">
        <v>1762</v>
      </c>
      <c r="I4704" t="b">
        <f>COUNTIF(Estadísticas!I:I,'centraldecomunicacion.es'!H4704)&gt;0</f>
        <v>0</v>
      </c>
    </row>
    <row r="4705" spans="1:9" hidden="1">
      <c r="A4705" s="1" t="s">
        <v>16473</v>
      </c>
      <c r="B4705" s="1" t="s">
        <v>10</v>
      </c>
      <c r="C4705" s="1" t="s">
        <v>16474</v>
      </c>
      <c r="D4705" s="1" t="s">
        <v>1662</v>
      </c>
      <c r="E4705" s="1" t="s">
        <v>1507</v>
      </c>
      <c r="F4705" s="1" t="s">
        <v>16475</v>
      </c>
      <c r="G4705" s="1" t="s">
        <v>16476</v>
      </c>
      <c r="H4705" s="1" t="s">
        <v>16477</v>
      </c>
      <c r="I4705" t="b">
        <f>COUNTIF(Estadísticas!I:I,'centraldecomunicacion.es'!H4705)&gt;0</f>
        <v>0</v>
      </c>
    </row>
    <row r="4706" spans="1:9" hidden="1">
      <c r="A4706" s="1" t="s">
        <v>16478</v>
      </c>
      <c r="B4706" s="1" t="s">
        <v>10</v>
      </c>
      <c r="C4706" s="1" t="s">
        <v>16479</v>
      </c>
      <c r="D4706" s="1" t="s">
        <v>1662</v>
      </c>
      <c r="E4706" s="1" t="s">
        <v>1507</v>
      </c>
      <c r="F4706" s="1" t="s">
        <v>16480</v>
      </c>
      <c r="G4706" s="1" t="s">
        <v>16481</v>
      </c>
      <c r="H4706" s="1" t="s">
        <v>16482</v>
      </c>
      <c r="I4706" t="b">
        <f>COUNTIF(Estadísticas!I:I,'centraldecomunicacion.es'!H4706)&gt;0</f>
        <v>0</v>
      </c>
    </row>
    <row r="4707" spans="1:9" hidden="1">
      <c r="A4707" s="1" t="s">
        <v>16483</v>
      </c>
      <c r="B4707" s="1" t="s">
        <v>10</v>
      </c>
      <c r="C4707" s="1" t="s">
        <v>16484</v>
      </c>
      <c r="D4707" s="1" t="s">
        <v>16485</v>
      </c>
      <c r="E4707" s="1" t="s">
        <v>1507</v>
      </c>
      <c r="F4707" s="1" t="s">
        <v>16486</v>
      </c>
      <c r="G4707" s="1" t="s">
        <v>16487</v>
      </c>
      <c r="H4707" s="1" t="s">
        <v>1762</v>
      </c>
      <c r="I4707" t="b">
        <f>COUNTIF(Estadísticas!I:I,'centraldecomunicacion.es'!H4707)&gt;0</f>
        <v>0</v>
      </c>
    </row>
    <row r="4708" spans="1:9" hidden="1">
      <c r="A4708" s="1" t="s">
        <v>16488</v>
      </c>
      <c r="B4708" s="1" t="s">
        <v>10</v>
      </c>
      <c r="C4708" s="1" t="s">
        <v>16489</v>
      </c>
      <c r="D4708" s="1" t="s">
        <v>16114</v>
      </c>
      <c r="E4708" s="1" t="s">
        <v>1507</v>
      </c>
      <c r="F4708" s="1" t="s">
        <v>30</v>
      </c>
      <c r="G4708" s="1" t="s">
        <v>16490</v>
      </c>
      <c r="H4708" s="1" t="s">
        <v>1762</v>
      </c>
      <c r="I4708" t="b">
        <f>COUNTIF(Estadísticas!I:I,'centraldecomunicacion.es'!H4708)&gt;0</f>
        <v>0</v>
      </c>
    </row>
    <row r="4709" spans="1:9" hidden="1">
      <c r="A4709" s="1" t="s">
        <v>16491</v>
      </c>
      <c r="B4709" s="1" t="s">
        <v>10</v>
      </c>
      <c r="C4709" s="1" t="s">
        <v>16492</v>
      </c>
      <c r="D4709" s="1" t="s">
        <v>16450</v>
      </c>
      <c r="E4709" s="1" t="s">
        <v>1507</v>
      </c>
      <c r="F4709" s="1" t="s">
        <v>30</v>
      </c>
      <c r="G4709" s="1" t="s">
        <v>30</v>
      </c>
      <c r="H4709" s="1" t="s">
        <v>1762</v>
      </c>
      <c r="I4709" t="b">
        <f>COUNTIF(Estadísticas!I:I,'centraldecomunicacion.es'!H4709)&gt;0</f>
        <v>0</v>
      </c>
    </row>
    <row r="4710" spans="1:9" hidden="1">
      <c r="A4710" s="1" t="s">
        <v>16493</v>
      </c>
      <c r="B4710" s="1" t="s">
        <v>10</v>
      </c>
      <c r="C4710" s="1" t="s">
        <v>16494</v>
      </c>
      <c r="D4710" s="1" t="s">
        <v>16495</v>
      </c>
      <c r="E4710" s="1" t="s">
        <v>1507</v>
      </c>
      <c r="F4710" s="1" t="s">
        <v>16496</v>
      </c>
      <c r="G4710" s="1" t="s">
        <v>16497</v>
      </c>
      <c r="H4710" s="1" t="s">
        <v>1762</v>
      </c>
      <c r="I4710" t="b">
        <f>COUNTIF(Estadísticas!I:I,'centraldecomunicacion.es'!H4710)&gt;0</f>
        <v>0</v>
      </c>
    </row>
    <row r="4711" spans="1:9" hidden="1">
      <c r="A4711" s="1" t="s">
        <v>16498</v>
      </c>
      <c r="B4711" s="1" t="s">
        <v>10</v>
      </c>
      <c r="C4711" s="1" t="s">
        <v>16499</v>
      </c>
      <c r="D4711" s="1" t="s">
        <v>1662</v>
      </c>
      <c r="E4711" s="1" t="s">
        <v>1507</v>
      </c>
      <c r="F4711" s="1" t="s">
        <v>30</v>
      </c>
      <c r="G4711" s="1" t="s">
        <v>16500</v>
      </c>
      <c r="H4711" s="1" t="s">
        <v>1762</v>
      </c>
      <c r="I4711" t="b">
        <f>COUNTIF(Estadísticas!I:I,'centraldecomunicacion.es'!H4711)&gt;0</f>
        <v>0</v>
      </c>
    </row>
    <row r="4712" spans="1:9" hidden="1">
      <c r="A4712" s="1" t="s">
        <v>16132</v>
      </c>
      <c r="B4712" s="1" t="s">
        <v>10</v>
      </c>
      <c r="C4712" s="1" t="s">
        <v>16501</v>
      </c>
      <c r="D4712" s="1" t="s">
        <v>16502</v>
      </c>
      <c r="E4712" s="1" t="s">
        <v>1507</v>
      </c>
      <c r="F4712" s="1" t="s">
        <v>30</v>
      </c>
      <c r="G4712" s="1" t="s">
        <v>16133</v>
      </c>
      <c r="H4712" s="1" t="s">
        <v>1762</v>
      </c>
      <c r="I4712" t="b">
        <f>COUNTIF(Estadísticas!I:I,'centraldecomunicacion.es'!H4712)&gt;0</f>
        <v>0</v>
      </c>
    </row>
    <row r="4713" spans="1:9" hidden="1">
      <c r="A4713" s="1" t="s">
        <v>16503</v>
      </c>
      <c r="B4713" s="1" t="s">
        <v>18</v>
      </c>
      <c r="C4713" s="1" t="s">
        <v>16504</v>
      </c>
      <c r="D4713" s="1" t="s">
        <v>1662</v>
      </c>
      <c r="E4713" s="1" t="s">
        <v>1507</v>
      </c>
      <c r="F4713" s="1" t="s">
        <v>16505</v>
      </c>
      <c r="G4713" s="1" t="s">
        <v>16506</v>
      </c>
      <c r="H4713" s="1" t="s">
        <v>1762</v>
      </c>
      <c r="I4713" t="b">
        <f>COUNTIF(Estadísticas!I:I,'centraldecomunicacion.es'!H4713)&gt;0</f>
        <v>0</v>
      </c>
    </row>
    <row r="4714" spans="1:9" hidden="1">
      <c r="A4714" s="1" t="s">
        <v>16507</v>
      </c>
      <c r="B4714" s="1" t="s">
        <v>10</v>
      </c>
      <c r="C4714" s="1" t="s">
        <v>16508</v>
      </c>
      <c r="D4714" s="1" t="s">
        <v>16124</v>
      </c>
      <c r="E4714" s="1" t="s">
        <v>1507</v>
      </c>
      <c r="F4714" s="1" t="s">
        <v>30</v>
      </c>
      <c r="G4714" s="1" t="s">
        <v>16509</v>
      </c>
      <c r="H4714" s="1" t="s">
        <v>1762</v>
      </c>
      <c r="I4714" t="b">
        <f>COUNTIF(Estadísticas!I:I,'centraldecomunicacion.es'!H4714)&gt;0</f>
        <v>0</v>
      </c>
    </row>
    <row r="4715" spans="1:9" hidden="1">
      <c r="A4715" s="1" t="s">
        <v>16510</v>
      </c>
      <c r="B4715" s="1" t="s">
        <v>10</v>
      </c>
      <c r="C4715" s="1" t="s">
        <v>16511</v>
      </c>
      <c r="D4715" s="1" t="s">
        <v>1700</v>
      </c>
      <c r="E4715" s="1" t="s">
        <v>1507</v>
      </c>
      <c r="F4715" s="1" t="s">
        <v>30</v>
      </c>
      <c r="G4715" s="1" t="s">
        <v>16512</v>
      </c>
      <c r="H4715" s="1" t="s">
        <v>1762</v>
      </c>
      <c r="I4715" t="b">
        <f>COUNTIF(Estadísticas!I:I,'centraldecomunicacion.es'!H4715)&gt;0</f>
        <v>0</v>
      </c>
    </row>
    <row r="4716" spans="1:9" hidden="1">
      <c r="A4716" s="1" t="s">
        <v>16513</v>
      </c>
      <c r="B4716" s="1" t="s">
        <v>10</v>
      </c>
      <c r="C4716" s="1" t="s">
        <v>16514</v>
      </c>
      <c r="D4716" s="1" t="s">
        <v>16263</v>
      </c>
      <c r="E4716" s="1" t="s">
        <v>1507</v>
      </c>
      <c r="F4716" s="1" t="s">
        <v>30</v>
      </c>
      <c r="G4716" s="1" t="s">
        <v>16515</v>
      </c>
      <c r="H4716" s="1" t="s">
        <v>1762</v>
      </c>
      <c r="I4716" t="b">
        <f>COUNTIF(Estadísticas!I:I,'centraldecomunicacion.es'!H4716)&gt;0</f>
        <v>0</v>
      </c>
    </row>
    <row r="4717" spans="1:9" hidden="1">
      <c r="A4717" s="1" t="s">
        <v>16516</v>
      </c>
      <c r="B4717" s="1" t="s">
        <v>18</v>
      </c>
      <c r="C4717" s="1" t="s">
        <v>16517</v>
      </c>
      <c r="D4717" s="1" t="s">
        <v>1662</v>
      </c>
      <c r="E4717" s="1" t="s">
        <v>1507</v>
      </c>
      <c r="F4717" s="1" t="s">
        <v>16518</v>
      </c>
      <c r="G4717" s="1" t="s">
        <v>16519</v>
      </c>
      <c r="H4717" s="1" t="s">
        <v>16520</v>
      </c>
      <c r="I4717" t="b">
        <f>COUNTIF(Estadísticas!I:I,'centraldecomunicacion.es'!H4717)&gt;0</f>
        <v>0</v>
      </c>
    </row>
    <row r="4718" spans="1:9" hidden="1">
      <c r="A4718" s="1" t="s">
        <v>16521</v>
      </c>
      <c r="B4718" s="1" t="s">
        <v>10</v>
      </c>
      <c r="C4718" s="1" t="s">
        <v>16522</v>
      </c>
      <c r="D4718" s="1" t="s">
        <v>1662</v>
      </c>
      <c r="E4718" s="1" t="s">
        <v>1507</v>
      </c>
      <c r="F4718" s="1" t="s">
        <v>16146</v>
      </c>
      <c r="G4718" s="1" t="s">
        <v>16523</v>
      </c>
      <c r="H4718" s="1" t="s">
        <v>16148</v>
      </c>
      <c r="I4718" t="b">
        <f>COUNTIF(Estadísticas!I:I,'centraldecomunicacion.es'!H4718)&gt;0</f>
        <v>0</v>
      </c>
    </row>
    <row r="4719" spans="1:9" hidden="1">
      <c r="A4719" s="1" t="s">
        <v>16524</v>
      </c>
      <c r="B4719" s="1" t="s">
        <v>10</v>
      </c>
      <c r="C4719" s="1" t="s">
        <v>16525</v>
      </c>
      <c r="D4719" s="1" t="s">
        <v>16526</v>
      </c>
      <c r="E4719" s="1" t="s">
        <v>1507</v>
      </c>
      <c r="F4719" s="1" t="s">
        <v>30</v>
      </c>
      <c r="G4719" s="1" t="s">
        <v>16527</v>
      </c>
      <c r="H4719" s="1" t="s">
        <v>1762</v>
      </c>
      <c r="I4719" t="b">
        <f>COUNTIF(Estadísticas!I:I,'centraldecomunicacion.es'!H4719)&gt;0</f>
        <v>0</v>
      </c>
    </row>
    <row r="4720" spans="1:9" hidden="1">
      <c r="A4720" s="1" t="s">
        <v>16528</v>
      </c>
      <c r="B4720" s="1" t="s">
        <v>10</v>
      </c>
      <c r="C4720" s="1" t="s">
        <v>16529</v>
      </c>
      <c r="D4720" s="1" t="s">
        <v>1662</v>
      </c>
      <c r="E4720" s="1" t="s">
        <v>1507</v>
      </c>
      <c r="F4720" s="1" t="s">
        <v>30</v>
      </c>
      <c r="G4720" s="1" t="s">
        <v>30</v>
      </c>
      <c r="H4720" s="1" t="s">
        <v>1762</v>
      </c>
      <c r="I4720" t="b">
        <f>COUNTIF(Estadísticas!I:I,'centraldecomunicacion.es'!H4720)&gt;0</f>
        <v>0</v>
      </c>
    </row>
    <row r="4721" spans="1:9">
      <c r="A4721" s="1" t="s">
        <v>1743</v>
      </c>
      <c r="B4721" s="1" t="s">
        <v>18</v>
      </c>
      <c r="C4721" s="1" t="s">
        <v>1744</v>
      </c>
      <c r="D4721" s="1" t="s">
        <v>1745</v>
      </c>
      <c r="E4721" s="1" t="s">
        <v>1507</v>
      </c>
      <c r="F4721" s="1" t="s">
        <v>1746</v>
      </c>
      <c r="G4721" s="1" t="s">
        <v>1747</v>
      </c>
      <c r="H4721" s="1" t="s">
        <v>1748</v>
      </c>
      <c r="I4721" t="b">
        <f>COUNTIF(Estadísticas!I:I,'centraldecomunicacion.es'!H4721)&gt;0</f>
        <v>1</v>
      </c>
    </row>
    <row r="4722" spans="1:9" hidden="1">
      <c r="A4722" s="1" t="s">
        <v>16530</v>
      </c>
      <c r="B4722" s="1" t="s">
        <v>10</v>
      </c>
      <c r="C4722" s="1" t="s">
        <v>16531</v>
      </c>
      <c r="D4722" s="1" t="s">
        <v>1662</v>
      </c>
      <c r="E4722" s="1" t="s">
        <v>1507</v>
      </c>
      <c r="F4722" s="1" t="s">
        <v>30</v>
      </c>
      <c r="G4722" s="1" t="s">
        <v>30</v>
      </c>
      <c r="H4722" s="1" t="s">
        <v>1762</v>
      </c>
      <c r="I4722" t="b">
        <f>COUNTIF(Estadísticas!I:I,'centraldecomunicacion.es'!H4722)&gt;0</f>
        <v>0</v>
      </c>
    </row>
    <row r="4723" spans="1:9" hidden="1">
      <c r="A4723" s="1" t="s">
        <v>16532</v>
      </c>
      <c r="B4723" s="1" t="s">
        <v>10</v>
      </c>
      <c r="C4723" s="1" t="s">
        <v>16533</v>
      </c>
      <c r="D4723" s="1" t="s">
        <v>16502</v>
      </c>
      <c r="E4723" s="1" t="s">
        <v>1507</v>
      </c>
      <c r="F4723" s="1" t="s">
        <v>1984</v>
      </c>
      <c r="G4723" s="1" t="s">
        <v>16534</v>
      </c>
      <c r="H4723" s="1" t="s">
        <v>1762</v>
      </c>
      <c r="I4723" t="b">
        <f>COUNTIF(Estadísticas!I:I,'centraldecomunicacion.es'!H4723)&gt;0</f>
        <v>0</v>
      </c>
    </row>
    <row r="4724" spans="1:9" hidden="1">
      <c r="A4724" s="1" t="s">
        <v>16535</v>
      </c>
      <c r="B4724" s="1" t="s">
        <v>10</v>
      </c>
      <c r="C4724" s="1" t="s">
        <v>16536</v>
      </c>
      <c r="D4724" s="1" t="s">
        <v>1662</v>
      </c>
      <c r="E4724" s="1" t="s">
        <v>1507</v>
      </c>
      <c r="F4724" s="1" t="s">
        <v>1984</v>
      </c>
      <c r="G4724" s="1" t="s">
        <v>16537</v>
      </c>
      <c r="H4724" s="1" t="s">
        <v>1762</v>
      </c>
      <c r="I4724" t="b">
        <f>COUNTIF(Estadísticas!I:I,'centraldecomunicacion.es'!H4724)&gt;0</f>
        <v>0</v>
      </c>
    </row>
    <row r="4725" spans="1:9" hidden="1">
      <c r="A4725" s="1" t="s">
        <v>16538</v>
      </c>
      <c r="B4725" s="1" t="s">
        <v>10</v>
      </c>
      <c r="C4725" s="1" t="s">
        <v>16539</v>
      </c>
      <c r="D4725" s="1" t="s">
        <v>16540</v>
      </c>
      <c r="E4725" s="1" t="s">
        <v>667</v>
      </c>
      <c r="F4725" s="1" t="s">
        <v>16541</v>
      </c>
      <c r="G4725" s="1" t="s">
        <v>16542</v>
      </c>
      <c r="H4725" s="1" t="s">
        <v>16543</v>
      </c>
      <c r="I4725" t="b">
        <f>COUNTIF(Estadísticas!I:I,'centraldecomunicacion.es'!H4725)&gt;0</f>
        <v>0</v>
      </c>
    </row>
    <row r="4726" spans="1:9" hidden="1">
      <c r="A4726" s="1" t="s">
        <v>16544</v>
      </c>
      <c r="B4726" s="1" t="s">
        <v>10</v>
      </c>
      <c r="C4726" s="1" t="s">
        <v>16545</v>
      </c>
      <c r="D4726" s="1" t="s">
        <v>16308</v>
      </c>
      <c r="E4726" s="1" t="s">
        <v>1507</v>
      </c>
      <c r="F4726" s="1" t="s">
        <v>30</v>
      </c>
      <c r="G4726" s="1" t="s">
        <v>16534</v>
      </c>
      <c r="H4726" s="1" t="s">
        <v>1762</v>
      </c>
      <c r="I4726" t="b">
        <f>COUNTIF(Estadísticas!I:I,'centraldecomunicacion.es'!H4726)&gt;0</f>
        <v>0</v>
      </c>
    </row>
    <row r="4727" spans="1:9" hidden="1">
      <c r="A4727" s="1" t="s">
        <v>16546</v>
      </c>
      <c r="B4727" s="1" t="s">
        <v>10</v>
      </c>
      <c r="C4727" s="1" t="s">
        <v>16547</v>
      </c>
      <c r="D4727" s="1" t="s">
        <v>1662</v>
      </c>
      <c r="E4727" s="1" t="s">
        <v>1507</v>
      </c>
      <c r="F4727" s="1" t="s">
        <v>30</v>
      </c>
      <c r="G4727" s="1" t="s">
        <v>30</v>
      </c>
      <c r="H4727" s="1" t="s">
        <v>1762</v>
      </c>
      <c r="I4727" t="b">
        <f>COUNTIF(Estadísticas!I:I,'centraldecomunicacion.es'!H4727)&gt;0</f>
        <v>0</v>
      </c>
    </row>
    <row r="4728" spans="1:9" hidden="1">
      <c r="A4728" s="1" t="s">
        <v>16548</v>
      </c>
      <c r="B4728" s="1" t="s">
        <v>10</v>
      </c>
      <c r="C4728" s="1" t="s">
        <v>16549</v>
      </c>
      <c r="D4728" s="1" t="s">
        <v>14772</v>
      </c>
      <c r="E4728" s="1" t="s">
        <v>1507</v>
      </c>
      <c r="F4728" s="1" t="s">
        <v>30</v>
      </c>
      <c r="G4728" s="1" t="s">
        <v>16550</v>
      </c>
      <c r="H4728" s="1" t="s">
        <v>1762</v>
      </c>
      <c r="I4728" t="b">
        <f>COUNTIF(Estadísticas!I:I,'centraldecomunicacion.es'!H4728)&gt;0</f>
        <v>0</v>
      </c>
    </row>
    <row r="4729" spans="1:9" hidden="1">
      <c r="A4729" s="1" t="s">
        <v>16551</v>
      </c>
      <c r="B4729" s="1" t="s">
        <v>10</v>
      </c>
      <c r="C4729" s="1" t="s">
        <v>16552</v>
      </c>
      <c r="D4729" s="1" t="s">
        <v>1728</v>
      </c>
      <c r="E4729" s="1" t="s">
        <v>1507</v>
      </c>
      <c r="F4729" s="1" t="s">
        <v>30</v>
      </c>
      <c r="G4729" s="1" t="s">
        <v>16553</v>
      </c>
      <c r="H4729" s="1" t="s">
        <v>1762</v>
      </c>
      <c r="I4729" t="b">
        <f>COUNTIF(Estadísticas!I:I,'centraldecomunicacion.es'!H4729)&gt;0</f>
        <v>0</v>
      </c>
    </row>
    <row r="4730" spans="1:9" hidden="1">
      <c r="A4730" s="1" t="s">
        <v>16554</v>
      </c>
      <c r="B4730" s="1" t="s">
        <v>10</v>
      </c>
      <c r="C4730" s="1" t="s">
        <v>16555</v>
      </c>
      <c r="D4730" s="1" t="s">
        <v>16450</v>
      </c>
      <c r="E4730" s="1" t="s">
        <v>1507</v>
      </c>
      <c r="F4730" s="1" t="s">
        <v>30</v>
      </c>
      <c r="G4730" s="1" t="s">
        <v>16556</v>
      </c>
      <c r="H4730" s="1" t="s">
        <v>1762</v>
      </c>
      <c r="I4730" t="b">
        <f>COUNTIF(Estadísticas!I:I,'centraldecomunicacion.es'!H4730)&gt;0</f>
        <v>0</v>
      </c>
    </row>
    <row r="4731" spans="1:9" hidden="1">
      <c r="A4731" s="1" t="s">
        <v>16557</v>
      </c>
      <c r="B4731" s="1" t="s">
        <v>10</v>
      </c>
      <c r="C4731" s="1" t="s">
        <v>16558</v>
      </c>
      <c r="D4731" s="1" t="s">
        <v>1662</v>
      </c>
      <c r="E4731" s="1" t="s">
        <v>1507</v>
      </c>
      <c r="F4731" s="1" t="s">
        <v>16559</v>
      </c>
      <c r="G4731" s="1" t="s">
        <v>16560</v>
      </c>
      <c r="H4731" s="1" t="s">
        <v>16561</v>
      </c>
      <c r="I4731" t="b">
        <f>COUNTIF(Estadísticas!I:I,'centraldecomunicacion.es'!H4731)&gt;0</f>
        <v>0</v>
      </c>
    </row>
    <row r="4732" spans="1:9" hidden="1">
      <c r="A4732" s="1" t="s">
        <v>16562</v>
      </c>
      <c r="B4732" s="1" t="s">
        <v>10</v>
      </c>
      <c r="C4732" s="1" t="s">
        <v>16563</v>
      </c>
      <c r="D4732" s="1" t="s">
        <v>16320</v>
      </c>
      <c r="E4732" s="1" t="s">
        <v>1507</v>
      </c>
      <c r="F4732" s="1" t="s">
        <v>30</v>
      </c>
      <c r="G4732" s="1" t="s">
        <v>16564</v>
      </c>
      <c r="H4732" s="1" t="s">
        <v>1762</v>
      </c>
      <c r="I4732" t="b">
        <f>COUNTIF(Estadísticas!I:I,'centraldecomunicacion.es'!H4732)&gt;0</f>
        <v>0</v>
      </c>
    </row>
    <row r="4733" spans="1:9" hidden="1">
      <c r="A4733" s="1" t="s">
        <v>16565</v>
      </c>
      <c r="B4733" s="1" t="s">
        <v>10</v>
      </c>
      <c r="C4733" s="1" t="s">
        <v>16566</v>
      </c>
      <c r="D4733" s="1" t="s">
        <v>16093</v>
      </c>
      <c r="E4733" s="1" t="s">
        <v>1507</v>
      </c>
      <c r="F4733" s="1" t="s">
        <v>30</v>
      </c>
      <c r="G4733" s="1" t="s">
        <v>16567</v>
      </c>
      <c r="H4733" s="1" t="s">
        <v>1762</v>
      </c>
      <c r="I4733" t="b">
        <f>COUNTIF(Estadísticas!I:I,'centraldecomunicacion.es'!H4733)&gt;0</f>
        <v>0</v>
      </c>
    </row>
    <row r="4734" spans="1:9" hidden="1">
      <c r="A4734" s="1" t="s">
        <v>4627</v>
      </c>
      <c r="B4734" s="1" t="s">
        <v>10</v>
      </c>
      <c r="C4734" s="1" t="s">
        <v>16568</v>
      </c>
      <c r="D4734" s="1" t="s">
        <v>1662</v>
      </c>
      <c r="E4734" s="1" t="s">
        <v>1507</v>
      </c>
      <c r="F4734" s="1" t="s">
        <v>30</v>
      </c>
      <c r="G4734" s="1" t="s">
        <v>16569</v>
      </c>
      <c r="H4734" s="1" t="s">
        <v>1762</v>
      </c>
      <c r="I4734" t="b">
        <f>COUNTIF(Estadísticas!I:I,'centraldecomunicacion.es'!H4734)&gt;0</f>
        <v>0</v>
      </c>
    </row>
    <row r="4735" spans="1:9" hidden="1">
      <c r="A4735" s="1" t="s">
        <v>16570</v>
      </c>
      <c r="B4735" s="1" t="s">
        <v>10</v>
      </c>
      <c r="C4735" s="1" t="s">
        <v>16571</v>
      </c>
      <c r="D4735" s="1" t="s">
        <v>16093</v>
      </c>
      <c r="E4735" s="1" t="s">
        <v>1507</v>
      </c>
      <c r="F4735" s="1" t="s">
        <v>30</v>
      </c>
      <c r="G4735" s="1" t="s">
        <v>16572</v>
      </c>
      <c r="H4735" s="1" t="s">
        <v>1762</v>
      </c>
      <c r="I4735" t="b">
        <f>COUNTIF(Estadísticas!I:I,'centraldecomunicacion.es'!H4735)&gt;0</f>
        <v>0</v>
      </c>
    </row>
    <row r="4736" spans="1:9" hidden="1">
      <c r="A4736" s="1" t="s">
        <v>16573</v>
      </c>
      <c r="B4736" s="1" t="s">
        <v>10</v>
      </c>
      <c r="C4736" s="1" t="s">
        <v>16574</v>
      </c>
      <c r="D4736" s="1" t="s">
        <v>16250</v>
      </c>
      <c r="E4736" s="1" t="s">
        <v>1507</v>
      </c>
      <c r="F4736" s="1" t="s">
        <v>30</v>
      </c>
      <c r="G4736" s="1" t="s">
        <v>16575</v>
      </c>
      <c r="H4736" s="1" t="s">
        <v>1762</v>
      </c>
      <c r="I4736" t="b">
        <f>COUNTIF(Estadísticas!I:I,'centraldecomunicacion.es'!H4736)&gt;0</f>
        <v>0</v>
      </c>
    </row>
    <row r="4737" spans="1:9" hidden="1">
      <c r="A4737" s="1" t="s">
        <v>16576</v>
      </c>
      <c r="B4737" s="1" t="s">
        <v>18</v>
      </c>
      <c r="C4737" s="1" t="s">
        <v>16577</v>
      </c>
      <c r="D4737" s="1" t="s">
        <v>16250</v>
      </c>
      <c r="E4737" s="1" t="s">
        <v>1507</v>
      </c>
      <c r="F4737" s="1" t="s">
        <v>30</v>
      </c>
      <c r="G4737" s="1" t="s">
        <v>16578</v>
      </c>
      <c r="H4737" s="1" t="s">
        <v>1762</v>
      </c>
      <c r="I4737" t="b">
        <f>COUNTIF(Estadísticas!I:I,'centraldecomunicacion.es'!H4737)&gt;0</f>
        <v>0</v>
      </c>
    </row>
    <row r="4738" spans="1:9" hidden="1">
      <c r="A4738" s="1" t="s">
        <v>16579</v>
      </c>
      <c r="B4738" s="1" t="s">
        <v>10</v>
      </c>
      <c r="C4738" s="1" t="s">
        <v>16580</v>
      </c>
      <c r="D4738" s="1" t="s">
        <v>16273</v>
      </c>
      <c r="E4738" s="1" t="s">
        <v>1507</v>
      </c>
      <c r="F4738" s="1" t="s">
        <v>30</v>
      </c>
      <c r="G4738" s="1" t="s">
        <v>16581</v>
      </c>
      <c r="H4738" s="1" t="s">
        <v>1762</v>
      </c>
      <c r="I4738" t="b">
        <f>COUNTIF(Estadísticas!I:I,'centraldecomunicacion.es'!H4738)&gt;0</f>
        <v>0</v>
      </c>
    </row>
    <row r="4739" spans="1:9" hidden="1">
      <c r="A4739" s="1" t="s">
        <v>16582</v>
      </c>
      <c r="B4739" s="1" t="s">
        <v>10</v>
      </c>
      <c r="C4739" s="1" t="s">
        <v>16583</v>
      </c>
      <c r="D4739" s="1" t="s">
        <v>1662</v>
      </c>
      <c r="E4739" s="1" t="s">
        <v>1507</v>
      </c>
      <c r="F4739" s="1" t="s">
        <v>30</v>
      </c>
      <c r="G4739" s="1" t="s">
        <v>16584</v>
      </c>
      <c r="H4739" s="1" t="s">
        <v>1762</v>
      </c>
      <c r="I4739" t="b">
        <f>COUNTIF(Estadísticas!I:I,'centraldecomunicacion.es'!H4739)&gt;0</f>
        <v>0</v>
      </c>
    </row>
    <row r="4740" spans="1:9" hidden="1">
      <c r="A4740" s="1" t="s">
        <v>16585</v>
      </c>
      <c r="B4740" s="1" t="s">
        <v>10</v>
      </c>
      <c r="C4740" s="1" t="s">
        <v>16586</v>
      </c>
      <c r="D4740" s="1" t="s">
        <v>16336</v>
      </c>
      <c r="E4740" s="1" t="s">
        <v>1507</v>
      </c>
      <c r="F4740" s="1" t="s">
        <v>30</v>
      </c>
      <c r="G4740" s="1" t="s">
        <v>16587</v>
      </c>
      <c r="H4740" s="1" t="s">
        <v>1762</v>
      </c>
      <c r="I4740" t="b">
        <f>COUNTIF(Estadísticas!I:I,'centraldecomunicacion.es'!H4740)&gt;0</f>
        <v>0</v>
      </c>
    </row>
    <row r="4741" spans="1:9" hidden="1">
      <c r="A4741" s="1" t="s">
        <v>16588</v>
      </c>
      <c r="B4741" s="1" t="s">
        <v>10</v>
      </c>
      <c r="C4741" s="1" t="s">
        <v>16589</v>
      </c>
      <c r="D4741" s="1" t="s">
        <v>1662</v>
      </c>
      <c r="E4741" s="1" t="s">
        <v>1507</v>
      </c>
      <c r="F4741" s="1" t="s">
        <v>30</v>
      </c>
      <c r="G4741" s="1" t="s">
        <v>16590</v>
      </c>
      <c r="H4741" s="1" t="s">
        <v>1762</v>
      </c>
      <c r="I4741" t="b">
        <f>COUNTIF(Estadísticas!I:I,'centraldecomunicacion.es'!H4741)&gt;0</f>
        <v>0</v>
      </c>
    </row>
    <row r="4742" spans="1:9" hidden="1">
      <c r="A4742" s="1" t="s">
        <v>16591</v>
      </c>
      <c r="B4742" s="1" t="s">
        <v>10</v>
      </c>
      <c r="C4742" s="1" t="s">
        <v>16592</v>
      </c>
      <c r="D4742" s="1" t="s">
        <v>16593</v>
      </c>
      <c r="E4742" s="1" t="s">
        <v>1507</v>
      </c>
      <c r="F4742" s="1" t="s">
        <v>16594</v>
      </c>
      <c r="G4742" s="1" t="s">
        <v>16595</v>
      </c>
      <c r="H4742" s="1" t="s">
        <v>1762</v>
      </c>
      <c r="I4742" t="b">
        <f>COUNTIF(Estadísticas!I:I,'centraldecomunicacion.es'!H4742)&gt;0</f>
        <v>0</v>
      </c>
    </row>
    <row r="4743" spans="1:9" hidden="1">
      <c r="A4743" s="1" t="s">
        <v>16596</v>
      </c>
      <c r="B4743" s="1" t="s">
        <v>10</v>
      </c>
      <c r="C4743" s="1" t="s">
        <v>16597</v>
      </c>
      <c r="D4743" s="1" t="s">
        <v>16250</v>
      </c>
      <c r="E4743" s="1" t="s">
        <v>1507</v>
      </c>
      <c r="F4743" s="1" t="s">
        <v>30</v>
      </c>
      <c r="G4743" s="1" t="s">
        <v>30</v>
      </c>
      <c r="H4743" s="1" t="s">
        <v>1762</v>
      </c>
      <c r="I4743" t="b">
        <f>COUNTIF(Estadísticas!I:I,'centraldecomunicacion.es'!H4743)&gt;0</f>
        <v>0</v>
      </c>
    </row>
    <row r="4744" spans="1:9" hidden="1">
      <c r="A4744" s="1" t="s">
        <v>16598</v>
      </c>
      <c r="B4744" s="1" t="s">
        <v>10</v>
      </c>
      <c r="C4744" s="1" t="s">
        <v>16599</v>
      </c>
      <c r="D4744" s="1" t="s">
        <v>6746</v>
      </c>
      <c r="E4744" s="1" t="s">
        <v>1507</v>
      </c>
      <c r="F4744" s="1" t="s">
        <v>30</v>
      </c>
      <c r="G4744" s="1" t="s">
        <v>16600</v>
      </c>
      <c r="H4744" s="1" t="s">
        <v>1762</v>
      </c>
      <c r="I4744" t="b">
        <f>COUNTIF(Estadísticas!I:I,'centraldecomunicacion.es'!H4744)&gt;0</f>
        <v>0</v>
      </c>
    </row>
    <row r="4745" spans="1:9" hidden="1">
      <c r="A4745" s="1" t="s">
        <v>16601</v>
      </c>
      <c r="B4745" s="1" t="s">
        <v>10</v>
      </c>
      <c r="C4745" s="1" t="s">
        <v>16602</v>
      </c>
      <c r="D4745" s="1" t="s">
        <v>16603</v>
      </c>
      <c r="E4745" s="1" t="s">
        <v>1507</v>
      </c>
      <c r="F4745" s="1" t="s">
        <v>16604</v>
      </c>
      <c r="G4745" s="1" t="s">
        <v>16600</v>
      </c>
      <c r="H4745" s="1" t="s">
        <v>1762</v>
      </c>
      <c r="I4745" t="b">
        <f>COUNTIF(Estadísticas!I:I,'centraldecomunicacion.es'!H4745)&gt;0</f>
        <v>0</v>
      </c>
    </row>
    <row r="4746" spans="1:9" hidden="1">
      <c r="A4746" s="1" t="s">
        <v>16605</v>
      </c>
      <c r="B4746" s="1" t="s">
        <v>10</v>
      </c>
      <c r="C4746" s="1" t="s">
        <v>16606</v>
      </c>
      <c r="D4746" s="1" t="s">
        <v>16450</v>
      </c>
      <c r="E4746" s="1" t="s">
        <v>1507</v>
      </c>
      <c r="F4746" s="1" t="s">
        <v>30</v>
      </c>
      <c r="G4746" s="1" t="s">
        <v>16607</v>
      </c>
      <c r="H4746" s="1" t="s">
        <v>1762</v>
      </c>
      <c r="I4746" t="b">
        <f>COUNTIF(Estadísticas!I:I,'centraldecomunicacion.es'!H4746)&gt;0</f>
        <v>0</v>
      </c>
    </row>
    <row r="4747" spans="1:9" hidden="1">
      <c r="A4747" s="1" t="s">
        <v>16608</v>
      </c>
      <c r="B4747" s="1" t="s">
        <v>10</v>
      </c>
      <c r="C4747" s="1" t="s">
        <v>16609</v>
      </c>
      <c r="D4747" s="1" t="s">
        <v>16124</v>
      </c>
      <c r="E4747" s="1" t="s">
        <v>1507</v>
      </c>
      <c r="F4747" s="1" t="s">
        <v>30</v>
      </c>
      <c r="G4747" s="1" t="s">
        <v>16610</v>
      </c>
      <c r="H4747" s="1" t="s">
        <v>1762</v>
      </c>
      <c r="I4747" t="b">
        <f>COUNTIF(Estadísticas!I:I,'centraldecomunicacion.es'!H4747)&gt;0</f>
        <v>0</v>
      </c>
    </row>
    <row r="4748" spans="1:9" hidden="1">
      <c r="A4748" s="1" t="s">
        <v>16611</v>
      </c>
      <c r="B4748" s="1" t="s">
        <v>10</v>
      </c>
      <c r="C4748" s="1" t="s">
        <v>16612</v>
      </c>
      <c r="D4748" s="1" t="s">
        <v>1662</v>
      </c>
      <c r="E4748" s="1" t="s">
        <v>1507</v>
      </c>
      <c r="F4748" s="1" t="s">
        <v>30</v>
      </c>
      <c r="G4748" s="1" t="s">
        <v>16613</v>
      </c>
      <c r="H4748" s="1" t="s">
        <v>1762</v>
      </c>
      <c r="I4748" t="b">
        <f>COUNTIF(Estadísticas!I:I,'centraldecomunicacion.es'!H4748)&gt;0</f>
        <v>0</v>
      </c>
    </row>
    <row r="4749" spans="1:9" hidden="1">
      <c r="A4749" s="1" t="s">
        <v>16614</v>
      </c>
      <c r="B4749" s="1" t="s">
        <v>10</v>
      </c>
      <c r="C4749" s="1" t="s">
        <v>16615</v>
      </c>
      <c r="D4749" s="1" t="s">
        <v>1662</v>
      </c>
      <c r="E4749" s="1" t="s">
        <v>1507</v>
      </c>
      <c r="F4749" s="1" t="s">
        <v>30</v>
      </c>
      <c r="G4749" s="1" t="s">
        <v>16616</v>
      </c>
      <c r="H4749" s="1" t="s">
        <v>1762</v>
      </c>
      <c r="I4749" t="b">
        <f>COUNTIF(Estadísticas!I:I,'centraldecomunicacion.es'!H4749)&gt;0</f>
        <v>0</v>
      </c>
    </row>
    <row r="4750" spans="1:9" hidden="1">
      <c r="A4750" s="1" t="s">
        <v>16617</v>
      </c>
      <c r="B4750" s="1" t="s">
        <v>10</v>
      </c>
      <c r="C4750" s="1" t="s">
        <v>16618</v>
      </c>
      <c r="D4750" s="1" t="s">
        <v>16450</v>
      </c>
      <c r="E4750" s="1" t="s">
        <v>1507</v>
      </c>
      <c r="F4750" s="1" t="s">
        <v>30</v>
      </c>
      <c r="G4750" s="1" t="s">
        <v>30</v>
      </c>
      <c r="H4750" s="1" t="s">
        <v>1762</v>
      </c>
      <c r="I4750" t="b">
        <f>COUNTIF(Estadísticas!I:I,'centraldecomunicacion.es'!H4750)&gt;0</f>
        <v>0</v>
      </c>
    </row>
    <row r="4751" spans="1:9" hidden="1">
      <c r="A4751" s="1" t="s">
        <v>16619</v>
      </c>
      <c r="B4751" s="1" t="s">
        <v>10</v>
      </c>
      <c r="C4751" s="1" t="s">
        <v>16620</v>
      </c>
      <c r="D4751" s="1" t="s">
        <v>16450</v>
      </c>
      <c r="E4751" s="1" t="s">
        <v>1507</v>
      </c>
      <c r="F4751" s="1" t="s">
        <v>30</v>
      </c>
      <c r="G4751" s="1" t="s">
        <v>30</v>
      </c>
      <c r="H4751" s="1" t="s">
        <v>1762</v>
      </c>
      <c r="I4751" t="b">
        <f>COUNTIF(Estadísticas!I:I,'centraldecomunicacion.es'!H4751)&gt;0</f>
        <v>0</v>
      </c>
    </row>
    <row r="4752" spans="1:9" hidden="1">
      <c r="A4752" s="1" t="s">
        <v>16621</v>
      </c>
      <c r="B4752" s="1" t="s">
        <v>10</v>
      </c>
      <c r="C4752" s="1" t="s">
        <v>16622</v>
      </c>
      <c r="D4752" s="1" t="s">
        <v>1662</v>
      </c>
      <c r="E4752" s="1" t="s">
        <v>1507</v>
      </c>
      <c r="F4752" s="1" t="s">
        <v>30</v>
      </c>
      <c r="G4752" s="1" t="s">
        <v>16623</v>
      </c>
      <c r="H4752" s="1" t="s">
        <v>1762</v>
      </c>
      <c r="I4752" t="b">
        <f>COUNTIF(Estadísticas!I:I,'centraldecomunicacion.es'!H4752)&gt;0</f>
        <v>0</v>
      </c>
    </row>
    <row r="4753" spans="1:9" hidden="1">
      <c r="A4753" s="1" t="s">
        <v>9219</v>
      </c>
      <c r="B4753" s="1" t="s">
        <v>10</v>
      </c>
      <c r="C4753" s="1" t="s">
        <v>16624</v>
      </c>
      <c r="D4753" s="1" t="s">
        <v>16114</v>
      </c>
      <c r="E4753" s="1" t="s">
        <v>1507</v>
      </c>
      <c r="F4753" s="1" t="s">
        <v>30</v>
      </c>
      <c r="G4753" s="1" t="s">
        <v>16625</v>
      </c>
      <c r="H4753" s="1" t="s">
        <v>1762</v>
      </c>
      <c r="I4753" t="b">
        <f>COUNTIF(Estadísticas!I:I,'centraldecomunicacion.es'!H4753)&gt;0</f>
        <v>0</v>
      </c>
    </row>
    <row r="4754" spans="1:9" hidden="1">
      <c r="A4754" s="1" t="s">
        <v>16626</v>
      </c>
      <c r="B4754" s="1" t="s">
        <v>10</v>
      </c>
      <c r="C4754" s="1" t="s">
        <v>16627</v>
      </c>
      <c r="D4754" s="1" t="s">
        <v>1662</v>
      </c>
      <c r="E4754" s="1" t="s">
        <v>1507</v>
      </c>
      <c r="F4754" s="1" t="s">
        <v>30</v>
      </c>
      <c r="G4754" s="1" t="s">
        <v>16628</v>
      </c>
      <c r="H4754" s="1" t="s">
        <v>1762</v>
      </c>
      <c r="I4754" t="b">
        <f>COUNTIF(Estadísticas!I:I,'centraldecomunicacion.es'!H4754)&gt;0</f>
        <v>0</v>
      </c>
    </row>
    <row r="4755" spans="1:9" hidden="1">
      <c r="A4755" s="1" t="s">
        <v>16629</v>
      </c>
      <c r="B4755" s="1" t="s">
        <v>10</v>
      </c>
      <c r="C4755" s="1" t="s">
        <v>16630</v>
      </c>
      <c r="D4755" s="1" t="s">
        <v>16357</v>
      </c>
      <c r="E4755" s="1" t="s">
        <v>1507</v>
      </c>
      <c r="F4755" s="1" t="s">
        <v>16631</v>
      </c>
      <c r="G4755" s="1" t="s">
        <v>16632</v>
      </c>
      <c r="H4755" s="1" t="s">
        <v>1762</v>
      </c>
      <c r="I4755" t="b">
        <f>COUNTIF(Estadísticas!I:I,'centraldecomunicacion.es'!H4755)&gt;0</f>
        <v>0</v>
      </c>
    </row>
    <row r="4756" spans="1:9" hidden="1">
      <c r="A4756" s="1" t="s">
        <v>16633</v>
      </c>
      <c r="B4756" s="1" t="s">
        <v>10</v>
      </c>
      <c r="C4756" s="1" t="s">
        <v>16634</v>
      </c>
      <c r="D4756" s="1" t="s">
        <v>1662</v>
      </c>
      <c r="E4756" s="1" t="s">
        <v>1507</v>
      </c>
      <c r="F4756" s="1" t="s">
        <v>30</v>
      </c>
      <c r="G4756" s="1" t="s">
        <v>30</v>
      </c>
      <c r="H4756" s="1" t="s">
        <v>1762</v>
      </c>
      <c r="I4756" t="b">
        <f>COUNTIF(Estadísticas!I:I,'centraldecomunicacion.es'!H4756)&gt;0</f>
        <v>0</v>
      </c>
    </row>
    <row r="4757" spans="1:9" hidden="1">
      <c r="A4757" s="1" t="s">
        <v>16635</v>
      </c>
      <c r="B4757" s="1" t="s">
        <v>10</v>
      </c>
      <c r="C4757" s="1" t="s">
        <v>16636</v>
      </c>
      <c r="D4757" s="1" t="s">
        <v>1662</v>
      </c>
      <c r="E4757" s="1" t="s">
        <v>1507</v>
      </c>
      <c r="F4757" s="1" t="s">
        <v>30</v>
      </c>
      <c r="G4757" s="1" t="s">
        <v>16637</v>
      </c>
      <c r="H4757" s="1" t="s">
        <v>1762</v>
      </c>
      <c r="I4757" t="b">
        <f>COUNTIF(Estadísticas!I:I,'centraldecomunicacion.es'!H4757)&gt;0</f>
        <v>0</v>
      </c>
    </row>
    <row r="4758" spans="1:9" hidden="1">
      <c r="A4758" s="1" t="s">
        <v>16638</v>
      </c>
      <c r="B4758" s="1" t="s">
        <v>10</v>
      </c>
      <c r="C4758" s="1" t="s">
        <v>16639</v>
      </c>
      <c r="D4758" s="1" t="s">
        <v>14746</v>
      </c>
      <c r="E4758" s="1" t="s">
        <v>1507</v>
      </c>
      <c r="F4758" s="1" t="s">
        <v>30</v>
      </c>
      <c r="G4758" s="1" t="s">
        <v>16640</v>
      </c>
      <c r="H4758" s="1" t="s">
        <v>1762</v>
      </c>
      <c r="I4758" t="b">
        <f>COUNTIF(Estadísticas!I:I,'centraldecomunicacion.es'!H4758)&gt;0</f>
        <v>0</v>
      </c>
    </row>
    <row r="4759" spans="1:9" hidden="1">
      <c r="A4759" s="1" t="s">
        <v>8646</v>
      </c>
      <c r="B4759" s="1" t="s">
        <v>10</v>
      </c>
      <c r="C4759" s="1" t="s">
        <v>16641</v>
      </c>
      <c r="D4759" s="1" t="s">
        <v>16124</v>
      </c>
      <c r="E4759" s="1" t="s">
        <v>1507</v>
      </c>
      <c r="F4759" s="1" t="s">
        <v>30</v>
      </c>
      <c r="G4759" s="1" t="s">
        <v>30</v>
      </c>
      <c r="H4759" s="1" t="s">
        <v>1762</v>
      </c>
      <c r="I4759" t="b">
        <f>COUNTIF(Estadísticas!I:I,'centraldecomunicacion.es'!H4759)&gt;0</f>
        <v>0</v>
      </c>
    </row>
    <row r="4760" spans="1:9" hidden="1">
      <c r="A4760" s="1" t="s">
        <v>16642</v>
      </c>
      <c r="B4760" s="1" t="s">
        <v>10</v>
      </c>
      <c r="C4760" s="1" t="s">
        <v>16643</v>
      </c>
      <c r="D4760" s="1" t="s">
        <v>14746</v>
      </c>
      <c r="E4760" s="1" t="s">
        <v>1507</v>
      </c>
      <c r="F4760" s="1" t="s">
        <v>30</v>
      </c>
      <c r="G4760" s="1" t="s">
        <v>16644</v>
      </c>
      <c r="H4760" s="1" t="s">
        <v>1762</v>
      </c>
      <c r="I4760" t="b">
        <f>COUNTIF(Estadísticas!I:I,'centraldecomunicacion.es'!H4760)&gt;0</f>
        <v>0</v>
      </c>
    </row>
    <row r="4761" spans="1:9" hidden="1">
      <c r="A4761" s="1" t="s">
        <v>16645</v>
      </c>
      <c r="B4761" s="1" t="s">
        <v>10</v>
      </c>
      <c r="C4761" s="1" t="s">
        <v>30</v>
      </c>
      <c r="D4761" s="1" t="s">
        <v>16408</v>
      </c>
      <c r="E4761" s="1" t="s">
        <v>30</v>
      </c>
      <c r="F4761" s="1" t="s">
        <v>30</v>
      </c>
      <c r="G4761" s="1" t="s">
        <v>16646</v>
      </c>
      <c r="H4761" s="1" t="s">
        <v>1762</v>
      </c>
      <c r="I4761" t="b">
        <f>COUNTIF(Estadísticas!I:I,'centraldecomunicacion.es'!H4761)&gt;0</f>
        <v>0</v>
      </c>
    </row>
    <row r="4762" spans="1:9" hidden="1">
      <c r="A4762" s="1" t="s">
        <v>16647</v>
      </c>
      <c r="B4762" s="1" t="s">
        <v>10</v>
      </c>
      <c r="C4762" s="1" t="s">
        <v>16648</v>
      </c>
      <c r="D4762" s="1" t="s">
        <v>16357</v>
      </c>
      <c r="E4762" s="1" t="s">
        <v>1507</v>
      </c>
      <c r="F4762" s="1" t="s">
        <v>30</v>
      </c>
      <c r="G4762" s="1" t="s">
        <v>16649</v>
      </c>
      <c r="H4762" s="1" t="s">
        <v>1762</v>
      </c>
      <c r="I4762" t="b">
        <f>COUNTIF(Estadísticas!I:I,'centraldecomunicacion.es'!H4762)&gt;0</f>
        <v>0</v>
      </c>
    </row>
    <row r="4763" spans="1:9" hidden="1">
      <c r="A4763" s="1" t="s">
        <v>16650</v>
      </c>
      <c r="B4763" s="1" t="s">
        <v>10</v>
      </c>
      <c r="C4763" s="1" t="s">
        <v>16651</v>
      </c>
      <c r="D4763" s="1" t="s">
        <v>14772</v>
      </c>
      <c r="E4763" s="1" t="s">
        <v>1507</v>
      </c>
      <c r="F4763" s="1" t="s">
        <v>30</v>
      </c>
      <c r="G4763" s="1" t="s">
        <v>30</v>
      </c>
      <c r="H4763" s="1" t="s">
        <v>1762</v>
      </c>
      <c r="I4763" t="b">
        <f>COUNTIF(Estadísticas!I:I,'centraldecomunicacion.es'!H4763)&gt;0</f>
        <v>0</v>
      </c>
    </row>
    <row r="4764" spans="1:9" hidden="1">
      <c r="A4764" s="1" t="s">
        <v>16652</v>
      </c>
      <c r="B4764" s="1" t="s">
        <v>10</v>
      </c>
      <c r="C4764" s="1" t="s">
        <v>16653</v>
      </c>
      <c r="D4764" s="1" t="s">
        <v>1662</v>
      </c>
      <c r="E4764" s="1" t="s">
        <v>1507</v>
      </c>
      <c r="F4764" s="1" t="s">
        <v>30</v>
      </c>
      <c r="G4764" s="1" t="s">
        <v>16654</v>
      </c>
      <c r="H4764" s="1" t="s">
        <v>1762</v>
      </c>
      <c r="I4764" t="b">
        <f>COUNTIF(Estadísticas!I:I,'centraldecomunicacion.es'!H4764)&gt;0</f>
        <v>0</v>
      </c>
    </row>
    <row r="4765" spans="1:9" hidden="1">
      <c r="A4765" s="1" t="s">
        <v>16655</v>
      </c>
      <c r="B4765" s="1" t="s">
        <v>10</v>
      </c>
      <c r="C4765" s="1" t="s">
        <v>16656</v>
      </c>
      <c r="D4765" s="1" t="s">
        <v>16314</v>
      </c>
      <c r="E4765" s="1" t="s">
        <v>1507</v>
      </c>
      <c r="F4765" s="1" t="s">
        <v>30</v>
      </c>
      <c r="G4765" s="1" t="s">
        <v>16657</v>
      </c>
      <c r="H4765" s="1" t="s">
        <v>1762</v>
      </c>
      <c r="I4765" t="b">
        <f>COUNTIF(Estadísticas!I:I,'centraldecomunicacion.es'!H4765)&gt;0</f>
        <v>0</v>
      </c>
    </row>
    <row r="4766" spans="1:9" hidden="1">
      <c r="A4766" s="1" t="s">
        <v>16658</v>
      </c>
      <c r="B4766" s="1" t="s">
        <v>10</v>
      </c>
      <c r="C4766" s="1" t="s">
        <v>16659</v>
      </c>
      <c r="D4766" s="1" t="s">
        <v>16450</v>
      </c>
      <c r="E4766" s="1" t="s">
        <v>1507</v>
      </c>
      <c r="F4766" s="1" t="s">
        <v>16660</v>
      </c>
      <c r="G4766" s="1" t="s">
        <v>16661</v>
      </c>
      <c r="H4766" s="1" t="s">
        <v>16662</v>
      </c>
      <c r="I4766" t="b">
        <f>COUNTIF(Estadísticas!I:I,'centraldecomunicacion.es'!H4766)&gt;0</f>
        <v>0</v>
      </c>
    </row>
    <row r="4767" spans="1:9" hidden="1">
      <c r="A4767" s="1" t="s">
        <v>16663</v>
      </c>
      <c r="B4767" s="1" t="s">
        <v>10</v>
      </c>
      <c r="C4767" s="1" t="s">
        <v>16664</v>
      </c>
      <c r="D4767" s="1" t="s">
        <v>1722</v>
      </c>
      <c r="E4767" s="1" t="s">
        <v>1507</v>
      </c>
      <c r="F4767" s="1" t="s">
        <v>16665</v>
      </c>
      <c r="G4767" s="1" t="s">
        <v>16666</v>
      </c>
      <c r="H4767" s="1" t="s">
        <v>16667</v>
      </c>
      <c r="I4767" t="b">
        <f>COUNTIF(Estadísticas!I:I,'centraldecomunicacion.es'!H4767)&gt;0</f>
        <v>0</v>
      </c>
    </row>
    <row r="4768" spans="1:9" hidden="1">
      <c r="A4768" s="1" t="s">
        <v>16668</v>
      </c>
      <c r="B4768" s="1" t="s">
        <v>10</v>
      </c>
      <c r="C4768" s="1" t="s">
        <v>16669</v>
      </c>
      <c r="D4768" s="1" t="s">
        <v>14772</v>
      </c>
      <c r="E4768" s="1" t="s">
        <v>1507</v>
      </c>
      <c r="F4768" s="1" t="s">
        <v>16331</v>
      </c>
      <c r="G4768" s="1" t="s">
        <v>16332</v>
      </c>
      <c r="H4768" s="1" t="s">
        <v>16333</v>
      </c>
      <c r="I4768" t="b">
        <f>COUNTIF(Estadísticas!I:I,'centraldecomunicacion.es'!H4768)&gt;0</f>
        <v>0</v>
      </c>
    </row>
    <row r="4769" spans="1:9" hidden="1">
      <c r="A4769" s="1" t="s">
        <v>16670</v>
      </c>
      <c r="B4769" s="1" t="s">
        <v>10</v>
      </c>
      <c r="C4769" s="1" t="s">
        <v>16671</v>
      </c>
      <c r="D4769" s="1" t="s">
        <v>16603</v>
      </c>
      <c r="E4769" s="1" t="s">
        <v>1507</v>
      </c>
      <c r="F4769" s="1" t="s">
        <v>30</v>
      </c>
      <c r="G4769" s="1" t="s">
        <v>16672</v>
      </c>
      <c r="H4769" s="1" t="s">
        <v>1762</v>
      </c>
      <c r="I4769" t="b">
        <f>COUNTIF(Estadísticas!I:I,'centraldecomunicacion.es'!H4769)&gt;0</f>
        <v>0</v>
      </c>
    </row>
    <row r="4770" spans="1:9" hidden="1">
      <c r="A4770" s="1" t="s">
        <v>16673</v>
      </c>
      <c r="B4770" s="1" t="s">
        <v>10</v>
      </c>
      <c r="C4770" s="1" t="s">
        <v>16674</v>
      </c>
      <c r="D4770" s="1" t="s">
        <v>16263</v>
      </c>
      <c r="E4770" s="1" t="s">
        <v>1507</v>
      </c>
      <c r="F4770" s="1" t="s">
        <v>16675</v>
      </c>
      <c r="G4770" s="1" t="s">
        <v>16676</v>
      </c>
      <c r="H4770" s="1" t="s">
        <v>16677</v>
      </c>
      <c r="I4770" t="b">
        <f>COUNTIF(Estadísticas!I:I,'centraldecomunicacion.es'!H4770)&gt;0</f>
        <v>0</v>
      </c>
    </row>
    <row r="4771" spans="1:9" hidden="1">
      <c r="A4771" s="1" t="s">
        <v>16678</v>
      </c>
      <c r="B4771" s="1" t="s">
        <v>10</v>
      </c>
      <c r="C4771" s="1" t="s">
        <v>16679</v>
      </c>
      <c r="D4771" s="1" t="s">
        <v>16540</v>
      </c>
      <c r="E4771" s="1" t="s">
        <v>667</v>
      </c>
      <c r="F4771" s="1" t="s">
        <v>30</v>
      </c>
      <c r="G4771" s="1" t="s">
        <v>16680</v>
      </c>
      <c r="H4771" s="1" t="s">
        <v>1762</v>
      </c>
      <c r="I4771" t="b">
        <f>COUNTIF(Estadísticas!I:I,'centraldecomunicacion.es'!H4771)&gt;0</f>
        <v>0</v>
      </c>
    </row>
    <row r="4772" spans="1:9" hidden="1">
      <c r="A4772" s="1" t="s">
        <v>16681</v>
      </c>
      <c r="B4772" s="1" t="s">
        <v>10</v>
      </c>
      <c r="C4772" s="1" t="s">
        <v>16682</v>
      </c>
      <c r="D4772" s="1" t="s">
        <v>16683</v>
      </c>
      <c r="E4772" s="1" t="s">
        <v>1507</v>
      </c>
      <c r="F4772" s="1" t="s">
        <v>30</v>
      </c>
      <c r="G4772" s="1" t="s">
        <v>16684</v>
      </c>
      <c r="H4772" s="1" t="s">
        <v>1762</v>
      </c>
      <c r="I4772" t="b">
        <f>COUNTIF(Estadísticas!I:I,'centraldecomunicacion.es'!H4772)&gt;0</f>
        <v>0</v>
      </c>
    </row>
    <row r="4773" spans="1:9" hidden="1">
      <c r="A4773" s="1" t="s">
        <v>16685</v>
      </c>
      <c r="B4773" s="1" t="s">
        <v>10</v>
      </c>
      <c r="C4773" s="1" t="s">
        <v>16686</v>
      </c>
      <c r="D4773" s="1" t="s">
        <v>1662</v>
      </c>
      <c r="E4773" s="1" t="s">
        <v>1507</v>
      </c>
      <c r="F4773" s="1" t="s">
        <v>30</v>
      </c>
      <c r="G4773" s="1" t="s">
        <v>30</v>
      </c>
      <c r="H4773" s="1" t="s">
        <v>1762</v>
      </c>
      <c r="I4773" t="b">
        <f>COUNTIF(Estadísticas!I:I,'centraldecomunicacion.es'!H4773)&gt;0</f>
        <v>0</v>
      </c>
    </row>
    <row r="4774" spans="1:9" hidden="1">
      <c r="A4774" s="1" t="s">
        <v>16687</v>
      </c>
      <c r="B4774" s="1" t="s">
        <v>10</v>
      </c>
      <c r="C4774" s="1" t="s">
        <v>16688</v>
      </c>
      <c r="D4774" s="1" t="s">
        <v>16114</v>
      </c>
      <c r="E4774" s="1" t="s">
        <v>1507</v>
      </c>
      <c r="F4774" s="1" t="s">
        <v>30</v>
      </c>
      <c r="G4774" s="1" t="s">
        <v>30</v>
      </c>
      <c r="H4774" s="1" t="s">
        <v>1762</v>
      </c>
      <c r="I4774" t="b">
        <f>COUNTIF(Estadísticas!I:I,'centraldecomunicacion.es'!H4774)&gt;0</f>
        <v>0</v>
      </c>
    </row>
    <row r="4775" spans="1:9" hidden="1">
      <c r="A4775" s="1" t="s">
        <v>16689</v>
      </c>
      <c r="B4775" s="1" t="s">
        <v>10</v>
      </c>
      <c r="C4775" s="1" t="s">
        <v>16690</v>
      </c>
      <c r="D4775" s="1" t="s">
        <v>16691</v>
      </c>
      <c r="E4775" s="1" t="s">
        <v>1507</v>
      </c>
      <c r="F4775" s="1" t="s">
        <v>16430</v>
      </c>
      <c r="G4775" s="1" t="s">
        <v>16431</v>
      </c>
      <c r="H4775" s="1" t="s">
        <v>1762</v>
      </c>
      <c r="I4775" t="b">
        <f>COUNTIF(Estadísticas!I:I,'centraldecomunicacion.es'!H4775)&gt;0</f>
        <v>0</v>
      </c>
    </row>
    <row r="4776" spans="1:9" hidden="1">
      <c r="A4776" s="1" t="s">
        <v>16692</v>
      </c>
      <c r="B4776" s="1" t="s">
        <v>10</v>
      </c>
      <c r="C4776" s="1" t="s">
        <v>16693</v>
      </c>
      <c r="D4776" s="1" t="s">
        <v>16320</v>
      </c>
      <c r="E4776" s="1" t="s">
        <v>1507</v>
      </c>
      <c r="F4776" s="1" t="s">
        <v>16694</v>
      </c>
      <c r="G4776" s="1" t="s">
        <v>16695</v>
      </c>
      <c r="H4776" s="1" t="s">
        <v>16696</v>
      </c>
      <c r="I4776" t="b">
        <f>COUNTIF(Estadísticas!I:I,'centraldecomunicacion.es'!H4776)&gt;0</f>
        <v>0</v>
      </c>
    </row>
    <row r="4777" spans="1:9" hidden="1">
      <c r="A4777" s="1" t="s">
        <v>16697</v>
      </c>
      <c r="B4777" s="1" t="s">
        <v>10</v>
      </c>
      <c r="C4777" s="1" t="s">
        <v>16698</v>
      </c>
      <c r="D4777" s="1" t="s">
        <v>1662</v>
      </c>
      <c r="E4777" s="1" t="s">
        <v>1507</v>
      </c>
      <c r="F4777" s="1" t="s">
        <v>30</v>
      </c>
      <c r="G4777" s="1" t="s">
        <v>16699</v>
      </c>
      <c r="H4777" s="1" t="s">
        <v>1762</v>
      </c>
      <c r="I4777" t="b">
        <f>COUNTIF(Estadísticas!I:I,'centraldecomunicacion.es'!H4777)&gt;0</f>
        <v>0</v>
      </c>
    </row>
    <row r="4778" spans="1:9" hidden="1">
      <c r="A4778" s="1" t="s">
        <v>16300</v>
      </c>
      <c r="B4778" s="1" t="s">
        <v>10</v>
      </c>
      <c r="C4778" s="1" t="s">
        <v>16700</v>
      </c>
      <c r="D4778" s="1" t="s">
        <v>1662</v>
      </c>
      <c r="E4778" s="1" t="s">
        <v>1507</v>
      </c>
      <c r="F4778" s="1" t="s">
        <v>30</v>
      </c>
      <c r="G4778" s="1" t="s">
        <v>16701</v>
      </c>
      <c r="H4778" s="1" t="s">
        <v>1762</v>
      </c>
      <c r="I4778" t="b">
        <f>COUNTIF(Estadísticas!I:I,'centraldecomunicacion.es'!H4778)&gt;0</f>
        <v>0</v>
      </c>
    </row>
    <row r="4779" spans="1:9" hidden="1">
      <c r="A4779" s="1" t="s">
        <v>16702</v>
      </c>
      <c r="B4779" s="1" t="s">
        <v>10</v>
      </c>
      <c r="C4779" s="1" t="s">
        <v>16703</v>
      </c>
      <c r="D4779" s="1" t="s">
        <v>16124</v>
      </c>
      <c r="E4779" s="1" t="s">
        <v>1507</v>
      </c>
      <c r="F4779" s="1" t="s">
        <v>30</v>
      </c>
      <c r="G4779" s="1" t="s">
        <v>30</v>
      </c>
      <c r="H4779" s="1" t="s">
        <v>1762</v>
      </c>
      <c r="I4779" t="b">
        <f>COUNTIF(Estadísticas!I:I,'centraldecomunicacion.es'!H4779)&gt;0</f>
        <v>0</v>
      </c>
    </row>
    <row r="4780" spans="1:9" hidden="1">
      <c r="A4780" s="1" t="s">
        <v>16704</v>
      </c>
      <c r="B4780" s="1" t="s">
        <v>10</v>
      </c>
      <c r="C4780" s="1" t="s">
        <v>16705</v>
      </c>
      <c r="D4780" s="1" t="s">
        <v>16320</v>
      </c>
      <c r="E4780" s="1" t="s">
        <v>1507</v>
      </c>
      <c r="F4780" s="1" t="s">
        <v>30</v>
      </c>
      <c r="G4780" s="1" t="s">
        <v>30</v>
      </c>
      <c r="H4780" s="1" t="s">
        <v>1762</v>
      </c>
      <c r="I4780" t="b">
        <f>COUNTIF(Estadísticas!I:I,'centraldecomunicacion.es'!H4780)&gt;0</f>
        <v>0</v>
      </c>
    </row>
    <row r="4781" spans="1:9" hidden="1">
      <c r="A4781" s="1" t="s">
        <v>16706</v>
      </c>
      <c r="B4781" s="1" t="s">
        <v>10</v>
      </c>
      <c r="C4781" s="1" t="s">
        <v>16707</v>
      </c>
      <c r="D4781" s="1" t="s">
        <v>1662</v>
      </c>
      <c r="E4781" s="1" t="s">
        <v>1507</v>
      </c>
      <c r="F4781" s="1" t="s">
        <v>30</v>
      </c>
      <c r="G4781" s="1" t="s">
        <v>16708</v>
      </c>
      <c r="H4781" s="1" t="s">
        <v>1762</v>
      </c>
      <c r="I4781" t="b">
        <f>COUNTIF(Estadísticas!I:I,'centraldecomunicacion.es'!H4781)&gt;0</f>
        <v>0</v>
      </c>
    </row>
    <row r="4782" spans="1:9" hidden="1">
      <c r="A4782" s="1" t="s">
        <v>16709</v>
      </c>
      <c r="B4782" s="1" t="s">
        <v>10</v>
      </c>
      <c r="C4782" s="1" t="s">
        <v>16710</v>
      </c>
      <c r="D4782" s="1" t="s">
        <v>16124</v>
      </c>
      <c r="E4782" s="1" t="s">
        <v>1507</v>
      </c>
      <c r="F4782" s="1" t="s">
        <v>30</v>
      </c>
      <c r="G4782" s="1" t="s">
        <v>16711</v>
      </c>
      <c r="H4782" s="1" t="s">
        <v>1762</v>
      </c>
      <c r="I4782" t="b">
        <f>COUNTIF(Estadísticas!I:I,'centraldecomunicacion.es'!H4782)&gt;0</f>
        <v>0</v>
      </c>
    </row>
    <row r="4783" spans="1:9" hidden="1">
      <c r="A4783" s="1" t="s">
        <v>16712</v>
      </c>
      <c r="B4783" s="1" t="s">
        <v>10</v>
      </c>
      <c r="C4783" s="1" t="s">
        <v>16713</v>
      </c>
      <c r="D4783" s="1" t="s">
        <v>16714</v>
      </c>
      <c r="E4783" s="1" t="s">
        <v>1507</v>
      </c>
      <c r="F4783" s="1" t="s">
        <v>30</v>
      </c>
      <c r="G4783" s="1" t="s">
        <v>16715</v>
      </c>
      <c r="H4783" s="1" t="s">
        <v>1762</v>
      </c>
      <c r="I4783" t="b">
        <f>COUNTIF(Estadísticas!I:I,'centraldecomunicacion.es'!H4783)&gt;0</f>
        <v>0</v>
      </c>
    </row>
    <row r="4784" spans="1:9" hidden="1">
      <c r="A4784" s="1" t="s">
        <v>16716</v>
      </c>
      <c r="B4784" s="1" t="s">
        <v>18</v>
      </c>
      <c r="C4784" s="1" t="s">
        <v>16717</v>
      </c>
      <c r="D4784" s="1" t="s">
        <v>1662</v>
      </c>
      <c r="E4784" s="1" t="s">
        <v>1507</v>
      </c>
      <c r="F4784" s="1" t="s">
        <v>30</v>
      </c>
      <c r="G4784" s="1" t="s">
        <v>16718</v>
      </c>
      <c r="H4784" s="1" t="s">
        <v>1762</v>
      </c>
      <c r="I4784" t="b">
        <f>COUNTIF(Estadísticas!I:I,'centraldecomunicacion.es'!H4784)&gt;0</f>
        <v>0</v>
      </c>
    </row>
    <row r="4785" spans="1:9" hidden="1">
      <c r="A4785" s="1" t="s">
        <v>16719</v>
      </c>
      <c r="B4785" s="1" t="s">
        <v>10</v>
      </c>
      <c r="C4785" s="1" t="s">
        <v>16720</v>
      </c>
      <c r="D4785" s="1" t="s">
        <v>1662</v>
      </c>
      <c r="E4785" s="1" t="s">
        <v>1507</v>
      </c>
      <c r="F4785" s="1" t="s">
        <v>30</v>
      </c>
      <c r="G4785" s="1" t="s">
        <v>16721</v>
      </c>
      <c r="H4785" s="1" t="s">
        <v>1762</v>
      </c>
      <c r="I4785" t="b">
        <f>COUNTIF(Estadísticas!I:I,'centraldecomunicacion.es'!H4785)&gt;0</f>
        <v>0</v>
      </c>
    </row>
    <row r="4786" spans="1:9" hidden="1">
      <c r="A4786" s="1" t="s">
        <v>16722</v>
      </c>
      <c r="B4786" s="1" t="s">
        <v>10</v>
      </c>
      <c r="C4786" s="1" t="s">
        <v>16723</v>
      </c>
      <c r="D4786" s="1" t="s">
        <v>1662</v>
      </c>
      <c r="E4786" s="1" t="s">
        <v>1507</v>
      </c>
      <c r="F4786" s="1" t="s">
        <v>30</v>
      </c>
      <c r="G4786" s="1" t="s">
        <v>16724</v>
      </c>
      <c r="H4786" s="1" t="s">
        <v>1762</v>
      </c>
      <c r="I4786" t="b">
        <f>COUNTIF(Estadísticas!I:I,'centraldecomunicacion.es'!H4786)&gt;0</f>
        <v>0</v>
      </c>
    </row>
    <row r="4787" spans="1:9" hidden="1">
      <c r="A4787" s="1" t="s">
        <v>16725</v>
      </c>
      <c r="B4787" s="1" t="s">
        <v>10</v>
      </c>
      <c r="C4787" s="1" t="s">
        <v>16726</v>
      </c>
      <c r="D4787" s="1" t="s">
        <v>16093</v>
      </c>
      <c r="E4787" s="1" t="s">
        <v>1507</v>
      </c>
      <c r="F4787" s="1" t="s">
        <v>30</v>
      </c>
      <c r="G4787" s="1" t="s">
        <v>16727</v>
      </c>
      <c r="H4787" s="1" t="s">
        <v>1762</v>
      </c>
      <c r="I4787" t="b">
        <f>COUNTIF(Estadísticas!I:I,'centraldecomunicacion.es'!H4787)&gt;0</f>
        <v>0</v>
      </c>
    </row>
    <row r="4788" spans="1:9" hidden="1">
      <c r="A4788" s="1" t="s">
        <v>13387</v>
      </c>
      <c r="B4788" s="1" t="s">
        <v>18</v>
      </c>
      <c r="C4788" s="1" t="s">
        <v>16728</v>
      </c>
      <c r="D4788" s="1" t="s">
        <v>1662</v>
      </c>
      <c r="E4788" s="1" t="s">
        <v>1507</v>
      </c>
      <c r="F4788" s="1" t="s">
        <v>30</v>
      </c>
      <c r="G4788" s="1" t="s">
        <v>16729</v>
      </c>
      <c r="H4788" s="1" t="s">
        <v>1762</v>
      </c>
      <c r="I4788" t="b">
        <f>COUNTIF(Estadísticas!I:I,'centraldecomunicacion.es'!H4788)&gt;0</f>
        <v>0</v>
      </c>
    </row>
    <row r="4789" spans="1:9" hidden="1">
      <c r="A4789" s="1" t="s">
        <v>16730</v>
      </c>
      <c r="B4789" s="1" t="s">
        <v>10</v>
      </c>
      <c r="C4789" s="1" t="s">
        <v>16731</v>
      </c>
      <c r="D4789" s="1" t="s">
        <v>16250</v>
      </c>
      <c r="E4789" s="1" t="s">
        <v>1507</v>
      </c>
      <c r="F4789" s="1" t="s">
        <v>30</v>
      </c>
      <c r="G4789" s="1" t="s">
        <v>30</v>
      </c>
      <c r="H4789" s="1" t="s">
        <v>1762</v>
      </c>
      <c r="I4789" t="b">
        <f>COUNTIF(Estadísticas!I:I,'centraldecomunicacion.es'!H4789)&gt;0</f>
        <v>0</v>
      </c>
    </row>
    <row r="4790" spans="1:9" hidden="1">
      <c r="A4790" s="1" t="s">
        <v>16732</v>
      </c>
      <c r="B4790" s="1" t="s">
        <v>10</v>
      </c>
      <c r="C4790" s="1" t="s">
        <v>16733</v>
      </c>
      <c r="D4790" s="1" t="s">
        <v>16124</v>
      </c>
      <c r="E4790" s="1" t="s">
        <v>1507</v>
      </c>
      <c r="F4790" s="1" t="s">
        <v>30</v>
      </c>
      <c r="G4790" s="1" t="s">
        <v>16734</v>
      </c>
      <c r="H4790" s="1" t="s">
        <v>1762</v>
      </c>
      <c r="I4790" t="b">
        <f>COUNTIF(Estadísticas!I:I,'centraldecomunicacion.es'!H4790)&gt;0</f>
        <v>0</v>
      </c>
    </row>
    <row r="4791" spans="1:9">
      <c r="A4791" s="1" t="s">
        <v>1749</v>
      </c>
      <c r="B4791" s="1" t="s">
        <v>10</v>
      </c>
      <c r="C4791" s="1" t="s">
        <v>1750</v>
      </c>
      <c r="D4791" s="1" t="s">
        <v>1734</v>
      </c>
      <c r="E4791" s="1" t="s">
        <v>1507</v>
      </c>
      <c r="F4791" s="1" t="s">
        <v>1751</v>
      </c>
      <c r="G4791" s="1" t="s">
        <v>1752</v>
      </c>
      <c r="H4791" s="1" t="s">
        <v>1753</v>
      </c>
      <c r="I4791" t="b">
        <f>COUNTIF(Estadísticas!I:I,'centraldecomunicacion.es'!H4791)&gt;0</f>
        <v>1</v>
      </c>
    </row>
    <row r="4792" spans="1:9" hidden="1">
      <c r="A4792" s="1" t="s">
        <v>16735</v>
      </c>
      <c r="B4792" s="1" t="s">
        <v>10</v>
      </c>
      <c r="C4792" s="1" t="s">
        <v>16736</v>
      </c>
      <c r="D4792" s="1" t="s">
        <v>1662</v>
      </c>
      <c r="E4792" s="1" t="s">
        <v>1507</v>
      </c>
      <c r="F4792" s="1" t="s">
        <v>16737</v>
      </c>
      <c r="G4792" s="1" t="s">
        <v>16738</v>
      </c>
      <c r="H4792" s="1" t="s">
        <v>16739</v>
      </c>
      <c r="I4792" t="b">
        <f>COUNTIF(Estadísticas!I:I,'centraldecomunicacion.es'!H4792)&gt;0</f>
        <v>0</v>
      </c>
    </row>
    <row r="4793" spans="1:9" hidden="1">
      <c r="A4793" s="1" t="s">
        <v>16740</v>
      </c>
      <c r="B4793" s="1" t="s">
        <v>10</v>
      </c>
      <c r="C4793" s="1" t="s">
        <v>16741</v>
      </c>
      <c r="D4793" s="1" t="s">
        <v>1662</v>
      </c>
      <c r="E4793" s="1" t="s">
        <v>1507</v>
      </c>
      <c r="F4793" s="1" t="s">
        <v>30</v>
      </c>
      <c r="G4793" s="1" t="s">
        <v>16742</v>
      </c>
      <c r="H4793" s="1" t="s">
        <v>1762</v>
      </c>
      <c r="I4793" t="b">
        <f>COUNTIF(Estadísticas!I:I,'centraldecomunicacion.es'!H4793)&gt;0</f>
        <v>0</v>
      </c>
    </row>
    <row r="4794" spans="1:9" hidden="1">
      <c r="A4794" s="1" t="s">
        <v>16743</v>
      </c>
      <c r="B4794" s="1" t="s">
        <v>10</v>
      </c>
      <c r="C4794" s="1" t="s">
        <v>16744</v>
      </c>
      <c r="D4794" s="1" t="s">
        <v>16336</v>
      </c>
      <c r="E4794" s="1" t="s">
        <v>1507</v>
      </c>
      <c r="F4794" s="1" t="s">
        <v>30</v>
      </c>
      <c r="G4794" s="1" t="s">
        <v>30</v>
      </c>
      <c r="H4794" s="1" t="s">
        <v>1762</v>
      </c>
      <c r="I4794" t="b">
        <f>COUNTIF(Estadísticas!I:I,'centraldecomunicacion.es'!H4794)&gt;0</f>
        <v>0</v>
      </c>
    </row>
    <row r="4795" spans="1:9" hidden="1">
      <c r="A4795" s="1" t="s">
        <v>16745</v>
      </c>
      <c r="B4795" s="1" t="s">
        <v>10</v>
      </c>
      <c r="C4795" s="1" t="s">
        <v>16746</v>
      </c>
      <c r="D4795" s="1" t="s">
        <v>16273</v>
      </c>
      <c r="E4795" s="1" t="s">
        <v>1507</v>
      </c>
      <c r="F4795" s="1" t="s">
        <v>30</v>
      </c>
      <c r="G4795" s="1" t="s">
        <v>16747</v>
      </c>
      <c r="H4795" s="1" t="s">
        <v>1762</v>
      </c>
      <c r="I4795" t="b">
        <f>COUNTIF(Estadísticas!I:I,'centraldecomunicacion.es'!H4795)&gt;0</f>
        <v>0</v>
      </c>
    </row>
    <row r="4796" spans="1:9" hidden="1">
      <c r="A4796" s="1" t="s">
        <v>16748</v>
      </c>
      <c r="B4796" s="1" t="s">
        <v>10</v>
      </c>
      <c r="C4796" s="1" t="s">
        <v>16749</v>
      </c>
      <c r="D4796" s="1" t="s">
        <v>16750</v>
      </c>
      <c r="E4796" s="1" t="s">
        <v>1507</v>
      </c>
      <c r="F4796" s="1" t="s">
        <v>30</v>
      </c>
      <c r="G4796" s="1" t="s">
        <v>16751</v>
      </c>
      <c r="H4796" s="1" t="s">
        <v>1762</v>
      </c>
      <c r="I4796" t="b">
        <f>COUNTIF(Estadísticas!I:I,'centraldecomunicacion.es'!H4796)&gt;0</f>
        <v>0</v>
      </c>
    </row>
    <row r="4797" spans="1:9" hidden="1">
      <c r="A4797" s="1" t="s">
        <v>16752</v>
      </c>
      <c r="B4797" s="1" t="s">
        <v>10</v>
      </c>
      <c r="C4797" s="1" t="s">
        <v>16753</v>
      </c>
      <c r="D4797" s="1" t="s">
        <v>1662</v>
      </c>
      <c r="E4797" s="1" t="s">
        <v>1507</v>
      </c>
      <c r="F4797" s="1" t="s">
        <v>30</v>
      </c>
      <c r="G4797" s="1" t="s">
        <v>16754</v>
      </c>
      <c r="H4797" s="1" t="s">
        <v>1762</v>
      </c>
      <c r="I4797" t="b">
        <f>COUNTIF(Estadísticas!I:I,'centraldecomunicacion.es'!H4797)&gt;0</f>
        <v>0</v>
      </c>
    </row>
    <row r="4798" spans="1:9" hidden="1">
      <c r="A4798" s="1" t="s">
        <v>16755</v>
      </c>
      <c r="B4798" s="1" t="s">
        <v>10</v>
      </c>
      <c r="C4798" s="1" t="s">
        <v>16756</v>
      </c>
      <c r="D4798" s="1" t="s">
        <v>16357</v>
      </c>
      <c r="E4798" s="1" t="s">
        <v>1507</v>
      </c>
      <c r="F4798" s="1" t="s">
        <v>30</v>
      </c>
      <c r="G4798" s="1" t="s">
        <v>16757</v>
      </c>
      <c r="H4798" s="1" t="s">
        <v>1762</v>
      </c>
      <c r="I4798" t="b">
        <f>COUNTIF(Estadísticas!I:I,'centraldecomunicacion.es'!H4798)&gt;0</f>
        <v>0</v>
      </c>
    </row>
    <row r="4799" spans="1:9" hidden="1">
      <c r="A4799" s="1" t="s">
        <v>16758</v>
      </c>
      <c r="B4799" s="1" t="s">
        <v>10</v>
      </c>
      <c r="C4799" s="1" t="s">
        <v>16759</v>
      </c>
      <c r="D4799" s="1" t="s">
        <v>1700</v>
      </c>
      <c r="E4799" s="1" t="s">
        <v>1507</v>
      </c>
      <c r="F4799" s="1" t="s">
        <v>30</v>
      </c>
      <c r="G4799" s="1" t="s">
        <v>30</v>
      </c>
      <c r="H4799" s="1" t="s">
        <v>1762</v>
      </c>
      <c r="I4799" t="b">
        <f>COUNTIF(Estadísticas!I:I,'centraldecomunicacion.es'!H4799)&gt;0</f>
        <v>0</v>
      </c>
    </row>
    <row r="4800" spans="1:9" hidden="1">
      <c r="A4800" s="1" t="s">
        <v>16760</v>
      </c>
      <c r="B4800" s="1" t="s">
        <v>10</v>
      </c>
      <c r="C4800" s="1" t="s">
        <v>16761</v>
      </c>
      <c r="D4800" s="1" t="s">
        <v>16114</v>
      </c>
      <c r="E4800" s="1" t="s">
        <v>1507</v>
      </c>
      <c r="F4800" s="1" t="s">
        <v>30</v>
      </c>
      <c r="G4800" s="1" t="s">
        <v>30</v>
      </c>
      <c r="H4800" s="1" t="s">
        <v>1762</v>
      </c>
      <c r="I4800" t="b">
        <f>COUNTIF(Estadísticas!I:I,'centraldecomunicacion.es'!H4800)&gt;0</f>
        <v>0</v>
      </c>
    </row>
    <row r="4801" spans="1:9" hidden="1">
      <c r="A4801" s="1" t="s">
        <v>16762</v>
      </c>
      <c r="B4801" s="1" t="s">
        <v>10</v>
      </c>
      <c r="C4801" s="1" t="s">
        <v>16763</v>
      </c>
      <c r="D4801" s="1" t="s">
        <v>16336</v>
      </c>
      <c r="E4801" s="1" t="s">
        <v>1507</v>
      </c>
      <c r="F4801" s="1" t="s">
        <v>16764</v>
      </c>
      <c r="G4801" s="1" t="s">
        <v>16765</v>
      </c>
      <c r="H4801" s="1" t="s">
        <v>1762</v>
      </c>
      <c r="I4801" t="b">
        <f>COUNTIF(Estadísticas!I:I,'centraldecomunicacion.es'!H4801)&gt;0</f>
        <v>0</v>
      </c>
    </row>
    <row r="4802" spans="1:9" hidden="1">
      <c r="A4802" s="1" t="s">
        <v>16668</v>
      </c>
      <c r="B4802" s="1" t="s">
        <v>10</v>
      </c>
      <c r="C4802" s="1" t="s">
        <v>16766</v>
      </c>
      <c r="D4802" s="1" t="s">
        <v>1700</v>
      </c>
      <c r="E4802" s="1" t="s">
        <v>1507</v>
      </c>
      <c r="F4802" s="1" t="s">
        <v>16331</v>
      </c>
      <c r="G4802" s="1" t="s">
        <v>16332</v>
      </c>
      <c r="H4802" s="1" t="s">
        <v>16333</v>
      </c>
      <c r="I4802" t="b">
        <f>COUNTIF(Estadísticas!I:I,'centraldecomunicacion.es'!H4802)&gt;0</f>
        <v>0</v>
      </c>
    </row>
    <row r="4803" spans="1:9" hidden="1">
      <c r="A4803" s="1" t="s">
        <v>16767</v>
      </c>
      <c r="B4803" s="1" t="s">
        <v>10</v>
      </c>
      <c r="C4803" s="1" t="s">
        <v>16768</v>
      </c>
      <c r="D4803" s="1" t="s">
        <v>1662</v>
      </c>
      <c r="E4803" s="1" t="s">
        <v>1507</v>
      </c>
      <c r="F4803" s="1" t="s">
        <v>30</v>
      </c>
      <c r="G4803" s="1" t="s">
        <v>16769</v>
      </c>
      <c r="H4803" s="1" t="s">
        <v>1762</v>
      </c>
      <c r="I4803" t="b">
        <f>COUNTIF(Estadísticas!I:I,'centraldecomunicacion.es'!H4803)&gt;0</f>
        <v>0</v>
      </c>
    </row>
    <row r="4804" spans="1:9" hidden="1">
      <c r="A4804" s="1" t="s">
        <v>16770</v>
      </c>
      <c r="B4804" s="1" t="s">
        <v>10</v>
      </c>
      <c r="C4804" s="1" t="s">
        <v>16771</v>
      </c>
      <c r="D4804" s="1" t="s">
        <v>14746</v>
      </c>
      <c r="E4804" s="1" t="s">
        <v>1507</v>
      </c>
      <c r="F4804" s="1" t="s">
        <v>30</v>
      </c>
      <c r="G4804" s="1" t="s">
        <v>30</v>
      </c>
      <c r="H4804" s="1" t="s">
        <v>1762</v>
      </c>
      <c r="I4804" t="b">
        <f>COUNTIF(Estadísticas!I:I,'centraldecomunicacion.es'!H4804)&gt;0</f>
        <v>0</v>
      </c>
    </row>
    <row r="4805" spans="1:9" hidden="1">
      <c r="A4805" s="1" t="s">
        <v>16772</v>
      </c>
      <c r="B4805" s="1" t="s">
        <v>10</v>
      </c>
      <c r="C4805" s="1" t="s">
        <v>16773</v>
      </c>
      <c r="D4805" s="1" t="s">
        <v>16774</v>
      </c>
      <c r="E4805" s="1" t="s">
        <v>1507</v>
      </c>
      <c r="F4805" s="1" t="s">
        <v>30</v>
      </c>
      <c r="G4805" s="1" t="s">
        <v>30</v>
      </c>
      <c r="H4805" s="1" t="s">
        <v>1762</v>
      </c>
      <c r="I4805" t="b">
        <f>COUNTIF(Estadísticas!I:I,'centraldecomunicacion.es'!H4805)&gt;0</f>
        <v>0</v>
      </c>
    </row>
    <row r="4806" spans="1:9" hidden="1">
      <c r="A4806" s="1" t="s">
        <v>16775</v>
      </c>
      <c r="B4806" s="1" t="s">
        <v>10</v>
      </c>
      <c r="C4806" s="1" t="s">
        <v>16776</v>
      </c>
      <c r="D4806" s="1" t="s">
        <v>16124</v>
      </c>
      <c r="E4806" s="1" t="s">
        <v>1507</v>
      </c>
      <c r="F4806" s="1" t="s">
        <v>30</v>
      </c>
      <c r="G4806" s="1" t="s">
        <v>16777</v>
      </c>
      <c r="H4806" s="1" t="s">
        <v>1762</v>
      </c>
      <c r="I4806" t="b">
        <f>COUNTIF(Estadísticas!I:I,'centraldecomunicacion.es'!H4806)&gt;0</f>
        <v>0</v>
      </c>
    </row>
    <row r="4807" spans="1:9" hidden="1">
      <c r="A4807" s="1" t="s">
        <v>16778</v>
      </c>
      <c r="B4807" s="1" t="s">
        <v>10</v>
      </c>
      <c r="C4807" s="1" t="s">
        <v>16779</v>
      </c>
      <c r="D4807" s="1" t="s">
        <v>16124</v>
      </c>
      <c r="E4807" s="1" t="s">
        <v>1507</v>
      </c>
      <c r="F4807" s="1" t="s">
        <v>30</v>
      </c>
      <c r="G4807" s="1" t="s">
        <v>16780</v>
      </c>
      <c r="H4807" s="1" t="s">
        <v>1762</v>
      </c>
      <c r="I4807" t="b">
        <f>COUNTIF(Estadísticas!I:I,'centraldecomunicacion.es'!H4807)&gt;0</f>
        <v>0</v>
      </c>
    </row>
    <row r="4808" spans="1:9" hidden="1">
      <c r="A4808" s="1" t="s">
        <v>16781</v>
      </c>
      <c r="B4808" s="1" t="s">
        <v>10</v>
      </c>
      <c r="C4808" s="1" t="s">
        <v>16782</v>
      </c>
      <c r="D4808" s="1" t="s">
        <v>14746</v>
      </c>
      <c r="E4808" s="1" t="s">
        <v>1507</v>
      </c>
      <c r="F4808" s="1" t="s">
        <v>30</v>
      </c>
      <c r="G4808" s="1" t="s">
        <v>30</v>
      </c>
      <c r="H4808" s="1" t="s">
        <v>1762</v>
      </c>
      <c r="I4808" t="b">
        <f>COUNTIF(Estadísticas!I:I,'centraldecomunicacion.es'!H4808)&gt;0</f>
        <v>0</v>
      </c>
    </row>
    <row r="4809" spans="1:9" hidden="1">
      <c r="A4809" s="1" t="s">
        <v>16783</v>
      </c>
      <c r="B4809" s="1" t="s">
        <v>10</v>
      </c>
      <c r="C4809" s="1" t="s">
        <v>16784</v>
      </c>
      <c r="D4809" s="1" t="s">
        <v>14772</v>
      </c>
      <c r="E4809" s="1" t="s">
        <v>1507</v>
      </c>
      <c r="F4809" s="1" t="s">
        <v>30</v>
      </c>
      <c r="G4809" s="1" t="s">
        <v>30</v>
      </c>
      <c r="H4809" s="1" t="s">
        <v>1762</v>
      </c>
      <c r="I4809" t="b">
        <f>COUNTIF(Estadísticas!I:I,'centraldecomunicacion.es'!H4809)&gt;0</f>
        <v>0</v>
      </c>
    </row>
    <row r="4810" spans="1:9" hidden="1">
      <c r="A4810" s="1" t="s">
        <v>16785</v>
      </c>
      <c r="B4810" s="1" t="s">
        <v>10</v>
      </c>
      <c r="C4810" s="1" t="s">
        <v>16786</v>
      </c>
      <c r="D4810" s="1" t="s">
        <v>14746</v>
      </c>
      <c r="E4810" s="1" t="s">
        <v>1507</v>
      </c>
      <c r="F4810" s="1" t="s">
        <v>30</v>
      </c>
      <c r="G4810" s="1" t="s">
        <v>16787</v>
      </c>
      <c r="H4810" s="1" t="s">
        <v>1762</v>
      </c>
      <c r="I4810" t="b">
        <f>COUNTIF(Estadísticas!I:I,'centraldecomunicacion.es'!H4810)&gt;0</f>
        <v>0</v>
      </c>
    </row>
    <row r="4811" spans="1:9" hidden="1">
      <c r="A4811" s="1" t="s">
        <v>16788</v>
      </c>
      <c r="B4811" s="1" t="s">
        <v>18</v>
      </c>
      <c r="C4811" s="1" t="s">
        <v>16789</v>
      </c>
      <c r="D4811" s="1" t="s">
        <v>16336</v>
      </c>
      <c r="E4811" s="1" t="s">
        <v>1507</v>
      </c>
      <c r="F4811" s="1" t="s">
        <v>30</v>
      </c>
      <c r="G4811" s="1" t="s">
        <v>16790</v>
      </c>
      <c r="H4811" s="1" t="s">
        <v>1762</v>
      </c>
      <c r="I4811" t="b">
        <f>COUNTIF(Estadísticas!I:I,'centraldecomunicacion.es'!H4811)&gt;0</f>
        <v>0</v>
      </c>
    </row>
    <row r="4812" spans="1:9" hidden="1">
      <c r="A4812" s="1" t="s">
        <v>16791</v>
      </c>
      <c r="B4812" s="1" t="s">
        <v>10</v>
      </c>
      <c r="C4812" s="1" t="s">
        <v>16792</v>
      </c>
      <c r="D4812" s="1" t="s">
        <v>1700</v>
      </c>
      <c r="E4812" s="1" t="s">
        <v>1507</v>
      </c>
      <c r="F4812" s="1" t="s">
        <v>30</v>
      </c>
      <c r="G4812" s="1" t="s">
        <v>16793</v>
      </c>
      <c r="H4812" s="1" t="s">
        <v>1762</v>
      </c>
      <c r="I4812" t="b">
        <f>COUNTIF(Estadísticas!I:I,'centraldecomunicacion.es'!H4812)&gt;0</f>
        <v>0</v>
      </c>
    </row>
    <row r="4813" spans="1:9" hidden="1">
      <c r="A4813" s="1" t="s">
        <v>16794</v>
      </c>
      <c r="B4813" s="1" t="s">
        <v>10</v>
      </c>
      <c r="C4813" s="1" t="s">
        <v>16795</v>
      </c>
      <c r="D4813" s="1" t="s">
        <v>16502</v>
      </c>
      <c r="E4813" s="1" t="s">
        <v>1507</v>
      </c>
      <c r="F4813" s="1" t="s">
        <v>30</v>
      </c>
      <c r="G4813" s="1" t="s">
        <v>16796</v>
      </c>
      <c r="H4813" s="1" t="s">
        <v>1762</v>
      </c>
      <c r="I4813" t="b">
        <f>COUNTIF(Estadísticas!I:I,'centraldecomunicacion.es'!H4813)&gt;0</f>
        <v>0</v>
      </c>
    </row>
    <row r="4814" spans="1:9" hidden="1">
      <c r="A4814" s="1" t="s">
        <v>16797</v>
      </c>
      <c r="B4814" s="1" t="s">
        <v>10</v>
      </c>
      <c r="C4814" s="1" t="s">
        <v>16798</v>
      </c>
      <c r="D4814" s="1" t="s">
        <v>16603</v>
      </c>
      <c r="E4814" s="1" t="s">
        <v>1507</v>
      </c>
      <c r="F4814" s="1" t="s">
        <v>30</v>
      </c>
      <c r="G4814" s="1" t="s">
        <v>16799</v>
      </c>
      <c r="H4814" s="1" t="s">
        <v>1762</v>
      </c>
      <c r="I4814" t="b">
        <f>COUNTIF(Estadísticas!I:I,'centraldecomunicacion.es'!H4814)&gt;0</f>
        <v>0</v>
      </c>
    </row>
    <row r="4815" spans="1:9" hidden="1">
      <c r="A4815" s="1" t="s">
        <v>16800</v>
      </c>
      <c r="B4815" s="1" t="s">
        <v>10</v>
      </c>
      <c r="C4815" s="1" t="s">
        <v>16801</v>
      </c>
      <c r="D4815" s="1" t="s">
        <v>16802</v>
      </c>
      <c r="E4815" s="1" t="s">
        <v>1507</v>
      </c>
      <c r="F4815" s="1" t="s">
        <v>30</v>
      </c>
      <c r="G4815" s="1" t="s">
        <v>16803</v>
      </c>
      <c r="H4815" s="1" t="s">
        <v>1762</v>
      </c>
      <c r="I4815" t="b">
        <f>COUNTIF(Estadísticas!I:I,'centraldecomunicacion.es'!H4815)&gt;0</f>
        <v>0</v>
      </c>
    </row>
    <row r="4816" spans="1:9" hidden="1">
      <c r="A4816" s="1" t="s">
        <v>16804</v>
      </c>
      <c r="B4816" s="1" t="s">
        <v>10</v>
      </c>
      <c r="C4816" s="1" t="s">
        <v>16805</v>
      </c>
      <c r="D4816" s="1" t="s">
        <v>16485</v>
      </c>
      <c r="E4816" s="1" t="s">
        <v>1507</v>
      </c>
      <c r="F4816" s="1" t="s">
        <v>30</v>
      </c>
      <c r="G4816" s="1" t="s">
        <v>30</v>
      </c>
      <c r="H4816" s="1" t="s">
        <v>1762</v>
      </c>
      <c r="I4816" t="b">
        <f>COUNTIF(Estadísticas!I:I,'centraldecomunicacion.es'!H4816)&gt;0</f>
        <v>0</v>
      </c>
    </row>
    <row r="4817" spans="1:9" hidden="1">
      <c r="A4817" s="1" t="s">
        <v>16806</v>
      </c>
      <c r="B4817" s="1" t="s">
        <v>10</v>
      </c>
      <c r="C4817" s="1" t="s">
        <v>16807</v>
      </c>
      <c r="D4817" s="1" t="s">
        <v>16283</v>
      </c>
      <c r="E4817" s="1" t="s">
        <v>1507</v>
      </c>
      <c r="F4817" s="1" t="s">
        <v>30</v>
      </c>
      <c r="G4817" s="1" t="s">
        <v>30</v>
      </c>
      <c r="H4817" s="1" t="s">
        <v>1762</v>
      </c>
      <c r="I4817" t="b">
        <f>COUNTIF(Estadísticas!I:I,'centraldecomunicacion.es'!H4817)&gt;0</f>
        <v>0</v>
      </c>
    </row>
    <row r="4818" spans="1:9" hidden="1">
      <c r="A4818" s="1" t="s">
        <v>16808</v>
      </c>
      <c r="B4818" s="1" t="s">
        <v>10</v>
      </c>
      <c r="C4818" s="1" t="s">
        <v>16809</v>
      </c>
      <c r="D4818" s="1" t="s">
        <v>16124</v>
      </c>
      <c r="E4818" s="1" t="s">
        <v>1507</v>
      </c>
      <c r="F4818" s="1" t="s">
        <v>30</v>
      </c>
      <c r="G4818" s="1" t="s">
        <v>16810</v>
      </c>
      <c r="H4818" s="1" t="s">
        <v>1762</v>
      </c>
      <c r="I4818" t="b">
        <f>COUNTIF(Estadísticas!I:I,'centraldecomunicacion.es'!H4818)&gt;0</f>
        <v>0</v>
      </c>
    </row>
    <row r="4819" spans="1:9" hidden="1">
      <c r="A4819" s="1" t="s">
        <v>16811</v>
      </c>
      <c r="B4819" s="1" t="s">
        <v>10</v>
      </c>
      <c r="C4819" s="1" t="s">
        <v>16372</v>
      </c>
      <c r="D4819" s="1" t="s">
        <v>16124</v>
      </c>
      <c r="E4819" s="1" t="s">
        <v>1507</v>
      </c>
      <c r="F4819" s="1" t="s">
        <v>30</v>
      </c>
      <c r="G4819" s="1" t="s">
        <v>30</v>
      </c>
      <c r="H4819" s="1" t="s">
        <v>1762</v>
      </c>
      <c r="I4819" t="b">
        <f>COUNTIF(Estadísticas!I:I,'centraldecomunicacion.es'!H4819)&gt;0</f>
        <v>0</v>
      </c>
    </row>
    <row r="4820" spans="1:9" hidden="1">
      <c r="A4820" s="1" t="s">
        <v>16812</v>
      </c>
      <c r="B4820" s="1" t="s">
        <v>10</v>
      </c>
      <c r="C4820" s="1" t="s">
        <v>16813</v>
      </c>
      <c r="D4820" s="1" t="s">
        <v>16124</v>
      </c>
      <c r="E4820" s="1" t="s">
        <v>1507</v>
      </c>
      <c r="F4820" s="1" t="s">
        <v>30</v>
      </c>
      <c r="G4820" s="1" t="s">
        <v>16814</v>
      </c>
      <c r="H4820" s="1" t="s">
        <v>1762</v>
      </c>
      <c r="I4820" t="b">
        <f>COUNTIF(Estadísticas!I:I,'centraldecomunicacion.es'!H4820)&gt;0</f>
        <v>0</v>
      </c>
    </row>
    <row r="4821" spans="1:9" hidden="1">
      <c r="A4821" s="1" t="s">
        <v>16815</v>
      </c>
      <c r="B4821" s="1" t="s">
        <v>10</v>
      </c>
      <c r="C4821" s="1" t="s">
        <v>16816</v>
      </c>
      <c r="D4821" s="1" t="s">
        <v>16124</v>
      </c>
      <c r="E4821" s="1" t="s">
        <v>1507</v>
      </c>
      <c r="F4821" s="1" t="s">
        <v>30</v>
      </c>
      <c r="G4821" s="1" t="s">
        <v>30</v>
      </c>
      <c r="H4821" s="1" t="s">
        <v>1762</v>
      </c>
      <c r="I4821" t="b">
        <f>COUNTIF(Estadísticas!I:I,'centraldecomunicacion.es'!H4821)&gt;0</f>
        <v>0</v>
      </c>
    </row>
    <row r="4822" spans="1:9" hidden="1">
      <c r="A4822" s="1" t="s">
        <v>16817</v>
      </c>
      <c r="B4822" s="1" t="s">
        <v>10</v>
      </c>
      <c r="C4822" s="1" t="s">
        <v>16818</v>
      </c>
      <c r="D4822" s="1" t="s">
        <v>16603</v>
      </c>
      <c r="E4822" s="1" t="s">
        <v>1507</v>
      </c>
      <c r="F4822" s="1" t="s">
        <v>30</v>
      </c>
      <c r="G4822" s="1" t="s">
        <v>16819</v>
      </c>
      <c r="H4822" s="1" t="s">
        <v>1762</v>
      </c>
      <c r="I4822" t="b">
        <f>COUNTIF(Estadísticas!I:I,'centraldecomunicacion.es'!H4822)&gt;0</f>
        <v>0</v>
      </c>
    </row>
    <row r="4823" spans="1:9" hidden="1">
      <c r="A4823" s="1" t="s">
        <v>16820</v>
      </c>
      <c r="B4823" s="1" t="s">
        <v>10</v>
      </c>
      <c r="C4823" s="1" t="s">
        <v>16821</v>
      </c>
      <c r="D4823" s="1" t="s">
        <v>1722</v>
      </c>
      <c r="E4823" s="1" t="s">
        <v>1507</v>
      </c>
      <c r="F4823" s="1" t="s">
        <v>16822</v>
      </c>
      <c r="G4823" s="1" t="s">
        <v>16823</v>
      </c>
      <c r="H4823" s="1" t="s">
        <v>16824</v>
      </c>
      <c r="I4823" t="b">
        <f>COUNTIF(Estadísticas!I:I,'centraldecomunicacion.es'!H4823)&gt;0</f>
        <v>0</v>
      </c>
    </row>
    <row r="4824" spans="1:9" hidden="1">
      <c r="A4824" s="1" t="s">
        <v>16825</v>
      </c>
      <c r="B4824" s="1" t="s">
        <v>10</v>
      </c>
      <c r="C4824" s="1" t="s">
        <v>16826</v>
      </c>
      <c r="D4824" s="1" t="s">
        <v>16124</v>
      </c>
      <c r="E4824" s="1" t="s">
        <v>1507</v>
      </c>
      <c r="F4824" s="1" t="s">
        <v>30</v>
      </c>
      <c r="G4824" s="1" t="s">
        <v>30</v>
      </c>
      <c r="H4824" s="1" t="s">
        <v>1762</v>
      </c>
      <c r="I4824" t="b">
        <f>COUNTIF(Estadísticas!I:I,'centraldecomunicacion.es'!H4824)&gt;0</f>
        <v>0</v>
      </c>
    </row>
    <row r="4825" spans="1:9" hidden="1">
      <c r="A4825" s="1" t="s">
        <v>16827</v>
      </c>
      <c r="B4825" s="1" t="s">
        <v>10</v>
      </c>
      <c r="C4825" s="1" t="s">
        <v>16828</v>
      </c>
      <c r="D4825" s="1" t="s">
        <v>16829</v>
      </c>
      <c r="E4825" s="1" t="s">
        <v>1507</v>
      </c>
      <c r="F4825" s="1" t="s">
        <v>30</v>
      </c>
      <c r="G4825" s="1" t="s">
        <v>16830</v>
      </c>
      <c r="H4825" s="1" t="s">
        <v>1762</v>
      </c>
      <c r="I4825" t="b">
        <f>COUNTIF(Estadísticas!I:I,'centraldecomunicacion.es'!H4825)&gt;0</f>
        <v>0</v>
      </c>
    </row>
    <row r="4826" spans="1:9" hidden="1">
      <c r="A4826" s="1" t="s">
        <v>16831</v>
      </c>
      <c r="B4826" s="1" t="s">
        <v>10</v>
      </c>
      <c r="C4826" s="1" t="s">
        <v>16832</v>
      </c>
      <c r="D4826" s="1" t="s">
        <v>16833</v>
      </c>
      <c r="E4826" s="1" t="s">
        <v>1507</v>
      </c>
      <c r="F4826" s="1" t="s">
        <v>30</v>
      </c>
      <c r="G4826" s="1" t="s">
        <v>30</v>
      </c>
      <c r="H4826" s="1" t="s">
        <v>1762</v>
      </c>
      <c r="I4826" t="b">
        <f>COUNTIF(Estadísticas!I:I,'centraldecomunicacion.es'!H4826)&gt;0</f>
        <v>0</v>
      </c>
    </row>
    <row r="4827" spans="1:9" hidden="1">
      <c r="A4827" s="1" t="s">
        <v>16834</v>
      </c>
      <c r="B4827" s="1" t="s">
        <v>10</v>
      </c>
      <c r="C4827" s="1" t="s">
        <v>30</v>
      </c>
      <c r="D4827" s="1" t="s">
        <v>16408</v>
      </c>
      <c r="E4827" s="1" t="s">
        <v>30</v>
      </c>
      <c r="F4827" s="1" t="s">
        <v>30</v>
      </c>
      <c r="G4827" s="1" t="s">
        <v>16835</v>
      </c>
      <c r="H4827" s="1" t="s">
        <v>1762</v>
      </c>
      <c r="I4827" t="b">
        <f>COUNTIF(Estadísticas!I:I,'centraldecomunicacion.es'!H4827)&gt;0</f>
        <v>0</v>
      </c>
    </row>
    <row r="4828" spans="1:9" hidden="1">
      <c r="A4828" s="1" t="s">
        <v>16836</v>
      </c>
      <c r="B4828" s="1" t="s">
        <v>10</v>
      </c>
      <c r="C4828" s="1" t="s">
        <v>16837</v>
      </c>
      <c r="D4828" s="1" t="s">
        <v>16466</v>
      </c>
      <c r="E4828" s="1" t="s">
        <v>1507</v>
      </c>
      <c r="F4828" s="1" t="s">
        <v>30</v>
      </c>
      <c r="G4828" s="1" t="s">
        <v>16838</v>
      </c>
      <c r="H4828" s="1" t="s">
        <v>1762</v>
      </c>
      <c r="I4828" t="b">
        <f>COUNTIF(Estadísticas!I:I,'centraldecomunicacion.es'!H4828)&gt;0</f>
        <v>0</v>
      </c>
    </row>
    <row r="4829" spans="1:9" hidden="1">
      <c r="A4829" s="1" t="s">
        <v>16839</v>
      </c>
      <c r="B4829" s="1" t="s">
        <v>10</v>
      </c>
      <c r="C4829" s="1" t="s">
        <v>16840</v>
      </c>
      <c r="D4829" s="1" t="s">
        <v>1662</v>
      </c>
      <c r="E4829" s="1" t="s">
        <v>1507</v>
      </c>
      <c r="F4829" s="1" t="s">
        <v>30</v>
      </c>
      <c r="G4829" s="1" t="s">
        <v>16841</v>
      </c>
      <c r="H4829" s="1" t="s">
        <v>1762</v>
      </c>
      <c r="I4829" t="b">
        <f>COUNTIF(Estadísticas!I:I,'centraldecomunicacion.es'!H4829)&gt;0</f>
        <v>0</v>
      </c>
    </row>
    <row r="4830" spans="1:9" hidden="1">
      <c r="A4830" s="1" t="s">
        <v>16842</v>
      </c>
      <c r="B4830" s="1" t="s">
        <v>10</v>
      </c>
      <c r="C4830" s="1" t="s">
        <v>16843</v>
      </c>
      <c r="D4830" s="1" t="s">
        <v>1722</v>
      </c>
      <c r="E4830" s="1" t="s">
        <v>1507</v>
      </c>
      <c r="F4830" s="1" t="s">
        <v>30</v>
      </c>
      <c r="G4830" s="1" t="s">
        <v>30</v>
      </c>
      <c r="H4830" s="1" t="s">
        <v>1762</v>
      </c>
      <c r="I4830" t="b">
        <f>COUNTIF(Estadísticas!I:I,'centraldecomunicacion.es'!H4830)&gt;0</f>
        <v>0</v>
      </c>
    </row>
    <row r="4831" spans="1:9" hidden="1">
      <c r="A4831" s="1" t="s">
        <v>16844</v>
      </c>
      <c r="B4831" s="1" t="s">
        <v>10</v>
      </c>
      <c r="C4831" s="1" t="s">
        <v>16845</v>
      </c>
      <c r="D4831" s="1" t="s">
        <v>16336</v>
      </c>
      <c r="E4831" s="1" t="s">
        <v>1507</v>
      </c>
      <c r="F4831" s="1" t="s">
        <v>30</v>
      </c>
      <c r="G4831" s="1" t="s">
        <v>16846</v>
      </c>
      <c r="H4831" s="1" t="s">
        <v>1762</v>
      </c>
      <c r="I4831" t="b">
        <f>COUNTIF(Estadísticas!I:I,'centraldecomunicacion.es'!H4831)&gt;0</f>
        <v>0</v>
      </c>
    </row>
    <row r="4832" spans="1:9" hidden="1">
      <c r="A4832" s="1" t="s">
        <v>16847</v>
      </c>
      <c r="B4832" s="1" t="s">
        <v>18</v>
      </c>
      <c r="C4832" s="1" t="s">
        <v>16848</v>
      </c>
      <c r="D4832" s="1" t="s">
        <v>1728</v>
      </c>
      <c r="E4832" s="1" t="s">
        <v>1507</v>
      </c>
      <c r="F4832" s="1" t="s">
        <v>30</v>
      </c>
      <c r="G4832" s="1" t="s">
        <v>16849</v>
      </c>
      <c r="H4832" s="1" t="s">
        <v>1762</v>
      </c>
      <c r="I4832" t="b">
        <f>COUNTIF(Estadísticas!I:I,'centraldecomunicacion.es'!H4832)&gt;0</f>
        <v>0</v>
      </c>
    </row>
    <row r="4833" spans="1:9" hidden="1">
      <c r="A4833" s="1" t="s">
        <v>16850</v>
      </c>
      <c r="B4833" s="1" t="s">
        <v>10</v>
      </c>
      <c r="C4833" s="1" t="s">
        <v>16851</v>
      </c>
      <c r="D4833" s="1" t="s">
        <v>16357</v>
      </c>
      <c r="E4833" s="1" t="s">
        <v>1507</v>
      </c>
      <c r="F4833" s="1" t="s">
        <v>16852</v>
      </c>
      <c r="G4833" s="1" t="s">
        <v>16853</v>
      </c>
      <c r="H4833" s="1" t="s">
        <v>16854</v>
      </c>
      <c r="I4833" t="b">
        <f>COUNTIF(Estadísticas!I:I,'centraldecomunicacion.es'!H4833)&gt;0</f>
        <v>0</v>
      </c>
    </row>
    <row r="4834" spans="1:9" hidden="1">
      <c r="A4834" s="1" t="s">
        <v>16855</v>
      </c>
      <c r="B4834" s="1" t="s">
        <v>10</v>
      </c>
      <c r="C4834" s="1" t="s">
        <v>16856</v>
      </c>
      <c r="D4834" s="1" t="s">
        <v>16857</v>
      </c>
      <c r="E4834" s="1" t="s">
        <v>7090</v>
      </c>
      <c r="F4834" s="1" t="s">
        <v>30</v>
      </c>
      <c r="G4834" s="1" t="s">
        <v>16858</v>
      </c>
      <c r="H4834" s="1" t="s">
        <v>1762</v>
      </c>
      <c r="I4834" t="b">
        <f>COUNTIF(Estadísticas!I:I,'centraldecomunicacion.es'!H4834)&gt;0</f>
        <v>0</v>
      </c>
    </row>
    <row r="4835" spans="1:9" hidden="1">
      <c r="A4835" s="1" t="s">
        <v>16859</v>
      </c>
      <c r="B4835" s="1" t="s">
        <v>10</v>
      </c>
      <c r="C4835" s="1" t="s">
        <v>16860</v>
      </c>
      <c r="D4835" s="1" t="s">
        <v>16041</v>
      </c>
      <c r="E4835" s="1" t="s">
        <v>945</v>
      </c>
      <c r="F4835" s="1" t="s">
        <v>16861</v>
      </c>
      <c r="G4835" s="1" t="s">
        <v>16862</v>
      </c>
      <c r="H4835" s="1" t="s">
        <v>16863</v>
      </c>
      <c r="I4835" t="b">
        <f>COUNTIF(Estadísticas!I:I,'centraldecomunicacion.es'!H4835)&gt;0</f>
        <v>0</v>
      </c>
    </row>
    <row r="4836" spans="1:9" hidden="1">
      <c r="A4836" s="1" t="s">
        <v>16864</v>
      </c>
      <c r="B4836" s="1" t="s">
        <v>10</v>
      </c>
      <c r="C4836" s="1" t="s">
        <v>16865</v>
      </c>
      <c r="D4836" s="1" t="s">
        <v>16866</v>
      </c>
      <c r="E4836" s="1" t="s">
        <v>1507</v>
      </c>
      <c r="F4836" s="1" t="s">
        <v>30</v>
      </c>
      <c r="G4836" s="1" t="s">
        <v>30</v>
      </c>
      <c r="H4836" s="1" t="s">
        <v>1762</v>
      </c>
      <c r="I4836" t="b">
        <f>COUNTIF(Estadísticas!I:I,'centraldecomunicacion.es'!H4836)&gt;0</f>
        <v>0</v>
      </c>
    </row>
    <row r="4837" spans="1:9">
      <c r="A4837" s="1" t="s">
        <v>1754</v>
      </c>
      <c r="B4837" s="1" t="s">
        <v>10</v>
      </c>
      <c r="C4837" s="1" t="s">
        <v>1755</v>
      </c>
      <c r="D4837" s="1" t="s">
        <v>1756</v>
      </c>
      <c r="E4837" s="1" t="s">
        <v>667</v>
      </c>
      <c r="F4837" s="1" t="s">
        <v>1757</v>
      </c>
      <c r="G4837" s="1" t="s">
        <v>30</v>
      </c>
      <c r="H4837" s="1" t="s">
        <v>1758</v>
      </c>
      <c r="I4837" t="b">
        <f>COUNTIF(Estadísticas!I:I,'centraldecomunicacion.es'!H4837)&gt;0</f>
        <v>1</v>
      </c>
    </row>
  </sheetData>
  <autoFilter ref="A1:I4837" xr:uid="{A4B571EA-D256-48E9-B2C5-F55D99D23F39}">
    <filterColumn colId="8">
      <filters>
        <filter val="VERDADERO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6422-D68B-40D0-8480-5B13A55D7A8C}">
  <dimension ref="A1:I882"/>
  <sheetViews>
    <sheetView workbookViewId="0">
      <selection activeCell="I2" sqref="I2"/>
    </sheetView>
  </sheetViews>
  <sheetFormatPr defaultColWidth="11.42578125" defaultRowHeight="14.45"/>
  <cols>
    <col min="1" max="1" width="22" customWidth="1"/>
    <col min="2" max="2" width="27.7109375" customWidth="1"/>
    <col min="3" max="3" width="16.5703125" customWidth="1"/>
    <col min="4" max="4" width="21.85546875" customWidth="1"/>
    <col min="5" max="5" width="22.140625" customWidth="1"/>
    <col min="6" max="6" width="39" customWidth="1"/>
    <col min="7" max="7" width="28.85546875" customWidth="1"/>
    <col min="8" max="8" width="69.5703125" bestFit="1" customWidth="1"/>
    <col min="9" max="9" width="45.7109375" bestFit="1" customWidth="1"/>
  </cols>
  <sheetData>
    <row r="1" spans="1:9" s="4" customFormat="1">
      <c r="A1" s="4" t="s">
        <v>16867</v>
      </c>
      <c r="B1" s="4" t="s">
        <v>16868</v>
      </c>
      <c r="C1" s="4" t="s">
        <v>16869</v>
      </c>
      <c r="D1" s="4" t="s">
        <v>16870</v>
      </c>
      <c r="E1" s="4" t="s">
        <v>16871</v>
      </c>
      <c r="F1" s="4" t="s">
        <v>16872</v>
      </c>
      <c r="G1" s="4" t="s">
        <v>16873</v>
      </c>
      <c r="H1" s="4" t="s">
        <v>16874</v>
      </c>
      <c r="I1" s="4" t="s">
        <v>16875</v>
      </c>
    </row>
    <row r="2" spans="1:9" ht="15">
      <c r="A2">
        <f ca="1">COUNTIF('centraldecomunicacion.es'!A2:'centraldecomunicacion.es'!A19470,"*")</f>
        <v>4836</v>
      </c>
      <c r="B2">
        <f ca="1">COUNTIF('centraldecomunicacion.es'!H2:'centraldecomunicacion.es'!H19470,"*@*")</f>
        <v>1124</v>
      </c>
      <c r="C2">
        <f ca="1">COUNTIF('centraldecomunicacion.es'!F2:'centraldecomunicacion.es'!F19470,"*.*")</f>
        <v>1957</v>
      </c>
      <c r="D2">
        <f ca="1">COUNTIF('centraldecomunicacion.es'!G2:'centraldecomunicacion.es'!G19470,"6*")+COUNTIF('centraldecomunicacion.es'!G2:'centraldecomunicacion.es'!G19470,"9*")</f>
        <v>3997</v>
      </c>
      <c r="E2">
        <f ca="1">COUNTIF('centraldecomunicacion.es'!G2:'centraldecomunicacion.es'!G19470,"9*")</f>
        <v>2116</v>
      </c>
      <c r="F2">
        <f ca="1">COUNTIF('centraldecomunicacion.es'!G2:'centraldecomunicacion.es'!G19470,"6*")</f>
        <v>1881</v>
      </c>
      <c r="G2" t="str" cm="1">
        <f t="array" aca="1" ref="G2:G5" ca="1">_xlfn.UNIQUE('centraldecomunicacion.es'!B2:'centraldecomunicacion.es'!B19470)</f>
        <v>Fontanero</v>
      </c>
      <c r="H2" t="str" cm="1">
        <f t="array" aca="1" ref="H2:H882" ca="1">_xlfn.UNIQUE('centraldecomunicacion.es'!H2:'centraldecomunicacion.es'!H19470)</f>
        <v>-</v>
      </c>
      <c r="I2" s="5" t="s">
        <v>16</v>
      </c>
    </row>
    <row r="3" spans="1:9" ht="15">
      <c r="G3" t="str">
        <f ca="1"/>
        <v>Tienda de artículos de fontanería</v>
      </c>
      <c r="H3" t="str">
        <f ca="1"/>
        <v>info@aquagasalmeria.es</v>
      </c>
      <c r="I3" s="5" t="s">
        <v>22</v>
      </c>
    </row>
    <row r="4" spans="1:9" ht="15">
      <c r="G4" t="str">
        <f ca="1"/>
        <v>Fontanería</v>
      </c>
      <c r="H4" t="str">
        <f ca="1"/>
        <v>info@fontaneriaignaciogonzalez.es</v>
      </c>
      <c r="I4" s="5" t="s">
        <v>28</v>
      </c>
    </row>
    <row r="5" spans="1:9" ht="15">
      <c r="G5">
        <f ca="1"/>
        <v>0</v>
      </c>
      <c r="H5" t="str">
        <f ca="1"/>
        <v>a36b86319e6542838a534122c8870e3f@sentry.qdqmedia.com</v>
      </c>
      <c r="I5" s="5" t="s">
        <v>34</v>
      </c>
    </row>
    <row r="6" spans="1:9" ht="15">
      <c r="H6" t="str">
        <f ca="1"/>
        <v>jlorenzofernandez32@gmail.com</v>
      </c>
      <c r="I6" s="5" t="s">
        <v>40</v>
      </c>
    </row>
    <row r="7" spans="1:9" ht="15">
      <c r="H7" t="str">
        <f ca="1"/>
        <v>cial@rotrisa.com</v>
      </c>
      <c r="I7" s="5" t="s">
        <v>45</v>
      </c>
    </row>
    <row r="8" spans="1:9" ht="15">
      <c r="H8" t="str">
        <f ca="1"/>
        <v>tinfo@fontaneroszapillo.com</v>
      </c>
      <c r="I8" s="5" t="s">
        <v>50</v>
      </c>
    </row>
    <row r="9" spans="1:9" ht="15">
      <c r="H9" t="str">
        <f ca="1"/>
        <v>info@serviciosfernandez.es</v>
      </c>
      <c r="I9" s="5" t="s">
        <v>56</v>
      </c>
    </row>
    <row r="10" spans="1:9" ht="15">
      <c r="H10" t="str">
        <f ca="1"/>
        <v>ventas@valsan.es</v>
      </c>
      <c r="I10" s="5" t="s">
        <v>62</v>
      </c>
    </row>
    <row r="11" spans="1:9" ht="15">
      <c r="H11" t="str">
        <f ca="1"/>
        <v>info@grupovico.com</v>
      </c>
      <c r="I11" s="5" t="s">
        <v>68</v>
      </c>
    </row>
    <row r="12" spans="1:9" ht="15">
      <c r="H12" t="str">
        <f ca="1"/>
        <v>Contacto@servicioshogaralmeria.es</v>
      </c>
      <c r="I12" s="5" t="s">
        <v>73</v>
      </c>
    </row>
    <row r="13" spans="1:9" ht="15">
      <c r="H13" t="str">
        <f ca="1"/>
        <v>core-js-bundle@3.2.1</v>
      </c>
      <c r="I13" s="5" t="s">
        <v>78</v>
      </c>
    </row>
    <row r="14" spans="1:9" ht="15">
      <c r="H14" t="str">
        <f ca="1"/>
        <v>rafaellopez@rlopezm.com</v>
      </c>
      <c r="I14" s="5" t="s">
        <v>84</v>
      </c>
    </row>
    <row r="15" spans="1:9" ht="15">
      <c r="H15" t="str">
        <f ca="1"/>
        <v>servicios@schogar.com</v>
      </c>
      <c r="I15" s="5" t="s">
        <v>90</v>
      </c>
    </row>
    <row r="16" spans="1:9" ht="15">
      <c r="H16" t="str">
        <f ca="1"/>
        <v>web@fontarboleas.es</v>
      </c>
      <c r="I16" s="5" t="s">
        <v>96</v>
      </c>
    </row>
    <row r="17" spans="8:9" ht="15">
      <c r="H17" t="str">
        <f ca="1"/>
        <v>fontaclima@hotmail.es</v>
      </c>
      <c r="I17" s="5" t="s">
        <v>101</v>
      </c>
    </row>
    <row r="18" spans="8:9" ht="15">
      <c r="H18" t="str">
        <f ca="1"/>
        <v>tienda@fontanericabello.es</v>
      </c>
      <c r="I18" s="5" t="s">
        <v>105</v>
      </c>
    </row>
    <row r="19" spans="8:9" ht="15">
      <c r="H19" t="str">
        <f ca="1"/>
        <v>altamiranosl@live.com</v>
      </c>
      <c r="I19" s="5" t="s">
        <v>111</v>
      </c>
    </row>
    <row r="20" spans="8:9" ht="15">
      <c r="H20" t="str">
        <f ca="1"/>
        <v>jose.m.sanchez.paya@gmail.com</v>
      </c>
      <c r="I20" s="5" t="s">
        <v>117</v>
      </c>
    </row>
    <row r="21" spans="8:9" ht="15">
      <c r="H21" t="str">
        <f ca="1"/>
        <v>info@fontaneriaramirez.com</v>
      </c>
      <c r="I21" s="5" t="s">
        <v>123</v>
      </c>
    </row>
    <row r="22" spans="8:9" ht="15">
      <c r="H22" t="str">
        <f ca="1"/>
        <v>info@desatascoskoysa.es</v>
      </c>
      <c r="I22" s="5" t="s">
        <v>129</v>
      </c>
    </row>
    <row r="23" spans="8:9" ht="15">
      <c r="H23" t="str">
        <f ca="1"/>
        <v>symisur@symisur.com</v>
      </c>
      <c r="I23" s="5" t="s">
        <v>133</v>
      </c>
    </row>
    <row r="24" spans="8:9" ht="15">
      <c r="H24" t="str">
        <f ca="1"/>
        <v>info@atasreparaciones.es</v>
      </c>
      <c r="I24" s="5" t="s">
        <v>138</v>
      </c>
    </row>
    <row r="25" spans="8:9" ht="15">
      <c r="H25" t="str">
        <f ca="1"/>
        <v>suinprosur@suinprosur.es</v>
      </c>
      <c r="I25" s="5" t="s">
        <v>144</v>
      </c>
    </row>
    <row r="26" spans="8:9" ht="15">
      <c r="H26" t="str">
        <f ca="1"/>
        <v>info@tubesan.com</v>
      </c>
      <c r="I26" s="5" t="s">
        <v>149</v>
      </c>
    </row>
    <row r="27" spans="8:9" ht="15">
      <c r="H27" t="str">
        <f ca="1"/>
        <v>info@fontanerosencadiz.es</v>
      </c>
      <c r="I27" s="5" t="s">
        <v>155</v>
      </c>
    </row>
    <row r="28" spans="8:9" ht="15">
      <c r="H28" t="str">
        <f ca="1"/>
        <v>desatascosomega@gmail.com</v>
      </c>
      <c r="I28" s="5" t="s">
        <v>161</v>
      </c>
    </row>
    <row r="29" spans="8:9" ht="15">
      <c r="H29" t="str">
        <f ca="1"/>
        <v>sejilo1@yahoo.es</v>
      </c>
      <c r="I29" s="5" t="s">
        <v>167</v>
      </c>
    </row>
    <row r="30" spans="8:9" ht="15">
      <c r="H30" t="str">
        <f ca="1"/>
        <v>john@doe.com</v>
      </c>
      <c r="I30" s="5" t="s">
        <v>174</v>
      </c>
    </row>
    <row r="31" spans="8:9" ht="15">
      <c r="H31" t="str">
        <f ca="1"/>
        <v>license@prestashop.com</v>
      </c>
      <c r="I31" s="5" t="s">
        <v>180</v>
      </c>
    </row>
    <row r="32" spans="8:9" ht="15">
      <c r="H32" t="str">
        <f ca="1"/>
        <v>info@fontaliaiberica.es</v>
      </c>
      <c r="I32" s="5" t="s">
        <v>186</v>
      </c>
    </row>
    <row r="33" spans="8:9" ht="15">
      <c r="H33" t="str">
        <f ca="1"/>
        <v>info@fontaneriacanalejosanchez.com</v>
      </c>
      <c r="I33" s="5" t="s">
        <v>191</v>
      </c>
    </row>
    <row r="34" spans="8:9" ht="15">
      <c r="H34" t="str">
        <f ca="1"/>
        <v>fugascor@gmail.com</v>
      </c>
      <c r="I34" s="5" t="s">
        <v>197</v>
      </c>
    </row>
    <row r="35" spans="8:9" ht="15">
      <c r="H35" t="str">
        <f ca="1"/>
        <v>info@procoim.es</v>
      </c>
      <c r="I35" s="5" t="s">
        <v>203</v>
      </c>
    </row>
    <row r="36" spans="8:9" ht="15">
      <c r="H36" t="str">
        <f ca="1"/>
        <v>info@desatascosecosur.es</v>
      </c>
      <c r="I36" s="5" t="s">
        <v>208</v>
      </c>
    </row>
    <row r="37" spans="8:9" ht="15">
      <c r="H37" t="str">
        <f ca="1"/>
        <v>info@aefico.com</v>
      </c>
      <c r="I37" s="5" t="s">
        <v>214</v>
      </c>
    </row>
    <row r="38" spans="8:9" ht="15">
      <c r="H38" t="str">
        <f ca="1"/>
        <v>info@saneamientosarroyobarroso.es</v>
      </c>
      <c r="I38" s="5" t="s">
        <v>220</v>
      </c>
    </row>
    <row r="39" spans="8:9" ht="15">
      <c r="H39" t="str">
        <f ca="1"/>
        <v>comercial@marcosgamero.com</v>
      </c>
      <c r="I39" s="5" t="s">
        <v>226</v>
      </c>
    </row>
    <row r="40" spans="8:9" ht="15">
      <c r="H40" t="str">
        <f ca="1"/>
        <v>esmebra@esmebra.com</v>
      </c>
      <c r="I40" s="5" t="s">
        <v>232</v>
      </c>
    </row>
    <row r="41" spans="8:9" ht="15">
      <c r="H41" t="str">
        <f ca="1"/>
        <v>info@mantenimientosjara.com</v>
      </c>
      <c r="I41" s="5" t="s">
        <v>237</v>
      </c>
    </row>
    <row r="42" spans="8:9" ht="15">
      <c r="H42" t="str">
        <f ca="1"/>
        <v>info@mangecor.com</v>
      </c>
      <c r="I42" s="5" t="s">
        <v>242</v>
      </c>
    </row>
    <row r="43" spans="8:9" ht="15">
      <c r="H43" t="str">
        <f ca="1"/>
        <v>administracion@san6cordoba.es</v>
      </c>
      <c r="I43" s="5" t="s">
        <v>247</v>
      </c>
    </row>
    <row r="44" spans="8:9" ht="15">
      <c r="H44" t="str">
        <f ca="1"/>
        <v>resimar@telefonica.net</v>
      </c>
      <c r="I44" s="5" t="s">
        <v>252</v>
      </c>
    </row>
    <row r="45" spans="8:9" ht="15">
      <c r="H45" t="str">
        <f ca="1"/>
        <v>info@fontanerocordoba.com</v>
      </c>
      <c r="I45" s="5" t="s">
        <v>257</v>
      </c>
    </row>
    <row r="46" spans="8:9" ht="15">
      <c r="H46" t="str">
        <f ca="1"/>
        <v>info@fontamania.com</v>
      </c>
      <c r="I46" s="5" t="s">
        <v>263</v>
      </c>
    </row>
    <row r="47" spans="8:9" ht="15">
      <c r="H47" t="str">
        <f ca="1"/>
        <v>info@desatascospuma.com</v>
      </c>
      <c r="I47" s="5" t="s">
        <v>269</v>
      </c>
    </row>
    <row r="48" spans="8:9" ht="15">
      <c r="H48" t="str">
        <f ca="1"/>
        <v>johndoe@domain.com</v>
      </c>
      <c r="I48" s="5" t="s">
        <v>274</v>
      </c>
    </row>
    <row r="49" spans="8:9" ht="15">
      <c r="H49" t="str">
        <f ca="1"/>
        <v>info@gruporafaelpuntas.com</v>
      </c>
      <c r="I49" s="5" t="s">
        <v>280</v>
      </c>
    </row>
    <row r="50" spans="8:9" ht="15">
      <c r="H50" t="str">
        <f ca="1"/>
        <v>fontaneriaygasandalucia@gmail.com</v>
      </c>
      <c r="I50" s="5" t="s">
        <v>285</v>
      </c>
    </row>
    <row r="51" spans="8:9" ht="15">
      <c r="H51" t="str">
        <f ca="1"/>
        <v>info@saneamador.es</v>
      </c>
      <c r="I51" s="5" t="s">
        <v>291</v>
      </c>
    </row>
    <row r="52" spans="8:9" ht="15">
      <c r="H52" t="str">
        <f ca="1"/>
        <v>info@desatascosromero.es</v>
      </c>
      <c r="I52" s="5" t="s">
        <v>297</v>
      </c>
    </row>
    <row r="53" spans="8:9" ht="15">
      <c r="H53" t="str">
        <f ca="1"/>
        <v>sanealuque@hotmail.com</v>
      </c>
      <c r="I53" s="5" t="s">
        <v>303</v>
      </c>
    </row>
    <row r="54" spans="8:9" ht="15">
      <c r="H54" t="str">
        <f ca="1"/>
        <v>info@fontanerialucena.com</v>
      </c>
      <c r="I54" s="5" t="s">
        <v>309</v>
      </c>
    </row>
    <row r="55" spans="8:9" ht="15">
      <c r="H55" t="str">
        <f ca="1"/>
        <v>canalcor@hotmail.com</v>
      </c>
      <c r="I55" s="5" t="s">
        <v>315</v>
      </c>
    </row>
    <row r="56" spans="8:9" ht="15">
      <c r="H56" t="str">
        <f ca="1"/>
        <v>info@tuvalsur.com</v>
      </c>
      <c r="I56" s="5" t="s">
        <v>320</v>
      </c>
    </row>
    <row r="57" spans="8:9" ht="15">
      <c r="H57" t="str">
        <f ca="1"/>
        <v>fontarosas.l@hotmail.com</v>
      </c>
      <c r="I57" s="5" t="s">
        <v>327</v>
      </c>
    </row>
    <row r="58" spans="8:9" ht="15">
      <c r="H58" t="str">
        <f ca="1"/>
        <v>carlos@orejuelainstalaciones.com</v>
      </c>
      <c r="I58" s="5" t="s">
        <v>332</v>
      </c>
    </row>
    <row r="59" spans="8:9" ht="15">
      <c r="H59" t="str">
        <f ca="1"/>
        <v>info@fontaneroslucena.com</v>
      </c>
      <c r="I59" s="5" t="s">
        <v>337</v>
      </c>
    </row>
    <row r="60" spans="8:9" ht="15">
      <c r="H60" t="str">
        <f ca="1"/>
        <v>revestimiento@revestimientosjulio.es</v>
      </c>
      <c r="I60" s="5" t="s">
        <v>342</v>
      </c>
    </row>
    <row r="61" spans="8:9" ht="15">
      <c r="H61" t="str">
        <f ca="1"/>
        <v>fontaneroscordoba@gmail.com</v>
      </c>
      <c r="I61" s="5" t="s">
        <v>347</v>
      </c>
    </row>
    <row r="62" spans="8:9" ht="15">
      <c r="H62" t="str">
        <f ca="1"/>
        <v>jramonruizcastro@gmail.com</v>
      </c>
      <c r="I62" s="5" t="s">
        <v>352</v>
      </c>
    </row>
    <row r="63" spans="8:9" ht="15">
      <c r="H63" t="str">
        <f ca="1"/>
        <v>smlyutus@gmail.com</v>
      </c>
      <c r="I63" s="5" t="s">
        <v>357</v>
      </c>
    </row>
    <row r="64" spans="8:9" ht="15">
      <c r="H64" t="str">
        <f ca="1"/>
        <v>info@desabeco24hrs.com</v>
      </c>
      <c r="I64" s="5" t="s">
        <v>362</v>
      </c>
    </row>
    <row r="65" spans="8:9" ht="15">
      <c r="H65" t="str">
        <f ca="1"/>
        <v>info@aquagasgranada.es</v>
      </c>
      <c r="I65" s="5" t="s">
        <v>367</v>
      </c>
    </row>
    <row r="66" spans="8:9" ht="15">
      <c r="H66" t="str">
        <f ca="1"/>
        <v>antoniobenitezt@telefonica.net</v>
      </c>
      <c r="I66" s="5" t="s">
        <v>372</v>
      </c>
    </row>
    <row r="67" spans="8:9" ht="15">
      <c r="H67" t="str">
        <f ca="1"/>
        <v>info@desatranquessierranevada.com</v>
      </c>
      <c r="I67" s="5" t="s">
        <v>377</v>
      </c>
    </row>
    <row r="68" spans="8:9" ht="15">
      <c r="H68" t="str">
        <f ca="1"/>
        <v>info@valtusa.es</v>
      </c>
      <c r="I68" s="5" t="s">
        <v>382</v>
      </c>
    </row>
    <row r="69" spans="8:9" ht="15">
      <c r="H69" t="str">
        <f ca="1"/>
        <v>gestion@desatranquesfernando.es</v>
      </c>
      <c r="I69" s="5" t="s">
        <v>387</v>
      </c>
    </row>
    <row r="70" spans="8:9" ht="15">
      <c r="H70" t="str">
        <f ca="1"/>
        <v>sergioreyesye@gmail.com</v>
      </c>
      <c r="I70" s="5" t="s">
        <v>392</v>
      </c>
    </row>
    <row r="71" spans="8:9" ht="15">
      <c r="H71" t="str">
        <f ca="1"/>
        <v>desatranquessierranevada@gmail.com</v>
      </c>
      <c r="I71" s="5" t="s">
        <v>397</v>
      </c>
    </row>
    <row r="72" spans="8:9" ht="15">
      <c r="H72" t="str">
        <f ca="1"/>
        <v>carlos@todofontaneria.com</v>
      </c>
      <c r="I72" s="5" t="s">
        <v>402</v>
      </c>
    </row>
    <row r="73" spans="8:9" ht="15">
      <c r="H73" t="str">
        <f ca="1"/>
        <v>instalacionesfontadur@gmail.com</v>
      </c>
      <c r="I73" s="5" t="s">
        <v>407</v>
      </c>
    </row>
    <row r="74" spans="8:9" ht="15">
      <c r="H74" t="str">
        <f ca="1"/>
        <v>reparaciones@reparacionesdhogar.com</v>
      </c>
      <c r="I74" s="5" t="s">
        <v>412</v>
      </c>
    </row>
    <row r="75" spans="8:9" ht="15">
      <c r="H75" t="str">
        <f ca="1"/>
        <v>info@gestigra.com</v>
      </c>
      <c r="I75" s="5" t="s">
        <v>417</v>
      </c>
    </row>
    <row r="76" spans="8:9" ht="15">
      <c r="H76" t="str">
        <f ca="1"/>
        <v>info@iminstalaciones.com</v>
      </c>
      <c r="I76" s="5" t="s">
        <v>423</v>
      </c>
    </row>
    <row r="77" spans="8:9" ht="15">
      <c r="H77" t="str">
        <f ca="1"/>
        <v>fontaonuba@fontaonuba.es</v>
      </c>
      <c r="I77" s="5" t="s">
        <v>429</v>
      </c>
    </row>
    <row r="78" spans="8:9" ht="15">
      <c r="H78" t="str">
        <f ca="1"/>
        <v>desarrollo@webhoy.es</v>
      </c>
      <c r="I78" s="5" t="s">
        <v>436</v>
      </c>
    </row>
    <row r="79" spans="8:9" ht="15">
      <c r="H79" t="str">
        <f ca="1"/>
        <v>multiserviciostartesos@hotmail.com</v>
      </c>
      <c r="I79" s="5" t="s">
        <v>442</v>
      </c>
    </row>
    <row r="80" spans="8:9" ht="15">
      <c r="H80" t="str">
        <f ca="1"/>
        <v>valeocarrasco@gmail.com</v>
      </c>
      <c r="I80" s="5" t="s">
        <v>448</v>
      </c>
    </row>
    <row r="81" spans="8:9" ht="15">
      <c r="H81" t="str">
        <f ca="1"/>
        <v>info@eurogruas.com</v>
      </c>
      <c r="I81" s="5" t="s">
        <v>454</v>
      </c>
    </row>
    <row r="82" spans="8:9" ht="15">
      <c r="H82" t="str">
        <f ca="1"/>
        <v>administracion@sumhtec.com</v>
      </c>
      <c r="I82" s="5" t="s">
        <v>460</v>
      </c>
    </row>
    <row r="83" spans="8:9" ht="15">
      <c r="H83" t="str">
        <f ca="1"/>
        <v>el090584@hotmail.com</v>
      </c>
      <c r="I83" s="5" t="s">
        <v>467</v>
      </c>
    </row>
    <row r="84" spans="8:9" ht="15">
      <c r="H84" t="str">
        <f ca="1"/>
        <v>comercio@instalacionesandevalo.es</v>
      </c>
      <c r="I84" s="5" t="s">
        <v>472</v>
      </c>
    </row>
    <row r="85" spans="8:9" ht="15">
      <c r="H85" t="str">
        <f ca="1"/>
        <v>masfugas@gmail.com</v>
      </c>
      <c r="I85" s="5" t="s">
        <v>477</v>
      </c>
    </row>
    <row r="86" spans="8:9" ht="15">
      <c r="H86" t="str">
        <f ca="1"/>
        <v>rrhh@aramburuguzman.com</v>
      </c>
      <c r="I86" s="5" t="s">
        <v>482</v>
      </c>
    </row>
    <row r="87" spans="8:9" ht="15">
      <c r="H87" t="str">
        <f ca="1"/>
        <v>consultas@ferreteriaubetense.com</v>
      </c>
      <c r="I87" s="5" t="s">
        <v>487</v>
      </c>
    </row>
    <row r="88" spans="8:9" ht="15">
      <c r="H88" t="str">
        <f ca="1"/>
        <v>info@limcor-cordoba.es</v>
      </c>
      <c r="I88" s="5" t="s">
        <v>493</v>
      </c>
    </row>
    <row r="89" spans="8:9" ht="15">
      <c r="H89" t="str">
        <f ca="1"/>
        <v>contacto@sancristobalenergiasolar.com</v>
      </c>
      <c r="I89" s="5" t="s">
        <v>498</v>
      </c>
    </row>
    <row r="90" spans="8:9" ht="15">
      <c r="H90" t="str">
        <f ca="1"/>
        <v>info@instalacionesfontcalgas.es</v>
      </c>
      <c r="I90" s="5" t="s">
        <v>503</v>
      </c>
    </row>
    <row r="91" spans="8:9" ht="15">
      <c r="H91" t="str">
        <f ca="1"/>
        <v>mulbaymultiservicios@gmail.com</v>
      </c>
      <c r="I91" s="5" t="s">
        <v>508</v>
      </c>
    </row>
    <row r="92" spans="8:9" ht="15">
      <c r="H92" t="str">
        <f ca="1"/>
        <v>antonio@instalacionesperezzafra.com</v>
      </c>
      <c r="I92" s="5" t="s">
        <v>515</v>
      </c>
    </row>
    <row r="93" spans="8:9" ht="15">
      <c r="H93" t="str">
        <f ca="1"/>
        <v>malagafont@gmail.com</v>
      </c>
      <c r="I93" s="5" t="s">
        <v>521</v>
      </c>
    </row>
    <row r="94" spans="8:9" ht="15">
      <c r="H94" t="str">
        <f ca="1"/>
        <v>support@webnode.es</v>
      </c>
      <c r="I94" s="5" t="s">
        <v>526</v>
      </c>
    </row>
    <row r="95" spans="8:9" ht="15">
      <c r="H95" t="str">
        <f ca="1"/>
        <v>info@fontanero-malaga.com</v>
      </c>
      <c r="I95" s="5" t="s">
        <v>532</v>
      </c>
    </row>
    <row r="96" spans="8:9" ht="15">
      <c r="H96" t="str">
        <f ca="1"/>
        <v>info@morenomarin.com</v>
      </c>
      <c r="I96" s="5" t="s">
        <v>537</v>
      </c>
    </row>
    <row r="97" spans="8:9" ht="15">
      <c r="H97" t="str">
        <f ca="1"/>
        <v>info@fontaneriasepme.com</v>
      </c>
      <c r="I97" s="5" t="s">
        <v>544</v>
      </c>
    </row>
    <row r="98" spans="8:9" ht="15">
      <c r="H98" t="str">
        <f ca="1"/>
        <v>info@tuagua.es</v>
      </c>
      <c r="I98" s="5" t="s">
        <v>549</v>
      </c>
    </row>
    <row r="99" spans="8:9" ht="15">
      <c r="H99" t="str">
        <f ca="1"/>
        <v>info@fontia.es</v>
      </c>
      <c r="I99" s="5" t="s">
        <v>555</v>
      </c>
    </row>
    <row r="100" spans="8:9" ht="15">
      <c r="H100" t="str">
        <f ca="1"/>
        <v>info@saneamientosdimasa.es</v>
      </c>
      <c r="I100" s="5" t="s">
        <v>561</v>
      </c>
    </row>
    <row r="101" spans="8:9" ht="15">
      <c r="H101" t="str">
        <f ca="1"/>
        <v>info@fontaneroexpressmalaga.com</v>
      </c>
      <c r="I101" s="5" t="s">
        <v>567</v>
      </c>
    </row>
    <row r="102" spans="8:9" ht="15">
      <c r="H102" t="str">
        <f ca="1"/>
        <v>jms@malaga-fontanero.com</v>
      </c>
      <c r="I102" s="5" t="s">
        <v>573</v>
      </c>
    </row>
    <row r="103" spans="8:9" ht="15">
      <c r="H103" t="str">
        <f ca="1"/>
        <v>ig-badge-view-sprite-24@2x.png</v>
      </c>
      <c r="I103" s="5" t="s">
        <v>579</v>
      </c>
    </row>
    <row r="104" spans="8:9" ht="15">
      <c r="H104" t="str">
        <f ca="1"/>
        <v>info@atisor.es</v>
      </c>
      <c r="I104" s="5" t="s">
        <v>584</v>
      </c>
    </row>
    <row r="105" spans="8:9" ht="15">
      <c r="H105" t="str">
        <f ca="1"/>
        <v>info@laureanoramos.es</v>
      </c>
      <c r="I105" s="5" t="s">
        <v>589</v>
      </c>
    </row>
    <row r="106" spans="8:9" ht="15">
      <c r="H106" t="str">
        <f ca="1"/>
        <v>sermafugas@gmail.com</v>
      </c>
      <c r="I106" s="5" t="s">
        <v>594</v>
      </c>
    </row>
    <row r="107" spans="8:9" ht="15">
      <c r="H107" t="str">
        <f ca="1"/>
        <v>susanfonave@hotmail.com</v>
      </c>
      <c r="I107" s="5" t="s">
        <v>598</v>
      </c>
    </row>
    <row r="108" spans="8:9" ht="15">
      <c r="H108" t="str">
        <f ca="1"/>
        <v>info@fugaqua.es</v>
      </c>
      <c r="I108" s="5" t="s">
        <v>604</v>
      </c>
    </row>
    <row r="109" spans="8:9" ht="15">
      <c r="H109" t="str">
        <f ca="1"/>
        <v>info@fontaneriamalaga.es</v>
      </c>
      <c r="I109" s="5" t="s">
        <v>610</v>
      </c>
    </row>
    <row r="110" spans="8:9" ht="15">
      <c r="H110" t="str">
        <f ca="1"/>
        <v>info@grupomontero.es</v>
      </c>
      <c r="I110" s="5" t="s">
        <v>617</v>
      </c>
    </row>
    <row r="111" spans="8:9" ht="15">
      <c r="H111" t="str">
        <f ca="1"/>
        <v>info@jmsfontaneria.com</v>
      </c>
      <c r="I111" s="5" t="s">
        <v>623</v>
      </c>
    </row>
    <row r="112" spans="8:9" ht="15">
      <c r="H112" t="str">
        <f ca="1"/>
        <v>multiserviciosceresmlg@gmail.com</v>
      </c>
      <c r="I112" s="5" t="s">
        <v>629</v>
      </c>
    </row>
    <row r="113" spans="8:9" ht="15">
      <c r="H113" t="str">
        <f ca="1"/>
        <v>info@infoninstalaciones.com</v>
      </c>
      <c r="I113" s="5" t="s">
        <v>635</v>
      </c>
    </row>
    <row r="114" spans="8:9" ht="15">
      <c r="H114" t="str">
        <f ca="1"/>
        <v>info@plomar.es</v>
      </c>
      <c r="I114" s="5" t="s">
        <v>640</v>
      </c>
    </row>
    <row r="115" spans="8:9" ht="15">
      <c r="H115" t="str">
        <f ca="1"/>
        <v>bomdesa@bomdesa.com</v>
      </c>
      <c r="I115" s="5" t="s">
        <v>646</v>
      </c>
    </row>
    <row r="116" spans="8:9" ht="15">
      <c r="H116" t="str">
        <f ca="1"/>
        <v>info@jelco.es</v>
      </c>
      <c r="I116" s="5" t="s">
        <v>651</v>
      </c>
    </row>
    <row r="117" spans="8:9" ht="15">
      <c r="H117" t="str">
        <f ca="1"/>
        <v>info@gosaim.es</v>
      </c>
      <c r="I117" s="5" t="s">
        <v>16876</v>
      </c>
    </row>
    <row r="118" spans="8:9" ht="15">
      <c r="H118" t="str">
        <f ca="1"/>
        <v>clientes@fontaneriapastora.es</v>
      </c>
      <c r="I118" s="5" t="s">
        <v>663</v>
      </c>
    </row>
    <row r="119" spans="8:9" ht="15">
      <c r="H119" t="str">
        <f ca="1"/>
        <v>mundoweb.d@gmail.com</v>
      </c>
      <c r="I119" s="5" t="s">
        <v>670</v>
      </c>
    </row>
    <row r="120" spans="8:9" ht="15">
      <c r="H120" t="str">
        <f ca="1"/>
        <v>n@almaterra.es</v>
      </c>
      <c r="I120" s="5" t="s">
        <v>676</v>
      </c>
    </row>
    <row r="121" spans="8:9" ht="15">
      <c r="H121" t="str">
        <f ca="1"/>
        <v>urgencias@multiservicios-ceres.com</v>
      </c>
      <c r="I121" s="5" t="s">
        <v>682</v>
      </c>
    </row>
    <row r="122" spans="8:9" ht="15">
      <c r="H122" t="str">
        <f ca="1"/>
        <v>info@inspeccionestecnicas.es</v>
      </c>
      <c r="I122" s="5" t="s">
        <v>688</v>
      </c>
    </row>
    <row r="123" spans="8:9" ht="15">
      <c r="H123" t="str">
        <f ca="1"/>
        <v>info@instaladorahermanosmorenosl.es</v>
      </c>
      <c r="I123" s="5" t="s">
        <v>693</v>
      </c>
    </row>
    <row r="124" spans="8:9" ht="15">
      <c r="H124" t="str">
        <f ca="1"/>
        <v>info@grillofont.com</v>
      </c>
      <c r="I124" s="5" t="s">
        <v>698</v>
      </c>
    </row>
    <row r="125" spans="8:9" ht="15">
      <c r="H125" t="str">
        <f ca="1"/>
        <v>info@alfonsofontaneria.com</v>
      </c>
      <c r="I125" s="5" t="s">
        <v>703</v>
      </c>
    </row>
    <row r="126" spans="8:9" ht="15">
      <c r="H126" t="str">
        <f ca="1"/>
        <v>info@termodegasmalaga.com</v>
      </c>
      <c r="I126" s="5" t="s">
        <v>708</v>
      </c>
    </row>
    <row r="127" spans="8:9" ht="15">
      <c r="H127" t="str">
        <f ca="1"/>
        <v>info@greenblue.es</v>
      </c>
      <c r="I127" s="5" t="s">
        <v>713</v>
      </c>
    </row>
    <row r="128" spans="8:9" ht="15">
      <c r="H128" t="str">
        <f ca="1"/>
        <v>proyectos@achedosol.es</v>
      </c>
      <c r="I128" s="5" t="s">
        <v>719</v>
      </c>
    </row>
    <row r="129" spans="8:9" ht="15">
      <c r="H129" t="str">
        <f ca="1"/>
        <v>gfcoin@gmail.com</v>
      </c>
      <c r="I129" s="5" t="s">
        <v>726</v>
      </c>
    </row>
    <row r="130" spans="8:9" ht="15">
      <c r="H130" t="str">
        <f ca="1"/>
        <v>info@baenaobrasyservicios.com</v>
      </c>
      <c r="I130" s="5" t="s">
        <v>732</v>
      </c>
    </row>
    <row r="131" spans="8:9" ht="15">
      <c r="H131" t="str">
        <f ca="1"/>
        <v>info@foncoinsa.com</v>
      </c>
      <c r="I131" s="5" t="s">
        <v>738</v>
      </c>
    </row>
    <row r="132" spans="8:9" ht="15">
      <c r="H132" t="str">
        <f ca="1"/>
        <v>semasan@gmx.com</v>
      </c>
      <c r="I132" s="5" t="s">
        <v>744</v>
      </c>
    </row>
    <row r="133" spans="8:9" ht="15">
      <c r="H133" t="str">
        <f ca="1"/>
        <v>info@instalacionesarroyo.com</v>
      </c>
      <c r="I133" s="5" t="s">
        <v>750</v>
      </c>
    </row>
    <row r="134" spans="8:9" ht="15">
      <c r="H134" t="str">
        <f ca="1"/>
        <v>info@sanitubo.com</v>
      </c>
      <c r="I134" s="5" t="s">
        <v>755</v>
      </c>
    </row>
    <row r="135" spans="8:9" ht="15">
      <c r="H135" t="str">
        <f ca="1"/>
        <v>info@haquiestoy.com</v>
      </c>
      <c r="I135" s="5" t="s">
        <v>761</v>
      </c>
    </row>
    <row r="136" spans="8:9" ht="15">
      <c r="H136" t="str">
        <f ca="1"/>
        <v>info@fonticosur.com</v>
      </c>
      <c r="I136" s="5" t="s">
        <v>766</v>
      </c>
    </row>
    <row r="137" spans="8:9" ht="15">
      <c r="H137" t="str">
        <f ca="1"/>
        <v>info@fontplus.es</v>
      </c>
      <c r="I137" s="5" t="s">
        <v>772</v>
      </c>
    </row>
    <row r="138" spans="8:9" ht="15">
      <c r="H138" t="str">
        <f ca="1"/>
        <v>fontalago@hotmail.es</v>
      </c>
      <c r="I138" s="5" t="s">
        <v>776</v>
      </c>
    </row>
    <row r="139" spans="8:9" ht="15">
      <c r="H139" t="str">
        <f ca="1"/>
        <v>pedidos@migalfonquivir.com</v>
      </c>
      <c r="I139" s="5" t="s">
        <v>780</v>
      </c>
    </row>
    <row r="140" spans="8:9" ht="15">
      <c r="H140" t="str">
        <f ca="1"/>
        <v>info@fongasquinto.es</v>
      </c>
      <c r="I140" s="5" t="s">
        <v>785</v>
      </c>
    </row>
    <row r="141" spans="8:9" ht="15">
      <c r="H141" t="str">
        <f ca="1"/>
        <v>bannss1@gmail.com</v>
      </c>
      <c r="I141" s="5" t="s">
        <v>792</v>
      </c>
    </row>
    <row r="142" spans="8:9" ht="15">
      <c r="H142" t="str">
        <f ca="1"/>
        <v>dprieto@drdsll.com</v>
      </c>
      <c r="I142" s="5" t="s">
        <v>798</v>
      </c>
    </row>
    <row r="143" spans="8:9" ht="15">
      <c r="H143" t="str">
        <f ca="1"/>
        <v>info@hidroservi.es</v>
      </c>
      <c r="I143" s="5" t="s">
        <v>803</v>
      </c>
    </row>
    <row r="144" spans="8:9" ht="15">
      <c r="H144" t="str">
        <f ca="1"/>
        <v>comercial@grupoelectrostocks.com</v>
      </c>
      <c r="I144" s="5" t="s">
        <v>809</v>
      </c>
    </row>
    <row r="145" spans="8:9" ht="15">
      <c r="H145" t="str">
        <f ca="1"/>
        <v>info@instalacionesaraujo.com</v>
      </c>
      <c r="I145" s="5" t="s">
        <v>815</v>
      </c>
    </row>
    <row r="146" spans="8:9" ht="15">
      <c r="H146" t="str">
        <f ca="1"/>
        <v>repa@repa.es</v>
      </c>
      <c r="I146" s="5" t="s">
        <v>821</v>
      </c>
    </row>
    <row r="147" spans="8:9" ht="15">
      <c r="H147" t="str">
        <f ca="1"/>
        <v>fontaneria@roynor.com</v>
      </c>
      <c r="I147" s="5" t="s">
        <v>827</v>
      </c>
    </row>
    <row r="148" spans="8:9" ht="15">
      <c r="H148" t="str">
        <f ca="1"/>
        <v>info@grupodcc3000.com</v>
      </c>
      <c r="I148" s="5" t="s">
        <v>832</v>
      </c>
    </row>
    <row r="149" spans="8:9" ht="15">
      <c r="H149" t="str">
        <f ca="1"/>
        <v>cohiser@cohiser.es</v>
      </c>
      <c r="I149" s="5" t="s">
        <v>839</v>
      </c>
    </row>
    <row r="150" spans="8:9" ht="15">
      <c r="H150" t="str">
        <f ca="1"/>
        <v>desa@talleresdesasl.es</v>
      </c>
      <c r="I150" s="5" t="s">
        <v>845</v>
      </c>
    </row>
    <row r="151" spans="8:9" ht="15">
      <c r="H151" t="str">
        <f ca="1"/>
        <v>info@robeterre.es</v>
      </c>
      <c r="I151" s="5" t="s">
        <v>851</v>
      </c>
    </row>
    <row r="152" spans="8:9" ht="15">
      <c r="H152" t="str">
        <f ca="1"/>
        <v>fontanerialama@hotmail.com</v>
      </c>
      <c r="I152" s="5" t="s">
        <v>857</v>
      </c>
    </row>
    <row r="153" spans="8:9" ht="15">
      <c r="H153" t="str">
        <f ca="1"/>
        <v>info@aegirfontaneria.com</v>
      </c>
      <c r="I153" s="5" t="s">
        <v>862</v>
      </c>
    </row>
    <row r="154" spans="8:9" ht="15">
      <c r="H154" t="str">
        <f ca="1"/>
        <v>okfugasdeagua@gmail.com</v>
      </c>
      <c r="I154" s="5" t="s">
        <v>868</v>
      </c>
    </row>
    <row r="155" spans="8:9" ht="15">
      <c r="H155" t="str">
        <f ca="1"/>
        <v>fontatubo@fontatubo.com</v>
      </c>
      <c r="I155" s="5" t="s">
        <v>874</v>
      </c>
    </row>
    <row r="156" spans="8:9" ht="15">
      <c r="H156" t="str">
        <f ca="1"/>
        <v>atencionalcliente@saltoki.com</v>
      </c>
      <c r="I156" s="5" t="s">
        <v>879</v>
      </c>
    </row>
    <row r="157" spans="8:9" ht="15">
      <c r="H157" t="str">
        <f ca="1"/>
        <v>solymel@solymel.com</v>
      </c>
      <c r="I157" s="5" t="s">
        <v>885</v>
      </c>
    </row>
    <row r="158" spans="8:9" ht="15">
      <c r="H158" t="str">
        <f ca="1"/>
        <v>huesca@sumicarpropibsa.com</v>
      </c>
      <c r="I158" s="5" t="s">
        <v>890</v>
      </c>
    </row>
    <row r="159" spans="8:9" ht="15">
      <c r="H159" t="str">
        <f ca="1"/>
        <v>info@ausensfontaneria.es</v>
      </c>
      <c r="I159" s="5" t="s">
        <v>895</v>
      </c>
    </row>
    <row r="160" spans="8:9" ht="15">
      <c r="H160" t="str">
        <f ca="1"/>
        <v>info@bardajiservicios.es</v>
      </c>
      <c r="I160" s="5" t="s">
        <v>901</v>
      </c>
    </row>
    <row r="161" spans="8:9" ht="15">
      <c r="H161" t="str">
        <f ca="1"/>
        <v>info@bricojaca.com</v>
      </c>
      <c r="I161" s="5" t="s">
        <v>906</v>
      </c>
    </row>
    <row r="162" spans="8:9" ht="15">
      <c r="H162" t="str">
        <f ca="1"/>
        <v>chema@fontaneriachema.com</v>
      </c>
      <c r="I162" s="5" t="s">
        <v>911</v>
      </c>
    </row>
    <row r="163" spans="8:9" ht="15">
      <c r="H163" t="str">
        <f ca="1"/>
        <v>info@morlansfer.es</v>
      </c>
      <c r="I163" s="5" t="s">
        <v>916</v>
      </c>
    </row>
    <row r="164" spans="8:9" ht="15">
      <c r="H164" t="str">
        <f ca="1"/>
        <v>montaseraragon@gmail.com</v>
      </c>
      <c r="I164" s="5" t="s">
        <v>922</v>
      </c>
    </row>
    <row r="165" spans="8:9" ht="15">
      <c r="H165" t="str">
        <f ca="1"/>
        <v>info@fontaneroszaragozacocersa.es</v>
      </c>
      <c r="I165" s="5" t="s">
        <v>929</v>
      </c>
    </row>
    <row r="166" spans="8:9" ht="15">
      <c r="H166" t="str">
        <f ca="1"/>
        <v>manuel@fontaneriamanuelrodriguez.es</v>
      </c>
      <c r="I166" s="5" t="s">
        <v>936</v>
      </c>
    </row>
    <row r="167" spans="8:9" ht="15">
      <c r="H167" t="str">
        <f ca="1"/>
        <v>jdelarramona@gmail.com</v>
      </c>
      <c r="I167" s="5" t="s">
        <v>941</v>
      </c>
    </row>
    <row r="168" spans="8:9" ht="15">
      <c r="H168" t="str">
        <f ca="1"/>
        <v>info@fontaneriahueso.es</v>
      </c>
      <c r="I168" s="5" t="s">
        <v>948</v>
      </c>
    </row>
    <row r="169" spans="8:9" ht="15">
      <c r="H169" t="str">
        <f ca="1"/>
        <v>ventas@suministroscarrera.com</v>
      </c>
      <c r="I169" s="5" t="s">
        <v>953</v>
      </c>
    </row>
    <row r="170" spans="8:9" ht="15">
      <c r="H170" t="str">
        <f ca="1"/>
        <v>info@gposervi12.es</v>
      </c>
      <c r="I170" s="5" t="s">
        <v>958</v>
      </c>
    </row>
    <row r="171" spans="8:9" ht="15">
      <c r="H171" t="str">
        <f ca="1"/>
        <v>info@instalacionesblasco.com</v>
      </c>
      <c r="I171" s="5" t="s">
        <v>963</v>
      </c>
    </row>
    <row r="172" spans="8:9" ht="15">
      <c r="H172" t="str">
        <f ca="1"/>
        <v>administracion@valdejalon-instalaciones.com</v>
      </c>
      <c r="I172" s="5" t="s">
        <v>968</v>
      </c>
    </row>
    <row r="173" spans="8:9" ht="15">
      <c r="H173" t="str">
        <f ca="1"/>
        <v>info@estebanripoll.com</v>
      </c>
      <c r="I173" s="5" t="s">
        <v>973</v>
      </c>
    </row>
    <row r="174" spans="8:9" ht="15">
      <c r="H174" t="str">
        <f ca="1"/>
        <v>info@instalacionesjucar.es</v>
      </c>
      <c r="I174" s="5" t="s">
        <v>979</v>
      </c>
    </row>
    <row r="175" spans="8:9" ht="15">
      <c r="H175" t="str">
        <f ca="1"/>
        <v>info@gorrizyliberos.com</v>
      </c>
      <c r="I175" s="5" t="s">
        <v>984</v>
      </c>
    </row>
    <row r="176" spans="8:9" ht="15">
      <c r="H176" t="str">
        <f ca="1"/>
        <v>abrilehijos@abrilehijos.com</v>
      </c>
      <c r="I176" s="5" t="s">
        <v>990</v>
      </c>
    </row>
    <row r="177" spans="8:9" ht="15">
      <c r="H177" t="str">
        <f ca="1"/>
        <v>fontaneriaherreros@wanadoo.es</v>
      </c>
      <c r="I177" s="5" t="s">
        <v>996</v>
      </c>
    </row>
    <row r="178" spans="8:9" ht="15">
      <c r="H178" t="str">
        <f ca="1"/>
        <v>info@hydromatic.es</v>
      </c>
      <c r="I178" s="5" t="s">
        <v>1003</v>
      </c>
    </row>
    <row r="179" spans="8:9" ht="15">
      <c r="H179" t="str">
        <f ca="1"/>
        <v>fontaneriaiferrer@gmail.com</v>
      </c>
      <c r="I179" s="5" t="s">
        <v>1009</v>
      </c>
    </row>
    <row r="180" spans="8:9" ht="15">
      <c r="H180" t="str">
        <f ca="1"/>
        <v>urbabany@gmail.com</v>
      </c>
      <c r="I180" s="5" t="s">
        <v>1014</v>
      </c>
    </row>
    <row r="181" spans="8:9" ht="15">
      <c r="H181" t="str">
        <f ca="1"/>
        <v>rodalar@rodalar.com</v>
      </c>
      <c r="I181" s="5" t="s">
        <v>16877</v>
      </c>
    </row>
    <row r="182" spans="8:9" ht="15">
      <c r="H182" t="str">
        <f ca="1"/>
        <v>ralesfontaneria@gmail.com</v>
      </c>
      <c r="I182" s="5" t="s">
        <v>1026</v>
      </c>
    </row>
    <row r="183" spans="8:9" ht="15">
      <c r="H183" t="str">
        <f ca="1"/>
        <v>fontaneria@iturbidesl.com</v>
      </c>
      <c r="I183" s="5" t="s">
        <v>1031</v>
      </c>
    </row>
    <row r="184" spans="8:9" ht="15">
      <c r="H184" t="str">
        <f ca="1"/>
        <v>contacto@talleres-fama.com</v>
      </c>
      <c r="I184" s="5" t="s">
        <v>1036</v>
      </c>
    </row>
    <row r="185" spans="8:9" ht="15">
      <c r="H185" t="str">
        <f ca="1"/>
        <v>aresclin@hotmail.com</v>
      </c>
      <c r="I185" s="5" t="s">
        <v>1041</v>
      </c>
    </row>
    <row r="186" spans="8:9" ht="15">
      <c r="H186" t="str">
        <f ca="1"/>
        <v>info@almozaracercana.es</v>
      </c>
      <c r="I186" s="5" t="s">
        <v>1046</v>
      </c>
    </row>
    <row r="187" spans="8:9" ht="15">
      <c r="H187" t="str">
        <f ca="1"/>
        <v>info@fontaneriayreformascalanda.com</v>
      </c>
      <c r="I187" s="5" t="s">
        <v>1051</v>
      </c>
    </row>
    <row r="188" spans="8:9" ht="15">
      <c r="H188" t="str">
        <f ca="1"/>
        <v>info@fontanerialiso.com</v>
      </c>
      <c r="I188" s="5" t="s">
        <v>1057</v>
      </c>
    </row>
    <row r="189" spans="8:9" ht="15">
      <c r="H189" t="str">
        <f ca="1"/>
        <v>servetsl@telefonica.net</v>
      </c>
      <c r="I189" s="5" t="s">
        <v>1063</v>
      </c>
    </row>
    <row r="190" spans="8:9" ht="15">
      <c r="H190" t="str">
        <f ca="1"/>
        <v>pedidos@aquacenterebro.com</v>
      </c>
      <c r="I190" s="5" t="s">
        <v>1070</v>
      </c>
    </row>
    <row r="191" spans="8:9" ht="15">
      <c r="H191" t="str">
        <f ca="1"/>
        <v>contable2016@gmail.com</v>
      </c>
      <c r="I191" s="5" t="s">
        <v>1076</v>
      </c>
    </row>
    <row r="192" spans="8:9" ht="15">
      <c r="H192" t="str">
        <f ca="1"/>
        <v>info@fontaneriagregorioclaveras.com</v>
      </c>
      <c r="I192" s="5" t="s">
        <v>1082</v>
      </c>
    </row>
    <row r="193" spans="8:9" ht="15">
      <c r="H193" t="str">
        <f ca="1"/>
        <v>reformaslatassa@hotmail.com</v>
      </c>
      <c r="I193" s="5" t="s">
        <v>1088</v>
      </c>
    </row>
    <row r="194" spans="8:9" ht="15">
      <c r="H194" t="str">
        <f ca="1"/>
        <v>ebnburgo1@hotmail.com</v>
      </c>
      <c r="I194" s="5" t="s">
        <v>1094</v>
      </c>
    </row>
    <row r="195" spans="8:9" ht="15">
      <c r="H195" t="str">
        <f ca="1"/>
        <v>administracion@reparaciones-zaragoza.com</v>
      </c>
      <c r="I195" s="5" t="s">
        <v>1101</v>
      </c>
    </row>
    <row r="196" spans="8:9" ht="15">
      <c r="H196" t="str">
        <f ca="1"/>
        <v>info@fontaneriaarcega.com</v>
      </c>
      <c r="I196" s="5" t="s">
        <v>1106</v>
      </c>
    </row>
    <row r="197" spans="8:9" ht="15">
      <c r="H197" t="str">
        <f ca="1"/>
        <v>bartolicalfon@gmail.com</v>
      </c>
      <c r="I197" s="5" t="s">
        <v>1112</v>
      </c>
    </row>
    <row r="198" spans="8:9" ht="15">
      <c r="H198" t="str">
        <f ca="1"/>
        <v>bagil@bagil.com</v>
      </c>
      <c r="I198" s="5" t="s">
        <v>1118</v>
      </c>
    </row>
    <row r="199" spans="8:9" ht="15">
      <c r="H199" t="str">
        <f ca="1"/>
        <v>bfclientes@bfdecomercio.es</v>
      </c>
      <c r="I199" s="5" t="s">
        <v>1123</v>
      </c>
    </row>
    <row r="200" spans="8:9" ht="15">
      <c r="H200" t="str">
        <f ca="1"/>
        <v>hola@fontaneriaydesatascosjp.com</v>
      </c>
      <c r="I200" s="5" t="s">
        <v>1128</v>
      </c>
    </row>
    <row r="201" spans="8:9" ht="15">
      <c r="H201" t="str">
        <f ca="1"/>
        <v>abance@abanceinstalaciones.com</v>
      </c>
      <c r="I201" s="5" t="s">
        <v>1135</v>
      </c>
    </row>
    <row r="202" spans="8:9" ht="15">
      <c r="H202" t="str">
        <f ca="1"/>
        <v>f.casafacil@gmail.com</v>
      </c>
      <c r="I202" s="5" t="s">
        <v>1140</v>
      </c>
    </row>
    <row r="203" spans="8:9" ht="15">
      <c r="H203" t="str">
        <f ca="1"/>
        <v>hermanosheredia@gmail.com</v>
      </c>
      <c r="I203" s="5" t="s">
        <v>1145</v>
      </c>
    </row>
    <row r="204" spans="8:9" ht="15">
      <c r="H204" t="str">
        <f ca="1"/>
        <v>24hprofesionales@gmail.com</v>
      </c>
      <c r="I204" s="5" t="s">
        <v>1150</v>
      </c>
    </row>
    <row r="205" spans="8:9" ht="15">
      <c r="H205" t="str">
        <f ca="1"/>
        <v>info@proline.es</v>
      </c>
      <c r="I205" s="5" t="s">
        <v>1155</v>
      </c>
    </row>
    <row r="206" spans="8:9" ht="15">
      <c r="H206" t="str">
        <f ca="1"/>
        <v>webinfo@rehabilitaweb.com</v>
      </c>
      <c r="I206" s="5" t="s">
        <v>1159</v>
      </c>
    </row>
    <row r="207" spans="8:9" ht="15">
      <c r="H207" t="str">
        <f ca="1"/>
        <v>desatascosmartinezperez@gmail.com</v>
      </c>
      <c r="I207" s="5" t="s">
        <v>1164</v>
      </c>
    </row>
    <row r="208" spans="8:9" ht="15">
      <c r="H208" t="str">
        <f ca="1"/>
        <v>protecciondedatos@quemoil.es</v>
      </c>
      <c r="I208" s="5" t="s">
        <v>1168</v>
      </c>
    </row>
    <row r="209" spans="8:9" ht="15">
      <c r="H209" t="str">
        <f ca="1"/>
        <v>cocinaslamar@gmail.com</v>
      </c>
      <c r="I209" s="5" t="s">
        <v>1174</v>
      </c>
    </row>
    <row r="210" spans="8:9" ht="15">
      <c r="H210" t="str">
        <f ca="1"/>
        <v>reparalizara@gmail.com</v>
      </c>
      <c r="I210" s="5" t="s">
        <v>1180</v>
      </c>
    </row>
    <row r="211" spans="8:9" ht="15">
      <c r="H211" t="str">
        <f ca="1"/>
        <v>caragonesa@hotmail.com</v>
      </c>
      <c r="I211" s="5" t="s">
        <v>1186</v>
      </c>
    </row>
    <row r="212" spans="8:9" ht="15">
      <c r="H212" t="str">
        <f ca="1"/>
        <v>contacto@buscafugas.com</v>
      </c>
      <c r="I212" s="5" t="s">
        <v>1192</v>
      </c>
    </row>
    <row r="213" spans="8:9" ht="15">
      <c r="H213" t="str">
        <f ca="1"/>
        <v>mzrio@mzrio.com</v>
      </c>
      <c r="I213" s="5" t="s">
        <v>1198</v>
      </c>
    </row>
    <row r="214" spans="8:9" ht="15">
      <c r="H214" t="str">
        <f ca="1"/>
        <v>gestion@indusansl.com</v>
      </c>
      <c r="I214" s="5" t="s">
        <v>1204</v>
      </c>
    </row>
    <row r="215" spans="8:9" ht="15">
      <c r="H215" t="str">
        <f ca="1"/>
        <v>admon@comercialvifer.es</v>
      </c>
      <c r="I215" s="5" t="s">
        <v>1211</v>
      </c>
    </row>
    <row r="216" spans="8:9" ht="15">
      <c r="H216" t="str">
        <f ca="1"/>
        <v>info@saneamientoslasarte.com</v>
      </c>
      <c r="I216" s="5" t="s">
        <v>1217</v>
      </c>
    </row>
    <row r="217" spans="8:9" ht="15">
      <c r="H217" t="str">
        <f ca="1"/>
        <v>jlcastillo@movistar.es</v>
      </c>
      <c r="I217" s="5" t="s">
        <v>1222</v>
      </c>
    </row>
    <row r="218" spans="8:9" ht="15">
      <c r="H218" t="str">
        <f ca="1"/>
        <v>correo@gerardorobles.es</v>
      </c>
      <c r="I218" s="5" t="s">
        <v>1228</v>
      </c>
    </row>
    <row r="219" spans="8:9" ht="15">
      <c r="H219" t="str">
        <f ca="1"/>
        <v>info@rmt-montajes.es</v>
      </c>
      <c r="I219" s="5" t="s">
        <v>1234</v>
      </c>
    </row>
    <row r="220" spans="8:9" ht="15">
      <c r="H220" t="str">
        <f ca="1"/>
        <v>info@gasbalan.es</v>
      </c>
      <c r="I220" s="5" t="s">
        <v>1240</v>
      </c>
    </row>
    <row r="221" spans="8:9" ht="15">
      <c r="H221" t="str">
        <f ca="1"/>
        <v>info@alvarezalvarezcalefaccion.com</v>
      </c>
      <c r="I221" s="5" t="s">
        <v>1245</v>
      </c>
    </row>
    <row r="222" spans="8:9" ht="15">
      <c r="H222" t="str">
        <f ca="1"/>
        <v>info@gesaldesatascos.es</v>
      </c>
      <c r="I222" s="5" t="s">
        <v>1250</v>
      </c>
    </row>
    <row r="223" spans="8:9" ht="15">
      <c r="H223" t="str">
        <f ca="1"/>
        <v>info@radba.es</v>
      </c>
      <c r="I223" s="5" t="s">
        <v>1255</v>
      </c>
    </row>
    <row r="224" spans="8:9" ht="15">
      <c r="H224" t="str">
        <f ca="1"/>
        <v>fontaneroastur@gmail.com</v>
      </c>
      <c r="I224" s="5" t="s">
        <v>1260</v>
      </c>
    </row>
    <row r="225" spans="8:9" ht="15">
      <c r="H225" t="str">
        <f ca="1"/>
        <v>rrhh@jocaba.com</v>
      </c>
      <c r="I225" s="5" t="s">
        <v>1265</v>
      </c>
    </row>
    <row r="226" spans="8:9" ht="15">
      <c r="H226" t="str">
        <f ca="1"/>
        <v>direccion@e-zabaleta.com</v>
      </c>
      <c r="I226" s="5" t="s">
        <v>1270</v>
      </c>
    </row>
    <row r="227" spans="8:9" ht="15">
      <c r="H227" t="str">
        <f ca="1"/>
        <v>robles@reparacionesrobles.com</v>
      </c>
      <c r="I227" s="5" t="s">
        <v>1276</v>
      </c>
    </row>
    <row r="228" spans="8:9" ht="15">
      <c r="H228" t="str">
        <f ca="1"/>
        <v>info@alonsoycuesta.com</v>
      </c>
      <c r="I228" s="5" t="s">
        <v>1282</v>
      </c>
    </row>
    <row r="229" spans="8:9" ht="15">
      <c r="H229" t="str">
        <f ca="1"/>
        <v>info@perovi.com</v>
      </c>
      <c r="I229" s="5" t="s">
        <v>1288</v>
      </c>
    </row>
    <row r="230" spans="8:9" ht="15">
      <c r="H230" t="str">
        <f ca="1"/>
        <v>contacto@vallinafontaneros.com</v>
      </c>
      <c r="I230" s="5" t="s">
        <v>1294</v>
      </c>
    </row>
    <row r="231" spans="8:9" ht="15">
      <c r="H231" t="str">
        <f ca="1"/>
        <v>info@fontaneriachemacostales.com</v>
      </c>
      <c r="I231" s="5" t="s">
        <v>1299</v>
      </c>
    </row>
    <row r="232" spans="8:9" ht="15">
      <c r="H232" t="str">
        <f ca="1"/>
        <v>fran.r.v1975@hotmail.com</v>
      </c>
      <c r="I232" s="5" t="s">
        <v>1304</v>
      </c>
    </row>
    <row r="233" spans="8:9" ht="15">
      <c r="H233" t="str">
        <f ca="1"/>
        <v>info@fontaneriaifemag.es</v>
      </c>
      <c r="I233" s="5" t="s">
        <v>1309</v>
      </c>
    </row>
    <row r="234" spans="8:9" ht="15">
      <c r="H234" t="str">
        <f ca="1"/>
        <v>react@16.12.0</v>
      </c>
      <c r="I234" s="5" t="s">
        <v>1315</v>
      </c>
    </row>
    <row r="235" spans="8:9" ht="15">
      <c r="H235" t="str">
        <f ca="1"/>
        <v>info@fresnoinstalaciones.com</v>
      </c>
      <c r="I235" s="5" t="s">
        <v>1321</v>
      </c>
    </row>
    <row r="236" spans="8:9" ht="15">
      <c r="H236" t="str">
        <f ca="1"/>
        <v>todogas@todogas.es</v>
      </c>
      <c r="I236" s="5" t="s">
        <v>1327</v>
      </c>
    </row>
    <row r="237" spans="8:9" ht="15">
      <c r="H237" t="str">
        <f ca="1"/>
        <v>info@pceo.es</v>
      </c>
      <c r="I237" s="5" t="s">
        <v>1333</v>
      </c>
    </row>
    <row r="238" spans="8:9" ht="15">
      <c r="H238" t="str">
        <f ca="1"/>
        <v>instalpa@gmail.com</v>
      </c>
      <c r="I238" s="5" t="s">
        <v>1339</v>
      </c>
    </row>
    <row r="239" spans="8:9" ht="15">
      <c r="H239" t="str">
        <f ca="1"/>
        <v>general@gercoastur.es</v>
      </c>
      <c r="I239" s="5" t="s">
        <v>1345</v>
      </c>
    </row>
    <row r="240" spans="8:9" ht="15">
      <c r="H240" t="str">
        <f ca="1"/>
        <v>prado@carlosprado.es</v>
      </c>
      <c r="I240" s="5" t="s">
        <v>1351</v>
      </c>
    </row>
    <row r="241" spans="8:9" ht="15">
      <c r="H241" t="str">
        <f ca="1"/>
        <v>clientes@insanfer.com</v>
      </c>
      <c r="I241" s="5" t="s">
        <v>1356</v>
      </c>
    </row>
    <row r="242" spans="8:9" ht="15">
      <c r="H242" t="str">
        <f ca="1"/>
        <v>info@mallorcarepara.com</v>
      </c>
      <c r="I242" s="5" t="s">
        <v>1361</v>
      </c>
    </row>
    <row r="243" spans="8:9" ht="15">
      <c r="H243" t="str">
        <f ca="1"/>
        <v>sortinstalaciones@yahoo.es</v>
      </c>
      <c r="I243" s="5" t="s">
        <v>1367</v>
      </c>
    </row>
    <row r="244" spans="8:9" ht="15">
      <c r="H244" t="str">
        <f ca="1"/>
        <v>fontanerialonso@gmail.com</v>
      </c>
      <c r="I244" s="5" t="s">
        <v>1373</v>
      </c>
    </row>
    <row r="245" spans="8:9" ht="15">
      <c r="H245" t="str">
        <f ca="1"/>
        <v>fontaneria_martin@hotmail.com</v>
      </c>
      <c r="I245" s="5" t="s">
        <v>1379</v>
      </c>
    </row>
    <row r="246" spans="8:9" ht="15">
      <c r="H246" t="str">
        <f ca="1"/>
        <v>bilfont@gmail.com</v>
      </c>
      <c r="I246" s="5" t="s">
        <v>1386</v>
      </c>
    </row>
    <row r="247" spans="8:9" ht="15">
      <c r="H247" t="str">
        <f ca="1"/>
        <v>pwacompat@2.0.9</v>
      </c>
      <c r="I247" s="5" t="s">
        <v>1393</v>
      </c>
    </row>
    <row r="248" spans="8:9" ht="15">
      <c r="H248" t="str">
        <f ca="1"/>
        <v>3Csepehr@fontaneria-saddi.com</v>
      </c>
      <c r="I248" s="5" t="s">
        <v>1399</v>
      </c>
    </row>
    <row r="249" spans="8:9" ht="15">
      <c r="H249" t="str">
        <f ca="1"/>
        <v>reparabalear@gmail.com</v>
      </c>
      <c r="I249" s="5" t="s">
        <v>1405</v>
      </c>
    </row>
    <row r="250" spans="8:9" ht="15">
      <c r="H250" t="str">
        <f ca="1"/>
        <v>administracion@instal-mallorca.com</v>
      </c>
      <c r="I250" s="5" t="s">
        <v>1410</v>
      </c>
    </row>
    <row r="251" spans="8:9" ht="15">
      <c r="H251" t="str">
        <f ca="1"/>
        <v>info@instalacioneslauramonzo.com</v>
      </c>
      <c r="I251" s="5" t="s">
        <v>1416</v>
      </c>
    </row>
    <row r="252" spans="8:9" ht="15">
      <c r="H252" t="str">
        <f ca="1"/>
        <v>info@fontaneriavidal-menorca.com</v>
      </c>
      <c r="I252" s="5" t="s">
        <v>1420</v>
      </c>
    </row>
    <row r="253" spans="8:9" ht="15">
      <c r="H253" t="str">
        <f ca="1"/>
        <v>pedidos@bongrup.es</v>
      </c>
      <c r="I253" s="5" t="s">
        <v>1426</v>
      </c>
    </row>
    <row r="254" spans="8:9" ht="15">
      <c r="H254" t="str">
        <f ca="1"/>
        <v>info@massanellasa.com</v>
      </c>
      <c r="I254" s="5" t="s">
        <v>1431</v>
      </c>
    </row>
    <row r="255" spans="8:9" ht="15">
      <c r="H255" t="str">
        <f ca="1"/>
        <v>marta@sondameto.com</v>
      </c>
      <c r="I255" s="5" t="s">
        <v>1437</v>
      </c>
    </row>
    <row r="256" spans="8:9" ht="15">
      <c r="H256" t="str">
        <f ca="1"/>
        <v>info@nurclima.com</v>
      </c>
      <c r="I256" s="5" t="s">
        <v>1442</v>
      </c>
    </row>
    <row r="257" spans="8:9" ht="15">
      <c r="H257" t="str">
        <f ca="1"/>
        <v>fontaneriaartigues@hotmail.com</v>
      </c>
      <c r="I257" s="5" t="s">
        <v>1447</v>
      </c>
    </row>
    <row r="258" spans="8:9" ht="15">
      <c r="H258" t="str">
        <f ca="1"/>
        <v>cabanero@hercasa.org</v>
      </c>
      <c r="I258" s="5" t="s">
        <v>1452</v>
      </c>
    </row>
    <row r="259" spans="8:9" ht="15">
      <c r="H259" t="str">
        <f ca="1"/>
        <v>info@grampo.es</v>
      </c>
      <c r="I259" s="5" t="s">
        <v>1459</v>
      </c>
    </row>
    <row r="260" spans="8:9" ht="15">
      <c r="H260" t="str">
        <f ca="1"/>
        <v>rafel@rafelforteza.com</v>
      </c>
      <c r="I260" s="5" t="s">
        <v>1465</v>
      </c>
    </row>
    <row r="261" spans="8:9" ht="15">
      <c r="H261" t="str">
        <f ca="1"/>
        <v>fidelcarrera@me.com</v>
      </c>
      <c r="I261" s="5" t="s">
        <v>1470</v>
      </c>
    </row>
    <row r="262" spans="8:9" ht="15">
      <c r="H262" t="str">
        <f ca="1"/>
        <v>info@cantrebol.es</v>
      </c>
      <c r="I262" s="5" t="s">
        <v>1476</v>
      </c>
    </row>
    <row r="263" spans="8:9" ht="15">
      <c r="H263" t="str">
        <f ca="1"/>
        <v>pedidos@hierrosmallorca.es</v>
      </c>
      <c r="I263" s="5" t="s">
        <v>1481</v>
      </c>
    </row>
    <row r="264" spans="8:9" ht="15">
      <c r="H264" t="str">
        <f ca="1"/>
        <v>nouserveis@yahoo.es</v>
      </c>
      <c r="I264" s="5" t="s">
        <v>1486</v>
      </c>
    </row>
    <row r="265" spans="8:9" ht="15">
      <c r="H265" t="str">
        <f ca="1"/>
        <v>instalacionsms@gmail.com</v>
      </c>
      <c r="I265" s="5" t="s">
        <v>1491</v>
      </c>
    </row>
    <row r="266" spans="8:9" ht="15">
      <c r="H266" t="str">
        <f ca="1"/>
        <v>esmatallana@hotmail.com</v>
      </c>
      <c r="I266" s="5" t="s">
        <v>1497</v>
      </c>
    </row>
    <row r="267" spans="8:9" ht="15">
      <c r="H267" t="str">
        <f ca="1"/>
        <v>fontaneriajk@gmail.com</v>
      </c>
      <c r="I267" s="5" t="s">
        <v>1503</v>
      </c>
    </row>
    <row r="268" spans="8:9" ht="15">
      <c r="H268" t="str">
        <f ca="1"/>
        <v>info@acabot.com</v>
      </c>
      <c r="I268" s="5" t="s">
        <v>1510</v>
      </c>
    </row>
    <row r="269" spans="8:9" ht="15">
      <c r="H269" t="str">
        <f ca="1"/>
        <v>mail@mantenimientoibiza.es</v>
      </c>
      <c r="I269" s="5" t="s">
        <v>1516</v>
      </c>
    </row>
    <row r="270" spans="8:9" ht="15">
      <c r="H270" t="str">
        <f ca="1"/>
        <v>carlosmorenoibiza@gmail.com</v>
      </c>
      <c r="I270" s="5" t="s">
        <v>1522</v>
      </c>
    </row>
    <row r="271" spans="8:9" ht="15">
      <c r="H271" t="str">
        <f ca="1"/>
        <v>info@instalacionestito.com</v>
      </c>
      <c r="I271" s="5" t="s">
        <v>1529</v>
      </c>
    </row>
    <row r="272" spans="8:9" ht="15">
      <c r="H272" t="str">
        <f ca="1"/>
        <v>info@ceogas.es</v>
      </c>
      <c r="I272" s="5" t="s">
        <v>1535</v>
      </c>
    </row>
    <row r="273" spans="8:9" ht="15">
      <c r="H273" t="str">
        <f ca="1"/>
        <v>tiendaonline@gdurantienda.com</v>
      </c>
      <c r="I273" s="5" t="s">
        <v>1541</v>
      </c>
    </row>
    <row r="274" spans="8:9" ht="15">
      <c r="H274" t="str">
        <f ca="1"/>
        <v>in.sanantonio@yahoo.es</v>
      </c>
      <c r="I274" s="5" t="s">
        <v>1546</v>
      </c>
    </row>
    <row r="275" spans="8:9" ht="15">
      <c r="H275" t="str">
        <f ca="1"/>
        <v>info@fontanerodesatascosmatos.com</v>
      </c>
      <c r="I275" s="5" t="s">
        <v>1551</v>
      </c>
    </row>
    <row r="276" spans="8:9" ht="15">
      <c r="H276" t="str">
        <f ca="1"/>
        <v>info@desatascoslaspalmas.com</v>
      </c>
      <c r="I276" s="5" t="s">
        <v>1556</v>
      </c>
    </row>
    <row r="277" spans="8:9" ht="15">
      <c r="H277" t="str">
        <f ca="1"/>
        <v>fontaneriacarmelocastellano@hotmail.com</v>
      </c>
      <c r="I277" s="5" t="s">
        <v>1561</v>
      </c>
    </row>
    <row r="278" spans="8:9" ht="15">
      <c r="H278" t="str">
        <f ca="1"/>
        <v>ayoseloisdesatascos@hotmail.com</v>
      </c>
      <c r="I278" s="5" t="s">
        <v>1566</v>
      </c>
    </row>
    <row r="279" spans="8:9" ht="15">
      <c r="H279" t="str">
        <f ca="1"/>
        <v>ortega@fontaneriaortega.com</v>
      </c>
      <c r="I279" s="5" t="s">
        <v>1571</v>
      </c>
    </row>
    <row r="280" spans="8:9" ht="15">
      <c r="H280" t="str">
        <f ca="1"/>
        <v>oficina@brohen.es</v>
      </c>
      <c r="I280" s="5" t="s">
        <v>1576</v>
      </c>
    </row>
    <row r="281" spans="8:9" ht="15">
      <c r="H281" t="str">
        <f ca="1"/>
        <v>canarias@ingefei.com</v>
      </c>
      <c r="I281" s="5" t="s">
        <v>1581</v>
      </c>
    </row>
    <row r="282" spans="8:9" ht="15">
      <c r="H282" t="str">
        <f ca="1"/>
        <v>info@desatascosyfontaneriabuenagente.com</v>
      </c>
      <c r="I282" s="5" t="s">
        <v>1586</v>
      </c>
    </row>
    <row r="283" spans="8:9" ht="15">
      <c r="H283" t="str">
        <f ca="1"/>
        <v>info@instalacionescarlaperdomo.es</v>
      </c>
      <c r="I283" s="5" t="s">
        <v>1592</v>
      </c>
    </row>
    <row r="284" spans="8:9" ht="15">
      <c r="H284" t="str">
        <f ca="1"/>
        <v>crc@centralderepresentaciones.com</v>
      </c>
      <c r="I284" s="5" t="s">
        <v>1597</v>
      </c>
    </row>
    <row r="285" spans="8:9" ht="15">
      <c r="H285" t="str">
        <f ca="1"/>
        <v>clientes@foncal.es</v>
      </c>
      <c r="I285" s="5" t="s">
        <v>1603</v>
      </c>
    </row>
    <row r="286" spans="8:9" ht="15">
      <c r="H286" t="str">
        <f ca="1"/>
        <v>fontaneriasantanayviera@gmail.com</v>
      </c>
      <c r="I286" s="5" t="s">
        <v>1609</v>
      </c>
    </row>
    <row r="287" spans="8:9" ht="15">
      <c r="H287" t="str">
        <f ca="1"/>
        <v>info@fontaneriayayo.com</v>
      </c>
      <c r="I287" s="5" t="s">
        <v>1614</v>
      </c>
    </row>
    <row r="288" spans="8:9" ht="15">
      <c r="H288" t="str">
        <f ca="1"/>
        <v>alexmafuer@grupogalfuer.es</v>
      </c>
      <c r="I288" s="5" t="s">
        <v>1619</v>
      </c>
    </row>
    <row r="289" spans="8:9" ht="15">
      <c r="H289" t="str">
        <f ca="1"/>
        <v>info@eurofontcanarias.es</v>
      </c>
      <c r="I289" s="5" t="s">
        <v>1624</v>
      </c>
    </row>
    <row r="290" spans="8:9" ht="15">
      <c r="H290" t="str">
        <f ca="1"/>
        <v>correo@fontared.es</v>
      </c>
      <c r="I290" s="5" t="s">
        <v>1629</v>
      </c>
    </row>
    <row r="291" spans="8:9" ht="15">
      <c r="H291" t="str">
        <f ca="1"/>
        <v>disfoten@disfoten.com</v>
      </c>
      <c r="I291" s="5" t="s">
        <v>1635</v>
      </c>
    </row>
    <row r="292" spans="8:9" ht="15">
      <c r="H292" t="str">
        <f ca="1"/>
        <v>vanessa@fontasol.com</v>
      </c>
      <c r="I292" s="5" t="s">
        <v>1641</v>
      </c>
    </row>
    <row r="293" spans="8:9" ht="15">
      <c r="H293" t="str">
        <f ca="1"/>
        <v>email@domainname.com</v>
      </c>
      <c r="I293" s="5" t="s">
        <v>1647</v>
      </c>
    </row>
    <row r="294" spans="8:9" ht="15">
      <c r="H294" t="str">
        <f ca="1"/>
        <v>informacion@desatascoslaunion.com</v>
      </c>
      <c r="I294" s="5" t="s">
        <v>1653</v>
      </c>
    </row>
    <row r="295" spans="8:9" ht="15">
      <c r="H295" t="str">
        <f ca="1"/>
        <v>info@desatascosylimpiezasdyr.com</v>
      </c>
      <c r="I295" s="5" t="s">
        <v>1659</v>
      </c>
    </row>
    <row r="296" spans="8:9" ht="15">
      <c r="H296" t="str">
        <f ca="1"/>
        <v>tomaspereram@gmail.com</v>
      </c>
      <c r="I296" s="5" t="s">
        <v>1665</v>
      </c>
    </row>
    <row r="297" spans="8:9" ht="15">
      <c r="H297" t="str">
        <f ca="1"/>
        <v>nibaldosingler@hotmail.com</v>
      </c>
      <c r="I297" s="5" t="s">
        <v>1670</v>
      </c>
    </row>
    <row r="298" spans="8:9" ht="15">
      <c r="H298" t="str">
        <f ca="1"/>
        <v>acg@acgabastecimientos.com</v>
      </c>
      <c r="I298" s="5" t="s">
        <v>1676</v>
      </c>
    </row>
    <row r="299" spans="8:9" ht="15">
      <c r="H299" t="str">
        <f ca="1"/>
        <v>info@ocyr.es</v>
      </c>
      <c r="I299" s="5" t="s">
        <v>1681</v>
      </c>
    </row>
    <row r="300" spans="8:9" ht="15">
      <c r="H300" t="str">
        <f ca="1"/>
        <v>fontabel24h@gmail.com</v>
      </c>
      <c r="I300" s="5" t="s">
        <v>1687</v>
      </c>
    </row>
    <row r="301" spans="8:9" ht="15">
      <c r="H301" t="str">
        <f ca="1"/>
        <v>gonmaralexis@gmail.com</v>
      </c>
      <c r="I301" s="5" t="s">
        <v>1692</v>
      </c>
    </row>
    <row r="302" spans="8:9" ht="15">
      <c r="H302" t="str">
        <f ca="1"/>
        <v>info@gorkainstalaciones.com</v>
      </c>
      <c r="I302" s="5" t="s">
        <v>1697</v>
      </c>
    </row>
    <row r="303" spans="8:9" ht="15">
      <c r="H303" t="str">
        <f ca="1"/>
        <v>info@asistenciapunta.com</v>
      </c>
      <c r="I303" s="5" t="s">
        <v>16878</v>
      </c>
    </row>
    <row r="304" spans="8:9" ht="15">
      <c r="H304" t="str">
        <f ca="1"/>
        <v>azhidraulica@hotmail.com</v>
      </c>
      <c r="I304" s="5" t="s">
        <v>1709</v>
      </c>
    </row>
    <row r="305" spans="8:9" ht="15">
      <c r="H305" t="str">
        <f ca="1"/>
        <v>info@solufugas.com</v>
      </c>
      <c r="I305" s="5" t="s">
        <v>1714</v>
      </c>
    </row>
    <row r="306" spans="8:9" ht="15">
      <c r="H306" t="str">
        <f ca="1"/>
        <v>hola@danielpolidura.com</v>
      </c>
      <c r="I306" s="5" t="s">
        <v>1719</v>
      </c>
    </row>
    <row r="307" spans="8:9" ht="15">
      <c r="H307" t="str">
        <f ca="1"/>
        <v>jesus@fcgcantabria.com</v>
      </c>
      <c r="I307" s="5" t="s">
        <v>1725</v>
      </c>
    </row>
    <row r="308" spans="8:9" ht="15">
      <c r="H308" t="str">
        <f ca="1"/>
        <v>fontaneriacamus@fontaneriacamus.com</v>
      </c>
      <c r="I308" s="5" t="s">
        <v>1731</v>
      </c>
    </row>
    <row r="309" spans="8:9" ht="15">
      <c r="H309" t="str">
        <f ca="1"/>
        <v>info@foncan.com</v>
      </c>
      <c r="I309" s="5" t="s">
        <v>1737</v>
      </c>
    </row>
    <row r="310" spans="8:9" ht="15">
      <c r="H310" t="str">
        <f ca="1"/>
        <v>info@vpmasistencia.es</v>
      </c>
      <c r="I310" s="5" t="s">
        <v>1742</v>
      </c>
    </row>
    <row r="311" spans="8:9" ht="15">
      <c r="H311" t="str">
        <f ca="1"/>
        <v>loscastros@suministrosluispinto.com</v>
      </c>
      <c r="I311" s="5" t="s">
        <v>1748</v>
      </c>
    </row>
    <row r="312" spans="8:9" ht="15">
      <c r="H312" t="str">
        <f ca="1"/>
        <v>carmelofyc@gmail.com</v>
      </c>
      <c r="I312" s="5" t="s">
        <v>1753</v>
      </c>
    </row>
    <row r="313" spans="8:9" ht="15">
      <c r="H313" t="str">
        <f ca="1"/>
        <v>tecnico@fontaneriafontcal.com</v>
      </c>
      <c r="I313" s="5" t="s">
        <v>1758</v>
      </c>
    </row>
    <row r="314" spans="8:9">
      <c r="H314" t="str">
        <f ca="1"/>
        <v>contacto@fontaneriaycalefaccionguarnizo.com</v>
      </c>
    </row>
    <row r="315" spans="8:9">
      <c r="H315" t="str">
        <f ca="1"/>
        <v>info@grupodelavega.es</v>
      </c>
    </row>
    <row r="316" spans="8:9">
      <c r="H316" t="str">
        <f ca="1"/>
        <v>aguasexpert@hotmail.com</v>
      </c>
    </row>
    <row r="317" spans="8:9">
      <c r="H317" t="str">
        <f ca="1"/>
        <v>briccal@briccal.com</v>
      </c>
    </row>
    <row r="318" spans="8:9">
      <c r="H318" t="str">
        <f ca="1"/>
        <v>fontaneriamuskiz@gmail.com</v>
      </c>
    </row>
    <row r="319" spans="8:9">
      <c r="H319" t="str">
        <f ca="1"/>
        <v>alexruizgomez1975@gmail.com</v>
      </c>
    </row>
    <row r="320" spans="8:9">
      <c r="H320" t="str">
        <f ca="1"/>
        <v>AZCONAFONTANERIA@GMAIL.COM</v>
      </c>
    </row>
    <row r="321" spans="8:8">
      <c r="H321" t="str">
        <f ca="1"/>
        <v>administracion@dayvo.com</v>
      </c>
    </row>
    <row r="322" spans="8:8">
      <c r="H322" t="str">
        <f ca="1"/>
        <v>info@fontaneriabizkaia.com</v>
      </c>
    </row>
    <row r="323" spans="8:8">
      <c r="H323" t="str">
        <f ca="1"/>
        <v>cyfgomezbravo@gmail.com</v>
      </c>
    </row>
    <row r="324" spans="8:8">
      <c r="H324" t="str">
        <f ca="1"/>
        <v>gpodena@gmail.com</v>
      </c>
    </row>
    <row r="325" spans="8:8">
      <c r="H325" t="str">
        <f ca="1"/>
        <v>info@masqueduchas.com</v>
      </c>
    </row>
    <row r="326" spans="8:8">
      <c r="H326" t="str">
        <f ca="1"/>
        <v>info@desatascoselcampillo.com</v>
      </c>
    </row>
    <row r="327" spans="8:8">
      <c r="H327" t="str">
        <f ca="1"/>
        <v>ollaretxesopelana@hotmail.com</v>
      </c>
    </row>
    <row r="328" spans="8:8">
      <c r="H328" t="str">
        <f ca="1"/>
        <v>fontaneriaanadon@gmail.com</v>
      </c>
    </row>
    <row r="329" spans="8:8">
      <c r="H329" t="str">
        <f ca="1"/>
        <v>cemar@fontaneriacemar.es</v>
      </c>
    </row>
    <row r="330" spans="8:8">
      <c r="H330" t="str">
        <f ca="1"/>
        <v>alonso_jea@hotmail.com</v>
      </c>
    </row>
    <row r="331" spans="8:8">
      <c r="H331" t="str">
        <f ca="1"/>
        <v>cv@comercialdelinstalador.com</v>
      </c>
    </row>
    <row r="332" spans="8:8">
      <c r="H332" t="str">
        <f ca="1"/>
        <v>info.cat@teclisa.com</v>
      </c>
    </row>
    <row r="333" spans="8:8">
      <c r="H333" t="str">
        <f ca="1"/>
        <v>limp.alarcon@gmail.com</v>
      </c>
    </row>
    <row r="334" spans="8:8">
      <c r="H334" t="str">
        <f ca="1"/>
        <v>hidroman@hidromanalba.es</v>
      </c>
    </row>
    <row r="335" spans="8:8">
      <c r="H335" t="str">
        <f ca="1"/>
        <v>info@multiservicioslulama.com</v>
      </c>
    </row>
    <row r="336" spans="8:8">
      <c r="H336" t="str">
        <f ca="1"/>
        <v>germanbanos@hotmail.com</v>
      </c>
    </row>
    <row r="337" spans="8:8">
      <c r="H337" t="str">
        <f ca="1"/>
        <v>tecnico@fontaneriaalbacete.es</v>
      </c>
    </row>
    <row r="338" spans="8:8">
      <c r="H338" t="str">
        <f ca="1"/>
        <v>denia@deniastoves.com</v>
      </c>
    </row>
    <row r="339" spans="8:8">
      <c r="H339" t="str">
        <f ca="1"/>
        <v>info@suministrosalarcon.com</v>
      </c>
    </row>
    <row r="340" spans="8:8">
      <c r="H340" t="str">
        <f ca="1"/>
        <v>%20info@fontaneriajerez.com</v>
      </c>
    </row>
    <row r="341" spans="8:8">
      <c r="H341" t="str">
        <f ca="1"/>
        <v>info@gsym.net</v>
      </c>
    </row>
    <row r="342" spans="8:8">
      <c r="H342" t="str">
        <f ca="1"/>
        <v>anromago@hotmail.com</v>
      </c>
    </row>
    <row r="343" spans="8:8">
      <c r="H343" t="str">
        <f ca="1"/>
        <v>info@fugaser.com</v>
      </c>
    </row>
    <row r="344" spans="8:8">
      <c r="H344" t="str">
        <f ca="1"/>
        <v>info@sumacsl.com</v>
      </c>
    </row>
    <row r="345" spans="8:8">
      <c r="H345" t="str">
        <f ca="1"/>
        <v>Info@detecting.es</v>
      </c>
    </row>
    <row r="346" spans="8:8">
      <c r="H346" t="str">
        <f ca="1"/>
        <v>info@estufasypelletciudadreal.com</v>
      </c>
    </row>
    <row r="347" spans="8:8">
      <c r="H347" t="str">
        <f ca="1"/>
        <v>info@fontelectric.com</v>
      </c>
    </row>
    <row r="348" spans="8:8">
      <c r="H348" t="str">
        <f ca="1"/>
        <v>ignaciojimenezleon@gmail.com</v>
      </c>
    </row>
    <row r="349" spans="8:8">
      <c r="H349" t="str">
        <f ca="1"/>
        <v>foncair@foncair.com</v>
      </c>
    </row>
    <row r="350" spans="8:8">
      <c r="H350" t="str">
        <f ca="1"/>
        <v>hello@thisa.com</v>
      </c>
    </row>
    <row r="351" spans="8:8">
      <c r="H351" t="str">
        <f ca="1"/>
        <v>info@joypefc.com</v>
      </c>
    </row>
    <row r="352" spans="8:8">
      <c r="H352" t="str">
        <f ca="1"/>
        <v>hidrofil@hidrofil.com</v>
      </c>
    </row>
    <row r="353" spans="8:8">
      <c r="H353" t="str">
        <f ca="1"/>
        <v>atrios@euro-bb.com</v>
      </c>
    </row>
    <row r="354" spans="8:8">
      <c r="H354" t="str">
        <f ca="1"/>
        <v>info@foncalclima.com</v>
      </c>
    </row>
    <row r="355" spans="8:8">
      <c r="H355" t="str">
        <f ca="1"/>
        <v>inst.donado@gmail.com</v>
      </c>
    </row>
    <row r="356" spans="8:8">
      <c r="H356" t="str">
        <f ca="1"/>
        <v>info@desatascoscuenca.es</v>
      </c>
    </row>
    <row r="357" spans="8:8">
      <c r="H357" t="str">
        <f ca="1"/>
        <v>desatascoscrumo@hotmail.com</v>
      </c>
    </row>
    <row r="358" spans="8:8">
      <c r="H358" t="str">
        <f ca="1"/>
        <v>cuencanal@yahoo.es</v>
      </c>
    </row>
    <row r="359" spans="8:8">
      <c r="H359" t="str">
        <f ca="1"/>
        <v>info@saneamientosdiaz.com</v>
      </c>
    </row>
    <row r="360" spans="8:8">
      <c r="H360" t="str">
        <f ca="1"/>
        <v>mariusadryan.01@gmail.com</v>
      </c>
    </row>
    <row r="361" spans="8:8">
      <c r="H361" t="str">
        <f ca="1"/>
        <v>info@rayzar.com</v>
      </c>
    </row>
    <row r="362" spans="8:8">
      <c r="H362" t="str">
        <f ca="1"/>
        <v>correo@franciscogarrido.es</v>
      </c>
    </row>
    <row r="363" spans="8:8">
      <c r="H363" t="str">
        <f ca="1"/>
        <v>info@guijarrofontaneros.es</v>
      </c>
    </row>
    <row r="364" spans="8:8">
      <c r="H364" t="str">
        <f ca="1"/>
        <v>info@fontaneriadaniel.com</v>
      </c>
    </row>
    <row r="365" spans="8:8">
      <c r="H365" t="str">
        <f ca="1"/>
        <v>info@milanuncios.com</v>
      </c>
    </row>
    <row r="366" spans="8:8">
      <c r="H366" t="str">
        <f ca="1"/>
        <v>leogonzalez.instalaciones@gmail.com</v>
      </c>
    </row>
    <row r="367" spans="8:8">
      <c r="H367" t="str">
        <f ca="1"/>
        <v>jorge@gasanz.es</v>
      </c>
    </row>
    <row r="368" spans="8:8">
      <c r="H368" t="str">
        <f ca="1"/>
        <v>info@fontanero-madrid.es</v>
      </c>
    </row>
    <row r="369" spans="8:8">
      <c r="H369" t="str">
        <f ca="1"/>
        <v>info@elfontanerodeibor.com</v>
      </c>
    </row>
    <row r="370" spans="8:8">
      <c r="H370" t="str">
        <f ca="1"/>
        <v>marketing@lomills.com</v>
      </c>
    </row>
    <row r="371" spans="8:8">
      <c r="H371" t="str">
        <f ca="1"/>
        <v>cecilia@cecilialonso.com</v>
      </c>
    </row>
    <row r="372" spans="8:8">
      <c r="H372" t="str">
        <f ca="1"/>
        <v>info@csanz.es</v>
      </c>
    </row>
    <row r="373" spans="8:8">
      <c r="H373" t="str">
        <f ca="1"/>
        <v>info@acuacanal.es</v>
      </c>
    </row>
    <row r="374" spans="8:8">
      <c r="H374" t="str">
        <f ca="1"/>
        <v>david@bajantrapid.es</v>
      </c>
    </row>
    <row r="375" spans="8:8">
      <c r="H375" t="str">
        <f ca="1"/>
        <v>despocam@despocam.com</v>
      </c>
    </row>
    <row r="376" spans="8:8">
      <c r="H376" t="str">
        <f ca="1"/>
        <v>info@sudisa.es</v>
      </c>
    </row>
    <row r="377" spans="8:8">
      <c r="H377" t="str">
        <f ca="1"/>
        <v>info@guadaservimantenimiento.es</v>
      </c>
    </row>
    <row r="378" spans="8:8">
      <c r="H378" t="str">
        <f ca="1"/>
        <v>info@negociorural.es</v>
      </c>
    </row>
    <row r="379" spans="8:8">
      <c r="H379" t="str">
        <f ca="1"/>
        <v>info@site.info</v>
      </c>
    </row>
    <row r="380" spans="8:8">
      <c r="H380" t="str">
        <f ca="1"/>
        <v>info@ete.es</v>
      </c>
    </row>
    <row r="381" spans="8:8">
      <c r="H381" t="str">
        <f ca="1"/>
        <v>serproman@serproman.es</v>
      </c>
    </row>
    <row r="382" spans="8:8">
      <c r="H382" t="str">
        <f ca="1"/>
        <v>instaloarce.sl@gmail.com</v>
      </c>
    </row>
    <row r="383" spans="8:8">
      <c r="H383" t="str">
        <f ca="1"/>
        <v>info@calefaccionyfontaneriajsc.es</v>
      </c>
    </row>
    <row r="384" spans="8:8">
      <c r="H384" t="str">
        <f ca="1"/>
        <v>info@antonioperezsantos.es</v>
      </c>
    </row>
    <row r="385" spans="8:8">
      <c r="H385" t="str">
        <f ca="1"/>
        <v>prasanzcb@prasanzcb.es</v>
      </c>
    </row>
    <row r="386" spans="8:8">
      <c r="H386" t="str">
        <f ca="1"/>
        <v>fomilla@fontanerosfomilla.com</v>
      </c>
    </row>
    <row r="387" spans="8:8">
      <c r="H387" t="str">
        <f ca="1"/>
        <v>v2_628410@ring2chat.com</v>
      </c>
    </row>
    <row r="388" spans="8:8">
      <c r="H388" t="str">
        <f ca="1"/>
        <v>info@tododesatascosmadrid.com</v>
      </c>
    </row>
    <row r="389" spans="8:8">
      <c r="H389" t="str">
        <f ca="1"/>
        <v>info@jdi-soluciones.es</v>
      </c>
    </row>
    <row r="390" spans="8:8">
      <c r="H390" t="str">
        <f ca="1"/>
        <v>servifont@hotmail.es</v>
      </c>
    </row>
    <row r="391" spans="8:8">
      <c r="H391" t="str">
        <f ca="1"/>
        <v>instalaciones@juanangeldelacruz.com</v>
      </c>
    </row>
    <row r="392" spans="8:8">
      <c r="H392" t="str">
        <f ca="1"/>
        <v>administracion@fontaneriaycalefaccion-kesa.eu</v>
      </c>
    </row>
    <row r="393" spans="8:8">
      <c r="H393" t="str">
        <f ca="1"/>
        <v>info@averiasfontanero.com</v>
      </c>
    </row>
    <row r="394" spans="8:8">
      <c r="H394" t="str">
        <f ca="1"/>
        <v>info@dualpipe.es</v>
      </c>
    </row>
    <row r="395" spans="8:8">
      <c r="H395" t="str">
        <f ca="1"/>
        <v>alvaroehijos24h@yahoo.es</v>
      </c>
    </row>
    <row r="396" spans="8:8">
      <c r="H396" t="str">
        <f ca="1"/>
        <v>saneamientos@saneamientosavila.es</v>
      </c>
    </row>
    <row r="397" spans="8:8">
      <c r="H397" t="str">
        <f ca="1"/>
        <v>contacto@novoaperezinstalaciones.com</v>
      </c>
    </row>
    <row r="398" spans="8:8">
      <c r="H398" t="str">
        <f ca="1"/>
        <v>arzam@arzam.com</v>
      </c>
    </row>
    <row r="399" spans="8:8">
      <c r="H399" t="str">
        <f ca="1"/>
        <v>fancybox@3.5.7</v>
      </c>
    </row>
    <row r="400" spans="8:8">
      <c r="H400" t="str">
        <f ca="1"/>
        <v>poceriascastilla@hotmail.es</v>
      </c>
    </row>
    <row r="401" spans="8:8">
      <c r="H401" t="str">
        <f ca="1"/>
        <v>info@iberfuga.com</v>
      </c>
    </row>
    <row r="402" spans="8:8">
      <c r="H402" t="str">
        <f ca="1"/>
        <v>ventas2@solucionesenergeticas.com</v>
      </c>
    </row>
    <row r="403" spans="8:8">
      <c r="H403" t="str">
        <f ca="1"/>
        <v>cyssajb@gmail.com</v>
      </c>
    </row>
    <row r="404" spans="8:8">
      <c r="H404" t="str">
        <f ca="1"/>
        <v>info@avilabosch.com</v>
      </c>
    </row>
    <row r="405" spans="8:8">
      <c r="H405" t="str">
        <f ca="1"/>
        <v>atecal@atecalsa.es</v>
      </c>
    </row>
    <row r="406" spans="8:8">
      <c r="H406" t="str">
        <f ca="1"/>
        <v>info@tvaldes.es</v>
      </c>
    </row>
    <row r="407" spans="8:8">
      <c r="H407" t="str">
        <f ca="1"/>
        <v>comercial@saneamientosgozalo.com</v>
      </c>
    </row>
    <row r="408" spans="8:8">
      <c r="H408" t="str">
        <f ca="1"/>
        <v>info@desatascosburgos.es</v>
      </c>
    </row>
    <row r="409" spans="8:8">
      <c r="H409" t="str">
        <f ca="1"/>
        <v>fontaneria@instalacionesancar.com</v>
      </c>
    </row>
    <row r="410" spans="8:8">
      <c r="H410" t="str">
        <f ca="1"/>
        <v>info@fontaneriamanso.es</v>
      </c>
    </row>
    <row r="411" spans="8:8">
      <c r="H411" t="str">
        <f ca="1"/>
        <v>info@instalacionesalonsoalonso.com</v>
      </c>
    </row>
    <row r="412" spans="8:8">
      <c r="H412" t="str">
        <f ca="1"/>
        <v>jorpapiol@hotmail.com</v>
      </c>
    </row>
    <row r="413" spans="8:8">
      <c r="H413" t="str">
        <f ca="1"/>
        <v>info@grifosyduchas.com</v>
      </c>
    </row>
    <row r="414" spans="8:8">
      <c r="H414" t="str">
        <f ca="1"/>
        <v>cromados@cromados.com</v>
      </c>
    </row>
    <row r="415" spans="8:8">
      <c r="H415" t="str">
        <f ca="1"/>
        <v>prointorsa@prointorsa.com</v>
      </c>
    </row>
    <row r="416" spans="8:8">
      <c r="H416" t="str">
        <f ca="1"/>
        <v>rucai24h@rucai24h.es</v>
      </c>
    </row>
    <row r="417" spans="8:8">
      <c r="H417" t="str">
        <f ca="1"/>
        <v>sanefelper@hotmail.com</v>
      </c>
    </row>
    <row r="418" spans="8:8">
      <c r="H418" t="str">
        <f ca="1"/>
        <v>ana@fontyclima.es</v>
      </c>
    </row>
    <row r="419" spans="8:8">
      <c r="H419" t="str">
        <f ca="1"/>
        <v>foncaba@foncaba.es</v>
      </c>
    </row>
    <row r="420" spans="8:8">
      <c r="H420" t="str">
        <f ca="1"/>
        <v>contacto@sagimar.com</v>
      </c>
    </row>
    <row r="421" spans="8:8">
      <c r="H421" t="str">
        <f ca="1"/>
        <v>cosmomedia@cosmomedia.es</v>
      </c>
    </row>
    <row r="422" spans="8:8">
      <c r="H422" t="str">
        <f ca="1"/>
        <v>comercial@tecfontcal.com</v>
      </c>
    </row>
    <row r="423" spans="8:8">
      <c r="H423" t="str">
        <f ca="1"/>
        <v>rapidtecnic@gmail.com</v>
      </c>
    </row>
    <row r="424" spans="8:8">
      <c r="H424" t="str">
        <f ca="1"/>
        <v>info@ricardochao.com</v>
      </c>
    </row>
    <row r="425" spans="8:8">
      <c r="H425" t="str">
        <f ca="1"/>
        <v>info@caldisa.es</v>
      </c>
    </row>
    <row r="426" spans="8:8">
      <c r="H426" t="str">
        <f ca="1"/>
        <v>direccion@jhcanalones.com</v>
      </c>
    </row>
    <row r="427" spans="8:8">
      <c r="H427" t="str">
        <f ca="1"/>
        <v>info@multiservicioscano.com</v>
      </c>
    </row>
    <row r="428" spans="8:8">
      <c r="H428" t="str">
        <f ca="1"/>
        <v>gordotamayo@gordotamayo.es</v>
      </c>
    </row>
    <row r="429" spans="8:8">
      <c r="H429" t="str">
        <f ca="1"/>
        <v>info@anjule.es</v>
      </c>
    </row>
    <row r="430" spans="8:8">
      <c r="H430" t="str">
        <f ca="1"/>
        <v>profoncal@profoncal.es</v>
      </c>
    </row>
    <row r="431" spans="8:8">
      <c r="H431" t="str">
        <f ca="1"/>
        <v>raulpedrosa1@hotmail.com</v>
      </c>
    </row>
    <row r="432" spans="8:8">
      <c r="H432" t="str">
        <f ca="1"/>
        <v>info@desatascosvalma.com</v>
      </c>
    </row>
    <row r="433" spans="8:8">
      <c r="H433" t="str">
        <f ca="1"/>
        <v>info@instalacionesortega.es</v>
      </c>
    </row>
    <row r="434" spans="8:8">
      <c r="H434" t="str">
        <f ca="1"/>
        <v>info@fontaneriaycalefaccioncalzada.com</v>
      </c>
    </row>
    <row r="435" spans="8:8">
      <c r="H435" t="str">
        <f ca="1"/>
        <v>fontaneria.ivan@yahoo.es</v>
      </c>
    </row>
    <row r="436" spans="8:8">
      <c r="H436" t="str">
        <f ca="1"/>
        <v>info@desatascosgescal.com</v>
      </c>
    </row>
    <row r="437" spans="8:8">
      <c r="H437" t="str">
        <f ca="1"/>
        <v>info@fontaneriaacena.es</v>
      </c>
    </row>
    <row r="438" spans="8:8">
      <c r="H438" t="str">
        <f ca="1"/>
        <v>saneamientosdelicias@saneamientosdelicias.com</v>
      </c>
    </row>
    <row r="439" spans="8:8">
      <c r="H439" t="str">
        <f ca="1"/>
        <v>info@fontaneriasinobra.es</v>
      </c>
    </row>
    <row r="440" spans="8:8">
      <c r="H440" t="str">
        <f ca="1"/>
        <v>simple-line-icons@2.4.1</v>
      </c>
    </row>
    <row r="441" spans="8:8">
      <c r="H441" t="str">
        <f ca="1"/>
        <v>intecal.elices@gmail.com</v>
      </c>
    </row>
    <row r="442" spans="8:8">
      <c r="H442" t="str">
        <f ca="1"/>
        <v>atencionalcliente@qdqmedia.com</v>
      </c>
    </row>
    <row r="443" spans="8:8">
      <c r="H443" t="str">
        <f ca="1"/>
        <v>info@izard.net</v>
      </c>
    </row>
    <row r="444" spans="8:8">
      <c r="H444" t="str">
        <f ca="1"/>
        <v>info@rtso.es</v>
      </c>
    </row>
    <row r="445" spans="8:8">
      <c r="H445" t="str">
        <f ca="1"/>
        <v>techisal@techisal.com</v>
      </c>
    </row>
    <row r="446" spans="8:8">
      <c r="H446" t="str">
        <f ca="1"/>
        <v>info@instalacionesdosa.es</v>
      </c>
    </row>
    <row r="447" spans="8:8">
      <c r="H447" t="str">
        <f ca="1"/>
        <v>info@fontaneriaredondo.es</v>
      </c>
    </row>
    <row r="448" spans="8:8">
      <c r="H448" t="str">
        <f ca="1"/>
        <v>amh_fontaneria@yahoo.es</v>
      </c>
    </row>
    <row r="449" spans="8:8">
      <c r="H449" t="str">
        <f ca="1"/>
        <v>info@inspania.es</v>
      </c>
    </row>
    <row r="450" spans="8:8">
      <c r="H450" t="str">
        <f ca="1"/>
        <v>info@casper.es</v>
      </c>
    </row>
    <row r="451" spans="8:8">
      <c r="H451" t="str">
        <f ca="1"/>
        <v>clientes@elcodoinstalaciones.es</v>
      </c>
    </row>
    <row r="452" spans="8:8">
      <c r="H452" t="str">
        <f ca="1"/>
        <v>info@frivilla.com</v>
      </c>
    </row>
    <row r="453" spans="8:8">
      <c r="H453" t="str">
        <f ca="1"/>
        <v>fontaneriapolofi@hotmail.com</v>
      </c>
    </row>
    <row r="454" spans="8:8">
      <c r="H454" t="str">
        <f ca="1"/>
        <v>info@geralfreherrero.com</v>
      </c>
    </row>
    <row r="455" spans="8:8">
      <c r="H455" t="str">
        <f ca="1"/>
        <v>desatrancos@desatrancos.net</v>
      </c>
    </row>
    <row r="456" spans="8:8">
      <c r="H456" t="str">
        <f ca="1"/>
        <v>instalacionesal@instalacionesal.com</v>
      </c>
    </row>
    <row r="457" spans="8:8">
      <c r="H457" t="str">
        <f ca="1"/>
        <v>fontaneriacarlos@yahoo.es</v>
      </c>
    </row>
    <row r="458" spans="8:8">
      <c r="H458" t="str">
        <f ca="1"/>
        <v>info@sehersa.es</v>
      </c>
    </row>
    <row r="459" spans="8:8">
      <c r="H459" t="str">
        <f ca="1"/>
        <v>info@aseos2000.com</v>
      </c>
    </row>
    <row r="460" spans="8:8">
      <c r="H460" t="str">
        <f ca="1"/>
        <v>info@fontaneriaestebanalmazan.es</v>
      </c>
    </row>
    <row r="461" spans="8:8">
      <c r="H461" t="str">
        <f ca="1"/>
        <v>comercial@saneamientosalmazan.com</v>
      </c>
    </row>
    <row r="462" spans="8:8">
      <c r="H462" t="str">
        <f ca="1"/>
        <v>instalaciones@isidro-heras.com</v>
      </c>
    </row>
    <row r="463" spans="8:8">
      <c r="H463" t="str">
        <f ca="1"/>
        <v>info@reparacionesurgentesenmadrid.com</v>
      </c>
    </row>
    <row r="464" spans="8:8">
      <c r="H464" t="str">
        <f ca="1"/>
        <v>pedidos@clicafon.es</v>
      </c>
    </row>
    <row r="465" spans="8:8">
      <c r="H465" t="str">
        <f ca="1"/>
        <v>ruben@fontaneriasinobras.es</v>
      </c>
    </row>
    <row r="466" spans="8:8">
      <c r="H466" t="str">
        <f ca="1"/>
        <v>acion@instalacionesrcv.com</v>
      </c>
    </row>
    <row r="467" spans="8:8">
      <c r="H467" t="str">
        <f ca="1"/>
        <v>acovall@acovall.com</v>
      </c>
    </row>
    <row r="468" spans="8:8">
      <c r="H468" t="str">
        <f ca="1"/>
        <v>info@desatascosvalladolidsanevall.com</v>
      </c>
    </row>
    <row r="469" spans="8:8">
      <c r="H469" t="str">
        <f ca="1"/>
        <v>info@fontaneros-valladolid.es</v>
      </c>
    </row>
    <row r="470" spans="8:8">
      <c r="H470" t="str">
        <f ca="1"/>
        <v>david@jporroehijo.com</v>
      </c>
    </row>
    <row r="471" spans="8:8">
      <c r="H471" t="str">
        <f ca="1"/>
        <v>info@gasledo.es</v>
      </c>
    </row>
    <row r="472" spans="8:8">
      <c r="H472" t="str">
        <f ca="1"/>
        <v>industriasr.soto@gmail.com</v>
      </c>
    </row>
    <row r="473" spans="8:8">
      <c r="H473" t="str">
        <f ca="1"/>
        <v>admin@multiserviciosaguado.es</v>
      </c>
    </row>
    <row r="474" spans="8:8">
      <c r="H474" t="str">
        <f ca="1"/>
        <v>info@fontaneriasinobrasvalladolid.es</v>
      </c>
    </row>
    <row r="475" spans="8:8">
      <c r="H475" t="str">
        <f ca="1"/>
        <v>info@fugatec.com</v>
      </c>
    </row>
    <row r="476" spans="8:8">
      <c r="H476" t="str">
        <f ca="1"/>
        <v>isla@instalacionesisla.es</v>
      </c>
    </row>
    <row r="477" spans="8:8">
      <c r="H477" t="str">
        <f ca="1"/>
        <v>fontyolid@gmail.com</v>
      </c>
    </row>
    <row r="478" spans="8:8">
      <c r="H478" t="str">
        <f ca="1"/>
        <v>saneriego@saneriego.com</v>
      </c>
    </row>
    <row r="479" spans="8:8">
      <c r="H479" t="str">
        <f ca="1"/>
        <v>someone@example.com</v>
      </c>
    </row>
    <row r="480" spans="8:8">
      <c r="H480" t="str">
        <f ca="1"/>
        <v>administracion@foroclima.es</v>
      </c>
    </row>
    <row r="481" spans="8:8">
      <c r="H481" t="str">
        <f ca="1"/>
        <v>lafontaneria@tudecal.com</v>
      </c>
    </row>
    <row r="482" spans="8:8">
      <c r="H482" t="str">
        <f ca="1"/>
        <v>fontygas2000@gmail.com</v>
      </c>
    </row>
    <row r="483" spans="8:8">
      <c r="H483" t="str">
        <f ca="1"/>
        <v>diezserna@gmail.com</v>
      </c>
    </row>
    <row r="484" spans="8:8">
      <c r="H484" t="str">
        <f ca="1"/>
        <v>medifoncal@gmail.com</v>
      </c>
    </row>
    <row r="485" spans="8:8">
      <c r="H485" t="str">
        <f ca="1"/>
        <v>info@saneamientosbrime.es</v>
      </c>
    </row>
    <row r="486" spans="8:8">
      <c r="H486" t="str">
        <f ca="1"/>
        <v>info@fontaneriavaldes.com</v>
      </c>
    </row>
    <row r="487" spans="8:8">
      <c r="H487" t="str">
        <f ca="1"/>
        <v>info@saneamientosatilano.com</v>
      </c>
    </row>
    <row r="488" spans="8:8">
      <c r="H488" t="str">
        <f ca="1"/>
        <v>info@agvdesatasques.com</v>
      </c>
    </row>
    <row r="489" spans="8:8">
      <c r="H489" t="str">
        <f ca="1"/>
        <v>fontvillarroel@hotmail.com</v>
      </c>
    </row>
    <row r="490" spans="8:8">
      <c r="H490" t="str">
        <f ca="1"/>
        <v>ismael@asisfonca.com</v>
      </c>
    </row>
    <row r="491" spans="8:8">
      <c r="H491" t="str">
        <f ca="1"/>
        <v>info@fontafer.com</v>
      </c>
    </row>
    <row r="492" spans="8:8">
      <c r="H492" t="str">
        <f ca="1"/>
        <v>jamataran@gmail.com</v>
      </c>
    </row>
    <row r="493" spans="8:8">
      <c r="H493" t="str">
        <f ca="1"/>
        <v>getxoteknik@Gmail.COM</v>
      </c>
    </row>
    <row r="494" spans="8:8">
      <c r="H494" t="str">
        <f ca="1"/>
        <v>instalvelamont@velamont.com</v>
      </c>
    </row>
    <row r="495" spans="8:8">
      <c r="H495" t="str">
        <f ca="1"/>
        <v>desatascospolmar@gmail.com</v>
      </c>
    </row>
    <row r="496" spans="8:8">
      <c r="H496" t="str">
        <f ca="1"/>
        <v>fontaneriaenbarcelona@fontaneriaenbarcelona.com</v>
      </c>
    </row>
    <row r="497" spans="8:8">
      <c r="H497" t="str">
        <f ca="1"/>
        <v>fontgas@fontgas.com</v>
      </c>
    </row>
    <row r="498" spans="8:8">
      <c r="H498" t="str">
        <f ca="1"/>
        <v>info@multiserveisjoannet.es</v>
      </c>
    </row>
    <row r="499" spans="8:8">
      <c r="H499" t="str">
        <f ca="1"/>
        <v>info@urgencias.casa</v>
      </c>
    </row>
    <row r="500" spans="8:8">
      <c r="H500" t="str">
        <f ca="1"/>
        <v>info@jpinstallacions.com</v>
      </c>
    </row>
    <row r="501" spans="8:8">
      <c r="H501" t="str">
        <f ca="1"/>
        <v>jordi.martinez@mesknet.es</v>
      </c>
    </row>
    <row r="502" spans="8:8">
      <c r="H502" t="str">
        <f ca="1"/>
        <v>ixos@ixos.pro</v>
      </c>
    </row>
    <row r="503" spans="8:8">
      <c r="H503" t="str">
        <f ca="1"/>
        <v>aragosanitaris@aragosanitaris.com</v>
      </c>
    </row>
    <row r="504" spans="8:8">
      <c r="H504" t="str">
        <f ca="1"/>
        <v>info@metalgrif.com</v>
      </c>
    </row>
    <row r="505" spans="8:8">
      <c r="H505" t="str">
        <f ca="1"/>
        <v>info@desatascosjetnet.com</v>
      </c>
    </row>
    <row r="506" spans="8:8">
      <c r="H506" t="str">
        <f ca="1"/>
        <v>info@graciadivina.com</v>
      </c>
    </row>
    <row r="507" spans="8:8">
      <c r="H507" t="str">
        <f ca="1"/>
        <v>argerichjaume@gmail.com</v>
      </c>
    </row>
    <row r="508" spans="8:8">
      <c r="H508" t="str">
        <f ca="1"/>
        <v>maroscp@hotmail.com</v>
      </c>
    </row>
    <row r="509" spans="8:8">
      <c r="H509" t="str">
        <f ca="1"/>
        <v>info@desatascosgalbac.com</v>
      </c>
    </row>
    <row r="510" spans="8:8">
      <c r="H510" t="str">
        <f ca="1"/>
        <v>info@leysor.es</v>
      </c>
    </row>
    <row r="511" spans="8:8">
      <c r="H511" t="str">
        <f ca="1"/>
        <v>info@fontanerobadalona.es</v>
      </c>
    </row>
    <row r="512" spans="8:8">
      <c r="H512" t="str">
        <f ca="1"/>
        <v>empresadedesatascosenbarcelona@empresadedesatascosenbarcelona.com</v>
      </c>
    </row>
    <row r="513" spans="8:8">
      <c r="H513" t="str">
        <f ca="1"/>
        <v>info@gruptotserveis.com</v>
      </c>
    </row>
    <row r="514" spans="8:8">
      <c r="H514" t="str">
        <f ca="1"/>
        <v>info@grycoter.es</v>
      </c>
    </row>
    <row r="515" spans="8:8">
      <c r="H515" t="str">
        <f ca="1"/>
        <v>fontaneroentuzona@fontaneroentuzona.net</v>
      </c>
    </row>
    <row r="516" spans="8:8">
      <c r="H516" t="str">
        <f ca="1"/>
        <v>sergiocone76@gmail.com</v>
      </c>
    </row>
    <row r="517" spans="8:8">
      <c r="H517" t="str">
        <f ca="1"/>
        <v>info@conectaelectric.com</v>
      </c>
    </row>
    <row r="518" spans="8:8">
      <c r="H518" t="str">
        <f ca="1"/>
        <v>suginrubi@hotmail.com</v>
      </c>
    </row>
    <row r="519" spans="8:8">
      <c r="H519" t="str">
        <f ca="1"/>
        <v>abcviladecans@abcgrup.com</v>
      </c>
    </row>
    <row r="520" spans="8:8">
      <c r="H520" t="str">
        <f ca="1"/>
        <v>hola@fontaneroterrassa.com</v>
      </c>
    </row>
    <row r="521" spans="8:8">
      <c r="H521" t="str">
        <f ca="1"/>
        <v>info@solodesatascos.es</v>
      </c>
    </row>
    <row r="522" spans="8:8">
      <c r="H522" t="str">
        <f ca="1"/>
        <v>info@web7.es</v>
      </c>
    </row>
    <row r="523" spans="8:8">
      <c r="H523" t="str">
        <f ca="1"/>
        <v>info@barcelonadesatascos.barcelona</v>
      </c>
    </row>
    <row r="524" spans="8:8">
      <c r="H524" t="str">
        <f ca="1"/>
        <v>info@instalmontilivi.com</v>
      </c>
    </row>
    <row r="525" spans="8:8">
      <c r="H525" t="str">
        <f ca="1"/>
        <v>mafonsa@mafonsa.cat</v>
      </c>
    </row>
    <row r="526" spans="8:8">
      <c r="H526" t="str">
        <f ca="1"/>
        <v>info@gersal.com</v>
      </c>
    </row>
    <row r="527" spans="8:8">
      <c r="H527" t="str">
        <f ca="1"/>
        <v>oficina@instalshops.com</v>
      </c>
    </row>
    <row r="528" spans="8:8">
      <c r="H528" t="str">
        <f ca="1"/>
        <v>rabassedassuros@gmail.com</v>
      </c>
    </row>
    <row r="529" spans="8:8">
      <c r="H529" t="str">
        <f ca="1"/>
        <v>ribasgrup@ribasgrup.com</v>
      </c>
    </row>
    <row r="530" spans="8:8">
      <c r="H530" t="str">
        <f ca="1"/>
        <v>info@collbonet.com</v>
      </c>
    </row>
    <row r="531" spans="8:8">
      <c r="H531" t="str">
        <f ca="1"/>
        <v>info@lampisteriamario.com</v>
      </c>
    </row>
    <row r="532" spans="8:8">
      <c r="H532" t="str">
        <f ca="1"/>
        <v>irsa@irsa.cat</v>
      </c>
    </row>
    <row r="533" spans="8:8">
      <c r="H533" t="str">
        <f ca="1"/>
        <v>info@treballsferroinox.com</v>
      </c>
    </row>
    <row r="534" spans="8:8">
      <c r="H534" t="str">
        <f ca="1"/>
        <v>info@calygas.es</v>
      </c>
    </row>
    <row r="535" spans="8:8">
      <c r="H535" t="str">
        <f ca="1"/>
        <v>info@valenti.cat</v>
      </c>
    </row>
    <row r="536" spans="8:8">
      <c r="H536" t="str">
        <f ca="1"/>
        <v>instalaporta@gmail.com</v>
      </c>
    </row>
    <row r="537" spans="8:8">
      <c r="H537" t="str">
        <f ca="1"/>
        <v>conmasa@conmasa.cat</v>
      </c>
    </row>
    <row r="538" spans="8:8">
      <c r="H538" t="str">
        <f ca="1"/>
        <v>info@gironesirodes.com</v>
      </c>
    </row>
    <row r="539" spans="8:8">
      <c r="H539" t="str">
        <f ca="1"/>
        <v>info@hechamano.es</v>
      </c>
    </row>
    <row r="540" spans="8:8">
      <c r="H540" t="str">
        <f ca="1"/>
        <v>sumras@sumras.es</v>
      </c>
    </row>
    <row r="541" spans="8:8">
      <c r="H541" t="str">
        <f ca="1"/>
        <v>cortadabascara@yahoo.es</v>
      </c>
    </row>
    <row r="542" spans="8:8">
      <c r="H542" t="str">
        <f ca="1"/>
        <v>info@plasticsgasull.com</v>
      </c>
    </row>
    <row r="543" spans="8:8">
      <c r="H543" t="str">
        <f ca="1"/>
        <v>hola@miempresa.es</v>
      </c>
    </row>
    <row r="544" spans="8:8">
      <c r="H544" t="str">
        <f ca="1"/>
        <v>fondidac@gmail.com</v>
      </c>
    </row>
    <row r="545" spans="8:8">
      <c r="H545" t="str">
        <f ca="1"/>
        <v>ilertub@ilertub.es</v>
      </c>
    </row>
    <row r="546" spans="8:8">
      <c r="H546" t="str">
        <f ca="1"/>
        <v>marketing@nexica.com</v>
      </c>
    </row>
    <row r="547" spans="8:8">
      <c r="H547" t="str">
        <f ca="1"/>
        <v>info@fontaneriaacosta.es</v>
      </c>
    </row>
    <row r="548" spans="8:8">
      <c r="H548" t="str">
        <f ca="1"/>
        <v>jgimeno@termical.es</v>
      </c>
    </row>
    <row r="549" spans="8:8">
      <c r="H549" t="str">
        <f ca="1"/>
        <v>suemail@ejemplo.com</v>
      </c>
    </row>
    <row r="550" spans="8:8">
      <c r="H550" t="str">
        <f ca="1"/>
        <v>elseuemail@exemple.com</v>
      </c>
    </row>
    <row r="551" spans="8:8">
      <c r="H551" t="str">
        <f ca="1"/>
        <v>info@macarullainstalacions.com</v>
      </c>
    </row>
    <row r="552" spans="8:8">
      <c r="H552" t="str">
        <f ca="1"/>
        <v>info@servibara.com</v>
      </c>
    </row>
    <row r="553" spans="8:8">
      <c r="H553" t="str">
        <f ca="1"/>
        <v>fontelec@hotmail.es</v>
      </c>
    </row>
    <row r="554" spans="8:8">
      <c r="H554" t="str">
        <f ca="1"/>
        <v>info@viciana.cat</v>
      </c>
    </row>
    <row r="555" spans="8:8">
      <c r="H555" t="str">
        <f ca="1"/>
        <v>roof@2x.png</v>
      </c>
    </row>
    <row r="556" spans="8:8">
      <c r="H556" t="str">
        <f ca="1"/>
        <v>info@tecnicsolution.es</v>
      </c>
    </row>
    <row r="557" spans="8:8">
      <c r="H557" t="str">
        <f ca="1"/>
        <v>sirhsa@sirhsa.com</v>
      </c>
    </row>
    <row r="558" spans="8:8">
      <c r="H558" t="str">
        <f ca="1"/>
        <v>aguasroig@gmail.com</v>
      </c>
    </row>
    <row r="559" spans="8:8">
      <c r="H559" t="str">
        <f ca="1"/>
        <v>info@electrobutron.com</v>
      </c>
    </row>
    <row r="560" spans="8:8">
      <c r="H560" t="str">
        <f ca="1"/>
        <v>info@ahorayadesatascos.com</v>
      </c>
    </row>
    <row r="561" spans="8:8">
      <c r="H561" t="str">
        <f ca="1"/>
        <v>rubenfonzal@gmail.com</v>
      </c>
    </row>
    <row r="562" spans="8:8">
      <c r="H562" t="str">
        <f ca="1"/>
        <v>contacto@fonti.es</v>
      </c>
    </row>
    <row r="563" spans="8:8">
      <c r="H563" t="str">
        <f ca="1"/>
        <v>info@doncelonline.com</v>
      </c>
    </row>
    <row r="564" spans="8:8">
      <c r="H564" t="str">
        <f ca="1"/>
        <v>info@aquafont.net</v>
      </c>
    </row>
    <row r="565" spans="8:8">
      <c r="H565" t="str">
        <f ca="1"/>
        <v>alicantefontaneria@gmail.com</v>
      </c>
    </row>
    <row r="566" spans="8:8">
      <c r="H566" t="str">
        <f ca="1"/>
        <v>hola@aigestion.com</v>
      </c>
    </row>
    <row r="567" spans="8:8">
      <c r="H567" t="str">
        <f ca="1"/>
        <v>ingenieria@fontaneriaestevanez.com</v>
      </c>
    </row>
    <row r="568" spans="8:8">
      <c r="H568" t="str">
        <f ca="1"/>
        <v>info@torregrosadesatascos.com</v>
      </c>
    </row>
    <row r="569" spans="8:8">
      <c r="H569" t="str">
        <f ca="1"/>
        <v>alicante@saniagua.com</v>
      </c>
    </row>
    <row r="570" spans="8:8">
      <c r="H570" t="str">
        <f ca="1"/>
        <v>leaflet@1.5.1</v>
      </c>
    </row>
    <row r="571" spans="8:8">
      <c r="H571" t="str">
        <f ca="1"/>
        <v>alicante@fontalider.com</v>
      </c>
    </row>
    <row r="572" spans="8:8">
      <c r="H572" t="str">
        <f ca="1"/>
        <v>rgpd@eurocasa.es</v>
      </c>
    </row>
    <row r="573" spans="8:8">
      <c r="H573" t="str">
        <f ca="1"/>
        <v>hnosgomezcb@gmail.com</v>
      </c>
    </row>
    <row r="574" spans="8:8">
      <c r="H574" t="str">
        <f ca="1"/>
        <v>info@saneamientosmarenostrum.com</v>
      </c>
    </row>
    <row r="575" spans="8:8">
      <c r="H575" t="str">
        <f ca="1"/>
        <v>info@neofont.net</v>
      </c>
    </row>
    <row r="576" spans="8:8">
      <c r="H576" t="str">
        <f ca="1"/>
        <v>info@solucionesgonzalez.es</v>
      </c>
    </row>
    <row r="577" spans="8:8">
      <c r="H577" t="str">
        <f ca="1"/>
        <v>iberica24horas@gmail.com</v>
      </c>
    </row>
    <row r="578" spans="8:8">
      <c r="H578" t="str">
        <f ca="1"/>
        <v>info@alicantefontanero.com</v>
      </c>
    </row>
    <row r="579" spans="8:8">
      <c r="H579" t="str">
        <f ca="1"/>
        <v>oficina@arandamantenimientos.com</v>
      </c>
    </row>
    <row r="580" spans="8:8">
      <c r="H580" t="str">
        <f ca="1"/>
        <v>desatascosfranco@gmail.com</v>
      </c>
    </row>
    <row r="581" spans="8:8">
      <c r="H581" t="str">
        <f ca="1"/>
        <v>mestevez1408@gmail.com</v>
      </c>
    </row>
    <row r="582" spans="8:8">
      <c r="H582" t="str">
        <f ca="1"/>
        <v>antoniomartinez00@hotmail.es</v>
      </c>
    </row>
    <row r="583" spans="8:8">
      <c r="H583" t="str">
        <f ca="1"/>
        <v>info@rafaeluserogomez.com</v>
      </c>
    </row>
    <row r="584" spans="8:8">
      <c r="H584" t="str">
        <f ca="1"/>
        <v>josejaime@ieslaasuncion.org</v>
      </c>
    </row>
    <row r="585" spans="8:8">
      <c r="H585" t="str">
        <f ca="1"/>
        <v>info@fontaneria-luisexposito.es</v>
      </c>
    </row>
    <row r="586" spans="8:8">
      <c r="H586" t="str">
        <f ca="1"/>
        <v>info@rivagua.com</v>
      </c>
    </row>
    <row r="587" spans="8:8">
      <c r="H587" t="str">
        <f ca="1"/>
        <v>info@infocalsl.com</v>
      </c>
    </row>
    <row r="588" spans="8:8">
      <c r="H588" t="str">
        <f ca="1"/>
        <v>info@aseobrasyservicios.es</v>
      </c>
    </row>
    <row r="589" spans="8:8">
      <c r="H589" t="str">
        <f ca="1"/>
        <v>javier@fontgil.es</v>
      </c>
    </row>
    <row r="590" spans="8:8">
      <c r="H590" t="str">
        <f ca="1"/>
        <v>machadofontaneros@yahoo.es</v>
      </c>
    </row>
    <row r="591" spans="8:8">
      <c r="H591" t="str">
        <f ca="1"/>
        <v>LogoRosan2_190x@2x.png</v>
      </c>
    </row>
    <row r="592" spans="8:8">
      <c r="H592" t="str">
        <f ca="1"/>
        <v>info@fontaneriamingo.com</v>
      </c>
    </row>
    <row r="593" spans="8:8">
      <c r="H593" t="str">
        <f ca="1"/>
        <v>popper.js@1.16.1</v>
      </c>
    </row>
    <row r="594" spans="8:8">
      <c r="H594" t="str">
        <f ca="1"/>
        <v>info@rightplumber.es</v>
      </c>
    </row>
    <row r="595" spans="8:8">
      <c r="H595" t="str">
        <f ca="1"/>
        <v>correo@fernandezluna.com</v>
      </c>
    </row>
    <row r="596" spans="8:8">
      <c r="H596" t="str">
        <f ca="1"/>
        <v>info@fontaneriamanzanaro.es</v>
      </c>
    </row>
    <row r="597" spans="8:8">
      <c r="H597" t="str">
        <f ca="1"/>
        <v>admon@comerfonsa.net</v>
      </c>
    </row>
    <row r="598" spans="8:8">
      <c r="H598" t="str">
        <f ca="1"/>
        <v>torrefon@gmail.com</v>
      </c>
    </row>
    <row r="599" spans="8:8">
      <c r="H599" t="str">
        <f ca="1"/>
        <v>david@vergar.com</v>
      </c>
    </row>
    <row r="600" spans="8:8">
      <c r="H600" t="str">
        <f ca="1"/>
        <v>johnnyesteban@hotmail.com</v>
      </c>
    </row>
    <row r="601" spans="8:8">
      <c r="H601" t="str">
        <f ca="1"/>
        <v>info@servidaya.es</v>
      </c>
    </row>
    <row r="602" spans="8:8">
      <c r="H602" t="str">
        <f ca="1"/>
        <v>info@fontaneroentorrevieja.es</v>
      </c>
    </row>
    <row r="603" spans="8:8">
      <c r="H603" t="str">
        <f ca="1"/>
        <v>info@fontaneriaborja.com</v>
      </c>
    </row>
    <row r="604" spans="8:8">
      <c r="H604" t="str">
        <f ca="1"/>
        <v>info@eurofon.es</v>
      </c>
    </row>
    <row r="605" spans="8:8">
      <c r="H605" t="str">
        <f ca="1"/>
        <v>novarecal@novarecal.com</v>
      </c>
    </row>
    <row r="606" spans="8:8">
      <c r="H606" t="str">
        <f ca="1"/>
        <v>info@jydpascual.com</v>
      </c>
    </row>
    <row r="607" spans="8:8">
      <c r="H607" t="str">
        <f ca="1"/>
        <v>info@ahorrofont.com</v>
      </c>
    </row>
    <row r="608" spans="8:8">
      <c r="H608" t="str">
        <f ca="1"/>
        <v>info@servirep.es</v>
      </c>
    </row>
    <row r="609" spans="8:8">
      <c r="H609" t="str">
        <f ca="1"/>
        <v>fontaneriaplanchadell@hotmail.es</v>
      </c>
    </row>
    <row r="610" spans="8:8">
      <c r="H610" t="str">
        <f ca="1"/>
        <v>info@vicentegumbau.com</v>
      </c>
    </row>
    <row r="611" spans="8:8">
      <c r="H611" t="str">
        <f ca="1"/>
        <v>info@comercialbbc.com</v>
      </c>
    </row>
    <row r="612" spans="8:8">
      <c r="H612" t="str">
        <f ca="1"/>
        <v>administracion@herbelca.com</v>
      </c>
    </row>
    <row r="613" spans="8:8">
      <c r="H613" t="str">
        <f ca="1"/>
        <v>beltran@instalacionesbeltran.com</v>
      </c>
    </row>
    <row r="614" spans="8:8">
      <c r="H614" t="str">
        <f ca="1"/>
        <v>quicklink@1.0.1</v>
      </c>
    </row>
    <row r="615" spans="8:8">
      <c r="H615" t="str">
        <f ca="1"/>
        <v>fonsanque@gmail.com</v>
      </c>
    </row>
    <row r="616" spans="8:8">
      <c r="H616" t="str">
        <f ca="1"/>
        <v>info@fontanerialavernia.es</v>
      </c>
    </row>
    <row r="617" spans="8:8">
      <c r="H617" t="str">
        <f ca="1"/>
        <v>info@ondahidro.com</v>
      </c>
    </row>
    <row r="618" spans="8:8">
      <c r="H618" t="str">
        <f ca="1"/>
        <v>info@fontaneriagascon.com</v>
      </c>
    </row>
    <row r="619" spans="8:8">
      <c r="H619" t="str">
        <f ca="1"/>
        <v>bootstrap@4.5.3</v>
      </c>
    </row>
    <row r="620" spans="8:8">
      <c r="H620" t="str">
        <f ca="1"/>
        <v>info@urge24h.es</v>
      </c>
    </row>
    <row r="621" spans="8:8">
      <c r="H621" t="str">
        <f ca="1"/>
        <v>informacion@aquafer-fontaneria.com</v>
      </c>
    </row>
    <row r="622" spans="8:8">
      <c r="H622" t="str">
        <f ca="1"/>
        <v>frisuntec@frisuntec.com</v>
      </c>
    </row>
    <row r="623" spans="8:8">
      <c r="H623" t="str">
        <f ca="1"/>
        <v>suministros@taymon.com</v>
      </c>
    </row>
    <row r="624" spans="8:8">
      <c r="H624" t="str">
        <f ca="1"/>
        <v>fabiantomas_9@hotmail.com</v>
      </c>
    </row>
    <row r="625" spans="8:8">
      <c r="H625" t="str">
        <f ca="1"/>
        <v>administracion@instalacionesgracia.com</v>
      </c>
    </row>
    <row r="626" spans="8:8">
      <c r="H626" t="str">
        <f ca="1"/>
        <v>info@decoryreformas.com</v>
      </c>
    </row>
    <row r="627" spans="8:8">
      <c r="H627" t="str">
        <f ca="1"/>
        <v>info@fontacom.com</v>
      </c>
    </row>
    <row r="628" spans="8:8">
      <c r="H628" t="str">
        <f ca="1"/>
        <v>info@alfatiles.com</v>
      </c>
    </row>
    <row r="629" spans="8:8">
      <c r="H629" t="str">
        <f ca="1"/>
        <v>info@fontaneriabarrue.com</v>
      </c>
    </row>
    <row r="630" spans="8:8">
      <c r="H630" t="str">
        <f ca="1"/>
        <v>informacion@fontnova.es</v>
      </c>
    </row>
    <row r="631" spans="8:8">
      <c r="H631" t="str">
        <f ca="1"/>
        <v>info@instalacionestebar.com</v>
      </c>
    </row>
    <row r="632" spans="8:8">
      <c r="H632" t="str">
        <f ca="1"/>
        <v>reparaciones.julian24h@gmail.com</v>
      </c>
    </row>
    <row r="633" spans="8:8">
      <c r="H633" t="str">
        <f ca="1"/>
        <v>info@fontaneriaygas.es</v>
      </c>
    </row>
    <row r="634" spans="8:8">
      <c r="H634" t="str">
        <f ca="1"/>
        <v>contacto@tecnicosfontaneros.es</v>
      </c>
    </row>
    <row r="635" spans="8:8">
      <c r="H635" t="str">
        <f ca="1"/>
        <v>uno@uno.es</v>
      </c>
    </row>
    <row r="636" spans="8:8">
      <c r="H636" t="str">
        <f ca="1"/>
        <v>info@fontaneriacaballero.es</v>
      </c>
    </row>
    <row r="637" spans="8:8">
      <c r="H637" t="str">
        <f ca="1"/>
        <v>robledillo@robledillo.co</v>
      </c>
    </row>
    <row r="638" spans="8:8">
      <c r="H638" t="str">
        <f ca="1"/>
        <v>info@instalacionesborpa.es</v>
      </c>
    </row>
    <row r="639" spans="8:8">
      <c r="H639" t="str">
        <f ca="1"/>
        <v>info@aquisoluciones.com</v>
      </c>
    </row>
    <row r="640" spans="8:8">
      <c r="H640" t="str">
        <f ca="1"/>
        <v>n.marti@tuberplas.com</v>
      </c>
    </row>
    <row r="641" spans="8:8">
      <c r="H641" t="str">
        <f ca="1"/>
        <v>administracion@suministroscoplasa.com</v>
      </c>
    </row>
    <row r="642" spans="8:8">
      <c r="H642" t="str">
        <f ca="1"/>
        <v>mislata@mannsuministros.com</v>
      </c>
    </row>
    <row r="643" spans="8:8">
      <c r="H643" t="str">
        <f ca="1"/>
        <v>tucalfont@tucalfont.com</v>
      </c>
    </row>
    <row r="644" spans="8:8">
      <c r="H644" t="str">
        <f ca="1"/>
        <v>fonta_jesanchez@yahoo.es</v>
      </c>
    </row>
    <row r="645" spans="8:8">
      <c r="H645" t="str">
        <f ca="1"/>
        <v>info@fontaneriaibanez.com</v>
      </c>
    </row>
    <row r="646" spans="8:8">
      <c r="H646" t="str">
        <f ca="1"/>
        <v>marin-roig@talleresmarin-roig.es</v>
      </c>
    </row>
    <row r="647" spans="8:8">
      <c r="H647" t="str">
        <f ca="1"/>
        <v>info@aquifontaneros.es</v>
      </c>
    </row>
    <row r="648" spans="8:8">
      <c r="H648" t="str">
        <f ca="1"/>
        <v>fon2@multiserviciosvalencia.com</v>
      </c>
    </row>
    <row r="649" spans="8:8">
      <c r="H649" t="str">
        <f ca="1"/>
        <v>sergio@fontival.com</v>
      </c>
    </row>
    <row r="650" spans="8:8">
      <c r="H650" t="str">
        <f ca="1"/>
        <v>info@fontaneriafranciscomonterde.com</v>
      </c>
    </row>
    <row r="651" spans="8:8">
      <c r="H651" t="str">
        <f ca="1"/>
        <v>gbfont2017@gmail.com</v>
      </c>
    </row>
    <row r="652" spans="8:8">
      <c r="H652" t="str">
        <f ca="1"/>
        <v>info@suministrosvalmi.com</v>
      </c>
    </row>
    <row r="653" spans="8:8">
      <c r="H653" t="str">
        <f ca="1"/>
        <v>contacto@folgadofontaneros.com</v>
      </c>
    </row>
    <row r="654" spans="8:8">
      <c r="H654" t="str">
        <f ca="1"/>
        <v>saneamientoermita@gmail.com</v>
      </c>
    </row>
    <row r="655" spans="8:8">
      <c r="H655" t="str">
        <f ca="1"/>
        <v>tresoctavos@tresoctavos.es</v>
      </c>
    </row>
    <row r="656" spans="8:8">
      <c r="H656" t="str">
        <f ca="1"/>
        <v>info@empresafontaneria.com</v>
      </c>
    </row>
    <row r="657" spans="8:8">
      <c r="H657" t="str">
        <f ca="1"/>
        <v>info@hydragim.es</v>
      </c>
    </row>
    <row r="658" spans="8:8">
      <c r="H658" t="str">
        <f ca="1"/>
        <v>fonsalmar@gmail.com</v>
      </c>
    </row>
    <row r="659" spans="8:8">
      <c r="H659" t="str">
        <f ca="1"/>
        <v>info@rick-instalaciones.com</v>
      </c>
    </row>
    <row r="660" spans="8:8">
      <c r="H660" t="str">
        <f ca="1"/>
        <v>isaacmarkos@hotmail.com</v>
      </c>
    </row>
    <row r="661" spans="8:8">
      <c r="H661" t="str">
        <f ca="1"/>
        <v>admin@chilet.net</v>
      </c>
    </row>
    <row r="662" spans="8:8">
      <c r="H662" t="str">
        <f ca="1"/>
        <v>fontanerobadajoz2016@gmail.com</v>
      </c>
    </row>
    <row r="663" spans="8:8">
      <c r="H663" t="str">
        <f ca="1"/>
        <v>suministrosbadajoz@gmail.com</v>
      </c>
    </row>
    <row r="664" spans="8:8">
      <c r="H664" t="str">
        <f ca="1"/>
        <v>pedidos@foncalma.com</v>
      </c>
    </row>
    <row r="665" spans="8:8">
      <c r="H665" t="str">
        <f ca="1"/>
        <v>fontaneriabadajoz@hotmail.com</v>
      </c>
    </row>
    <row r="666" spans="8:8">
      <c r="H666" t="str">
        <f ca="1"/>
        <v>canalonesjavier@hotmail.com</v>
      </c>
    </row>
    <row r="667" spans="8:8">
      <c r="H667" t="str">
        <f ca="1"/>
        <v>info@obrelusercon.com</v>
      </c>
    </row>
    <row r="668" spans="8:8">
      <c r="H668" t="str">
        <f ca="1"/>
        <v>serfoncal@serfoncal.com</v>
      </c>
    </row>
    <row r="669" spans="8:8">
      <c r="H669" t="str">
        <f ca="1"/>
        <v>vifoncavillafranca@gmail.com</v>
      </c>
    </row>
    <row r="670" spans="8:8">
      <c r="H670" t="str">
        <f ca="1"/>
        <v>difon@bme.es</v>
      </c>
    </row>
    <row r="671" spans="8:8">
      <c r="H671" t="str">
        <f ca="1"/>
        <v>info@instalacionessanchogil.es</v>
      </c>
    </row>
    <row r="672" spans="8:8">
      <c r="H672" t="str">
        <f ca="1"/>
        <v>info@mbgfontaneria.com</v>
      </c>
    </row>
    <row r="673" spans="8:8">
      <c r="H673" t="str">
        <f ca="1"/>
        <v>desanex.info@gmail.com</v>
      </c>
    </row>
    <row r="674" spans="8:8">
      <c r="H674" t="str">
        <f ca="1"/>
        <v>info@tusaex.com</v>
      </c>
    </row>
    <row r="675" spans="8:8">
      <c r="H675" t="str">
        <f ca="1"/>
        <v>info@puertocasares.com</v>
      </c>
    </row>
    <row r="676" spans="8:8">
      <c r="H676" t="str">
        <f ca="1"/>
        <v>info@fmserviciosfontaneria.com</v>
      </c>
    </row>
    <row r="677" spans="8:8">
      <c r="H677" t="str">
        <f ca="1"/>
        <v>canaloneslobo@gmail.com</v>
      </c>
    </row>
    <row r="678" spans="8:8">
      <c r="H678" t="str">
        <f ca="1"/>
        <v>info@fontaneroplasencia.es</v>
      </c>
    </row>
    <row r="679" spans="8:8">
      <c r="H679" t="str">
        <f ca="1"/>
        <v>info@fontaneriallanos.com</v>
      </c>
    </row>
    <row r="680" spans="8:8">
      <c r="H680" t="str">
        <f ca="1"/>
        <v>fontaneriaangelperianesc@gmail.com</v>
      </c>
    </row>
    <row r="681" spans="8:8">
      <c r="H681" t="str">
        <f ca="1"/>
        <v>r_energy@mail.co</v>
      </c>
    </row>
    <row r="682" spans="8:8">
      <c r="H682" t="str">
        <f ca="1"/>
        <v>info@extremenadecalefaccion.com</v>
      </c>
    </row>
    <row r="683" spans="8:8">
      <c r="H683" t="str">
        <f ca="1"/>
        <v>fenisa@fenisa.es</v>
      </c>
    </row>
    <row r="684" spans="8:8">
      <c r="H684" t="str">
        <f ca="1"/>
        <v>info@limpiezasindustrialesreyes.com</v>
      </c>
    </row>
    <row r="685" spans="8:8">
      <c r="H685" t="str">
        <f ca="1"/>
        <v>gomez.moreno@hotmail.com</v>
      </c>
    </row>
    <row r="686" spans="8:8">
      <c r="H686" t="str">
        <f ca="1"/>
        <v>info@maferca.es</v>
      </c>
    </row>
    <row r="687" spans="8:8">
      <c r="H687" t="str">
        <f ca="1"/>
        <v>arias@ariasnadela.com</v>
      </c>
    </row>
    <row r="688" spans="8:8">
      <c r="H688" t="str">
        <f ca="1"/>
        <v>ferrecal@ferrecal.com</v>
      </c>
    </row>
    <row r="689" spans="8:8">
      <c r="H689" t="str">
        <f ca="1"/>
        <v>info@instalacionesperezrio.com</v>
      </c>
    </row>
    <row r="690" spans="8:8">
      <c r="H690" t="str">
        <f ca="1"/>
        <v>tienda@fycal.com</v>
      </c>
    </row>
    <row r="691" spans="8:8">
      <c r="H691" t="str">
        <f ca="1"/>
        <v>choveinstalaciones@gmail.com</v>
      </c>
    </row>
    <row r="692" spans="8:8">
      <c r="H692" t="str">
        <f ca="1"/>
        <v>danieldieguez_7@hotmail.com</v>
      </c>
    </row>
    <row r="693" spans="8:8">
      <c r="H693" t="str">
        <f ca="1"/>
        <v>info@ecoclimaburela.es</v>
      </c>
    </row>
    <row r="694" spans="8:8">
      <c r="H694" t="str">
        <f ca="1"/>
        <v>delvallesl@hotmail.com</v>
      </c>
    </row>
    <row r="695" spans="8:8">
      <c r="H695" t="str">
        <f ca="1"/>
        <v>info@progasca.com</v>
      </c>
    </row>
    <row r="696" spans="8:8">
      <c r="H696" t="str">
        <f ca="1"/>
        <v>foncalgas@foncalgas.net</v>
      </c>
    </row>
    <row r="697" spans="8:8">
      <c r="H697" t="str">
        <f ca="1"/>
        <v>taboadaruben@hotmail.com</v>
      </c>
    </row>
    <row r="698" spans="8:8">
      <c r="H698" t="str">
        <f ca="1"/>
        <v>info@carlosalvarezobras.es</v>
      </c>
    </row>
    <row r="699" spans="8:8">
      <c r="H699" t="str">
        <f ca="1"/>
        <v>albertogomezansiasl@hotmail.com</v>
      </c>
    </row>
    <row r="700" spans="8:8">
      <c r="H700" t="str">
        <f ca="1"/>
        <v>info@clinoil.com</v>
      </c>
    </row>
    <row r="701" spans="8:8">
      <c r="H701" t="str">
        <f ca="1"/>
        <v>aislapolcanalum@gmail.com</v>
      </c>
    </row>
    <row r="702" spans="8:8">
      <c r="H702" t="str">
        <f ca="1"/>
        <v>fontagago@gmail.com</v>
      </c>
    </row>
    <row r="703" spans="8:8">
      <c r="H703" t="str">
        <f ca="1"/>
        <v>fontanerosvigo24h@gmail.com</v>
      </c>
    </row>
    <row r="704" spans="8:8">
      <c r="H704" t="str">
        <f ca="1"/>
        <v>orse@orse.es</v>
      </c>
    </row>
    <row r="705" spans="8:8">
      <c r="H705" t="str">
        <f ca="1"/>
        <v>victor@fongapa.es</v>
      </c>
    </row>
    <row r="706" spans="8:8">
      <c r="H706" t="str">
        <f ca="1"/>
        <v>pluscontrol@pluscontrol.es</v>
      </c>
    </row>
    <row r="707" spans="8:8">
      <c r="H707" t="str">
        <f ca="1"/>
        <v>info@aquainstal.es</v>
      </c>
    </row>
    <row r="708" spans="8:8">
      <c r="H708" t="str">
        <f ca="1"/>
        <v>fontaneriaferso@gmail.com</v>
      </c>
    </row>
    <row r="709" spans="8:8">
      <c r="H709" t="str">
        <f ca="1"/>
        <v>miguelregueirasl@hotmail.com</v>
      </c>
    </row>
    <row r="710" spans="8:8">
      <c r="H710" t="str">
        <f ca="1"/>
        <v>info@suministrosfontana.com</v>
      </c>
    </row>
    <row r="711" spans="8:8">
      <c r="H711" t="str">
        <f ca="1"/>
        <v>cabrerarep@hotmail.com</v>
      </c>
    </row>
    <row r="712" spans="8:8">
      <c r="H712" t="str">
        <f ca="1"/>
        <v>info@internort.com</v>
      </c>
    </row>
    <row r="713" spans="8:8">
      <c r="H713" t="str">
        <f ca="1"/>
        <v>info@laguardia-moreira.com</v>
      </c>
    </row>
    <row r="714" spans="8:8">
      <c r="H714" t="str">
        <f ca="1"/>
        <v>fontaneria@casalsl.com</v>
      </c>
    </row>
    <row r="715" spans="8:8">
      <c r="H715" t="str">
        <f ca="1"/>
        <v>info@focapra.com</v>
      </c>
    </row>
    <row r="716" spans="8:8">
      <c r="H716" t="str">
        <f ca="1"/>
        <v>info@fontaneriamanolo.com</v>
      </c>
    </row>
    <row r="717" spans="8:8">
      <c r="H717" t="str">
        <f ca="1"/>
        <v>info@fontaneriaferga.com</v>
      </c>
    </row>
    <row r="718" spans="8:8">
      <c r="H718" t="str">
        <f ca="1"/>
        <v>info@aleymar.com</v>
      </c>
    </row>
    <row r="719" spans="8:8">
      <c r="H719" t="str">
        <f ca="1"/>
        <v>info@h2odetect.es</v>
      </c>
    </row>
    <row r="720" spans="8:8">
      <c r="H720" t="str">
        <f ca="1"/>
        <v>webmaster@comercialbastos.com</v>
      </c>
    </row>
    <row r="721" spans="8:8">
      <c r="H721" t="str">
        <f ca="1"/>
        <v>info@brandariz.es</v>
      </c>
    </row>
    <row r="722" spans="8:8">
      <c r="H722" t="str">
        <f ca="1"/>
        <v>info@cumbrecanalon.com</v>
      </c>
    </row>
    <row r="723" spans="8:8">
      <c r="H723" t="str">
        <f ca="1"/>
        <v>jdieguez@fonca.com</v>
      </c>
    </row>
    <row r="724" spans="8:8">
      <c r="H724" t="str">
        <f ca="1"/>
        <v>info@canalonesramilu.com</v>
      </c>
    </row>
    <row r="725" spans="8:8">
      <c r="H725" t="str">
        <f ca="1"/>
        <v>desatascosgrupojetcam@gmail.com</v>
      </c>
    </row>
    <row r="726" spans="8:8">
      <c r="H726" t="str">
        <f ca="1"/>
        <v>info@fontaneria-godoy.com</v>
      </c>
    </row>
    <row r="727" spans="8:8">
      <c r="H727" t="str">
        <f ca="1"/>
        <v>edu@saneamientossanjuan.com</v>
      </c>
    </row>
    <row r="728" spans="8:8">
      <c r="H728" t="str">
        <f ca="1"/>
        <v>montainstalaciones@hotmail.com</v>
      </c>
    </row>
    <row r="729" spans="8:8">
      <c r="H729" t="str">
        <f ca="1"/>
        <v>info@termonorterioja.com</v>
      </c>
    </row>
    <row r="730" spans="8:8">
      <c r="H730" t="str">
        <f ca="1"/>
        <v>hg@herasgutierrez.com</v>
      </c>
    </row>
    <row r="731" spans="8:8">
      <c r="H731" t="str">
        <f ca="1"/>
        <v>info@geotermiasolar.net</v>
      </c>
    </row>
    <row r="732" spans="8:8">
      <c r="H732" t="str">
        <f ca="1"/>
        <v>itiron@itiron.es</v>
      </c>
    </row>
    <row r="733" spans="8:8">
      <c r="H733" t="str">
        <f ca="1"/>
        <v>info@avifontaneria.com</v>
      </c>
    </row>
    <row r="734" spans="8:8">
      <c r="H734" t="str">
        <f ca="1"/>
        <v>josejavier.jm@hotmail.com</v>
      </c>
    </row>
    <row r="735" spans="8:8">
      <c r="H735" t="str">
        <f ca="1"/>
        <v>tausa@fer.es</v>
      </c>
    </row>
    <row r="736" spans="8:8">
      <c r="H736" t="str">
        <f ca="1"/>
        <v>info@fontaneriabriel.com</v>
      </c>
    </row>
    <row r="737" spans="8:8">
      <c r="H737" t="str">
        <f ca="1"/>
        <v>martelo.fonta@yahoo.es</v>
      </c>
    </row>
    <row r="738" spans="8:8">
      <c r="H738" t="str">
        <f ca="1"/>
        <v>fontrubio16@gmail.com</v>
      </c>
    </row>
    <row r="739" spans="8:8">
      <c r="H739" t="str">
        <f ca="1"/>
        <v>info@desatascosanselmo.com</v>
      </c>
    </row>
    <row r="740" spans="8:8">
      <c r="H740" t="str">
        <f ca="1"/>
        <v>izura@izura.es</v>
      </c>
    </row>
    <row r="741" spans="8:8">
      <c r="H741" t="str">
        <f ca="1"/>
        <v>fontaneria@adolfoaragonfontaneria.com</v>
      </c>
    </row>
    <row r="742" spans="8:8">
      <c r="H742" t="str">
        <f ca="1"/>
        <v>info@manuelbustillos.com</v>
      </c>
    </row>
    <row r="743" spans="8:8">
      <c r="H743" t="str">
        <f ca="1"/>
        <v>beisti@beisti.com</v>
      </c>
    </row>
    <row r="744" spans="8:8">
      <c r="H744" t="str">
        <f ca="1"/>
        <v>//info@marinfontaneria.es</v>
      </c>
    </row>
    <row r="745" spans="8:8">
      <c r="H745" t="str">
        <f ca="1"/>
        <v>esan@fontesan.es</v>
      </c>
    </row>
    <row r="746" spans="8:8">
      <c r="H746" t="str">
        <f ca="1"/>
        <v>fontaneria@gomeziturgintza.com</v>
      </c>
    </row>
    <row r="747" spans="8:8">
      <c r="H747" t="str">
        <f ca="1"/>
        <v>info@fontaneria-roncal.es</v>
      </c>
    </row>
    <row r="748" spans="8:8">
      <c r="H748" t="str">
        <f ca="1"/>
        <v>i.sueskun@fontaneriasueskun.es</v>
      </c>
    </row>
    <row r="749" spans="8:8">
      <c r="H749" t="str">
        <f ca="1"/>
        <v>pedro@fontaneriaezquerro.com</v>
      </c>
    </row>
    <row r="750" spans="8:8">
      <c r="H750" t="str">
        <f ca="1"/>
        <v>Reparar2424@gmail.com</v>
      </c>
    </row>
    <row r="751" spans="8:8">
      <c r="H751" t="str">
        <f ca="1"/>
        <v>inyomainstalaciones@gmail.com</v>
      </c>
    </row>
    <row r="752" spans="8:8">
      <c r="H752" t="str">
        <f ca="1"/>
        <v>info@suministrosurbasa.es</v>
      </c>
    </row>
    <row r="753" spans="8:8">
      <c r="H753" t="str">
        <f ca="1"/>
        <v>info@fontaneriaalonso.com</v>
      </c>
    </row>
    <row r="754" spans="8:8">
      <c r="H754" t="str">
        <f ca="1"/>
        <v>boro@boro.es</v>
      </c>
    </row>
    <row r="755" spans="8:8">
      <c r="H755" t="str">
        <f ca="1"/>
        <v>fontaneria@puentelareina.com</v>
      </c>
    </row>
    <row r="756" spans="8:8">
      <c r="H756" t="str">
        <f ca="1"/>
        <v>aisafontaneria@hotmail.com</v>
      </c>
    </row>
    <row r="757" spans="8:8">
      <c r="H757" t="str">
        <f ca="1"/>
        <v>info@inbesa.es</v>
      </c>
    </row>
    <row r="758" spans="8:8">
      <c r="H758" t="str">
        <f ca="1"/>
        <v>fontaneriaoxanea@hotmail.com</v>
      </c>
    </row>
    <row r="759" spans="8:8">
      <c r="H759" t="str">
        <f ca="1"/>
        <v>cropped-logo-nav@2x-32x32.png</v>
      </c>
    </row>
    <row r="760" spans="8:8">
      <c r="H760" t="str">
        <f ca="1"/>
        <v>info@fontanerosexpress.com</v>
      </c>
    </row>
    <row r="761" spans="8:8">
      <c r="H761" t="str">
        <f ca="1"/>
        <v>presupuestos@fontanerosmadridcentro.es</v>
      </c>
    </row>
    <row r="762" spans="8:8">
      <c r="H762" t="str">
        <f ca="1"/>
        <v>jimfonta24@gmail.com</v>
      </c>
    </row>
    <row r="763" spans="8:8">
      <c r="H763" t="str">
        <f ca="1"/>
        <v>info@fontaneriatagle.es</v>
      </c>
    </row>
    <row r="764" spans="8:8">
      <c r="H764" t="str">
        <f ca="1"/>
        <v>info@fontaneriaysaneamientostabega.es</v>
      </c>
    </row>
    <row r="765" spans="8:8">
      <c r="H765" t="str">
        <f ca="1"/>
        <v>info@fontaneriaurgentebarrios.es</v>
      </c>
    </row>
    <row r="766" spans="8:8">
      <c r="H766" t="str">
        <f ca="1"/>
        <v>info@fontaneros24horasmadrid.es</v>
      </c>
    </row>
    <row r="767" spans="8:8">
      <c r="H767" t="str">
        <f ca="1"/>
        <v>info@h2ofontaneros.com</v>
      </c>
    </row>
    <row r="768" spans="8:8">
      <c r="H768" t="str">
        <f ca="1"/>
        <v>info@naleo.es</v>
      </c>
    </row>
    <row r="769" spans="8:8">
      <c r="H769" t="str">
        <f ca="1"/>
        <v>adm.madridaverias@gmail.com</v>
      </c>
    </row>
    <row r="770" spans="8:8">
      <c r="H770" t="str">
        <f ca="1"/>
        <v>info@elitedesatrancos.es</v>
      </c>
    </row>
    <row r="771" spans="8:8">
      <c r="H771" t="str">
        <f ca="1"/>
        <v>madrid@ibericadelcalor.com</v>
      </c>
    </row>
    <row r="772" spans="8:8">
      <c r="H772" t="str">
        <f ca="1"/>
        <v>info@donaviso.es</v>
      </c>
    </row>
    <row r="773" spans="8:8">
      <c r="H773" t="str">
        <f ca="1"/>
        <v>instalamadrid@hotmail.com</v>
      </c>
    </row>
    <row r="774" spans="8:8">
      <c r="H774" t="str">
        <f ca="1"/>
        <v>info@rogui.com</v>
      </c>
    </row>
    <row r="775" spans="8:8">
      <c r="H775" t="str">
        <f ca="1"/>
        <v>info@arishandyman.com</v>
      </c>
    </row>
    <row r="776" spans="8:8">
      <c r="H776" t="str">
        <f ca="1"/>
        <v>info@alvarofontaneros.com</v>
      </c>
    </row>
    <row r="777" spans="8:8">
      <c r="H777" t="str">
        <f ca="1"/>
        <v>administracion@instalacionesgenova.es</v>
      </c>
    </row>
    <row r="778" spans="8:8">
      <c r="H778" t="str">
        <f ca="1"/>
        <v>fontaneroeloy@gmail.com</v>
      </c>
    </row>
    <row r="779" spans="8:8">
      <c r="H779" t="str">
        <f ca="1"/>
        <v>info@fugasexpress24.es</v>
      </c>
    </row>
    <row r="780" spans="8:8">
      <c r="H780" t="str">
        <f ca="1"/>
        <v>036contacto@elfontanerourgente.com</v>
      </c>
    </row>
    <row r="781" spans="8:8">
      <c r="H781" t="str">
        <f ca="1"/>
        <v>paco-montoro@hotmail.com</v>
      </c>
    </row>
    <row r="782" spans="8:8">
      <c r="H782" t="str">
        <f ca="1"/>
        <v>info@reparaciones24horas.es</v>
      </c>
    </row>
    <row r="783" spans="8:8">
      <c r="H783" t="str">
        <f ca="1"/>
        <v>saneamientosvallehermoso@hotmail.com</v>
      </c>
    </row>
    <row r="784" spans="8:8">
      <c r="H784" t="str">
        <f ca="1"/>
        <v>info@paser2.es</v>
      </c>
    </row>
    <row r="785" spans="8:8">
      <c r="H785" t="str">
        <f ca="1"/>
        <v>barato@fontaneromadridalberto.com</v>
      </c>
    </row>
    <row r="786" spans="8:8">
      <c r="H786" t="str">
        <f ca="1"/>
        <v>gisellahinostroza25@gmail.com</v>
      </c>
    </row>
    <row r="787" spans="8:8">
      <c r="H787" t="str">
        <f ca="1"/>
        <v>cminstalacionescb@gmail.com</v>
      </c>
    </row>
    <row r="788" spans="8:8">
      <c r="H788" t="str">
        <f ca="1"/>
        <v>info@tufontanerourgente.es</v>
      </c>
    </row>
    <row r="789" spans="8:8">
      <c r="H789" t="str">
        <f ca="1"/>
        <v>reparacionestorrientessl@yahoo.es</v>
      </c>
    </row>
    <row r="790" spans="8:8">
      <c r="H790" t="str">
        <f ca="1"/>
        <v>admin@cosansl.es</v>
      </c>
    </row>
    <row r="791" spans="8:8">
      <c r="H791" t="str">
        <f ca="1"/>
        <v>saneamientos@fontanerialoschicos.com</v>
      </c>
    </row>
    <row r="792" spans="8:8">
      <c r="H792" t="str">
        <f ca="1"/>
        <v>pvgspain@pvg.eu</v>
      </c>
    </row>
    <row r="793" spans="8:8">
      <c r="H793" t="str">
        <f ca="1"/>
        <v>info@fontaneriamerino.es</v>
      </c>
    </row>
    <row r="794" spans="8:8">
      <c r="H794" t="str">
        <f ca="1"/>
        <v>hector.aguero@fontaneroag.es</v>
      </c>
    </row>
    <row r="795" spans="8:8">
      <c r="H795" t="str">
        <f ca="1"/>
        <v>info@francarinstalaciones.es</v>
      </c>
    </row>
    <row r="796" spans="8:8">
      <c r="H796" t="str">
        <f ca="1"/>
        <v>infomontajeselectricosgilbert@gmail.com</v>
      </c>
    </row>
    <row r="797" spans="8:8">
      <c r="H797" t="str">
        <f ca="1"/>
        <v>info@gilsansl.com</v>
      </c>
    </row>
    <row r="798" spans="8:8">
      <c r="H798" t="str">
        <f ca="1"/>
        <v>raymur@gmail.com</v>
      </c>
    </row>
    <row r="799" spans="8:8">
      <c r="H799" t="str">
        <f ca="1"/>
        <v>visur@hotmail.com</v>
      </c>
    </row>
    <row r="800" spans="8:8">
      <c r="H800" t="str">
        <f ca="1"/>
        <v>ssr.hogar@gmail.com</v>
      </c>
    </row>
    <row r="801" spans="8:8">
      <c r="H801" t="str">
        <f ca="1"/>
        <v>info@fontamax.com</v>
      </c>
    </row>
    <row r="802" spans="8:8">
      <c r="H802" t="str">
        <f ca="1"/>
        <v>desmur19@gmail.com</v>
      </c>
    </row>
    <row r="803" spans="8:8">
      <c r="H803" t="str">
        <f ca="1"/>
        <v>info@telefuga.com</v>
      </c>
    </row>
    <row r="804" spans="8:8">
      <c r="H804" t="str">
        <f ca="1"/>
        <v>info@inserclima.com</v>
      </c>
    </row>
    <row r="805" spans="8:8">
      <c r="H805" t="str">
        <f ca="1"/>
        <v>info@desatascos-murcia-destascos.es</v>
      </c>
    </row>
    <row r="806" spans="8:8">
      <c r="H806" t="str">
        <f ca="1"/>
        <v>info@multicityservicios.com</v>
      </c>
    </row>
    <row r="807" spans="8:8">
      <c r="H807" t="str">
        <f ca="1"/>
        <v>jappihs@yahoo.com</v>
      </c>
    </row>
    <row r="808" spans="8:8">
      <c r="H808" t="str">
        <f ca="1"/>
        <v>info@fontaneriaplaza.com</v>
      </c>
    </row>
    <row r="809" spans="8:8">
      <c r="H809" t="str">
        <f ca="1"/>
        <v>info@fontaneriamarmenor.es</v>
      </c>
    </row>
    <row r="810" spans="8:8">
      <c r="H810" t="str">
        <f ca="1"/>
        <v>ADMINISTRACION@EKERSERVICIOS.COM</v>
      </c>
    </row>
    <row r="811" spans="8:8">
      <c r="H811" t="str">
        <f ca="1"/>
        <v>info@verzonalaguia.es</v>
      </c>
    </row>
    <row r="812" spans="8:8">
      <c r="H812" t="str">
        <f ca="1"/>
        <v>antoniomoralesmendez64@gmail.com</v>
      </c>
    </row>
    <row r="813" spans="8:8">
      <c r="H813" t="str">
        <f ca="1"/>
        <v>antonio@fontaneriamolina.com</v>
      </c>
    </row>
    <row r="814" spans="8:8">
      <c r="H814" t="str">
        <f ca="1"/>
        <v>pmunoz@munasa.es</v>
      </c>
    </row>
    <row r="815" spans="8:8">
      <c r="H815" t="str">
        <f ca="1"/>
        <v>ventas@mscmurcia.es</v>
      </c>
    </row>
    <row r="816" spans="8:8">
      <c r="H816" t="str">
        <f ca="1"/>
        <v>administracion@gomesan.es</v>
      </c>
    </row>
    <row r="817" spans="8:8">
      <c r="H817" t="str">
        <f ca="1"/>
        <v>info@terrapilar.com</v>
      </c>
    </row>
    <row r="818" spans="8:8">
      <c r="H818" t="str">
        <f ca="1"/>
        <v>fontaneriaroma15@gmail.com</v>
      </c>
    </row>
    <row r="819" spans="8:8">
      <c r="H819" t="str">
        <f ca="1"/>
        <v>hola@ejemplo.com</v>
      </c>
    </row>
    <row r="820" spans="8:8">
      <c r="H820" t="str">
        <f ca="1"/>
        <v>makaipromociones@gmail.com</v>
      </c>
    </row>
    <row r="821" spans="8:8">
      <c r="H821" t="str">
        <f ca="1"/>
        <v>aquamur@hotmail.com</v>
      </c>
    </row>
    <row r="822" spans="8:8">
      <c r="H822" t="str">
        <f ca="1"/>
        <v>contacto@aquazon.es</v>
      </c>
    </row>
    <row r="823" spans="8:8">
      <c r="H823" t="str">
        <f ca="1"/>
        <v>info@grupo-fb.com</v>
      </c>
    </row>
    <row r="824" spans="8:8">
      <c r="H824" t="str">
        <f ca="1"/>
        <v>instalaciones@instalacionesgde.com</v>
      </c>
    </row>
    <row r="825" spans="8:8">
      <c r="H825" t="str">
        <f ca="1"/>
        <v>info@desciegueseltapon.com</v>
      </c>
    </row>
    <row r="826" spans="8:8">
      <c r="H826" t="str">
        <f ca="1"/>
        <v>info@disbaor.com</v>
      </c>
    </row>
    <row r="827" spans="8:8">
      <c r="H827" t="str">
        <f ca="1"/>
        <v>info@gainzainspeccion.com</v>
      </c>
    </row>
    <row r="828" spans="8:8">
      <c r="H828" t="str">
        <f ca="1"/>
        <v>info@imai.es</v>
      </c>
    </row>
    <row r="829" spans="8:8">
      <c r="H829" t="str">
        <f ca="1"/>
        <v>manduezamuro@hotmail.com</v>
      </c>
    </row>
    <row r="830" spans="8:8">
      <c r="H830" t="str">
        <f ca="1"/>
        <v>//info@fontaneriairati.es</v>
      </c>
    </row>
    <row r="831" spans="8:8">
      <c r="H831" t="str">
        <f ca="1"/>
        <v>consultas@fontanerianumar.com</v>
      </c>
    </row>
    <row r="832" spans="8:8">
      <c r="H832" t="str">
        <f ca="1"/>
        <v>info@honestolopez.com</v>
      </c>
    </row>
    <row r="833" spans="8:8">
      <c r="H833" t="str">
        <f ca="1"/>
        <v>info@fontaneropamplona.eu</v>
      </c>
    </row>
    <row r="834" spans="8:8">
      <c r="H834" t="str">
        <f ca="1"/>
        <v>info@descieguespamplona.com</v>
      </c>
    </row>
    <row r="835" spans="8:8">
      <c r="H835" t="str">
        <f ca="1"/>
        <v>info@fontaneriacambra.com</v>
      </c>
    </row>
    <row r="836" spans="8:8">
      <c r="H836" t="str">
        <f ca="1"/>
        <v>info@fontaneriagaztelu.com</v>
      </c>
    </row>
    <row r="837" spans="8:8">
      <c r="H837" t="str">
        <f ca="1"/>
        <v>fontaneriaezkerro@gmail.com</v>
      </c>
    </row>
    <row r="838" spans="8:8">
      <c r="H838" t="str">
        <f ca="1"/>
        <v>111txema@gmail.com</v>
      </c>
    </row>
    <row r="839" spans="8:8">
      <c r="H839" t="str">
        <f ca="1"/>
        <v>info@fontaneriakarlos.es</v>
      </c>
    </row>
    <row r="840" spans="8:8">
      <c r="H840" t="str">
        <f ca="1"/>
        <v>info@limpiezasmorga.es</v>
      </c>
    </row>
    <row r="841" spans="8:8">
      <c r="H841" t="str">
        <f ca="1"/>
        <v>administracion@andoniiturgintza.com</v>
      </c>
    </row>
    <row r="842" spans="8:8">
      <c r="H842" t="str">
        <f ca="1"/>
        <v>ipar@comercialipar.com</v>
      </c>
    </row>
    <row r="843" spans="8:8">
      <c r="H843" t="str">
        <f ca="1"/>
        <v>hidroclima@hidroclima-instalaciones.com</v>
      </c>
    </row>
    <row r="844" spans="8:8">
      <c r="H844" t="str">
        <f ca="1"/>
        <v>kaxyus@hotmail.com</v>
      </c>
    </row>
    <row r="845" spans="8:8">
      <c r="H845" t="str">
        <f ca="1"/>
        <v>ragaibarrondo@gmail.com</v>
      </c>
    </row>
    <row r="846" spans="8:8">
      <c r="H846" t="str">
        <f ca="1"/>
        <v>info@fontaneriatxemialdama.es</v>
      </c>
    </row>
    <row r="847" spans="8:8">
      <c r="H847" t="str">
        <f ca="1"/>
        <v>info@iguren.es</v>
      </c>
    </row>
    <row r="848" spans="8:8">
      <c r="H848" t="str">
        <f ca="1"/>
        <v>info@antxeta.es</v>
      </c>
    </row>
    <row r="849" spans="8:8">
      <c r="H849" t="str">
        <f ca="1"/>
        <v>fontanerialedesma@gmail.com</v>
      </c>
    </row>
    <row r="850" spans="8:8">
      <c r="H850" t="str">
        <f ca="1"/>
        <v>info@danena.es</v>
      </c>
    </row>
    <row r="851" spans="8:8">
      <c r="H851" t="str">
        <f ca="1"/>
        <v>FONTEO10@GMAIL.COM</v>
      </c>
    </row>
    <row r="852" spans="8:8">
      <c r="H852" t="str">
        <f ca="1"/>
        <v>etxeberria@fontaneriaetxeberria.com</v>
      </c>
    </row>
    <row r="853" spans="8:8">
      <c r="H853" t="str">
        <f ca="1"/>
        <v>insta.palaciossl@gmail.com</v>
      </c>
    </row>
    <row r="854" spans="8:8">
      <c r="H854" t="str">
        <f ca="1"/>
        <v>jmjfontabal@hotmail.com</v>
      </c>
    </row>
    <row r="855" spans="8:8">
      <c r="H855" t="str">
        <f ca="1"/>
        <v>belenasier1@gmail.com</v>
      </c>
    </row>
    <row r="856" spans="8:8">
      <c r="H856" t="str">
        <f ca="1"/>
        <v>info@fontaneriagerman.com</v>
      </c>
    </row>
    <row r="857" spans="8:8">
      <c r="H857" t="str">
        <f ca="1"/>
        <v>oria.ibarra@gmail.com</v>
      </c>
    </row>
    <row r="858" spans="8:8">
      <c r="H858" t="str">
        <f ca="1"/>
        <v>info@fontaneriadenak.com</v>
      </c>
    </row>
    <row r="859" spans="8:8">
      <c r="H859" t="str">
        <f ca="1"/>
        <v>fontaneriaaitor@gmail.com</v>
      </c>
    </row>
    <row r="860" spans="8:8">
      <c r="H860" t="str">
        <f ca="1"/>
        <v>info@urisuri.com</v>
      </c>
    </row>
    <row r="861" spans="8:8">
      <c r="H861" t="str">
        <f ca="1"/>
        <v>saner@instalacionessaner.com</v>
      </c>
    </row>
    <row r="862" spans="8:8">
      <c r="H862" t="str">
        <f ca="1"/>
        <v>info@leku.es</v>
      </c>
    </row>
    <row r="863" spans="8:8">
      <c r="H863" t="str">
        <f ca="1"/>
        <v>fontgoiras@hotmail.com</v>
      </c>
    </row>
    <row r="864" spans="8:8">
      <c r="H864" t="str">
        <f ca="1"/>
        <v>fontanekoldo@terra.com</v>
      </c>
    </row>
    <row r="865" spans="8:8">
      <c r="H865" t="str">
        <f ca="1"/>
        <v>info@hamarretxetafontaneria.com</v>
      </c>
    </row>
    <row r="866" spans="8:8">
      <c r="H866" t="str">
        <f ca="1"/>
        <v>baltasar@baltasar-rubio.com</v>
      </c>
    </row>
    <row r="867" spans="8:8">
      <c r="H867" t="str">
        <f ca="1"/>
        <v>info@kuberoiturgintza.com</v>
      </c>
    </row>
    <row r="868" spans="8:8">
      <c r="H868" t="str">
        <f ca="1"/>
        <v>info@fontaneriaikercastro.com</v>
      </c>
    </row>
    <row r="869" spans="8:8">
      <c r="H869" t="str">
        <f ca="1"/>
        <v>oiartzun@grupojon.com</v>
      </c>
    </row>
    <row r="870" spans="8:8">
      <c r="H870" t="str">
        <f ca="1"/>
        <v>info@palaciosfontaneria.com</v>
      </c>
    </row>
    <row r="871" spans="8:8">
      <c r="H871" t="str">
        <f ca="1"/>
        <v>info@fontanerodonostia.com</v>
      </c>
    </row>
    <row r="872" spans="8:8">
      <c r="H872" t="str">
        <f ca="1"/>
        <v>gaes-logo-red@3x.png</v>
      </c>
    </row>
    <row r="873" spans="8:8">
      <c r="H873" t="str">
        <f ca="1"/>
        <v>info@fontaneriaangelprieto.com</v>
      </c>
    </row>
    <row r="874" spans="8:8">
      <c r="H874" t="str">
        <f ca="1"/>
        <v>info@fontanerialuisangel.com</v>
      </c>
    </row>
    <row r="875" spans="8:8">
      <c r="H875" t="str">
        <f ca="1"/>
        <v>info@fontanerianieto.com</v>
      </c>
    </row>
    <row r="876" spans="8:8">
      <c r="H876" t="str">
        <f ca="1"/>
        <v>fontaneria@oyanguren.com</v>
      </c>
    </row>
    <row r="877" spans="8:8">
      <c r="H877" t="str">
        <f ca="1"/>
        <v>fontges@fontges.com</v>
      </c>
    </row>
    <row r="878" spans="8:8">
      <c r="H878" t="str">
        <f ca="1"/>
        <v>contacto@fontaneriamateos.es</v>
      </c>
    </row>
    <row r="879" spans="8:8">
      <c r="H879" t="str">
        <f ca="1"/>
        <v>administracion@fontaneriajosemartin.com</v>
      </c>
    </row>
    <row r="880" spans="8:8">
      <c r="H880" t="str">
        <f ca="1"/>
        <v>galartxa@galartxa.com</v>
      </c>
    </row>
    <row r="881" spans="8:8">
      <c r="H881" t="str">
        <f ca="1"/>
        <v>fmatiena@euskalnet.net</v>
      </c>
    </row>
    <row r="882" spans="8:8">
      <c r="H882">
        <f ca="1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2AC2-E6AF-45CF-8ACB-7F1C63B12CA4}">
  <dimension ref="A1"/>
  <sheetViews>
    <sheetView workbookViewId="0">
      <selection activeCell="A16" sqref="A16"/>
    </sheetView>
  </sheetViews>
  <sheetFormatPr defaultColWidth="11.42578125" defaultRowHeight="14.45"/>
  <cols>
    <col min="1" max="1" width="86.42578125" customWidth="1"/>
  </cols>
  <sheetData>
    <row r="1" spans="1:1" ht="87">
      <c r="A1" s="2" t="s">
        <v>16879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A6FA6C-A949-43D8-89BC-1DCCA9ACAA26}"/>
</file>

<file path=customXml/itemProps2.xml><?xml version="1.0" encoding="utf-8"?>
<ds:datastoreItem xmlns:ds="http://schemas.openxmlformats.org/officeDocument/2006/customXml" ds:itemID="{9F6B4C89-CD30-4156-8118-FD89B6914747}"/>
</file>

<file path=customXml/itemProps3.xml><?xml version="1.0" encoding="utf-8"?>
<ds:datastoreItem xmlns:ds="http://schemas.openxmlformats.org/officeDocument/2006/customXml" ds:itemID="{93F3E96E-7D4E-44BF-8B94-FE0663D8DA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2022-06-07T10:52:33Z</dcterms:created>
  <dcterms:modified xsi:type="dcterms:W3CDTF">2023-11-12T18:45:27Z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