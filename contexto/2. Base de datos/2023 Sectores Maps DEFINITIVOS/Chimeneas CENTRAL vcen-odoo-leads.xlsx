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4" documentId="13_ncr:1_{3D71B8B7-90D1-4963-8401-3D629A199EA2}" xr6:coauthVersionLast="47" xr6:coauthVersionMax="47" xr10:uidLastSave="{8DC8F1ED-A7F2-41FB-9F66-B4B4698885CD}"/>
  <bookViews>
    <workbookView xWindow="-110" yWindow="-110" windowWidth="19420" windowHeight="10300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<sst xmlns="http://schemas.openxmlformats.org/spreadsheetml/2006/main" count="3232" uniqueCount="1921">
  <si>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</si>
  <si>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</si>
  <si>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</si>
  <si>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</si>
  <si>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</si>
  <si>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</si>
  <si>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</si>
  <si>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</si>
  <si>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Chimenetta Chimeneas y Decoración Rústica</t>
  </si>
  <si>
    <t>Tienda de chimeneas</t>
  </si>
  <si>
    <t>C. Manuel Azaña, 131, 04006 Almería</t>
  </si>
  <si>
    <t>Almería</t>
  </si>
  <si>
    <t>chimenetta.com</t>
  </si>
  <si>
    <t>950 22 88 44</t>
  </si>
  <si>
    <t>-</t>
  </si>
  <si>
    <t>CHIMENEAS CASAS</t>
  </si>
  <si>
    <t>Cam. de Torrehoyo, 8, 04130 El Alquián, Almería</t>
  </si>
  <si>
    <t>El Alquián</t>
  </si>
  <si>
    <t>chimeneascasas.com</t>
  </si>
  <si>
    <t>629 07 44 33</t>
  </si>
  <si>
    <t>Meriuse S.L.</t>
  </si>
  <si>
    <t>C. Sierra de Grazalema, 1, 04240 Viator, Almería</t>
  </si>
  <si>
    <t>Viator</t>
  </si>
  <si>
    <t/>
  </si>
  <si>
    <t>Chimeneas Orús</t>
  </si>
  <si>
    <t>Av. del Oasis, 65, 04700 El Ejido, Almería</t>
  </si>
  <si>
    <t>El Ejido</t>
  </si>
  <si>
    <t>950 57 13 18</t>
  </si>
  <si>
    <t>Chimeneas Mojacar S.L.</t>
  </si>
  <si>
    <t>Av. de Almeria, 34, 04639 Turre, Almería</t>
  </si>
  <si>
    <t>Turre</t>
  </si>
  <si>
    <t>negocio.site</t>
  </si>
  <si>
    <t>682 50 04 83</t>
  </si>
  <si>
    <t>Chimeneas Ramos</t>
  </si>
  <si>
    <t>C. Virgen de las Huertas, 25, 04620 Vera, Almería</t>
  </si>
  <si>
    <t>Vera</t>
  </si>
  <si>
    <t>chimeneasramos.com</t>
  </si>
  <si>
    <t>950 39 01 07</t>
  </si>
  <si>
    <t>joseramosramos@hotmail.com</t>
  </si>
  <si>
    <t>Garvil Chimeneas S L</t>
  </si>
  <si>
    <t>Polígono Industrial Camino Las Palmeras, 0 S N, 04850 Hojilla ( La ), Almería</t>
  </si>
  <si>
    <t>Cantoria</t>
  </si>
  <si>
    <t>950 12 19 49</t>
  </si>
  <si>
    <t>Chimenea Ogareña Casas Calor</t>
  </si>
  <si>
    <t>Av. Macael, 0, 04860 Olula del Río, Almería</t>
  </si>
  <si>
    <t>Olula del Río</t>
  </si>
  <si>
    <t>950 44 33 90</t>
  </si>
  <si>
    <t>Chimeneas ACAR SL</t>
  </si>
  <si>
    <t>Polígono Industrial Tardigueras, 78 Nave, 04800 Albox, Almería</t>
  </si>
  <si>
    <t>Albox</t>
  </si>
  <si>
    <t>m.facebook.com</t>
  </si>
  <si>
    <t>950 12 00 77</t>
  </si>
  <si>
    <t>Hark Mármoles</t>
  </si>
  <si>
    <t>Polígono Industrial Robira Sola, 9, 04867 Macael, Almería</t>
  </si>
  <si>
    <t>Macael</t>
  </si>
  <si>
    <t>950 12 60 16</t>
  </si>
  <si>
    <t>CHIMENEAS TORRENTE, S.L.L.</t>
  </si>
  <si>
    <t>Poligono El Romeral Parcela 33-34, 18650 Dúrcal, Granada</t>
  </si>
  <si>
    <t>Dúrcal</t>
  </si>
  <si>
    <t>Granada</t>
  </si>
  <si>
    <t>chimeneastorrente.com</t>
  </si>
  <si>
    <t>958 78 09 29</t>
  </si>
  <si>
    <t>Ctra. de Alhama, 2, 18194 Churriana de la Vega, Granada</t>
  </si>
  <si>
    <t>Churriana de la Vega</t>
  </si>
  <si>
    <t>958 57 35 99</t>
  </si>
  <si>
    <t>Chimeneas Garcí</t>
  </si>
  <si>
    <t>Calle Prol. de Corredera, 0, 18800 Baza, Granada</t>
  </si>
  <si>
    <t>Baza</t>
  </si>
  <si>
    <t>chimeneasgarci.es</t>
  </si>
  <si>
    <t>958 70 09 00</t>
  </si>
  <si>
    <t>info@chimeneasgarci.es</t>
  </si>
  <si>
    <t>Glorylux</t>
  </si>
  <si>
    <t>C. Almería, 0, 18500 Hernán-Valle, Granada</t>
  </si>
  <si>
    <t>Hernán-Valle</t>
  </si>
  <si>
    <t>958 66 11 51</t>
  </si>
  <si>
    <t>Orus Home Chimeneas</t>
  </si>
  <si>
    <t>Av. Fernando de los Ríos, 11, Local 5, 18100 Armilla, Granada</t>
  </si>
  <si>
    <t>Armilla</t>
  </si>
  <si>
    <t>orushomechimeneas.com</t>
  </si>
  <si>
    <t>958 78 05 72</t>
  </si>
  <si>
    <t>info@orushomechimeneas.com</t>
  </si>
  <si>
    <t>CHIMENEAS GARCI , S.L.</t>
  </si>
  <si>
    <t>Carr. de Huescar, Km4, 18850 Cúllar, Granada</t>
  </si>
  <si>
    <t>Cúllar</t>
  </si>
  <si>
    <t>619 31 55 39</t>
  </si>
  <si>
    <t>michimenea.com</t>
  </si>
  <si>
    <t>poligono industrial Miguel busto, C. Antonio Gaudi, nº53, 29170 Colmenar, Málaga</t>
  </si>
  <si>
    <t>Colmenar</t>
  </si>
  <si>
    <t>Málaga</t>
  </si>
  <si>
    <t>952 41 72 66</t>
  </si>
  <si>
    <t>Chimeneas Campos s.l.</t>
  </si>
  <si>
    <t>C. Clavel, 12, 29730 Rincón de la Victoria, Málaga</t>
  </si>
  <si>
    <t>Rincón de la Victoria</t>
  </si>
  <si>
    <t>chimeneascampos.es</t>
  </si>
  <si>
    <t>952 40 78 34</t>
  </si>
  <si>
    <t>Chimeneas López</t>
  </si>
  <si>
    <t>Poligono industrial El Saladar I, C. Martín García Martínez, 16, 30564 Lorquí, Murcia</t>
  </si>
  <si>
    <t>Lorquí</t>
  </si>
  <si>
    <t>Murcia</t>
  </si>
  <si>
    <t>chimeneaslopezmurcia.es</t>
  </si>
  <si>
    <t>968 69 46 71</t>
  </si>
  <si>
    <t>info@chimeneaslopezmurcia.es</t>
  </si>
  <si>
    <t>Chimeneas Jocan</t>
  </si>
  <si>
    <t>Calle Antonio Gaudí, 6 Parc 51 ( Pol Ind M Bustos ), 29170 Colmenar, Málaga</t>
  </si>
  <si>
    <t>Abla</t>
  </si>
  <si>
    <t>952 41 77 26</t>
  </si>
  <si>
    <t>Chimeneas Campos s.l. (Marbella)</t>
  </si>
  <si>
    <t>C. el Califa, 564, 29660 Marbella, Málaga</t>
  </si>
  <si>
    <t>Marbella</t>
  </si>
  <si>
    <t>951 27 56 93</t>
  </si>
  <si>
    <t>D&amp;amp;C CHIMENEAS. Chimeneas en Sevilla, comprar chimeneas, estufas y barbacoas en Sevilla</t>
  </si>
  <si>
    <t>Av. Camas, 30D, 41110 Bollullos de la Mitación, Sevilla</t>
  </si>
  <si>
    <t>Bollullos de la Mitación</t>
  </si>
  <si>
    <t>Sevilla</t>
  </si>
  <si>
    <t>chimeneasdyc.com</t>
  </si>
  <si>
    <t>954 17 23 13</t>
  </si>
  <si>
    <t>info@chimeneasdyc.com</t>
  </si>
  <si>
    <t>Chimeneas Dunia</t>
  </si>
  <si>
    <t>C. Gavia, 9, 11500 El Puerto de Sta María, Cádiz</t>
  </si>
  <si>
    <t>El Puerto de Sta María</t>
  </si>
  <si>
    <t>Cádiz</t>
  </si>
  <si>
    <t>956 48 23 66</t>
  </si>
  <si>
    <t>La Casa de las Chimeneas Chiclana</t>
  </si>
  <si>
    <t>Av. del Mueble, 11130 Chiclana de la Frontera, Cádiz</t>
  </si>
  <si>
    <t>Chiclana de la Frontera</t>
  </si>
  <si>
    <t>lacasadelaschimeneas.com</t>
  </si>
  <si>
    <t>956 40 17 77</t>
  </si>
  <si>
    <t>info@lacasadelaschimeneas.com</t>
  </si>
  <si>
    <t>La Casa de las Chimeneas</t>
  </si>
  <si>
    <t>N-4, Km. 640, 11408 Jerez de la Frontera, Cádiz</t>
  </si>
  <si>
    <t>Jerez de la Frontera</t>
  </si>
  <si>
    <t>956 14 06 04</t>
  </si>
  <si>
    <t>CHIMENEAS DOÑANA</t>
  </si>
  <si>
    <t>Cam. Casa de Las Piedras, 12, 11540 Sanlúcar de Barrameda, Cádiz</t>
  </si>
  <si>
    <t>Sanlúcar de Barrameda</t>
  </si>
  <si>
    <t>chimeneasdonana.com</t>
  </si>
  <si>
    <t>956 36 05 73</t>
  </si>
  <si>
    <t>info@chimeneasdonana.com</t>
  </si>
  <si>
    <t>Pierre Chimen Chimeneas</t>
  </si>
  <si>
    <t>Carretera Cádiz - Málaga, 18, 11203 Algeciras, Cádiz</t>
  </si>
  <si>
    <t>Algeciras</t>
  </si>
  <si>
    <t>pierrechimen.com</t>
  </si>
  <si>
    <t>956 65 74 25</t>
  </si>
  <si>
    <t>pierrechimen@pierrechimen.com</t>
  </si>
  <si>
    <t>Forjamar</t>
  </si>
  <si>
    <t>C. Ruiz Zorrilla, 25, 11203 Algeciras, Cádiz</t>
  </si>
  <si>
    <t>forjamar.es</t>
  </si>
  <si>
    <t>956 63 32 21</t>
  </si>
  <si>
    <t>chimeneas@forjamar.es</t>
  </si>
  <si>
    <t>Chimeneas El Angel</t>
  </si>
  <si>
    <t>C. Jacinto Benavente, 20, 11204 Algeciras, Cádiz</t>
  </si>
  <si>
    <t>Chimeneas Setenil (HNOS. ALVAREZ)</t>
  </si>
  <si>
    <t>Lugar Huerta Higueron, 2, 11692 Casas Nuevas, Cádiz</t>
  </si>
  <si>
    <t>Casas Nuevas</t>
  </si>
  <si>
    <t>956 12 41 22</t>
  </si>
  <si>
    <t>Montija Decoracion - Chimeneas en Huelva</t>
  </si>
  <si>
    <t>Ctra. Huelva, 21007 San Juan del Puerto, Huelva</t>
  </si>
  <si>
    <t>San Juan del Puerto</t>
  </si>
  <si>
    <t>Huelva</t>
  </si>
  <si>
    <t>959 22 02 21</t>
  </si>
  <si>
    <t>Fireside Home Comfort</t>
  </si>
  <si>
    <t>C. Austria, 8, 29004 Málaga</t>
  </si>
  <si>
    <t>fireside.es</t>
  </si>
  <si>
    <t>678 71 67 13</t>
  </si>
  <si>
    <t>info@distribucionesfireside.com</t>
  </si>
  <si>
    <t>CHIMENEAS SIERRA</t>
  </si>
  <si>
    <t>C / Almuñécar Parcela R-50, Poligono Industrial, 18220 Juncaril, Granada</t>
  </si>
  <si>
    <t>Juncaril</t>
  </si>
  <si>
    <t>chimeneassierra.es</t>
  </si>
  <si>
    <t>958 46 59 67</t>
  </si>
  <si>
    <t>chimeneassierra@chimeneassierra.es</t>
  </si>
  <si>
    <t>Chimeneas Molina. Mármoles y granitos</t>
  </si>
  <si>
    <t>Calle Alejo Carpentier, 26, 28806 Alcalá de Henares, Madrid</t>
  </si>
  <si>
    <t>Alcalá de Henares</t>
  </si>
  <si>
    <t>Madrid</t>
  </si>
  <si>
    <t>chimeneasmolina.com</t>
  </si>
  <si>
    <t>912 65 62 36</t>
  </si>
  <si>
    <t>contacte@chimeneasmolina.com</t>
  </si>
  <si>
    <t>Chimeneas Lumbre</t>
  </si>
  <si>
    <t>C. de Velázquez, 20, 28001 Madrid</t>
  </si>
  <si>
    <t>chimeneaslumbre.es</t>
  </si>
  <si>
    <t>914 35 28 81</t>
  </si>
  <si>
    <t>info@lumbre.es</t>
  </si>
  <si>
    <t>Polígono Empresarial Európolis, C. Bruselas, Local 7, B2, 28232 Las Rozas de Madrid, Madrid</t>
  </si>
  <si>
    <t>Las Rozas de Madrid</t>
  </si>
  <si>
    <t>916 36 17 59</t>
  </si>
  <si>
    <t>Bosch Marín -Importador oficial chimeneas y estufas-</t>
  </si>
  <si>
    <t>Avda. Barcelona, nave 10, Poligono Industrial La masia, 08798 Sant Cugat Sesgarrigues, Barcelona</t>
  </si>
  <si>
    <t>Sant Cugat Sesgarrigues</t>
  </si>
  <si>
    <t>Barcelona</t>
  </si>
  <si>
    <t>boschmarin.com</t>
  </si>
  <si>
    <t>938 97 08 88</t>
  </si>
  <si>
    <t>info@boschmarin.com</t>
  </si>
  <si>
    <t>Cinza</t>
  </si>
  <si>
    <t>Av. de Zamora, 117, bajo, 32005 Ourense, Province of Ourense</t>
  </si>
  <si>
    <t>Orense</t>
  </si>
  <si>
    <t>Province of Ourense</t>
  </si>
  <si>
    <t>cinza.es</t>
  </si>
  <si>
    <t>988 61 36 74</t>
  </si>
  <si>
    <t>info@cinza.es</t>
  </si>
  <si>
    <t>Equipsol</t>
  </si>
  <si>
    <t>Av. de Chinales, 21, 14007 Córdoba</t>
  </si>
  <si>
    <t>Córdoba</t>
  </si>
  <si>
    <t>equipsolsl.com</t>
  </si>
  <si>
    <t>661 88 56 55</t>
  </si>
  <si>
    <t>Chimeneas</t>
  </si>
  <si>
    <t>C. Isaac Peral, 12, 14002 Córdoba</t>
  </si>
  <si>
    <t>Chimeneas Lao</t>
  </si>
  <si>
    <t>Av. de Málaga, 11, LOCAL, 14550 Montilla, Córdoba</t>
  </si>
  <si>
    <t>Montilla</t>
  </si>
  <si>
    <t>chimeneaslao.com</t>
  </si>
  <si>
    <t>611 33 83 84</t>
  </si>
  <si>
    <t>chimeneaslaosl@chimeneaslao.com</t>
  </si>
  <si>
    <t>Chimeneas Cano en priego de Cordoba.</t>
  </si>
  <si>
    <t>C. Albéniz, 17, 14800 Priego de Córdoba, Córdoba</t>
  </si>
  <si>
    <t>Priego de Córdoba</t>
  </si>
  <si>
    <t>facebook.com</t>
  </si>
  <si>
    <t>677 26 76 92</t>
  </si>
  <si>
    <t>Chimeneas Anca</t>
  </si>
  <si>
    <t>Pl. del Mercado, 4, 14900 Lucena, Córdoba</t>
  </si>
  <si>
    <t>Lucena</t>
  </si>
  <si>
    <t>957 59 16 61</t>
  </si>
  <si>
    <t>Chimeneas La Viñuela</t>
  </si>
  <si>
    <t>N-432 Km. 430 La Viñuela, 18230 Atarfe, Granada</t>
  </si>
  <si>
    <t>Atarfe</t>
  </si>
  <si>
    <t>629 50 54 10</t>
  </si>
  <si>
    <t>Revestimientos Decora</t>
  </si>
  <si>
    <t>C. Catalina Marín, 6, 14900 Lucena, Córdoba</t>
  </si>
  <si>
    <t>decorarevestimientosdemadera.com</t>
  </si>
  <si>
    <t>957 59 09 80</t>
  </si>
  <si>
    <t>info@decorarevestimientosdemadera.com</t>
  </si>
  <si>
    <t>Chimeneas Gabriel Henares S.L</t>
  </si>
  <si>
    <t>Ctra. Atarfe - Santa Fe (pol Ind. Los Alamos) S/N, 18230 Atarfe, Granada</t>
  </si>
  <si>
    <t>chimeneasgabrielhenares.com</t>
  </si>
  <si>
    <t>958 43 75 01</t>
  </si>
  <si>
    <t>chimeneashenaressl@hotmail.com</t>
  </si>
  <si>
    <t>Leña Garme</t>
  </si>
  <si>
    <t>C/ Ajoli, 59, 21750 El Rocío, Huelva</t>
  </si>
  <si>
    <t>El Rocío</t>
  </si>
  <si>
    <t>687 14 27 36</t>
  </si>
  <si>
    <t>Chimeneas Impormade</t>
  </si>
  <si>
    <t>Poligono Ind. Pisa, Sevilla, C. Congreso, 20, 41927 Mairena del Aljarafe, Sevilla</t>
  </si>
  <si>
    <t>Mairena del Aljarafe</t>
  </si>
  <si>
    <t>chimeneasimpormade.com</t>
  </si>
  <si>
    <t>955 08 97 47</t>
  </si>
  <si>
    <t>info@chimeneasimpormade.com</t>
  </si>
  <si>
    <t>Chimeneas Rofer &amp;amp; Rodi</t>
  </si>
  <si>
    <t>Calle Pintor Cipriano Maldonado,, Conjunto Torres de la Viña, 1, 29740 Torre del Mar, Málaga</t>
  </si>
  <si>
    <t>Torre del Mar</t>
  </si>
  <si>
    <t>rofer.com</t>
  </si>
  <si>
    <t>952 54 23 16</t>
  </si>
  <si>
    <t>rofer@rofer.com</t>
  </si>
  <si>
    <t>Chimeneas Joyma</t>
  </si>
  <si>
    <t>Calle Vidrieras, 4, 23400 Úbeda, Jaén</t>
  </si>
  <si>
    <t>Úbeda</t>
  </si>
  <si>
    <t>Jaén</t>
  </si>
  <si>
    <t>chimeneasjoyma.com</t>
  </si>
  <si>
    <t>953 79 13 98</t>
  </si>
  <si>
    <t>chimeneasjoyma@gmail.com</t>
  </si>
  <si>
    <t>Chimeneas Redondo</t>
  </si>
  <si>
    <t>Carr. de Sabiote, km 0,7, 23400 Úbeda, Jaén</t>
  </si>
  <si>
    <t>chimeneasredondo.com</t>
  </si>
  <si>
    <t>953 79 07 93</t>
  </si>
  <si>
    <t>info@chimeneasredondo.com</t>
  </si>
  <si>
    <t>HIFESUR</t>
  </si>
  <si>
    <t>Pol. Ind. de, C. Sevilla, S/N, 23320 Torreperogil, Jaén</t>
  </si>
  <si>
    <t>Torreperogil</t>
  </si>
  <si>
    <t>hifesur.com</t>
  </si>
  <si>
    <t>953 77 87 28</t>
  </si>
  <si>
    <t>info@hifesur.com</t>
  </si>
  <si>
    <t>Más que Chimeneas</t>
  </si>
  <si>
    <t>Carretera de Jaen, poligono Industrial Juncaril, complejo Mugorama Parcela 102, nave 2A, 18210 Peligros, Granada</t>
  </si>
  <si>
    <t>Peligros</t>
  </si>
  <si>
    <t>masquechimeneasgranada.com</t>
  </si>
  <si>
    <t>958 17 86 87</t>
  </si>
  <si>
    <t>Limpieza De Chimeneas</t>
  </si>
  <si>
    <t>C. Villacarrillo, 29, 23400 Úbeda, Jaén</t>
  </si>
  <si>
    <t>Hifeal</t>
  </si>
  <si>
    <t>C. Andalucía, 21, 23320 Torreperogil, Jaén</t>
  </si>
  <si>
    <t>hifeal.es</t>
  </si>
  <si>
    <t>953 77 64 29</t>
  </si>
  <si>
    <t>Piedra Natural San Pedro</t>
  </si>
  <si>
    <t>Poligono Industrial Fuente, Ctra. Granada, S/N, 23680 Alcalá la Real, Jaén</t>
  </si>
  <si>
    <t>Alcalá la Real</t>
  </si>
  <si>
    <t>chimeneasanpedro.com</t>
  </si>
  <si>
    <t>953 58 10 26</t>
  </si>
  <si>
    <t>piedrasanpedro@gmail.com</t>
  </si>
  <si>
    <t>Alumetal Joyma - Ibelor</t>
  </si>
  <si>
    <t>Carretera de la Estación, 23, 23460 Peal de Becerro, Jaén</t>
  </si>
  <si>
    <t>Peal de Becerro</t>
  </si>
  <si>
    <t>fabricachimeneas.com</t>
  </si>
  <si>
    <t>953 73 10 03</t>
  </si>
  <si>
    <t>alumetaljoyma@fabricachimeneas.com</t>
  </si>
  <si>
    <t>Chimeneas El Torreón</t>
  </si>
  <si>
    <t>Cam. de las Cruces, 0, 18220 Albolote, Granada</t>
  </si>
  <si>
    <t>Albolote</t>
  </si>
  <si>
    <t>647 69 09 59</t>
  </si>
  <si>
    <t>Calortek</t>
  </si>
  <si>
    <t>Polígono Industrial Molaina, Parcela 39, 18240 Pinos Puente, Granada, Granada</t>
  </si>
  <si>
    <t>Pinos Puente</t>
  </si>
  <si>
    <t>calortek.com</t>
  </si>
  <si>
    <t>958 45 21 23</t>
  </si>
  <si>
    <t>info@calortek.com</t>
  </si>
  <si>
    <t>Chimeneas Vaquer</t>
  </si>
  <si>
    <t>12513 Catí, Castellón</t>
  </si>
  <si>
    <t>Catí</t>
  </si>
  <si>
    <t>Castellón</t>
  </si>
  <si>
    <t>chimeneasvaquer.com</t>
  </si>
  <si>
    <t>964 40 90 22</t>
  </si>
  <si>
    <t>info@chimeneasvaquer.com</t>
  </si>
  <si>
    <t>Todochimeneas</t>
  </si>
  <si>
    <t>Av. de José Ortega y Gasset, 359, 29006 Málaga</t>
  </si>
  <si>
    <t>todochimeneas.com</t>
  </si>
  <si>
    <t>952 10 50 25</t>
  </si>
  <si>
    <t>TodoChimeneas SL</t>
  </si>
  <si>
    <t>Av. de José Ortega y Gasset, 359, 29004 Málaga</t>
  </si>
  <si>
    <t>Chimenea Malaga | Creaciones Merchán</t>
  </si>
  <si>
    <t>KM 7.5, Avenida de José Ortega y Gasset, Campanillas, 29196 Málaga</t>
  </si>
  <si>
    <t>decochimenea.es</t>
  </si>
  <si>
    <t>952 34 54 88</t>
  </si>
  <si>
    <t>info@creacionesmerchan.com</t>
  </si>
  <si>
    <t>Chimeneas Campos s.l. (Malaga)</t>
  </si>
  <si>
    <t>Av. de José Ortega y Gasset, 353, 29006 Málaga</t>
  </si>
  <si>
    <t>647 12 15 11</t>
  </si>
  <si>
    <t>Yolifer Chimeneas, S.L.</t>
  </si>
  <si>
    <t>Ctra. Coín, 37, 29140 Málaga</t>
  </si>
  <si>
    <t>yolifer.es</t>
  </si>
  <si>
    <t>952 62 22 27</t>
  </si>
  <si>
    <t>yolifer@yolifer.es</t>
  </si>
  <si>
    <t>Clima Hogar</t>
  </si>
  <si>
    <t>km 90.3 Ctro.Comercial Local 2, Ctra. Coín, 32, 29140 Málaga</t>
  </si>
  <si>
    <t>629 32 77 17</t>
  </si>
  <si>
    <t>Ninsur</t>
  </si>
  <si>
    <t>C. Hermanas Bronte, 56, 29004 Málaga</t>
  </si>
  <si>
    <t>ninsur.com</t>
  </si>
  <si>
    <t>952 23 61 70</t>
  </si>
  <si>
    <t>fancybox@3.5.7</t>
  </si>
  <si>
    <t>Marmocalor S.L.U</t>
  </si>
  <si>
    <t>C. Perete, 21, 29006 Málaga</t>
  </si>
  <si>
    <t>marmocalor.com</t>
  </si>
  <si>
    <t>952 31 68 15</t>
  </si>
  <si>
    <t>Francisca Alarcón Gallego</t>
  </si>
  <si>
    <t>Av. Reyes Católicos, 46, 29130 Alhaurín de la Torre, Málaga</t>
  </si>
  <si>
    <t>Alhaurín de la Torre</t>
  </si>
  <si>
    <t>Barbacoas Chimeneas</t>
  </si>
  <si>
    <t>C. Sta. Teresa, 3, 29651 Fuengirola, Málaga</t>
  </si>
  <si>
    <t>Fuengirola</t>
  </si>
  <si>
    <t>951 08 11 59</t>
  </si>
  <si>
    <t>tuchimenea.es</t>
  </si>
  <si>
    <t>C. Julio Romero de Torres, 8, 1º, 29700 Vélez-Málaga, Málaga</t>
  </si>
  <si>
    <t>Vélez-Málaga</t>
  </si>
  <si>
    <t>951 08 50 13</t>
  </si>
  <si>
    <t>Chimeneas Bisonte</t>
  </si>
  <si>
    <t>C. Bartolomé Esteban Murillo, 23, 29700 Vélez-Málaga, Málaga</t>
  </si>
  <si>
    <t>grupobisonte.es</t>
  </si>
  <si>
    <t>952 50 08 53</t>
  </si>
  <si>
    <t>ddwebs@gmail.com</t>
  </si>
  <si>
    <t>Autopuertas</t>
  </si>
  <si>
    <t>Calle Ricardo León, 21 Esq, C. Monda, 29640 Fuengirola, Málaga</t>
  </si>
  <si>
    <t>autopuertasfuengirola.com</t>
  </si>
  <si>
    <t>952 46 69 27</t>
  </si>
  <si>
    <t>info@autopuertasfuengirola.com</t>
  </si>
  <si>
    <t>DAFRANDE CHIMENEAS</t>
  </si>
  <si>
    <t>Av. de las Comunidades Autónomas, 27P, 29200, Málaga</t>
  </si>
  <si>
    <t>Antequera</t>
  </si>
  <si>
    <t>dafrandechimeneas.es</t>
  </si>
  <si>
    <t>665 50 55 46</t>
  </si>
  <si>
    <t>info@dafrandechimeneas.es</t>
  </si>
  <si>
    <t>Nelpinza</t>
  </si>
  <si>
    <t>Calle Cuarzo, 23, 29603 Marbella, Málaga</t>
  </si>
  <si>
    <t>nelpinza.es</t>
  </si>
  <si>
    <t>615 60 33 62</t>
  </si>
  <si>
    <t>info@nelpinza.es</t>
  </si>
  <si>
    <t>Rofer Rodi</t>
  </si>
  <si>
    <t>2º D, Av. Antonio Toré Toré, 5, 29740 Torre del Mar, Málaga</t>
  </si>
  <si>
    <t>Rofer &amp;amp; Rodi</t>
  </si>
  <si>
    <t>C. Azalea, 1, 29740 Torre del Mar, Málaga</t>
  </si>
  <si>
    <t>Chimeneas Sevilla</t>
  </si>
  <si>
    <t>Pl. De Cuba, 8, 41011 Sevilla</t>
  </si>
  <si>
    <t>chimeneassevilla.es</t>
  </si>
  <si>
    <t>954 45 72 25</t>
  </si>
  <si>
    <t>chimeneas delaljarafe</t>
  </si>
  <si>
    <t>41950 Castilleja de la Cuesta, Sevilla</t>
  </si>
  <si>
    <t>Castilleja de la Cuesta</t>
  </si>
  <si>
    <t>chimeneasdelaljarafe.com</t>
  </si>
  <si>
    <t>639 78 69 90</t>
  </si>
  <si>
    <t>info@chimeneasdelaljarafe.com</t>
  </si>
  <si>
    <t>MundoChimeneas</t>
  </si>
  <si>
    <t>C. Cam. de la Venta, 10, 41950 Castilleja de la Cuesta, Sevilla</t>
  </si>
  <si>
    <t>mundochimeneas.com</t>
  </si>
  <si>
    <t>954 02 31 63</t>
  </si>
  <si>
    <t>TopChimeneas</t>
  </si>
  <si>
    <t>C. Camilo José Cela, 7, 41950 Castilleja de la Cuesta, Sevilla</t>
  </si>
  <si>
    <t>672 31 68 36</t>
  </si>
  <si>
    <t>Doncan Chimeneas</t>
  </si>
  <si>
    <t>C. Duquesa de Talavera, 59, 41500 Alcalá de Guadaíra, Sevilla</t>
  </si>
  <si>
    <t>Alcalá de Guadaíra</t>
  </si>
  <si>
    <t>doncanchimeneas.com</t>
  </si>
  <si>
    <t>955 68 45 08</t>
  </si>
  <si>
    <t>Bricochimeneas SL</t>
  </si>
  <si>
    <t>Finca el Valero Sector 4 Nave 4, 41950 Castilleja de la Cuesta, Sevilla</t>
  </si>
  <si>
    <t>bricochimeneas.com</t>
  </si>
  <si>
    <t>954 16 55 79</t>
  </si>
  <si>
    <t>comercial@bricochimeneas.com</t>
  </si>
  <si>
    <t>Av. Primer Teniente Alcalde José Garrido, 63, 41120 Gelves, Sevilla</t>
  </si>
  <si>
    <t>Gelves</t>
  </si>
  <si>
    <t>955 51 01 05</t>
  </si>
  <si>
    <t>Eb &amp;amp; L Chimeneas</t>
  </si>
  <si>
    <t>C. la Mogaba, 113, 41960 Gines, Sevilla</t>
  </si>
  <si>
    <t>Gines</t>
  </si>
  <si>
    <t>954 71 49 60</t>
  </si>
  <si>
    <t>Abg Chimeneas</t>
  </si>
  <si>
    <t>C. Leo, 9, 41710 Utrera, Sevilla</t>
  </si>
  <si>
    <t>Utrera</t>
  </si>
  <si>
    <t>abgchimeneas.es</t>
  </si>
  <si>
    <t>954 87 38 25</t>
  </si>
  <si>
    <t>info@abgchimeneas.es</t>
  </si>
  <si>
    <t>CHEMI-PORT. CHIMENEAS UTRERA</t>
  </si>
  <si>
    <t>C. Trabajo, 15, 41710 Utrera, Sevilla</t>
  </si>
  <si>
    <t>chemi-port.com</t>
  </si>
  <si>
    <t>955 86 24 56</t>
  </si>
  <si>
    <t>D &amp;amp; C DECOCALOR</t>
  </si>
  <si>
    <t>C. Pablo Coso Calero Maestro Nacional, 53, 41930 Bormujos, Sevilla</t>
  </si>
  <si>
    <t>Bormujos</t>
  </si>
  <si>
    <t>654 25 64 33</t>
  </si>
  <si>
    <t>CHIMENEAS-HOGAR ARANA</t>
  </si>
  <si>
    <t>Calle Fornillos s/nº (Polígono, Cam. Monzú, 22006 Huesca</t>
  </si>
  <si>
    <t>Huesca</t>
  </si>
  <si>
    <t>wwwchimeneashogararana.es</t>
  </si>
  <si>
    <t>678 56 90 06</t>
  </si>
  <si>
    <t>Comercial Osca S.L.</t>
  </si>
  <si>
    <t>Cam. de Fornillos, 54, 22006 Huesca</t>
  </si>
  <si>
    <t>678 70 59 95</t>
  </si>
  <si>
    <t>Chimeneas Alcubierre</t>
  </si>
  <si>
    <t>C. Barranco, 9, 22251 Alcubierre, Huesca</t>
  </si>
  <si>
    <t>Alcubierre</t>
  </si>
  <si>
    <t>chimeneas.tv</t>
  </si>
  <si>
    <t>974 57 43 50</t>
  </si>
  <si>
    <t>Ernesto Cancer (Chimeneas)</t>
  </si>
  <si>
    <t>Pl. Diputación, 2, 22300 Barbastro, Huesca</t>
  </si>
  <si>
    <t>Barbastro</t>
  </si>
  <si>
    <t>ernestocancer.com</t>
  </si>
  <si>
    <t>974 31 03 96</t>
  </si>
  <si>
    <t>atencionalcliente@ernestocancer.com</t>
  </si>
  <si>
    <t>Chimeneas Escolano</t>
  </si>
  <si>
    <t>C. de Miguel Servet, 160, 50013 Zaragoza</t>
  </si>
  <si>
    <t>Zaragoza</t>
  </si>
  <si>
    <t>976 13 37 22</t>
  </si>
  <si>
    <t>CHIMENEAS CALOR Y CONFORT SL</t>
  </si>
  <si>
    <t>Av. Huesca, 31, bajos, 44600 Alcañiz, Teruel</t>
  </si>
  <si>
    <t>Alcañiz</t>
  </si>
  <si>
    <t>Teruel</t>
  </si>
  <si>
    <t>chimeneascaloryconfort.es</t>
  </si>
  <si>
    <t>978 08 82 92</t>
  </si>
  <si>
    <t>Chimeneas Rioja</t>
  </si>
  <si>
    <t>C. Huesca, 40, 26003 Logroño, La Rioja</t>
  </si>
  <si>
    <t>Logroño</t>
  </si>
  <si>
    <t>La Rioja</t>
  </si>
  <si>
    <t>chimeneasrioja.es</t>
  </si>
  <si>
    <t>941 22 70 43</t>
  </si>
  <si>
    <t>chrioja@chimeneasrioja.es</t>
  </si>
  <si>
    <t>Humogas</t>
  </si>
  <si>
    <t>C. de Italia, 40, 50010 Zaragoza</t>
  </si>
  <si>
    <t>humogas.com</t>
  </si>
  <si>
    <t>976 33 65 59</t>
  </si>
  <si>
    <t>info@humogas.com</t>
  </si>
  <si>
    <t>Chimeneas Martín Ibáñez</t>
  </si>
  <si>
    <t>C. Manuela Aznar Lorenz, 11, BAJO, 44557 La Mata de los Olmos, Teruel</t>
  </si>
  <si>
    <t>La Mata de los Olmos</t>
  </si>
  <si>
    <t>978 84 93 96</t>
  </si>
  <si>
    <t>Chimeneas De La Rubia</t>
  </si>
  <si>
    <t>Carrer l&amp;apos;Horteta, 38, 46138 Rafelbunyol, Valencia</t>
  </si>
  <si>
    <t>Rafelbuñol</t>
  </si>
  <si>
    <t>Valencia</t>
  </si>
  <si>
    <t>delarubia.es</t>
  </si>
  <si>
    <t>961 41 22 73</t>
  </si>
  <si>
    <t>info@delarubia.es</t>
  </si>
  <si>
    <t>Chimeneas Manzana</t>
  </si>
  <si>
    <t>Av. València, 75, 12520 Nules, Castelló</t>
  </si>
  <si>
    <t>Nules</t>
  </si>
  <si>
    <t>Castelló</t>
  </si>
  <si>
    <t>chimeneasmanzana.com</t>
  </si>
  <si>
    <t>964 67 35 99</t>
  </si>
  <si>
    <t>info@chimeneasmanzana.com</t>
  </si>
  <si>
    <t>Ideas de Fuego, Chimeneas Asturias</t>
  </si>
  <si>
    <t>Av. Mar Cantábrico, 9, 33204 Gijón, Asturias</t>
  </si>
  <si>
    <t>Gijón</t>
  </si>
  <si>
    <t>Asturias</t>
  </si>
  <si>
    <t>chimeneasasturias.com</t>
  </si>
  <si>
    <t>607 63 80 18</t>
  </si>
  <si>
    <t>Chimeneas Hogar</t>
  </si>
  <si>
    <t>C. Mieres, 16, 33208 Gijón, Asturias</t>
  </si>
  <si>
    <t>chimeneahogar.com</t>
  </si>
  <si>
    <t>985 14 29 92</t>
  </si>
  <si>
    <t>chimenea@chimeneahogar.com</t>
  </si>
  <si>
    <t>Palacios M.t.c. S.l.</t>
  </si>
  <si>
    <t>Carr. de Deva, 675, 33394 Deva, Asturias</t>
  </si>
  <si>
    <t>Deva</t>
  </si>
  <si>
    <t>ideasdefuego.es</t>
  </si>
  <si>
    <t>984 09 95 10</t>
  </si>
  <si>
    <t>Chimeneas Llanes</t>
  </si>
  <si>
    <t>Ctra, N-634, Km 299, 33596 San Roque del Acebal</t>
  </si>
  <si>
    <t>San Roque del Acebal</t>
  </si>
  <si>
    <t>661 70 48 92</t>
  </si>
  <si>
    <t>Almacenes Collar</t>
  </si>
  <si>
    <t>C/ Charles Darwin, 8, Bajo, 33005 Oviedo, Asturias</t>
  </si>
  <si>
    <t>Oviedo</t>
  </si>
  <si>
    <t>artesanosdelfuego.com</t>
  </si>
  <si>
    <t>985 23 35 15</t>
  </si>
  <si>
    <t>info@artesanosdelfuego.com</t>
  </si>
  <si>
    <t>Naturclima Asturias - Reformas - Calefacción pellet - cocinas y baños - Mieres</t>
  </si>
  <si>
    <t>C. Doce de Octubre, 43, 33600 Mieres, Asturias</t>
  </si>
  <si>
    <t>Mieres</t>
  </si>
  <si>
    <t>naturclimaasturias.com</t>
  </si>
  <si>
    <t>984 18 06 57</t>
  </si>
  <si>
    <t>info@naturclimaasturias.com</t>
  </si>
  <si>
    <t>Antuña</t>
  </si>
  <si>
    <t>Av. Alcalde José Fernandín, 21, 33450 Piedras Blancas, Asturias</t>
  </si>
  <si>
    <t>Piedras Blancas</t>
  </si>
  <si>
    <t>985 53 01 76</t>
  </si>
  <si>
    <t>Virtual Data SLU</t>
  </si>
  <si>
    <t>Coasan</t>
  </si>
  <si>
    <t>Calle del Río Nora, 1, 33937 El Berrón, Asturias</t>
  </si>
  <si>
    <t>El Berrón</t>
  </si>
  <si>
    <t>985 74 08 63</t>
  </si>
  <si>
    <t>Peforsa - Palma Exposición de estufas y chimeneas</t>
  </si>
  <si>
    <t>Carretera de Valldemossa, 10, 07010 Palma, Illes Balears</t>
  </si>
  <si>
    <t>Palma</t>
  </si>
  <si>
    <t>Illes Balears</t>
  </si>
  <si>
    <t>peforsa.com</t>
  </si>
  <si>
    <t>971 76 10 87</t>
  </si>
  <si>
    <t>Chimeneas BIOLLAMA</t>
  </si>
  <si>
    <t>Carrer de Francesc Suau, 4, 07010 Palma, Illes Balears</t>
  </si>
  <si>
    <t>chimeneasbiollama.es</t>
  </si>
  <si>
    <t>871 80 59 45</t>
  </si>
  <si>
    <t>a36b86319e6542838a534122c8870e3f@sentry.qdqmedia.com</t>
  </si>
  <si>
    <t>FUMIDECO S.L.</t>
  </si>
  <si>
    <t>Carrer de Mont Lueri, 45, 07011 Palma, Illes Balears</t>
  </si>
  <si>
    <t>fumideco.com</t>
  </si>
  <si>
    <t>971 75 58 26</t>
  </si>
  <si>
    <t>info@fumideco.com</t>
  </si>
  <si>
    <t>Xemeneies i estufes olivers manacor</t>
  </si>
  <si>
    <t>Via Palma, 86, 07500 Manacor, Illes Balears</t>
  </si>
  <si>
    <t>Manacor</t>
  </si>
  <si>
    <t>olivers-jotul.com</t>
  </si>
  <si>
    <t>971 55 54 62</t>
  </si>
  <si>
    <t>Estufas Mallorca. Öfen, Kamine und Schornsteine (Wir bitten unsere Kunden vor einem Laden-besuch um eine Telefonische Terminabsprache!)</t>
  </si>
  <si>
    <t>Carrer d&amp;apos;Avall, 7, 07510 Sineu, Illes Balears</t>
  </si>
  <si>
    <t>Sineu</t>
  </si>
  <si>
    <t>estufas-mallorca.com</t>
  </si>
  <si>
    <t>635 83 13 11</t>
  </si>
  <si>
    <t>info@estufas-mallorca.com</t>
  </si>
  <si>
    <t>Xemeneies i estufes Olivers</t>
  </si>
  <si>
    <t>Ronda de l&amp;apos;Estació, 30, 07630 Campos, Illes Balears</t>
  </si>
  <si>
    <t>Campos</t>
  </si>
  <si>
    <t>971 65 14 00</t>
  </si>
  <si>
    <t>Peforsa - Inca Exposición y almacén</t>
  </si>
  <si>
    <t>Carrer dels Menestrals, 11, 07300 Inca, Balearic Islands</t>
  </si>
  <si>
    <t>Inca</t>
  </si>
  <si>
    <t>Balearic Islands</t>
  </si>
  <si>
    <t>peforsa.es</t>
  </si>
  <si>
    <t>971 50 50 11</t>
  </si>
  <si>
    <t>Peforsa - Polígono Almacén</t>
  </si>
  <si>
    <t>Gremio Jaboneros nº 4 Pasaje Particular (detrás OPEL, 07009 Son Castelló, Balearic Islands</t>
  </si>
  <si>
    <t>Pol. Ind. de Son Castelló</t>
  </si>
  <si>
    <t>971 29 81 08</t>
  </si>
  <si>
    <t>jotul campos olivers</t>
  </si>
  <si>
    <t>olivers.es</t>
  </si>
  <si>
    <t>info@olivers-jotul.com</t>
  </si>
  <si>
    <t>Chimeneas Mallorca - Pedro Lira F.</t>
  </si>
  <si>
    <t>Carretera Palma-Campos, km 36, 07630 Campos, Illes Balears</t>
  </si>
  <si>
    <t>pedrolira.es</t>
  </si>
  <si>
    <t>617 97 33 04</t>
  </si>
  <si>
    <t>info@pedrolira.es</t>
  </si>
  <si>
    <t>Fire and Stone Mallorca</t>
  </si>
  <si>
    <t>Carrer del Taronger, 5, 07560 S&amp;apos;Illot, Illes Balears</t>
  </si>
  <si>
    <t>S&amp;apos;Illot</t>
  </si>
  <si>
    <t>fireandstone-mallorca.com</t>
  </si>
  <si>
    <t>602 49 18 04</t>
  </si>
  <si>
    <t>fireandstone.mallorca@gmail.comBestellen</t>
  </si>
  <si>
    <t>Energetec</t>
  </si>
  <si>
    <t>Carrer de Porto, 8, 07014 Palma, Illes Balears</t>
  </si>
  <si>
    <t>URBAN FIRES</t>
  </si>
  <si>
    <t>Carrer d&amp;apos;es Parc de la Mar, 23, 07660 Santanyí, Illes Balears</t>
  </si>
  <si>
    <t>Santañy</t>
  </si>
  <si>
    <t>urbanfires.es</t>
  </si>
  <si>
    <t>620 83 55 33</t>
  </si>
  <si>
    <t>core-js-bundle@3.2.1</t>
  </si>
  <si>
    <t>Chimeneas y Barbacoas</t>
  </si>
  <si>
    <t>Av. del País Valencià, 285, 03720 Benissa, Alicante</t>
  </si>
  <si>
    <t>Benisa</t>
  </si>
  <si>
    <t>Alicante</t>
  </si>
  <si>
    <t>965 03 69 61</t>
  </si>
  <si>
    <t>Fuego Difusión - Importador y distribuidor nacional oficial de chimeneas y estufas</t>
  </si>
  <si>
    <t>Partida Madrigueres Sud, 64-B, 03700 Dénia, Alicante</t>
  </si>
  <si>
    <t>Denia</t>
  </si>
  <si>
    <t>fuegodifusion.es</t>
  </si>
  <si>
    <t>966 42 33 30</t>
  </si>
  <si>
    <t>info@fuegodifusion.es</t>
  </si>
  <si>
    <t>Taller los Brezos</t>
  </si>
  <si>
    <t>Ctra. del Lomo, 27, 35400 Arucas, Las Palmas</t>
  </si>
  <si>
    <t>Arucas</t>
  </si>
  <si>
    <t>Las Palmas</t>
  </si>
  <si>
    <t>646 20 74 73</t>
  </si>
  <si>
    <t>Chimeneas Aguere</t>
  </si>
  <si>
    <t>C. Juana Blanca, 27, 38202 San Cristóbal de La Laguna, Santa Cruz de Tenerife</t>
  </si>
  <si>
    <t>San Cristóbal de La Laguna</t>
  </si>
  <si>
    <t>Santa Cruz de Tenerife</t>
  </si>
  <si>
    <t>chimeneasaguere.com</t>
  </si>
  <si>
    <t>922 25 48 08</t>
  </si>
  <si>
    <t>info@chimeneasaguere.com</t>
  </si>
  <si>
    <t>Chimeneas Perera | Chimeneas</t>
  </si>
  <si>
    <t>Calle Quintín Benito, 17, 38201 San Cristóbal de La Laguna, Santa Cruz de Tenerife</t>
  </si>
  <si>
    <t>chimeneasperera.com</t>
  </si>
  <si>
    <t>922 63 15 00</t>
  </si>
  <si>
    <t>info@chimeneasperera.com</t>
  </si>
  <si>
    <t>Antonio Manuel Expósito Ramos</t>
  </si>
  <si>
    <t>C. Izaña, 0, 38296 San Cristóbal de La Laguna, Santa Cruz de Tenerife</t>
  </si>
  <si>
    <t>922 26 18 10</t>
  </si>
  <si>
    <t>Barbacoas René</t>
  </si>
  <si>
    <t>C. Peŕez Reyes, 45, 38350 Tacoronte, Santa Cruz de Tenerife</t>
  </si>
  <si>
    <t>Tacoronte</t>
  </si>
  <si>
    <t>renebarbacoas.com</t>
  </si>
  <si>
    <t>922 57 00 48</t>
  </si>
  <si>
    <t>barbacoasrene@hotmail.com</t>
  </si>
  <si>
    <t>Comercial Muntané Canarias SL</t>
  </si>
  <si>
    <t>C. Juan Manuel Durán González, 15, 35007 Las Palmas de Gran Canaria, Las Palmas</t>
  </si>
  <si>
    <t>Las Palmas de Gran Canaria</t>
  </si>
  <si>
    <t>comercialmuntane.com</t>
  </si>
  <si>
    <t>928 27 55 99</t>
  </si>
  <si>
    <t>info@comercialmuntane.com</t>
  </si>
  <si>
    <t>Chimeneas MJ Piedra Decoración</t>
  </si>
  <si>
    <t>Av. de Bilbao, 90, B;BAJO, 39300 Torrelavega, Cantabria</t>
  </si>
  <si>
    <t>Torrelavega</t>
  </si>
  <si>
    <t>Cantabria</t>
  </si>
  <si>
    <t>chimeneasmj.com</t>
  </si>
  <si>
    <t>942 88 22 66</t>
  </si>
  <si>
    <t>Ecotermia: Chimeneas y renovables</t>
  </si>
  <si>
    <t>39608 Igollo de Camargo, Cantabria</t>
  </si>
  <si>
    <t>Igollo de Camargo</t>
  </si>
  <si>
    <t>banicospain.es</t>
  </si>
  <si>
    <t>942 13 58 38</t>
  </si>
  <si>
    <t>%20info@banicospain.es</t>
  </si>
  <si>
    <t>Chimeneas Mdv</t>
  </si>
  <si>
    <t>Polígono Industrial de Barros Avenida de, C. de Alfonso Álvarez Miranda, 42, 39408 Barros, Cantabria</t>
  </si>
  <si>
    <t>Barros</t>
  </si>
  <si>
    <t>942 83 18 53</t>
  </si>
  <si>
    <t>ECONORTE</t>
  </si>
  <si>
    <t>nº, C. Virgen del Campo, 27, 39500 Cabezón de la Sal, Cantabria</t>
  </si>
  <si>
    <t>Cabezón de la Sal</t>
  </si>
  <si>
    <t>chimeneaseconorte.com</t>
  </si>
  <si>
    <t>942 18 05 92</t>
  </si>
  <si>
    <t>Comercial Castellana De Chimeneas S L</t>
  </si>
  <si>
    <t>Pol. Ind. las Merindades, C. Asturias, 63, 09550, Burgos</t>
  </si>
  <si>
    <t>Horna</t>
  </si>
  <si>
    <t>Burgos</t>
  </si>
  <si>
    <t>947 13 21 01</t>
  </si>
  <si>
    <t>Chimeneas Sue</t>
  </si>
  <si>
    <t>Ibaizabal Kalea, 5, 48960 Galdakao, Bizkaia</t>
  </si>
  <si>
    <t>Galdácano</t>
  </si>
  <si>
    <t>Bizkaia</t>
  </si>
  <si>
    <t>944 57 00 33</t>
  </si>
  <si>
    <t>Chimeneas Yesca Bilbao</t>
  </si>
  <si>
    <t>Iparraguirre Kalea, 61, 48010 Bilbo, Bizkaia</t>
  </si>
  <si>
    <t>Bilbao</t>
  </si>
  <si>
    <t>yesca.es</t>
  </si>
  <si>
    <t>944 21 82 66</t>
  </si>
  <si>
    <t>yescabur@yesca.es</t>
  </si>
  <si>
    <t>Instener 2008 S.L. Tienda de chimeneas</t>
  </si>
  <si>
    <t>Paduleta Kalea, 63, 01015 Gasteiz, Araba</t>
  </si>
  <si>
    <t>Vitoria-Gasteiz</t>
  </si>
  <si>
    <t>Araba</t>
  </si>
  <si>
    <t>instener.es</t>
  </si>
  <si>
    <t>690 02 21 80</t>
  </si>
  <si>
    <t>info@instener.es</t>
  </si>
  <si>
    <t>Chimelar S.L.</t>
  </si>
  <si>
    <t>Gardeazabal Juan Kalea, 2, 48004 Bilbo, Bizkaia</t>
  </si>
  <si>
    <t>944 01 41 41</t>
  </si>
  <si>
    <t>Pol. Ugaldeguren, 1, 48170 Zamudio, Biscay</t>
  </si>
  <si>
    <t>Zamudio</t>
  </si>
  <si>
    <t>Biscay</t>
  </si>
  <si>
    <t>chimeneassue.com</t>
  </si>
  <si>
    <t>944 52 27 27</t>
  </si>
  <si>
    <t>Panadero Denia SL</t>
  </si>
  <si>
    <t>P.IND.CAMPOLLANO, Av. 5ª, Nº 13, 15, 02007 Albacete</t>
  </si>
  <si>
    <t>Albacete</t>
  </si>
  <si>
    <t>panadero.com</t>
  </si>
  <si>
    <t>967 59 24 00</t>
  </si>
  <si>
    <t>Chimeneas Talaya</t>
  </si>
  <si>
    <t>CM-3114, 16239 Casasimarro, Cuenca</t>
  </si>
  <si>
    <t>Casasimarro</t>
  </si>
  <si>
    <t>Cuenca</t>
  </si>
  <si>
    <t>chimeneastalaya.com</t>
  </si>
  <si>
    <t>652 09 89 38</t>
  </si>
  <si>
    <t>info@chimeneastalaya.com</t>
  </si>
  <si>
    <t>Chimeneas Mediterránea</t>
  </si>
  <si>
    <t>la plana 187, 03830 Muro d&amp;apos;Alcoi, Alicante</t>
  </si>
  <si>
    <t>Muro de Alcoy</t>
  </si>
  <si>
    <t>chimeneasmediterranea.com</t>
  </si>
  <si>
    <t>966 51 64 16</t>
  </si>
  <si>
    <t>Chimeneas el Cantó</t>
  </si>
  <si>
    <t>Av. d&amp;apos;Alacant, 95, 46713 Bellreguard, Valencia</t>
  </si>
  <si>
    <t>Bellreguart</t>
  </si>
  <si>
    <t>chimeneaselcanto.com</t>
  </si>
  <si>
    <t>960 91 03 44</t>
  </si>
  <si>
    <t>ig-badge-view-sprite-24@2x.png</t>
  </si>
  <si>
    <t>Chimeneas Calefactoras Retra / Diedan Instalaciones Térmicas</t>
  </si>
  <si>
    <t>C. Irlanda, 45, 13170 Miguelturra, Cdad. Real</t>
  </si>
  <si>
    <t>Miguelturra</t>
  </si>
  <si>
    <t>Cdad. Real</t>
  </si>
  <si>
    <t>instalacionesdiedan.com</t>
  </si>
  <si>
    <t>606 72 20 00</t>
  </si>
  <si>
    <t>josediedan@gmail.com</t>
  </si>
  <si>
    <t>CHIMENEAS LA ANTIGUA</t>
  </si>
  <si>
    <t>Ctra. Navalpino, 113, 13100 Piedrabuena, Cdad. Real</t>
  </si>
  <si>
    <t>Piedrabuena</t>
  </si>
  <si>
    <t>estufasciudadreal.es</t>
  </si>
  <si>
    <t>926 76 21 83</t>
  </si>
  <si>
    <t>tienda@chimeneaslantigua.es</t>
  </si>
  <si>
    <t>Gracalor</t>
  </si>
  <si>
    <t>C. Calvario, 66, 13160 Torralba de Calatrava, Cdad. Real</t>
  </si>
  <si>
    <t>Torralba de Calatrava</t>
  </si>
  <si>
    <t>gracalor.es</t>
  </si>
  <si>
    <t>926 97 01 89</t>
  </si>
  <si>
    <t>info@gracalor.es</t>
  </si>
  <si>
    <t>Chimeneas Escalona</t>
  </si>
  <si>
    <t>C. Herreros, 3, 45710 Madridejos, Toledo</t>
  </si>
  <si>
    <t>Madridejos</t>
  </si>
  <si>
    <t>Toledo</t>
  </si>
  <si>
    <t>925 46 17 42</t>
  </si>
  <si>
    <t>Inmacon</t>
  </si>
  <si>
    <t>M409, Carretera de Leganés a Fuenlabrada, Km. 1, 8, 28911 Leganés, Madrid</t>
  </si>
  <si>
    <t>Leganés</t>
  </si>
  <si>
    <t>chimeneasinmacon.com</t>
  </si>
  <si>
    <t>910 41 34 60</t>
  </si>
  <si>
    <t>inmacon@chimeneasinmacon.com</t>
  </si>
  <si>
    <t>Eurochimeneas</t>
  </si>
  <si>
    <t>C/ del Alcalde Sainz de Baranda, 40, 28009 Madrid</t>
  </si>
  <si>
    <t>chimeneasmadrid.es</t>
  </si>
  <si>
    <t>914 09 09 59</t>
  </si>
  <si>
    <t>info@chimeneasmadrid.es</t>
  </si>
  <si>
    <t>Chimeneas Molina</t>
  </si>
  <si>
    <t>Ctra. Torrelaguna, 13, 19200 Azuqueca de Henares, Guadalajara</t>
  </si>
  <si>
    <t>Azuqueca de Henares</t>
  </si>
  <si>
    <t>Guadalajara</t>
  </si>
  <si>
    <t>949 26 75 26</t>
  </si>
  <si>
    <t>Chimeneas Jose Martinez sl Madrid</t>
  </si>
  <si>
    <t>C/ de la Ribera de Curtidores, 16, 28005 Madrid</t>
  </si>
  <si>
    <t>chimeneasjosemartinez.es</t>
  </si>
  <si>
    <t>915 28 13 79</t>
  </si>
  <si>
    <t>info@chimeneasjosemartinez.es</t>
  </si>
  <si>
    <t>Chimeneas All Calor</t>
  </si>
  <si>
    <t>C/ Constitución, 20, 19004 Guadalajara</t>
  </si>
  <si>
    <t>chimeneasallcalor.es</t>
  </si>
  <si>
    <t>606 83 39 24</t>
  </si>
  <si>
    <t>allcalorcb@outlook.com</t>
  </si>
  <si>
    <t>Chimeneas Henares</t>
  </si>
  <si>
    <t>C. Urraque, parcela 1, 19210 Yunquera de Henares, Guadalajara</t>
  </si>
  <si>
    <t>Yunquera de Henares</t>
  </si>
  <si>
    <t>chimeneasguadalajara.es</t>
  </si>
  <si>
    <t>949 33 04 47</t>
  </si>
  <si>
    <t>Todo En Chimeneas</t>
  </si>
  <si>
    <t>C. Ferraz, 15, 28807 Alcalá de Henares, Madrid</t>
  </si>
  <si>
    <t>todoenchimeneas.com</t>
  </si>
  <si>
    <t>918 82 33 73</t>
  </si>
  <si>
    <t>contacte@todoenchimeneas.com</t>
  </si>
  <si>
    <t>Hidrochimeneas Termoestufas de leña y pellets</t>
  </si>
  <si>
    <t>C. de los Molinos, 35, 28815 Ribatejada, Madrid</t>
  </si>
  <si>
    <t>Ribatejada</t>
  </si>
  <si>
    <t>hidrochimeneas.com</t>
  </si>
  <si>
    <t>699 09 87 18</t>
  </si>
  <si>
    <t>info@hidrochimeneas.com</t>
  </si>
  <si>
    <t>ESTUFAS DE PELLETS Y CHIMENEAS DE LEÑA Edilkamin Store Madrid</t>
  </si>
  <si>
    <t>C. Seysa, 4B, 28864 Ajalvir, Madrid</t>
  </si>
  <si>
    <t>Ajalvir</t>
  </si>
  <si>
    <t>estufas-pellets.es</t>
  </si>
  <si>
    <t>911 66 40 40</t>
  </si>
  <si>
    <t>info@estufas-pellets.es</t>
  </si>
  <si>
    <t>Chimeneas Arganda</t>
  </si>
  <si>
    <t>Nº, C. Galeón, 8, LOCAL 1, 28500 Arganda del Rey, Madrid</t>
  </si>
  <si>
    <t>Arganda del Rey</t>
  </si>
  <si>
    <t>chimeneasarganda.es</t>
  </si>
  <si>
    <t>639 07 70 95</t>
  </si>
  <si>
    <t>LIMPIEZA CHIMENEAS</t>
  </si>
  <si>
    <t>Servicios de chimeneas</t>
  </si>
  <si>
    <t>Abánades</t>
  </si>
  <si>
    <t>607 37 64 52</t>
  </si>
  <si>
    <t>Zocochimeneas Rivas</t>
  </si>
  <si>
    <t>P.º de la Chopera, 9, 28523 Rivas-Vaciamadrid, Madrid</t>
  </si>
  <si>
    <t>Rivas-Vaciamadrid</t>
  </si>
  <si>
    <t>zoco-chimeneas.com</t>
  </si>
  <si>
    <t>602 69 81 01</t>
  </si>
  <si>
    <t>zocochimeneas@gmail.com</t>
  </si>
  <si>
    <t>Hidrofuego</t>
  </si>
  <si>
    <t>Av. de Aragón, 4, 28140 Fuente el Saz de Jarama, Madrid</t>
  </si>
  <si>
    <t>Fuente el Saz de Jarama</t>
  </si>
  <si>
    <t>916 20 00 40</t>
  </si>
  <si>
    <t>Chimeneas acero corten</t>
  </si>
  <si>
    <t>Pol. Ind. El Crucero, C. Cañada del Pozo, Parcela 2.3, Nave 1, 28890 Loeches, Madrid</t>
  </si>
  <si>
    <t>Loeches</t>
  </si>
  <si>
    <t>acero-corten.es</t>
  </si>
  <si>
    <t>918 86 22 09</t>
  </si>
  <si>
    <t>info@acero-corten.es</t>
  </si>
  <si>
    <t>CHIMENEAS MADRID</t>
  </si>
  <si>
    <t>647 55 80 68</t>
  </si>
  <si>
    <t>Chimeneas Lobla</t>
  </si>
  <si>
    <t>Visita a nuestra exposición con cita previa necesaria al 677 448 365, C. de los Escayolistas, 2, 28891 Velilla de San Antonio, Madrid</t>
  </si>
  <si>
    <t>Velilla de San Antonio</t>
  </si>
  <si>
    <t>lobla.com</t>
  </si>
  <si>
    <t>916 60 83 07</t>
  </si>
  <si>
    <t>LIMPIEZA CHIMENEAS MADRID</t>
  </si>
  <si>
    <t>695 57 58 37</t>
  </si>
  <si>
    <t>Chimeneas Buabent</t>
  </si>
  <si>
    <t>Carr. de Madrid a Burgos, Km 47, 5, 28723 Pedrezuela, Madrid</t>
  </si>
  <si>
    <t>Pedrezuela</t>
  </si>
  <si>
    <t>chimeneasbuabent.com</t>
  </si>
  <si>
    <t>629 09 62 67</t>
  </si>
  <si>
    <t>Zocochimeneas Madrid</t>
  </si>
  <si>
    <t>C. de Mira el Sol, 19, 28005 Madrid</t>
  </si>
  <si>
    <t>629 13 64 30</t>
  </si>
  <si>
    <t>Artesanos Del Fuego</t>
  </si>
  <si>
    <t>Calle de Diego de León, 49, 28006 Madrid</t>
  </si>
  <si>
    <t>artesanosdelfuego.es</t>
  </si>
  <si>
    <t>914 11 10 02</t>
  </si>
  <si>
    <t>info@artesanosdelfuego.es</t>
  </si>
  <si>
    <t>Afuego Chimeneas</t>
  </si>
  <si>
    <t>Cl. de José Antonio de Armona, 22, 28012 Madrid</t>
  </si>
  <si>
    <t>afuegochimeneas.com</t>
  </si>
  <si>
    <t>635 28 48 93</t>
  </si>
  <si>
    <t>info@afuegochimeneas.com</t>
  </si>
  <si>
    <t>Chimeneas Llama</t>
  </si>
  <si>
    <t>P.º de la Florida, 28, 28008 Madrid</t>
  </si>
  <si>
    <t>chimeneasllama.es</t>
  </si>
  <si>
    <t>915 47 37 97</t>
  </si>
  <si>
    <t>chimeneas@chimeneasllama.com</t>
  </si>
  <si>
    <t>Fumistería Tetuán</t>
  </si>
  <si>
    <t>C. de las Orquídeas, 11, 28039 Madrid</t>
  </si>
  <si>
    <t>chimeneasycocinasdecarbontetuan.es</t>
  </si>
  <si>
    <t>913 11 75 09</t>
  </si>
  <si>
    <t>Grupo Calor - Chimeneas de gas y leña en Las Rozas, Madrid</t>
  </si>
  <si>
    <t>C. Oslo, 28, 28232 Las Rozas de Madrid, Madrid</t>
  </si>
  <si>
    <t>grupocalor.es</t>
  </si>
  <si>
    <t>916 37 37 64</t>
  </si>
  <si>
    <t>madrid@grupocalor.es</t>
  </si>
  <si>
    <t>INSPECCION SHUNT CHIMENEAS</t>
  </si>
  <si>
    <t>615 16 52 53</t>
  </si>
  <si>
    <t>Chimeneas Picos de Europa</t>
  </si>
  <si>
    <t>C. Cam. de Valladolid, 33, Local 14, 28250 Torrelodones, Madrid</t>
  </si>
  <si>
    <t>Torrelodones</t>
  </si>
  <si>
    <t>chimeneasytubos.com</t>
  </si>
  <si>
    <t>918 59 29 41</t>
  </si>
  <si>
    <t>Chimeneas Mado</t>
  </si>
  <si>
    <t>Ctra. Andalucía, Km 34, 400, 45224, Toledo</t>
  </si>
  <si>
    <t>Seseña Nuevo</t>
  </si>
  <si>
    <t>chimeneas-mado.es</t>
  </si>
  <si>
    <t>918 93 60 47</t>
  </si>
  <si>
    <t>chimeneas ok</t>
  </si>
  <si>
    <t>C. de Fernando III El Santo, 6, 28982 Parla, Madrid</t>
  </si>
  <si>
    <t>Parla</t>
  </si>
  <si>
    <t>chimeneasok.com</t>
  </si>
  <si>
    <t>697 43 28 54</t>
  </si>
  <si>
    <t>info@chimeneasok.com</t>
  </si>
  <si>
    <t>Chimeneas RDI</t>
  </si>
  <si>
    <t>C. Comuneros de Castilla, 94, 45600 Talavera de la Reina, Toledo</t>
  </si>
  <si>
    <t>Talavera de la Reina</t>
  </si>
  <si>
    <t>chimeneasrdi.com</t>
  </si>
  <si>
    <t>925 84 86 66</t>
  </si>
  <si>
    <t>Deshollinadornda</t>
  </si>
  <si>
    <t>C. Nueva, 13, 28991 Torrejón de la Calzada, Madrid</t>
  </si>
  <si>
    <t>Torrejón de la Calzada</t>
  </si>
  <si>
    <t>deshollinadornda.webnode.es</t>
  </si>
  <si>
    <t>918 16 08 03</t>
  </si>
  <si>
    <t>info@deshollinadornda.com</t>
  </si>
  <si>
    <t>Ardehogar, C.B.</t>
  </si>
  <si>
    <t>Av. de las Castañeras, 40, 28939 Arroyomolinos, Madrid</t>
  </si>
  <si>
    <t>Arroyomolinos</t>
  </si>
  <si>
    <t>916 89 90 83</t>
  </si>
  <si>
    <t>chimeneas en toledo</t>
  </si>
  <si>
    <t>El Deshollinador de Colmenar</t>
  </si>
  <si>
    <t>Calle Gerona, 9 (Urb Eras), 28977 Casarrubuelos</t>
  </si>
  <si>
    <t>Casarrubuelos</t>
  </si>
  <si>
    <t>677 80 96 97</t>
  </si>
  <si>
    <t>Estufamania.com</t>
  </si>
  <si>
    <t>Avenida Comunidad de Madrid 37 Burgocentro II, local 122, 28231 Las Rozas de Madrid, Madrid</t>
  </si>
  <si>
    <t>estufamania.com</t>
  </si>
  <si>
    <t>910 12 88 63</t>
  </si>
  <si>
    <t>Artextín</t>
  </si>
  <si>
    <t>Ctra. Andalucía, nº6, 45223 Toledo</t>
  </si>
  <si>
    <t>Ajofrín</t>
  </si>
  <si>
    <t>artextin.com</t>
  </si>
  <si>
    <t>918 01 25 76</t>
  </si>
  <si>
    <t>Limpiarchimeneas.es</t>
  </si>
  <si>
    <t>28300 Aranjuez, Madrid</t>
  </si>
  <si>
    <t>Aranjuez</t>
  </si>
  <si>
    <t>limpiarchimeneas.es</t>
  </si>
  <si>
    <t>653 55 57 02</t>
  </si>
  <si>
    <t>Tubos chimenea y salida humos Madrid MJS Técnicas verticales</t>
  </si>
  <si>
    <t>C. Bosque, 5C, 28670 Villaviciosa de Odón, Madrid</t>
  </si>
  <si>
    <t>Villaviciosa de Odón</t>
  </si>
  <si>
    <t>644 34 87 47</t>
  </si>
  <si>
    <t>ITRISA piedra natural y chimeneas.</t>
  </si>
  <si>
    <t>Km 2, Carr. de Madrid a Boadilla, 3, 900. (M-501 Salida, 28660 ⛉, Madrid</t>
  </si>
  <si>
    <t>Boadilla del Monte</t>
  </si>
  <si>
    <t>itrisa.com</t>
  </si>
  <si>
    <t>659 57 74 83</t>
  </si>
  <si>
    <t>clientes@itrisa.com</t>
  </si>
  <si>
    <t>Chimeneas Ávila</t>
  </si>
  <si>
    <t>Av. de Madrid, 46, 05001 Ávila</t>
  </si>
  <si>
    <t>Ávila</t>
  </si>
  <si>
    <t>chimeneasavila.es</t>
  </si>
  <si>
    <t>920 22 54 99</t>
  </si>
  <si>
    <t>Chimeneas Martín Muñoz Estufas</t>
  </si>
  <si>
    <t>Av. la Constitución, 34, 40005 Segovia</t>
  </si>
  <si>
    <t>Segovia</t>
  </si>
  <si>
    <t>chimeneasmartinmunoz.com</t>
  </si>
  <si>
    <t>921 44 28 34</t>
  </si>
  <si>
    <t>Lodra Chimeneas</t>
  </si>
  <si>
    <t>C. de Guadarrama, 45, 40006 Segovia</t>
  </si>
  <si>
    <t>lodra.es</t>
  </si>
  <si>
    <t>921 44 31 69</t>
  </si>
  <si>
    <t>info@lodra.es</t>
  </si>
  <si>
    <t>Barja</t>
  </si>
  <si>
    <t>C. de los Escoriales, 8, 28440 Guadarrama, Madrid</t>
  </si>
  <si>
    <t>Guadarrama</t>
  </si>
  <si>
    <t>barja.es</t>
  </si>
  <si>
    <t>918 54 31 69</t>
  </si>
  <si>
    <t>instalaciones@barja.es</t>
  </si>
  <si>
    <t>Chimeneas Emilio Paredes</t>
  </si>
  <si>
    <t>C. España, 6, y 8, 28411 Moralzarzal, Madrid</t>
  </si>
  <si>
    <t>Moralzarzal</t>
  </si>
  <si>
    <t>chimeneasemilioparedes.es</t>
  </si>
  <si>
    <t>918 57 61 24</t>
  </si>
  <si>
    <t>Baza Mazano - Chimeneas Valladolid</t>
  </si>
  <si>
    <t>Calla Annapurna, 22, 47013 Valladolid</t>
  </si>
  <si>
    <t>Valladolid</t>
  </si>
  <si>
    <t>bazamazano.com</t>
  </si>
  <si>
    <t>983 33 32 22</t>
  </si>
  <si>
    <t>bazamazano@bazamazano.com</t>
  </si>
  <si>
    <t>CHIMENEAS MANSILLA</t>
  </si>
  <si>
    <t>Calle San Cosme, 24, 09002 Burgos</t>
  </si>
  <si>
    <t>mansillachimeneas.com</t>
  </si>
  <si>
    <t>947 26 43 41</t>
  </si>
  <si>
    <t>Chimeneas Burgos</t>
  </si>
  <si>
    <t>C. Vitoria, 23, 5ºC, 09007 Burgos</t>
  </si>
  <si>
    <t>chimeneasburgos.com</t>
  </si>
  <si>
    <t>info@chimeneasburgos.com</t>
  </si>
  <si>
    <t>ECOCASA Servicios</t>
  </si>
  <si>
    <t>Carr. de Poza, 87, Bajo, 09007 Burgos</t>
  </si>
  <si>
    <t>ecocasaservicios.com</t>
  </si>
  <si>
    <t>947 47 57 10</t>
  </si>
  <si>
    <t>info@ecocasaservicios.com</t>
  </si>
  <si>
    <t>Chimeneas Yesca</t>
  </si>
  <si>
    <t>Avenida Pedernales, 60 Naves Camelias A-08 VIA DE SERVICIO LANDA, 09195 Villagonzalo Pedernales, Burgos</t>
  </si>
  <si>
    <t>Villagonzalo Pedernales</t>
  </si>
  <si>
    <t>947 48 16 71</t>
  </si>
  <si>
    <t>Chimeneas El Merendero</t>
  </si>
  <si>
    <t>C. Sta. Dorotea, 30, 09001 Burgos</t>
  </si>
  <si>
    <t>Almacenes Basilio Criado. Almacén Materiales de Construcción</t>
  </si>
  <si>
    <t>Poligono Industrial, Av. Luis Mateos, 102, 09400 Aranda de Duero, Burgos</t>
  </si>
  <si>
    <t>Aranda de Duero</t>
  </si>
  <si>
    <t>basiliocriado.es</t>
  </si>
  <si>
    <t>947 50 09 40</t>
  </si>
  <si>
    <t>//basiliocriado.es/materiales-de-construccion/info@basiliocriado.es</t>
  </si>
  <si>
    <t>Herba Confort</t>
  </si>
  <si>
    <t>Ctra. Madrid, km 321, 24227 Valdelafuente, León</t>
  </si>
  <si>
    <t>Valdelafuente</t>
  </si>
  <si>
    <t>León</t>
  </si>
  <si>
    <t>herbaconfortsl.com</t>
  </si>
  <si>
    <t>987 26 06 94</t>
  </si>
  <si>
    <t>info@herbaconfortsl.com</t>
  </si>
  <si>
    <t>Leña León</t>
  </si>
  <si>
    <t>C. Carretera, 81, 24218 Villomar, León</t>
  </si>
  <si>
    <t>Villomar</t>
  </si>
  <si>
    <t>leñaleon.com</t>
  </si>
  <si>
    <t>693 77 78 11</t>
  </si>
  <si>
    <t>Chimeneas Hogar Confort (chimeneas,estufas,barbacoas)</t>
  </si>
  <si>
    <t>Carretera Nacional VI, km 399, 24550 Villamartín de la Abadía, León</t>
  </si>
  <si>
    <t>Villamartín de la Abadía</t>
  </si>
  <si>
    <t>987 56 27 17</t>
  </si>
  <si>
    <t>Chimeneas Gabella</t>
  </si>
  <si>
    <t>Av. Galicia, 117, 24404 Ponferrada, León</t>
  </si>
  <si>
    <t>Ponferrada</t>
  </si>
  <si>
    <t>chimeneasgabella.com</t>
  </si>
  <si>
    <t>649 02 22 35</t>
  </si>
  <si>
    <t>CHIMENEAS ARAL</t>
  </si>
  <si>
    <t>Acebedo</t>
  </si>
  <si>
    <t>chimeneasaral.com</t>
  </si>
  <si>
    <t>658 79 19 20</t>
  </si>
  <si>
    <t>info@chimeneasaral.com</t>
  </si>
  <si>
    <t>CHIMECAL CHIMENEAS</t>
  </si>
  <si>
    <t>Pol. Montalvo 1, Calle Dr. Fleming, 30, 37188, Salamanca</t>
  </si>
  <si>
    <t>Salamanca</t>
  </si>
  <si>
    <t>chimecal.com</t>
  </si>
  <si>
    <t>923 19 01 83</t>
  </si>
  <si>
    <t>Chimeneas Casaseca</t>
  </si>
  <si>
    <t>C. Pablo Morillo, 26, 49011 Zamora</t>
  </si>
  <si>
    <t>Zamora</t>
  </si>
  <si>
    <t>629 88 21 12</t>
  </si>
  <si>
    <t>ENERGY BIOMASA</t>
  </si>
  <si>
    <t>Pol. Ind. Montalvo 1, Calle Dr. Fleming, 30, 37188 Carbajosa de la Sagrada</t>
  </si>
  <si>
    <t>Carbajosa de la Sagrada</t>
  </si>
  <si>
    <t>energybiomasa.com</t>
  </si>
  <si>
    <t>923 09 94 75</t>
  </si>
  <si>
    <t>Casaseca Arias Chimeneas</t>
  </si>
  <si>
    <t>Ctra. Valparaíso, 10, BAJO, 49719 Villamor de los Escuderos, Zamora</t>
  </si>
  <si>
    <t>Villamor de los Escuderos</t>
  </si>
  <si>
    <t>980 60 91 23</t>
  </si>
  <si>
    <t>Almacén Chimeneas Medievo</t>
  </si>
  <si>
    <t>Carretera Valladolid-Soria Km13,5, Salida Tudela de Duero - Vía de Servicio, 47320 Tudela de Duero</t>
  </si>
  <si>
    <t>Tudela de Duero</t>
  </si>
  <si>
    <t>almacenchimeneasmedievo.com</t>
  </si>
  <si>
    <t>983 52 25 41</t>
  </si>
  <si>
    <t>Drhumo Soluciones y Servicios - CASACAMPO</t>
  </si>
  <si>
    <t>C. el Mesón, 29, BAJO, 34419 Villalobón, Palencia</t>
  </si>
  <si>
    <t>Villalobón</t>
  </si>
  <si>
    <t>Palencia</t>
  </si>
  <si>
    <t>drhumo.com</t>
  </si>
  <si>
    <t>646 98 11 48</t>
  </si>
  <si>
    <t>info@drhumo.com</t>
  </si>
  <si>
    <t>Eliseo Fernandez Gomez SL</t>
  </si>
  <si>
    <t>Vial Central, 0 S/N, 32710 O Pereiro de Aguiar, Province of Ourense</t>
  </si>
  <si>
    <t>Pereiro de Aguiar</t>
  </si>
  <si>
    <t>chimeneasfg.com</t>
  </si>
  <si>
    <t>988 25 94 14</t>
  </si>
  <si>
    <t>general@chimeneasfg.com</t>
  </si>
  <si>
    <t>Fabrilor Ibérica S.L.</t>
  </si>
  <si>
    <t>C. Fuente, 37426 Palencia de Negrilla, Salamanca</t>
  </si>
  <si>
    <t>Palencia de Negrilla</t>
  </si>
  <si>
    <t>fabriloriberica.es</t>
  </si>
  <si>
    <t>923 35 49 11</t>
  </si>
  <si>
    <t>chimeneas@fabriloriberica.es</t>
  </si>
  <si>
    <t>DAFRANDE-CHIMENEAS</t>
  </si>
  <si>
    <t>C. Comunidad de Extremadura, 47140 Pinar de Antequera, Valladolid</t>
  </si>
  <si>
    <t>Pinar de Antequera</t>
  </si>
  <si>
    <t>952 73 35 28</t>
  </si>
  <si>
    <t>estufa de pellets sl</t>
  </si>
  <si>
    <t>C. Chopo, 11, 47193 Cistérniga, Valladolid</t>
  </si>
  <si>
    <t>Cistérniga</t>
  </si>
  <si>
    <t>692 22 27 31</t>
  </si>
  <si>
    <t>ChimeneasBigMat</t>
  </si>
  <si>
    <t>Carretera Palencia, Km. 107, 34840 Cervera de Pisuerga, Palencia</t>
  </si>
  <si>
    <t>Cervera de Pisuerga</t>
  </si>
  <si>
    <t>650 41 08 54</t>
  </si>
  <si>
    <t>Arte y Fuego Chimeneas</t>
  </si>
  <si>
    <t>C. Valencia, 29, 37005 Salamanca</t>
  </si>
  <si>
    <t>arteyfuego.com</t>
  </si>
  <si>
    <t>923 22 00 05</t>
  </si>
  <si>
    <t>afchimeneas@hotmail.com</t>
  </si>
  <si>
    <t>Estufas de Salamanca</t>
  </si>
  <si>
    <t>C. Pérez Oliva, 9, 37005 Salamanca</t>
  </si>
  <si>
    <t>estufasdesalamanca.es</t>
  </si>
  <si>
    <t>923 25 67 26</t>
  </si>
  <si>
    <t>contacto@estufasdesalamanca.es</t>
  </si>
  <si>
    <t>Pellet Plus, Sl</t>
  </si>
  <si>
    <t>Calle Bélgica, 38 Polígono Ind los Villares, 37184 Villares de la Reina, Salamanca</t>
  </si>
  <si>
    <t>Abusejo</t>
  </si>
  <si>
    <t>923 20 45 26</t>
  </si>
  <si>
    <t>Mundo Chimenea - Estufas de Pellets</t>
  </si>
  <si>
    <t>CARDENAL CISNEROS, Centro Comercial Valderaduey, 49020 Zamora</t>
  </si>
  <si>
    <t>mundochimenea.com</t>
  </si>
  <si>
    <t>672 36 81 48</t>
  </si>
  <si>
    <t>Aparisan</t>
  </si>
  <si>
    <t>C. Pedro Velasco, 28, 37210 Vitigudino, Salamanca</t>
  </si>
  <si>
    <t>Vitigudino</t>
  </si>
  <si>
    <t>aparisan.negocio.site</t>
  </si>
  <si>
    <t>923 50 00 41</t>
  </si>
  <si>
    <t>aefecc</t>
  </si>
  <si>
    <t>Calle de Castelló, nº 59, 28001 Madrid</t>
  </si>
  <si>
    <t>aefecc.es</t>
  </si>
  <si>
    <t>915 78 42 25</t>
  </si>
  <si>
    <t>info@aefecc.es</t>
  </si>
  <si>
    <t>Chimeneas Fenix</t>
  </si>
  <si>
    <t>C. Juan XXIII, Nº 10, bajo, 28400 Collado Villalba, Madrid</t>
  </si>
  <si>
    <t>Collado Villalba</t>
  </si>
  <si>
    <t>chimeneasfenix.com</t>
  </si>
  <si>
    <t>653 79 82 76</t>
  </si>
  <si>
    <t>chimeneas@chimeneasfenix.com</t>
  </si>
  <si>
    <t>chimeneas xardo</t>
  </si>
  <si>
    <t>C. del Charcón, 20, 28413 El Boalo, Madrid</t>
  </si>
  <si>
    <t>El Boalo</t>
  </si>
  <si>
    <t>918 90 88 88</t>
  </si>
  <si>
    <t>Chimedecor</t>
  </si>
  <si>
    <t>C. Torote, 12, 28791 Soto del Real, Madrid</t>
  </si>
  <si>
    <t>Soto del Real</t>
  </si>
  <si>
    <t>chimedecor.com</t>
  </si>
  <si>
    <t>918 47 85 92</t>
  </si>
  <si>
    <t>Chimeneas Doña Clotilde</t>
  </si>
  <si>
    <t>C. Azuela, 92, Local 1, 28400 Collado Villalba, Madrid</t>
  </si>
  <si>
    <t>918 51 24 45</t>
  </si>
  <si>
    <t>Puertas para chimeneas HotFireDoor</t>
  </si>
  <si>
    <t>Carrer de Santa Anna, 127, 08290 Cerdanyola del Vallès, Barcelona</t>
  </si>
  <si>
    <t>Cerdanyola del Vallès</t>
  </si>
  <si>
    <t>puertasparachimeneas.com</t>
  </si>
  <si>
    <t>936 92 45 60</t>
  </si>
  <si>
    <t>license@prestashop.com</t>
  </si>
  <si>
    <t>Chimeneas Zambrana S L</t>
  </si>
  <si>
    <t>Km. 32, Ctra. Alacant, 03370, Alicante</t>
  </si>
  <si>
    <t>Barrio de San Carlos</t>
  </si>
  <si>
    <t>chimeneaszambrana.com</t>
  </si>
  <si>
    <t>966 75 43 96</t>
  </si>
  <si>
    <t>miguelcorreasgarcia@gmail.com</t>
  </si>
  <si>
    <t>CHIMENEAS YAÑEZ / YAÑEZ INTERIORISMO</t>
  </si>
  <si>
    <t>C. de Recondo, 4, 47007 Valladolid</t>
  </si>
  <si>
    <t>chimeneasyanez.es</t>
  </si>
  <si>
    <t>646 91 42 44</t>
  </si>
  <si>
    <t>info@chimeneasyanez.es</t>
  </si>
  <si>
    <t>Tu Estufa de Pellets</t>
  </si>
  <si>
    <t>P.º de Juan Carlos I, 47011 Valladolid</t>
  </si>
  <si>
    <t>tuestufadepellets.com</t>
  </si>
  <si>
    <t>698 97 33 14</t>
  </si>
  <si>
    <t>ventas@tuestufadepellets.com</t>
  </si>
  <si>
    <t>Chimeneas Olmedo S L</t>
  </si>
  <si>
    <t>C. Arrabal, 26, 47410 Olmedo, Valladolid</t>
  </si>
  <si>
    <t>Olmedo</t>
  </si>
  <si>
    <t>Forcas</t>
  </si>
  <si>
    <t>C. Carretas, 3, 49620 Santa Cristina de la Polvorosa, Zamora</t>
  </si>
  <si>
    <t>Santa Cristina de la Polvorosa</t>
  </si>
  <si>
    <t>980 63 18 89</t>
  </si>
  <si>
    <t>ABC Xemeneies</t>
  </si>
  <si>
    <t>Carrer del Rosselló, 289, 08037 Barcelona</t>
  </si>
  <si>
    <t>abcxemeneies.com</t>
  </si>
  <si>
    <t>934 76 10 95</t>
  </si>
  <si>
    <t>info@abcxemeneies.com</t>
  </si>
  <si>
    <t>XS Chimeneas</t>
  </si>
  <si>
    <t>Carrer d&amp;apos;Aribau, 148, bajos, 08036 Barcelona</t>
  </si>
  <si>
    <t>xschimeneas.com</t>
  </si>
  <si>
    <t>933 48 27 76</t>
  </si>
  <si>
    <t>info@xschimeneas.com</t>
  </si>
  <si>
    <t>Chimeneas Pío</t>
  </si>
  <si>
    <t>Av. de Sarrià, 53, 08029 Barcelona</t>
  </si>
  <si>
    <t>chimeneaspio.com</t>
  </si>
  <si>
    <t>933 22 53 59</t>
  </si>
  <si>
    <t>ARTMIRO - Barcelona</t>
  </si>
  <si>
    <t>Carrer de Ramon Llull, nº 480, local 3, 08930 Sant Adrià de Besòs, Barcelona</t>
  </si>
  <si>
    <t>Sant Adrià de Besòs</t>
  </si>
  <si>
    <t>artmiro.es</t>
  </si>
  <si>
    <t>652 45 34 53</t>
  </si>
  <si>
    <t>info@artmiro.es</t>
  </si>
  <si>
    <t>CLIMA DIFUSION EXPOSICIÓN</t>
  </si>
  <si>
    <t>Carrer de l&amp;apos;Allada-Vermell, 14, 08003 Barcelona</t>
  </si>
  <si>
    <t>climadifusion.com</t>
  </si>
  <si>
    <t>934 58 56 02</t>
  </si>
  <si>
    <t>climadifusion@climadifusion.com</t>
  </si>
  <si>
    <t>Dexofocus</t>
  </si>
  <si>
    <t>Carrer de Ramon Llull, 480, 08930 Sant Adrià de Besòs, Barcelona</t>
  </si>
  <si>
    <t>dexofocus.com</t>
  </si>
  <si>
    <t>931 89 09 16</t>
  </si>
  <si>
    <t>hola@dexofocus.com</t>
  </si>
  <si>
    <t>Le Feu</t>
  </si>
  <si>
    <t>Carrer de Muntaner, 190, 08036 Barcelona</t>
  </si>
  <si>
    <t>lefeufires.es</t>
  </si>
  <si>
    <t>930 42 96 82</t>
  </si>
  <si>
    <t>venta@lefeufires.es</t>
  </si>
  <si>
    <t>Chimeneas Bioetanol</t>
  </si>
  <si>
    <t>Carrer del Crom, 5, 08907 L&amp;apos;Hospitalet de Llobregat, Barcelona</t>
  </si>
  <si>
    <t>L&amp;apos;Hospitalet de Llobregat</t>
  </si>
  <si>
    <t>932 63 31 72</t>
  </si>
  <si>
    <t>RIXAAB1989, S.L.U.</t>
  </si>
  <si>
    <t>Avinguda de la República Argentina, 261, Local, 08023 Barcelona</t>
  </si>
  <si>
    <t>rixaab.com</t>
  </si>
  <si>
    <t>932 18 51 97</t>
  </si>
  <si>
    <t>rixaab@rixaab.com</t>
  </si>
  <si>
    <t>Stuv</t>
  </si>
  <si>
    <t>stuv.com</t>
  </si>
  <si>
    <t>Biotono</t>
  </si>
  <si>
    <t>Gran Via de Carles III, 84, 08028 Barcelona</t>
  </si>
  <si>
    <t>ESDEGO INTERIORISMO DELUXE</t>
  </si>
  <si>
    <t>Carrer de Ramon Llull, nº 480, Local 2, 08930 Sant Adrià de Besòs, Barcelona</t>
  </si>
  <si>
    <t>933 93 92 82</t>
  </si>
  <si>
    <t>BLAUVERN</t>
  </si>
  <si>
    <t>Carrer d&amp;apos;Esteve Pila, 11, 08173 Sant Cugat del Vallès, Barcelona</t>
  </si>
  <si>
    <t>Sant Cugat del Vallès</t>
  </si>
  <si>
    <t>blauvern.com</t>
  </si>
  <si>
    <t>935 90 60 47</t>
  </si>
  <si>
    <t>hostmaster@anacondanetwork.com</t>
  </si>
  <si>
    <t>Leiro</t>
  </si>
  <si>
    <t>Carrer de Martorell, 59, 08172 Sant Cugat del Vallès, Barcelona</t>
  </si>
  <si>
    <t>Chimeneas Manel &amp;amp; Velilla</t>
  </si>
  <si>
    <t>Carrer de Francesc Macià i Llussà, 267, 08402 Granollers, Barcelona</t>
  </si>
  <si>
    <t>Granollers</t>
  </si>
  <si>
    <t>manelivelilla.com</t>
  </si>
  <si>
    <t>938 61 32 70</t>
  </si>
  <si>
    <t>info@manelivelilla.com</t>
  </si>
  <si>
    <t>Novallar</t>
  </si>
  <si>
    <t>Carrer Major, 94, 08759 Vallirana, Barcelona</t>
  </si>
  <si>
    <t>Vallirana</t>
  </si>
  <si>
    <t>novallar.cat</t>
  </si>
  <si>
    <t>936 83 14 00</t>
  </si>
  <si>
    <t>info@novallar.cat</t>
  </si>
  <si>
    <t>Chimeneas Solrico</t>
  </si>
  <si>
    <t>Carretera ďOlesa, 1, 08224 Terrassa, Barcelona</t>
  </si>
  <si>
    <t>Terrassa</t>
  </si>
  <si>
    <t>chimeneasolrico.es</t>
  </si>
  <si>
    <t>937 88 69 10</t>
  </si>
  <si>
    <t>chimeneassolrico@gmail.com</t>
  </si>
  <si>
    <t>RIEGOS FUCA, S.L. - Estufas-Chimeneas-Inserts-Pellets. Accesorios para Jardín y Piscinas</t>
  </si>
  <si>
    <t>Carrer de la Generalitat de Catalunya, 13, 08850 Gavà, Barcelona</t>
  </si>
  <si>
    <t>riegosfuca.com</t>
  </si>
  <si>
    <t>936 62 55 55</t>
  </si>
  <si>
    <t>Carrer de l&amp;apos;Escola Pia, 136, 08201 Sabadell, Barcelona</t>
  </si>
  <si>
    <t>Sabadell</t>
  </si>
  <si>
    <t>639 32 12 37</t>
  </si>
  <si>
    <t>CLIMA DIFUSION OFICINAS</t>
  </si>
  <si>
    <t>VISITAS CONCERTADAS, Carrer Gregal, 3, LOCAL 3, 08340 Vilassar de Mar, Barcelona</t>
  </si>
  <si>
    <t>ViIassar de Mar</t>
  </si>
  <si>
    <t>937 59 76 96</t>
  </si>
  <si>
    <t>Remates de Chimenea</t>
  </si>
  <si>
    <t>Carrer de Sant Antoni, 76, 08150 Parets del Vallès, Barcelona</t>
  </si>
  <si>
    <t>Parets del Vallès</t>
  </si>
  <si>
    <t>canalesybajantes.com</t>
  </si>
  <si>
    <t>665 10 09 00</t>
  </si>
  <si>
    <t>twitter-icon@2x.png</t>
  </si>
  <si>
    <t>Chimeneas Pio</t>
  </si>
  <si>
    <t>Camí Ral de la Mercè, 522, 08302 Mataró, Barcelona</t>
  </si>
  <si>
    <t>Mataró</t>
  </si>
  <si>
    <t>937 98 45 95</t>
  </si>
  <si>
    <t>Fugar Chimeneas</t>
  </si>
  <si>
    <t>Ctra, Carrer Pou Sant Pau, S/N, 08540 Centelles, Barcelona</t>
  </si>
  <si>
    <t>Centelles</t>
  </si>
  <si>
    <t>fugar.com</t>
  </si>
  <si>
    <t>938 81 37 07</t>
  </si>
  <si>
    <t>fugar@fugar.com</t>
  </si>
  <si>
    <t>Chimeneas y barbacoas Argemí</t>
  </si>
  <si>
    <t>Pol. Ind. La Gavarra, Ronda de la Font Grossa, 33, 08540 Centelles, Barcelona</t>
  </si>
  <si>
    <t>argemiprefabricats.com</t>
  </si>
  <si>
    <t>938 81 20 25</t>
  </si>
  <si>
    <t>in@argemiprefabricats.com</t>
  </si>
  <si>
    <t>Avinguda del Forn de la Calç, 13, 08540 Centelles, Barcelona</t>
  </si>
  <si>
    <t>xemeneiespio.com</t>
  </si>
  <si>
    <t>938 89 84 29</t>
  </si>
  <si>
    <t>Edoras Ilimitado</t>
  </si>
  <si>
    <t>Flamastil</t>
  </si>
  <si>
    <t>Carrer Campins, 52, 08470 Sant Celoni, Barcelona</t>
  </si>
  <si>
    <t>Sant Celoni</t>
  </si>
  <si>
    <t>flamastil.com</t>
  </si>
  <si>
    <t>938 67 07 29</t>
  </si>
  <si>
    <t>Josep Agustí Moré</t>
  </si>
  <si>
    <t>Carrer Ramon i Cajal, 30, 08460 Santa Maria de Palautordera, Barcelona</t>
  </si>
  <si>
    <t>Santa Maria de Palautordera</t>
  </si>
  <si>
    <t>650 35 03 30</t>
  </si>
  <si>
    <t>Ingemarbio (pellets)</t>
  </si>
  <si>
    <t>Avinguda de Montserrat, 9, 08777 Sant Quintí de Mediona, Barcelona</t>
  </si>
  <si>
    <t>Sant Quintí de Mediona</t>
  </si>
  <si>
    <t>688 96 09 40</t>
  </si>
  <si>
    <t>Xemeneies GONZALVO</t>
  </si>
  <si>
    <t>Carrer Marià Obiols, 5, 08600 Berga, Barcelona</t>
  </si>
  <si>
    <t>Berga</t>
  </si>
  <si>
    <t>xemeneies.cat</t>
  </si>
  <si>
    <t>938 21 23 73</t>
  </si>
  <si>
    <t>info@xemeneies.cat</t>
  </si>
  <si>
    <t>COMERCIAL ESTELLER</t>
  </si>
  <si>
    <t>N-340, km 1061, 5, 43530, Tarragona</t>
  </si>
  <si>
    <t>Las Casas de Alcanar</t>
  </si>
  <si>
    <t>Tarragona</t>
  </si>
  <si>
    <t>comercialesteller.com</t>
  </si>
  <si>
    <t>977 73 76 06</t>
  </si>
  <si>
    <t>Llars de Foc Maco</t>
  </si>
  <si>
    <t>Carrer de Santa Eugènia, 104, 17006 Girona</t>
  </si>
  <si>
    <t>Gerona</t>
  </si>
  <si>
    <t>Girona</t>
  </si>
  <si>
    <t>972 23 23 61</t>
  </si>
  <si>
    <t>Llars de Foc Amer</t>
  </si>
  <si>
    <t>Carrer Major, 131, 17190 Salt, Girona</t>
  </si>
  <si>
    <t>Salt</t>
  </si>
  <si>
    <t>llarsdefocamer.com</t>
  </si>
  <si>
    <t>679 54 63 30</t>
  </si>
  <si>
    <t>llarsdefocamer@gmail.com</t>
  </si>
  <si>
    <t>LLARS de FOC VALLS</t>
  </si>
  <si>
    <t>Carrer de l&amp;apos;Empordà, 74, 17600 Figueres, Girona</t>
  </si>
  <si>
    <t>Figueres</t>
  </si>
  <si>
    <t>llarsdefocvalls.com</t>
  </si>
  <si>
    <t>972 50 18 20</t>
  </si>
  <si>
    <t>info@llarsdefocvalls.com</t>
  </si>
  <si>
    <t>Dovre Ibérica</t>
  </si>
  <si>
    <t>Carrer dels Homs, 4, 17111 Vulpellac, Girona</t>
  </si>
  <si>
    <t>Vulpellac</t>
  </si>
  <si>
    <t>dovreiberica.com</t>
  </si>
  <si>
    <t>972 30 59 04</t>
  </si>
  <si>
    <t>pb@dovre.es</t>
  </si>
  <si>
    <t>Chimeneas Rovic</t>
  </si>
  <si>
    <t>17469 Vilamalla, Girona</t>
  </si>
  <si>
    <t>Vilamalla</t>
  </si>
  <si>
    <t>Llars de Foc Cortada</t>
  </si>
  <si>
    <t>Urb. Vilafant Park, Carrer Sant Maurici, 28, 17740 Vilafant, Girona</t>
  </si>
  <si>
    <t>Vilafant</t>
  </si>
  <si>
    <t>foccortada.com</t>
  </si>
  <si>
    <t>972 54 70 27</t>
  </si>
  <si>
    <t>Noufoc - estufas, chimeneas y barbacoas de diseño</t>
  </si>
  <si>
    <t>Carrer Font Saguarda, 9, 17403 Sant Hilari Sacalm, Girona</t>
  </si>
  <si>
    <t>Sant Hilari Sacalm</t>
  </si>
  <si>
    <t>noufoc.cat</t>
  </si>
  <si>
    <t>972 86 95 24</t>
  </si>
  <si>
    <t>info@noufoc.cat</t>
  </si>
  <si>
    <t>xemeneies Picfoc</t>
  </si>
  <si>
    <t>Carrer Zamenhof, 20, 17800 Olot, Girona</t>
  </si>
  <si>
    <t>Olot</t>
  </si>
  <si>
    <t>picfoc.com</t>
  </si>
  <si>
    <t>972 07 14 79</t>
  </si>
  <si>
    <t>//info@picfoc.com</t>
  </si>
  <si>
    <t>Avinguda de Salvador Dalí i Domènech, 98, 17600 Figueres, Girona</t>
  </si>
  <si>
    <t>Mi Chimenea</t>
  </si>
  <si>
    <t>Carrer Vidreres, 61, 17412 Maçanet de la Selva, Girona</t>
  </si>
  <si>
    <t>Maçanet de la Selva</t>
  </si>
  <si>
    <t>674 46 98 66</t>
  </si>
  <si>
    <t>Visio I Foc</t>
  </si>
  <si>
    <t>Ctra. de Regencós a Palafrugell, 21, 17255 Begur, Girona</t>
  </si>
  <si>
    <t>Begur</t>
  </si>
  <si>
    <t>visioifoc.com</t>
  </si>
  <si>
    <t>972 30 80 66</t>
  </si>
  <si>
    <t>info@visioifoc.com</t>
  </si>
  <si>
    <t>Santa Metàl·liques i Xemeneies Santa Cristina</t>
  </si>
  <si>
    <t>Carrer Pere Geronès, 22, 17246 Santa Cristina d&amp;apos;Aro, Girona</t>
  </si>
  <si>
    <t>Santa Cristina d&amp;apos;Aro</t>
  </si>
  <si>
    <t>xemeneiessantacristina.com</t>
  </si>
  <si>
    <t>972 83 70 63</t>
  </si>
  <si>
    <t>Xemeneies Payet</t>
  </si>
  <si>
    <t>C-31. Ctra. De Torroella de montgrí, km1, 17140 Ullà, Girona</t>
  </si>
  <si>
    <t>Ullà</t>
  </si>
  <si>
    <t>xemeneiespayet.com</t>
  </si>
  <si>
    <t>972 76 00 42</t>
  </si>
  <si>
    <t>Xemeneies Rovic</t>
  </si>
  <si>
    <t>Plaça Montolivet, 3, 17800 Olot, Girona</t>
  </si>
  <si>
    <t>xemeneiesrovic.es</t>
  </si>
  <si>
    <t>972 26 52 21</t>
  </si>
  <si>
    <t>info@xemeneiesrovic.es</t>
  </si>
  <si>
    <t>17469, Girona</t>
  </si>
  <si>
    <t>El Pont del Príncep</t>
  </si>
  <si>
    <t>972 52 53 65</t>
  </si>
  <si>
    <t>CONSTRUCCIONS J.M. NARANJO</t>
  </si>
  <si>
    <t>Carrer Llevant, 47, 17412 Maçanet de la Selva, Girona</t>
  </si>
  <si>
    <t>construccionsnaranjo.com</t>
  </si>
  <si>
    <t>972 85 83 01</t>
  </si>
  <si>
    <t>info@construccionsnaranjo.com</t>
  </si>
  <si>
    <t>Foc &amp;amp; Roc</t>
  </si>
  <si>
    <t>Avinguda de Vilallonga, 87, 17600 Figueres, Girona</t>
  </si>
  <si>
    <t>622 00 41 73</t>
  </si>
  <si>
    <t>Xemeneies Serrat</t>
  </si>
  <si>
    <t>Ptge. Roques Blanques s/n, Ribes de Freser, Girona</t>
  </si>
  <si>
    <t>Ribes de Freser</t>
  </si>
  <si>
    <t>xemeneiesserrat.com</t>
  </si>
  <si>
    <t>972 72 71 80</t>
  </si>
  <si>
    <t>Chimeneas Bioetanol Bioflama</t>
  </si>
  <si>
    <t>Lateral Ctra. Nac.152 nº 5 - Local 5, 17520 Puigcerdà, Girona</t>
  </si>
  <si>
    <t>Puigcerdà</t>
  </si>
  <si>
    <t>671 18 00 38</t>
  </si>
  <si>
    <t>Ecopellets</t>
  </si>
  <si>
    <t>Carrer Major, 242, 08470 Sant Celoni, Barcelona</t>
  </si>
  <si>
    <t>ecopellets.es</t>
  </si>
  <si>
    <t>938 67 90 04</t>
  </si>
  <si>
    <t>info@ecopellets.es</t>
  </si>
  <si>
    <t>Carrer Barcelona, 32, 17002 Girona</t>
  </si>
  <si>
    <t>972 20 26 51</t>
  </si>
  <si>
    <t>Jové Bellot S L</t>
  </si>
  <si>
    <t>Avinguda de Catalunya, 176, 25180 Alcarràs, Lleida</t>
  </si>
  <si>
    <t>Alcarràs</t>
  </si>
  <si>
    <t>Lleida</t>
  </si>
  <si>
    <t>jobeserveis.com</t>
  </si>
  <si>
    <t>973 79 04 02</t>
  </si>
  <si>
    <t>info@jobeserveis.com</t>
  </si>
  <si>
    <t>Llars de Foc Martí</t>
  </si>
  <si>
    <t>Carrer de la Font, 71, 25400 Les Borges Blanques, Lleida</t>
  </si>
  <si>
    <t>Les Borges Blanques</t>
  </si>
  <si>
    <t>973 14 29 30</t>
  </si>
  <si>
    <t>Silifoc Chimeneas y Barbacoas</t>
  </si>
  <si>
    <t>Carrer Indústria, 12, 43460 Alcover, Tarragona</t>
  </si>
  <si>
    <t>Alcover</t>
  </si>
  <si>
    <t>silifoc.es</t>
  </si>
  <si>
    <t>977 84 62 16</t>
  </si>
  <si>
    <t>Trifoc Chimeneas Tarragona</t>
  </si>
  <si>
    <t>TV-7221, 43460 Alcover, Tarragona</t>
  </si>
  <si>
    <t>trifoc.com</t>
  </si>
  <si>
    <t>977 84 68 48</t>
  </si>
  <si>
    <t>trifoc@trifoc.com</t>
  </si>
  <si>
    <t>Chimeneas Gaudi</t>
  </si>
  <si>
    <t>Carretera nacional 340 km. 1.180,5, 43839 Creixell, Tarragona</t>
  </si>
  <si>
    <t>Creixell</t>
  </si>
  <si>
    <t>chimeneasgaudi.com</t>
  </si>
  <si>
    <t>977 80 00 08</t>
  </si>
  <si>
    <t>XEMENEIES L&amp;apos;ARC DE MARBRE</t>
  </si>
  <si>
    <t>Av. de Santa Coloma, 31, AD500 Andorra la Vella, Andorra</t>
  </si>
  <si>
    <t>Andorra la Vieja, Andorra</t>
  </si>
  <si>
    <t>Andorra</t>
  </si>
  <si>
    <t>xemeneiesescalfoc.cat</t>
  </si>
  <si>
    <t>+376 824 408</t>
  </si>
  <si>
    <t>escalfoc@xemeneiesescalfoc.cat</t>
  </si>
  <si>
    <t>FORJAS SALVADOR</t>
  </si>
  <si>
    <t>Poligono Ruiseñores 2 nave 5 Ctra de Logroño Km. 8,500, 50011 Zaragoza</t>
  </si>
  <si>
    <t>forjas-salvador.com</t>
  </si>
  <si>
    <t>976 25 00 58</t>
  </si>
  <si>
    <t>info@forjas-salvador.com</t>
  </si>
  <si>
    <t>Alberto Pino, Chimeneas y Barbacoas</t>
  </si>
  <si>
    <t>pol ind la Cometa, Carrer dels Serrallers, 1, 43700 El Vendrell, Tarragona</t>
  </si>
  <si>
    <t>El Vendrell</t>
  </si>
  <si>
    <t>albertopino.com</t>
  </si>
  <si>
    <t>977 66 52 52</t>
  </si>
  <si>
    <t>info@albertopino.com</t>
  </si>
  <si>
    <t>Xemeneies Belloren</t>
  </si>
  <si>
    <t>Rambla Felip Pedrell, Nº106, 43500 Baix, Tarragona</t>
  </si>
  <si>
    <t>Tortosa</t>
  </si>
  <si>
    <t>xemeneiesbelloren.negocio.site</t>
  </si>
  <si>
    <t>977 94 23 10</t>
  </si>
  <si>
    <t>XEMENEIES CARDONA SL</t>
  </si>
  <si>
    <t>Rda. del Remei, 63, 43530 Alcanar, Tarragona</t>
  </si>
  <si>
    <t>Alcanar</t>
  </si>
  <si>
    <t>chimeneascardona.com</t>
  </si>
  <si>
    <t>977 73 12 48</t>
  </si>
  <si>
    <t>chimeneascardona@chimeneascardona.com</t>
  </si>
  <si>
    <t>CHIMENEAS BELLOREN Tienda en Vinaros y Tortosa</t>
  </si>
  <si>
    <t>N-340, Km. 1052, 12500 Vinaròs, Castelló</t>
  </si>
  <si>
    <t>Vinaroz</t>
  </si>
  <si>
    <t>chimeneasyestufasbelloren.com</t>
  </si>
  <si>
    <t>964 63 30 19</t>
  </si>
  <si>
    <t>Sasac</t>
  </si>
  <si>
    <t>Ctra. de Manresa a Basella, 08250 Sant Joan de Vilatorrada, Barcelona</t>
  </si>
  <si>
    <t>Sant Joan de Vilatorrada</t>
  </si>
  <si>
    <t>sasac.com</t>
  </si>
  <si>
    <t>938 36 11 86</t>
  </si>
  <si>
    <t>sasac@sasac.com</t>
  </si>
  <si>
    <t>Chimeneas Roca Xativa</t>
  </si>
  <si>
    <t>Baixada del Carme, 9, 46800 Xàtiva, Valencia</t>
  </si>
  <si>
    <t>Játiva</t>
  </si>
  <si>
    <t>chimeneasroca.com</t>
  </si>
  <si>
    <t>962 28 14 04</t>
  </si>
  <si>
    <t>chimeneasroca@chimeneasroca.com</t>
  </si>
  <si>
    <t>Servifuego</t>
  </si>
  <si>
    <t>Av. Bulevar Príncipe Alfonso de Hohenlohe, 0, 29601 Marbella, Málaga</t>
  </si>
  <si>
    <t>952 85 99 87</t>
  </si>
  <si>
    <t>The Fireplace Shop Marbella</t>
  </si>
  <si>
    <t>Calle Zinc, Local 7, 29603 Marbella, Málaga</t>
  </si>
  <si>
    <t>fireplaceshopmarbella.com</t>
  </si>
  <si>
    <t>951 89 82 50</t>
  </si>
  <si>
    <t>Chimeneas CANDELA</t>
  </si>
  <si>
    <t>Carrer Capità Lagier, 8, 03202 Elx, Alicante</t>
  </si>
  <si>
    <t>Elche</t>
  </si>
  <si>
    <t>chimeneascandela.es</t>
  </si>
  <si>
    <t>965 45 82 81</t>
  </si>
  <si>
    <t>Chimeneas Franper S L Pérez Crespo</t>
  </si>
  <si>
    <t>Carretera de Alicante, 20, 24, 03420 Castalla, Alicante</t>
  </si>
  <si>
    <t>Castalla</t>
  </si>
  <si>
    <t>966 56 00 04</t>
  </si>
  <si>
    <t>Chimeneas Alicante Sirvent</t>
  </si>
  <si>
    <t>Av. del País Valencià, 22, 03820 Cocentaina, Alicante</t>
  </si>
  <si>
    <t>Cocentaina</t>
  </si>
  <si>
    <t>chimeneassirvent.com</t>
  </si>
  <si>
    <t>965 59 34 79</t>
  </si>
  <si>
    <t>info@chimeneassirvent.com</t>
  </si>
  <si>
    <t>Chimeneas Los Rodríguez</t>
  </si>
  <si>
    <t>Carretera, Ctra. Catral, 107, 03360 Callosa de Segura, Alicante</t>
  </si>
  <si>
    <t>San José</t>
  </si>
  <si>
    <t>chimeneaslosrodriguez.com</t>
  </si>
  <si>
    <t>965 31 12 50</t>
  </si>
  <si>
    <t>Ambifuego</t>
  </si>
  <si>
    <t>Avenida Cañada del Cura, 29, 03187 Los Montesinos, Alicante</t>
  </si>
  <si>
    <t>Los Montesinos</t>
  </si>
  <si>
    <t>ambifuego.net</t>
  </si>
  <si>
    <t>966 72 10 01</t>
  </si>
  <si>
    <t>info@ambifuego.net</t>
  </si>
  <si>
    <t>Vulcano Chimeneas</t>
  </si>
  <si>
    <t>Pl. Prosperidad, 12, 03600 Elda, Alicante</t>
  </si>
  <si>
    <t>Elda</t>
  </si>
  <si>
    <t>609 66 00 95</t>
  </si>
  <si>
    <t>Terramar Chimeneas S.L.</t>
  </si>
  <si>
    <t>Carrer la Mar, 195, 03590 Altea, Alicante</t>
  </si>
  <si>
    <t>Altea</t>
  </si>
  <si>
    <t>terramarchimeneas.com</t>
  </si>
  <si>
    <t>966 88 08 61</t>
  </si>
  <si>
    <t>info@terramarchimeneas.com</t>
  </si>
  <si>
    <t>Estufas y Barbacoas</t>
  </si>
  <si>
    <t>estufasybarbacoas.com</t>
  </si>
  <si>
    <t>647 92 26 86</t>
  </si>
  <si>
    <t>Bricoclima SL</t>
  </si>
  <si>
    <t>Camí de la Mar, 9, 03580 l&amp;apos;Alfàs del Pi, Alicante</t>
  </si>
  <si>
    <t>Alfaz del Pi</t>
  </si>
  <si>
    <t>bricoclima.com</t>
  </si>
  <si>
    <t>965 88 77 39</t>
  </si>
  <si>
    <t>Chimeneas Orihuela</t>
  </si>
  <si>
    <t>C. Prendimiento, 3, 03300 Orihuela, Alicante</t>
  </si>
  <si>
    <t>Orihuela</t>
  </si>
  <si>
    <t>965 30 55 83</t>
  </si>
  <si>
    <t>Fumisteria Menarguez Risueño, S.L.</t>
  </si>
  <si>
    <t>C. del Progreso, 9, 03380 Bigastro, Alicante</t>
  </si>
  <si>
    <t>Bigastro</t>
  </si>
  <si>
    <t>fumisteria.es</t>
  </si>
  <si>
    <t>966 77 04 86</t>
  </si>
  <si>
    <t>fumisteria@fumisteria.es</t>
  </si>
  <si>
    <t>Dirk Smit Chimeneas</t>
  </si>
  <si>
    <t>Ptda El, Planet, 169, 03590 Altea, Alicante</t>
  </si>
  <si>
    <t>dirksmit.com</t>
  </si>
  <si>
    <t>965 84 30 09</t>
  </si>
  <si>
    <t>info@dirksmit.com</t>
  </si>
  <si>
    <t>Plaza Puente Alto, 37 Polígono Industrial, 03300 Orihuela, Alicante</t>
  </si>
  <si>
    <t>965 30 00 55</t>
  </si>
  <si>
    <t>Distribuciones de Fumisteria, S.L.</t>
  </si>
  <si>
    <t>C. del Progreso, 18, 03380 Bigastro, Alicante</t>
  </si>
  <si>
    <t>distribucionesfumisteria.com</t>
  </si>
  <si>
    <t>info@distribucionesfumisteria.com</t>
  </si>
  <si>
    <t>Naymo Calor</t>
  </si>
  <si>
    <t>Carrer de Patricio Ferrándiz, 83, 03700 Dénia, Alicante</t>
  </si>
  <si>
    <t>naymocalor.com</t>
  </si>
  <si>
    <t>965 78 31 37</t>
  </si>
  <si>
    <t>info@naymocalor.com</t>
  </si>
  <si>
    <t>Chimeneas Estela</t>
  </si>
  <si>
    <t>03369 Rafal, Alicante</t>
  </si>
  <si>
    <t>Rafal</t>
  </si>
  <si>
    <t>Chimeneas Llofrio</t>
  </si>
  <si>
    <t>Polígono Industrial, C. Industria, 16, 30110 Torre Alcayna, Murcia</t>
  </si>
  <si>
    <t>Torre Alcayna</t>
  </si>
  <si>
    <t>chimeneasllofrio.es</t>
  </si>
  <si>
    <t>968 83 57 58</t>
  </si>
  <si>
    <t>Rodafoc</t>
  </si>
  <si>
    <t>Avinguda del Mediterrani, 2, 03725 Teulada, Alicante</t>
  </si>
  <si>
    <t>Teulada</t>
  </si>
  <si>
    <t>rodafoc.com</t>
  </si>
  <si>
    <t>965 74 01 30</t>
  </si>
  <si>
    <t>info@rodafoc.com</t>
  </si>
  <si>
    <t>Haas + Sohn Spain</t>
  </si>
  <si>
    <t>Avinguda del Mediterrani, 74, 03725 Teulada, Alicante</t>
  </si>
  <si>
    <t>haassohn.es</t>
  </si>
  <si>
    <t>965 74 09 24</t>
  </si>
  <si>
    <t>info@haassohn.es</t>
  </si>
  <si>
    <t>La llar del foc</t>
  </si>
  <si>
    <t>N-332, km 194, 03750 Pedreguer, Alicante</t>
  </si>
  <si>
    <t>Pedreguer</t>
  </si>
  <si>
    <t>chimeneaslallardelfoc.com</t>
  </si>
  <si>
    <t>658 96 17 25</t>
  </si>
  <si>
    <t>info@chimeneaslallardelfoc.com</t>
  </si>
  <si>
    <t>Carrer de Crevillent, 1, 12005 Castelló de la Plana, Castelló</t>
  </si>
  <si>
    <t>Castellón de la Plana</t>
  </si>
  <si>
    <t>FOC AMBIENT</t>
  </si>
  <si>
    <t>Pol. Ind. Riu Sec, 12190 Borriol, Castelló</t>
  </si>
  <si>
    <t>Borriol</t>
  </si>
  <si>
    <t>focambient.com</t>
  </si>
  <si>
    <t>964 50 68 41</t>
  </si>
  <si>
    <t>info@focambient.com</t>
  </si>
  <si>
    <t>Decorfoc</t>
  </si>
  <si>
    <t>Carrer de Valéncia, 18, 12600 La Vall d&amp;apos;Uixó, Castelló</t>
  </si>
  <si>
    <t>Vall de Uxó</t>
  </si>
  <si>
    <t>Chimeneas y Forja</t>
  </si>
  <si>
    <t>Plaça Redona, 4, 46001 València, Valencia</t>
  </si>
  <si>
    <t>chimeneasyforja.com</t>
  </si>
  <si>
    <t>963 91 84 82</t>
  </si>
  <si>
    <t>info@chimeneasyforja.com</t>
  </si>
  <si>
    <t>Chimeneas Legua - Legua Artesanos S.L.</t>
  </si>
  <si>
    <t>Av. del Camí Nou, 183, 46950 Xirivella, Valencia</t>
  </si>
  <si>
    <t>Chirivella</t>
  </si>
  <si>
    <t>leguaartesanos.es</t>
  </si>
  <si>
    <t>963 59 43 02</t>
  </si>
  <si>
    <t>casas@leguaartesanos.es</t>
  </si>
  <si>
    <t>Chez Ramón</t>
  </si>
  <si>
    <t>Carrer dels Drets, 8, 46001 València, Valencia</t>
  </si>
  <si>
    <t>chezramon.es</t>
  </si>
  <si>
    <t>963 91 23 61</t>
  </si>
  <si>
    <t>Chimeneas Hergar</t>
  </si>
  <si>
    <t>Carrer del Poeta Llorente, 149, 46185 La Pobla de Vallbona, Valencia</t>
  </si>
  <si>
    <t>Puebla de Vallbona</t>
  </si>
  <si>
    <t>chimeneashergar.com</t>
  </si>
  <si>
    <t>962 76 03 85</t>
  </si>
  <si>
    <t>Chimeneas y forjas Legua-Legua Artesanos</t>
  </si>
  <si>
    <t>Camí de les Cases de Barcena, nº85, 46131 Casas de Bárcena, Valencia</t>
  </si>
  <si>
    <t>Cases de Bàrcena</t>
  </si>
  <si>
    <t>636 63 46 40</t>
  </si>
  <si>
    <t>Chimeneas Alonso</t>
  </si>
  <si>
    <t>Av. Major, 98, 46130 Massamagrell, Valencia</t>
  </si>
  <si>
    <t>Masamagrell</t>
  </si>
  <si>
    <t>chimeneasalonso.com</t>
  </si>
  <si>
    <t>Tonino Guitian</t>
  </si>
  <si>
    <t>Carrer de Vicent Brull, 74, 46011 València, Valencia</t>
  </si>
  <si>
    <t>portada chimeneas y estufas</t>
  </si>
  <si>
    <t>Chimeneas Roig</t>
  </si>
  <si>
    <t>Carrer del Metge Josep Doctor Espert, 32, 46230 Alginet, Valencia</t>
  </si>
  <si>
    <t>Alginet</t>
  </si>
  <si>
    <t>chimeneasroig.net</t>
  </si>
  <si>
    <t>961 75 07 29</t>
  </si>
  <si>
    <t>ximeneresroig@hotmail.com</t>
  </si>
  <si>
    <t>Chimeneas Hnos. Sánchez</t>
  </si>
  <si>
    <t>Carrer Guillermo Roch, 57, 46185 La Pobla de Vallbona, Valencia</t>
  </si>
  <si>
    <t>chimeneassanchez.es</t>
  </si>
  <si>
    <t>962 76 10 67</t>
  </si>
  <si>
    <t>info@chimeneassanchez.es</t>
  </si>
  <si>
    <t>Chimeneas la ribera</t>
  </si>
  <si>
    <t>Pol.Ind. El Raco C / Ponent Nº 12, 46612 Corbera</t>
  </si>
  <si>
    <t>Corbera</t>
  </si>
  <si>
    <t>616 32 32 52</t>
  </si>
  <si>
    <t>Diversity 24H S.L</t>
  </si>
  <si>
    <t>Av. Valencia, 6, 46770 Xeraco, Valencia</t>
  </si>
  <si>
    <t>Xeraco</t>
  </si>
  <si>
    <t>962 89 04 75</t>
  </si>
  <si>
    <t>Naturcalor Pisciport,S.L.</t>
  </si>
  <si>
    <t>Carrer Periodista Azzati, 20, 46520 Port de Sagunt, Valencia</t>
  </si>
  <si>
    <t>Puerto de Sagunto</t>
  </si>
  <si>
    <t>961 08 78 99</t>
  </si>
  <si>
    <t>Chimeneas la Llar</t>
  </si>
  <si>
    <t>Polígono industrial el Brosquill, Carrer de Nicolau Copernic, 46780 Oliva, Valencia</t>
  </si>
  <si>
    <t>Oliva</t>
  </si>
  <si>
    <t>chimeneaslallar.com</t>
  </si>
  <si>
    <t>962 83 83 47</t>
  </si>
  <si>
    <t>Piedras Decorativas Hermanos Sánchez</t>
  </si>
  <si>
    <t>962 76 00 98</t>
  </si>
  <si>
    <t>Chimeneas Beniganím C B</t>
  </si>
  <si>
    <t>Av Vicente Boluda Palop, 39, 46830 Benigànim, Valencia</t>
  </si>
  <si>
    <t>Benigánim</t>
  </si>
  <si>
    <t>chimeneasbeniganim.es</t>
  </si>
  <si>
    <t>962 21 60 23</t>
  </si>
  <si>
    <t>Estufas Y Chimeneas Martinez</t>
  </si>
  <si>
    <t>C. Valencia, 6, 46300 Utiel, Valencia</t>
  </si>
  <si>
    <t>Utiel</t>
  </si>
  <si>
    <t>Brico</t>
  </si>
  <si>
    <t>Carrer Illa de Formentera, 1, 46520 Port de Sagunt, Valencia</t>
  </si>
  <si>
    <t>Chimeneas Torrente</t>
  </si>
  <si>
    <t>Calle Colada de Blas de Haro, 0 S/N, 18659 Marchena, Granada</t>
  </si>
  <si>
    <t>958 78 11 89</t>
  </si>
  <si>
    <t>Batet</t>
  </si>
  <si>
    <t>12550, Castellón</t>
  </si>
  <si>
    <t>Almazora</t>
  </si>
  <si>
    <t>964 56 26 51</t>
  </si>
  <si>
    <t>Cadbioex</t>
  </si>
  <si>
    <t>C. Juan Sebastián Elcano, 12, 06810 Calamonte, Badajoz</t>
  </si>
  <si>
    <t>Calamonte</t>
  </si>
  <si>
    <t>Badajoz</t>
  </si>
  <si>
    <t>estufasycalderascadbioex.es</t>
  </si>
  <si>
    <t>633 59 78 34</t>
  </si>
  <si>
    <t>Repuestoschimeneas.es</t>
  </si>
  <si>
    <t>Ctra. Navalpino, 115, 13100 Piedrabuena, Cdad. Real</t>
  </si>
  <si>
    <t>repuestoschimeneas.es</t>
  </si>
  <si>
    <t>pedidos@repuestoschimeneas.es</t>
  </si>
  <si>
    <t>Chimeneas Ortega</t>
  </si>
  <si>
    <t>Av. de Madrid, 4, 26140 Lardero, La Rioja</t>
  </si>
  <si>
    <t>Lardero</t>
  </si>
  <si>
    <t>chimeneasortega.es</t>
  </si>
  <si>
    <t>941 44 80 96</t>
  </si>
  <si>
    <t>info@chimeneasortega.es</t>
  </si>
  <si>
    <t>Autovia del Camino A-12 salida 14 Area de Servicio, 26370 Navarrete</t>
  </si>
  <si>
    <t>Navarrete</t>
  </si>
  <si>
    <t>941 44 06 49</t>
  </si>
  <si>
    <t>Chimeneas Sancho</t>
  </si>
  <si>
    <t>Carr. de Estella, 0, 31190 Astráin, Navarra</t>
  </si>
  <si>
    <t>Astráin</t>
  </si>
  <si>
    <t>Navarra</t>
  </si>
  <si>
    <t>chimeneassancho.com</t>
  </si>
  <si>
    <t>948 35 31 49</t>
  </si>
  <si>
    <t>info@chimeneassancho.com</t>
  </si>
  <si>
    <t>Chimeneas Esangar S.L.</t>
  </si>
  <si>
    <t>C. Arbizu, 7, 31014 Pamplona, Navarra</t>
  </si>
  <si>
    <t>Pamplona</t>
  </si>
  <si>
    <t>chimeneas-esangar.com</t>
  </si>
  <si>
    <t>948 13 10 90</t>
  </si>
  <si>
    <t>esangar@esangar.com</t>
  </si>
  <si>
    <t>Lar e Fogo</t>
  </si>
  <si>
    <t>Rúa Santiago, 94, 27004 Lugo</t>
  </si>
  <si>
    <t>Lugo</t>
  </si>
  <si>
    <t>larefogo.com</t>
  </si>
  <si>
    <t>982 24 09 90</t>
  </si>
  <si>
    <t>info@larefogo.com</t>
  </si>
  <si>
    <t>Gp Calor e Lume</t>
  </si>
  <si>
    <t>Rúa Ourense, 112, 27400 Monforte de Lemos, Lugo</t>
  </si>
  <si>
    <t>Monforte de Lemos</t>
  </si>
  <si>
    <t>gpcalorelume.com</t>
  </si>
  <si>
    <t>982 40 39 53</t>
  </si>
  <si>
    <t>Chimeneas VIFER</t>
  </si>
  <si>
    <t>Castrobo, 34, Bajo, 15181 Anceis, A Coruña</t>
  </si>
  <si>
    <t>Anceis</t>
  </si>
  <si>
    <t>A Coruña</t>
  </si>
  <si>
    <t>chimeneasvifer.com</t>
  </si>
  <si>
    <t>981 67 40 07</t>
  </si>
  <si>
    <t>info@chimeneasvifer.com</t>
  </si>
  <si>
    <t>Chimeneas, Estufas y calefacciones DOCER</t>
  </si>
  <si>
    <t>Balteiro, 11, 36140, Pontevedra</t>
  </si>
  <si>
    <t>Balteiro</t>
  </si>
  <si>
    <t>Pontevedra</t>
  </si>
  <si>
    <t>docer.net</t>
  </si>
  <si>
    <t>986 70 88 09</t>
  </si>
  <si>
    <t>hola@miempresa.es</t>
  </si>
  <si>
    <t>Fogaqua Chimeneas y Estufas</t>
  </si>
  <si>
    <t>Av. A Barca, 30, 36163 Poio, Pontevedra</t>
  </si>
  <si>
    <t>Poyo</t>
  </si>
  <si>
    <t>fogaqua.es</t>
  </si>
  <si>
    <t>986 87 02 27</t>
  </si>
  <si>
    <t>info@fogaqua.es</t>
  </si>
  <si>
    <t>Docer</t>
  </si>
  <si>
    <t>N550, nº 10, Figueirido, 36140 Vilaboa, Pontevedra</t>
  </si>
  <si>
    <t>Vilaboa</t>
  </si>
  <si>
    <t>granitos milucho sl</t>
  </si>
  <si>
    <t>Estrada Nacional 525 Antiga de Santiago s/n, Gustei, 32100 Coles, Province of Ourense</t>
  </si>
  <si>
    <t>Coles</t>
  </si>
  <si>
    <t>618 26 93 90</t>
  </si>
  <si>
    <t>Agrafuego</t>
  </si>
  <si>
    <t>Taramancos, 36, 15218 Noia, A Coruña</t>
  </si>
  <si>
    <t>Noia</t>
  </si>
  <si>
    <t>agrafuego.com</t>
  </si>
  <si>
    <t>981 82 58 11</t>
  </si>
  <si>
    <t>Chimeneas GRANIARTE</t>
  </si>
  <si>
    <t>Av. de Marín, 7, 32001 Ourense, Province of Ourense</t>
  </si>
  <si>
    <t>chimeneasgraniarte.com</t>
  </si>
  <si>
    <t>988 21 95 47</t>
  </si>
  <si>
    <t>info@chimeneasgraniarte.com</t>
  </si>
  <si>
    <t>Chimeneas-Barbacoas-Balaustradas Diegos</t>
  </si>
  <si>
    <t>Rúa Marcelo Macías, 61, 32002 Ourense</t>
  </si>
  <si>
    <t>Ourense</t>
  </si>
  <si>
    <t>chimeneasdiegos.wix.com</t>
  </si>
  <si>
    <t>988 10 24 47</t>
  </si>
  <si>
    <t>Lume.Art</t>
  </si>
  <si>
    <t>R. Ourense, 6, 36700 Tui, Pontevedra</t>
  </si>
  <si>
    <t>Tuy</t>
  </si>
  <si>
    <t>lumeart.com</t>
  </si>
  <si>
    <t>986 60 35 36</t>
  </si>
  <si>
    <t>Chimeneas Ecolar</t>
  </si>
  <si>
    <t>Av. de Uruguay, 65, 36002 Pontevedra</t>
  </si>
  <si>
    <t>ecolar.es</t>
  </si>
  <si>
    <t>986 84 24 02</t>
  </si>
  <si>
    <t>contacto@ecolar.es</t>
  </si>
  <si>
    <t>CHIMENEAS PONTEVEDRA ARTESANÍA EN PIEDRA</t>
  </si>
  <si>
    <t>Rúa Costa, 13, 36636 Ribadumia, Pontevedra</t>
  </si>
  <si>
    <t>Ribadumia</t>
  </si>
  <si>
    <t>artesaniaenpiedra.es</t>
  </si>
  <si>
    <t>686 71 05 53</t>
  </si>
  <si>
    <t>comercial@artesaniaenpiedra.es</t>
  </si>
  <si>
    <t>Granainco</t>
  </si>
  <si>
    <t>Carretera Moledo, Km. 94, 36912 Marín, Pontevedra</t>
  </si>
  <si>
    <t>Marín</t>
  </si>
  <si>
    <t>granainco.es</t>
  </si>
  <si>
    <t>986 70 28 17</t>
  </si>
  <si>
    <t>webmaster@infopontevedra.es</t>
  </si>
  <si>
    <t>Alejandro Fernández</t>
  </si>
  <si>
    <t>Rúa Poza da Barcia, 18, 36154 Pontevedra</t>
  </si>
  <si>
    <t>656 96 44 49</t>
  </si>
  <si>
    <t>Granainco Chimeneas</t>
  </si>
  <si>
    <t>36960 Sanjenjo, Pontevedra</t>
  </si>
  <si>
    <t>Sanjenjo</t>
  </si>
  <si>
    <t>986 10 92 16</t>
  </si>
  <si>
    <t>Eco-Nova</t>
  </si>
  <si>
    <t>N-550, 24, 36655 Caldas de Reis, Pontevedra</t>
  </si>
  <si>
    <t>Caldas de Reyes</t>
  </si>
  <si>
    <t>chimeneaseconova.com</t>
  </si>
  <si>
    <t>986 53 01 07</t>
  </si>
  <si>
    <t>econova@chimeneaseconova.com</t>
  </si>
  <si>
    <t>MHSC-TEMCO</t>
  </si>
  <si>
    <t>Av. las Camelias, 32, 36202 Vigo, Pontevedra</t>
  </si>
  <si>
    <t>Vigo</t>
  </si>
  <si>
    <t>mhsceuro.com</t>
  </si>
  <si>
    <t>622 78 87 22</t>
  </si>
  <si>
    <t>Est. de Santa Marta, 30, 36308 O Burgo, Pontevedra</t>
  </si>
  <si>
    <t>O Burgo</t>
  </si>
  <si>
    <t>chimeneasbaiona.com</t>
  </si>
  <si>
    <t>986 35 80 19</t>
  </si>
  <si>
    <t>Estufas de Pellets Irmáns Picaño Renovables</t>
  </si>
  <si>
    <t>Rúa Irida, 69, 36680 A Estrada, Pontevedra</t>
  </si>
  <si>
    <t>La Estrada</t>
  </si>
  <si>
    <t>986 57 17 74</t>
  </si>
  <si>
    <t>Aspimega 659975469</t>
  </si>
  <si>
    <t>Rúa Rancheira, 8, 36350 Nigrán, Pontevedra</t>
  </si>
  <si>
    <t>Nigrán</t>
  </si>
  <si>
    <t>aspimega.com</t>
  </si>
  <si>
    <t>659 97 54 69</t>
  </si>
  <si>
    <t>comercial@aspimega.com</t>
  </si>
  <si>
    <t>Chimeneas y estufas Quento</t>
  </si>
  <si>
    <t>42.8241220, -8.6088231, 15866 Texexe, A Coruña</t>
  </si>
  <si>
    <t>Texexe</t>
  </si>
  <si>
    <t>quento.es</t>
  </si>
  <si>
    <t>981 53 80 81</t>
  </si>
  <si>
    <t>info@quento.es</t>
  </si>
  <si>
    <t>Carmen Y Lupe S L</t>
  </si>
  <si>
    <t>986 60 33 53</t>
  </si>
  <si>
    <t>ofertaschimeneas.com</t>
  </si>
  <si>
    <t>Rúa do Outeiro do Castiñeiriño, 40, 15702 Santiago de Compostela, A Coruña</t>
  </si>
  <si>
    <t>Santiago de Compostela</t>
  </si>
  <si>
    <t>981 52 34 33</t>
  </si>
  <si>
    <t>admin@ofertaschimeneas.com</t>
  </si>
  <si>
    <t>Antigua Chimenea de la Tabacalera</t>
  </si>
  <si>
    <t>C. Portales, 46, 26001 Logroño, La Rioja</t>
  </si>
  <si>
    <t>Chimeneas Ruiz</t>
  </si>
  <si>
    <t>Ábalos</t>
  </si>
  <si>
    <t>chimeneasruiz.com</t>
  </si>
  <si>
    <t>948 82 33 44</t>
  </si>
  <si>
    <t>info@chimeneasruiz.com</t>
  </si>
  <si>
    <t>IBASA CALOR Y DISEÑO</t>
  </si>
  <si>
    <t>Düsseldorf Kalea, 5, nave 7, 01010 Vitoria-Gasteiz, Álava</t>
  </si>
  <si>
    <t>Álava</t>
  </si>
  <si>
    <t>chimeneasibasa.es</t>
  </si>
  <si>
    <t>945 56 91 96</t>
  </si>
  <si>
    <t>El Deshollinador Integral</t>
  </si>
  <si>
    <t>C. de Oña, 23, 28050 Madrid</t>
  </si>
  <si>
    <t>917 66 29 60</t>
  </si>
  <si>
    <t>Estufas de Pellets y Biomasa Madrid | JOIMA</t>
  </si>
  <si>
    <t>P.º de la Castellana, 351c, s/n, 28046 Madrid</t>
  </si>
  <si>
    <t>joima.net</t>
  </si>
  <si>
    <t>biochimeneas</t>
  </si>
  <si>
    <t>C. Torrox, 2, 28041 Madrid</t>
  </si>
  <si>
    <t>biochimeneas.com</t>
  </si>
  <si>
    <t>913 92 05 09</t>
  </si>
  <si>
    <t>CHIMENEAS DE LEÑA Y ESTUFAS DE PELLETS Edilkamin Store Madrid</t>
  </si>
  <si>
    <t>C. Turín, 18D, 2, 28232 Las Rozas de Madrid, Madrid</t>
  </si>
  <si>
    <t>916 03 41 81</t>
  </si>
  <si>
    <t>Zocochimeneas Las Rozas</t>
  </si>
  <si>
    <t>C. Módena, 39 Bis, 28232 Las Rozas de Madrid, Madrid</t>
  </si>
  <si>
    <t>643 63 35 09</t>
  </si>
  <si>
    <t>axro consult</t>
  </si>
  <si>
    <t>C. Hortensia, 55, 28863 Cobeña, Madrid</t>
  </si>
  <si>
    <t>Cobeña</t>
  </si>
  <si>
    <t>chimenea-bioetanol.es</t>
  </si>
  <si>
    <t>600 99 16 40</t>
  </si>
  <si>
    <t>info@chimenea-bioetanol.es</t>
  </si>
  <si>
    <t>Girolami Ibérica</t>
  </si>
  <si>
    <t>C. Mónaco, 40, 28232 Las Rozas de Madrid, Madrid</t>
  </si>
  <si>
    <t>629 45 92 82</t>
  </si>
  <si>
    <t>Venticon</t>
  </si>
  <si>
    <t>Avenida Andalucía, 123 Polígono Industrial Albresa, 28343 Valdemoro, Madrid</t>
  </si>
  <si>
    <t>Valdemoro</t>
  </si>
  <si>
    <t>factoringchimeneas.es</t>
  </si>
  <si>
    <t>918 08 33 68</t>
  </si>
  <si>
    <t>Hornos Maestro Utrera</t>
  </si>
  <si>
    <t>Cam. Mejorada, 20, 28830 San Fernando de Henares, Madrid</t>
  </si>
  <si>
    <t>San Fernando de Henares</t>
  </si>
  <si>
    <t>696 47 88 83</t>
  </si>
  <si>
    <t>C. de San Roque, 8, 28723 Pedrezuela, Madrid</t>
  </si>
  <si>
    <t>Chimeden</t>
  </si>
  <si>
    <t>Av. del Escondite, 1, 28250 Torrelodones, Madrid</t>
  </si>
  <si>
    <t>chimeden.es</t>
  </si>
  <si>
    <t>637 75 65 52</t>
  </si>
  <si>
    <t>Deshollinadores Sierra Norte</t>
  </si>
  <si>
    <t>C. de Juan González del Real, 12, Local, 28770 Colmenar Viejo, Madrid</t>
  </si>
  <si>
    <t>Colmenar Viejo</t>
  </si>
  <si>
    <t>deshollinadoressierranorte.es</t>
  </si>
  <si>
    <t>911 89 93 52</t>
  </si>
  <si>
    <t>Chimeneas Pedro Illofrio</t>
  </si>
  <si>
    <t>C. Mayor, 8b, 30161 Murcia</t>
  </si>
  <si>
    <t>chimeneaspedroillofrio.com</t>
  </si>
  <si>
    <t>968 30 30 26</t>
  </si>
  <si>
    <t>info@chimeneaspedroillofrio.com</t>
  </si>
  <si>
    <t>Infumur Chimeneas</t>
  </si>
  <si>
    <t>Carr. San Javier, 155, 30164 Murcia</t>
  </si>
  <si>
    <t>infumur.es</t>
  </si>
  <si>
    <t>968 81 12 13</t>
  </si>
  <si>
    <t>Info@infumur.es</t>
  </si>
  <si>
    <t>Chimeneas Universal</t>
  </si>
  <si>
    <t>30834 Sangonera la Verde, Murcia</t>
  </si>
  <si>
    <t>Sangonera la Verde</t>
  </si>
  <si>
    <t>968 86 65 24</t>
  </si>
  <si>
    <t>Chimeneas NINO</t>
  </si>
  <si>
    <t>C. de la Casa Colorá, 7, 30627 Campotéjar Alta, Murcia</t>
  </si>
  <si>
    <t>Campotéjar Alta</t>
  </si>
  <si>
    <t>chimeneasnino.com</t>
  </si>
  <si>
    <t>648 05 95 20</t>
  </si>
  <si>
    <t>info@chimeneasnino.com</t>
  </si>
  <si>
    <t>Chimeneas y estufas dalgon control s.l</t>
  </si>
  <si>
    <t>C. Castillo de Aledo, n4, 30562 Lorquí, Murcia</t>
  </si>
  <si>
    <t>868 19 33 29</t>
  </si>
  <si>
    <t>Chimeneas Parace</t>
  </si>
  <si>
    <t>30565, Murcia</t>
  </si>
  <si>
    <t>Las Torres de Cotillas</t>
  </si>
  <si>
    <t>678 71 20 70</t>
  </si>
  <si>
    <t>Chimeneas Llamas</t>
  </si>
  <si>
    <t>Av. Constitución, 24, 30870 Mazarrón, Murcia</t>
  </si>
  <si>
    <t>Mazarrón</t>
  </si>
  <si>
    <t>chimeneasllamas.es</t>
  </si>
  <si>
    <t>968 59 10 30</t>
  </si>
  <si>
    <t>Chimeneas By Morales. Pedir Cita Previa por Teléfono.</t>
  </si>
  <si>
    <t>Carr de Villena, KM 3, 30510 Yecla, Murcia</t>
  </si>
  <si>
    <t>Yecla</t>
  </si>
  <si>
    <t>968 79 05 18</t>
  </si>
  <si>
    <t>Lopetegi Equipamiento</t>
  </si>
  <si>
    <t>Uriz Kalea, 29, 31830 Lakuntza, Navarre</t>
  </si>
  <si>
    <t>Lacunza</t>
  </si>
  <si>
    <t>Navarre</t>
  </si>
  <si>
    <t>lopetegi.es</t>
  </si>
  <si>
    <t>948 57 60 68</t>
  </si>
  <si>
    <t>lopetegi@lopetegi.es</t>
  </si>
  <si>
    <t>Lacunza Kalor Group Sal</t>
  </si>
  <si>
    <t>Calle Sarrarte, 0 S/N, 31830 Lakuntza</t>
  </si>
  <si>
    <t>Lakuntza</t>
  </si>
  <si>
    <t>948 56 46 86</t>
  </si>
  <si>
    <t>Biofire</t>
  </si>
  <si>
    <t>Abáigar</t>
  </si>
  <si>
    <t>biofire.com</t>
  </si>
  <si>
    <t>948 18 54 80</t>
  </si>
  <si>
    <t>zentrale-salzburg@biofire.at</t>
  </si>
  <si>
    <t>Esangar S L L</t>
  </si>
  <si>
    <t>C. R, 59, 31192 Mutilva, Navarra</t>
  </si>
  <si>
    <t>Mutilva</t>
  </si>
  <si>
    <t>948 07 99 07</t>
  </si>
  <si>
    <t>Chimenas Suberri</t>
  </si>
  <si>
    <t>Paseo Ubarburu, 58, Nave 11, 20014 Donostia-San Sebastian, Gipuzkoa</t>
  </si>
  <si>
    <t>San Sebastián</t>
  </si>
  <si>
    <t>Gipuzkoa</t>
  </si>
  <si>
    <t>suberri.com</t>
  </si>
  <si>
    <t>943 47 08 77</t>
  </si>
  <si>
    <t>suberri@suberri.com</t>
  </si>
  <si>
    <t>Eko-Bero</t>
  </si>
  <si>
    <t>Urdaneta Hiribidea, 3, 20700 Zumarraga, Gipuzkoa</t>
  </si>
  <si>
    <t>Zumárraga</t>
  </si>
  <si>
    <t>eko-bero.com</t>
  </si>
  <si>
    <t>943 72 11 20</t>
  </si>
  <si>
    <t>info@eko-bero.com</t>
  </si>
  <si>
    <t>Castelas Verites S.L.</t>
  </si>
  <si>
    <t>Kale Berria, 10, BAJO, 20150 Villabona, Gipuzkoa</t>
  </si>
  <si>
    <t>Villabona</t>
  </si>
  <si>
    <t>943 69 14 00</t>
  </si>
  <si>
    <t>Chimeneas Inmoar</t>
  </si>
  <si>
    <t>Lopidana Entitatea, 01196 Lopidana, Araba</t>
  </si>
  <si>
    <t>Lopidana</t>
  </si>
  <si>
    <t>chimeneasinmoar.com</t>
  </si>
  <si>
    <t>665 70 88 16</t>
  </si>
  <si>
    <t>Bastida Chimeneas</t>
  </si>
  <si>
    <t>Atxubiaga Kalea, 12, 20730 Azpeitia, Gipuzkoa</t>
  </si>
  <si>
    <t>Azpeitia</t>
  </si>
  <si>
    <t>bastidachimeneas.com</t>
  </si>
  <si>
    <t>943 81 32 87</t>
  </si>
  <si>
    <t>bastida@bastidachimeneas.com</t>
  </si>
  <si>
    <t>Chimeneas Erre</t>
  </si>
  <si>
    <t>Zikuñaga Bailara, 83, 20120 Hernani, Gipuzkoa</t>
  </si>
  <si>
    <t>Hernani</t>
  </si>
  <si>
    <t>chimeneaserre.com</t>
  </si>
  <si>
    <t>943 46 89 50</t>
  </si>
  <si>
    <t>chimeneaserre@icloud.com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</si>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</sst>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Tiendas</a:t>
            </a:r>
            <a:r>
              <a:rPr lang="es-ES" baseline="0"/>
              <a:t> de chimeneas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72-4953-A6DF-E6CEF0DEE23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372-4953-A6DF-E6CEF0DEE23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72-4953-A6DF-E6CEF0DEE23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372-4953-A6DF-E6CEF0DEE23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72-4953-A6DF-E6CEF0DEE234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402</c:v>
                </c:pt>
                <c:pt idx="1">
                  <c:v>199</c:v>
                </c:pt>
                <c:pt idx="2">
                  <c:v>305</c:v>
                </c:pt>
                <c:pt idx="3">
                  <c:v>375</c:v>
                </c:pt>
                <c:pt idx="4">
                  <c:v>290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2-4953-A6DF-E6CEF0DE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972592"/>
        <c:axId val="1476968432"/>
      </c:barChart>
      <c:catAx>
        <c:axId val="147697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68432"/>
        <c:crosses val="autoZero"/>
        <c:auto val="1"/>
        <c:lblAlgn val="ctr"/>
        <c:lblOffset val="100"/>
        <c:noMultiLvlLbl val="0"/>
      </c:catAx>
      <c:valAx>
        <c:axId val="14769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97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4</xdr:row>
      <xdr:rowOff>160336</xdr:rowOff>
    </xdr:from>
    <xdr:to>
      <xdr:col>5</xdr:col>
      <xdr:colOff>977900</xdr:colOff>
      <xdr:row>31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AFF652-C052-01C2-9532-8C8012E01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C34B-1342-49D8-B580-57113335767C}">
  <dimension ref="A1:H403"/>
  <sheetViews>
    <sheetView tabSelected="1" workbookViewId="0">
      <selection activeCell="I1" sqref="I1:V1048576"/>
    </sheetView>
  </sheetViews>
  <sheetFormatPr defaultColWidth="20.42578125" defaultRowHeight="14.45"/>
  <cols>
    <col min="1" max="1" width="6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17</v>
      </c>
      <c r="E3" s="1" t="s">
        <v>11</v>
      </c>
      <c r="F3" s="1" t="s">
        <v>18</v>
      </c>
      <c r="G3" s="1" t="s">
        <v>19</v>
      </c>
      <c r="H3" s="1" t="s">
        <v>14</v>
      </c>
    </row>
    <row r="4" spans="1:8">
      <c r="A4" s="1" t="s">
        <v>20</v>
      </c>
      <c r="B4" s="1" t="s">
        <v>9</v>
      </c>
      <c r="C4" s="1" t="s">
        <v>21</v>
      </c>
      <c r="D4" s="1" t="s">
        <v>22</v>
      </c>
      <c r="E4" s="1" t="s">
        <v>11</v>
      </c>
      <c r="F4" s="1" t="s">
        <v>23</v>
      </c>
      <c r="G4" s="1" t="s">
        <v>23</v>
      </c>
      <c r="H4" s="1" t="s">
        <v>14</v>
      </c>
    </row>
    <row r="5" spans="1:8">
      <c r="A5" s="1" t="s">
        <v>24</v>
      </c>
      <c r="B5" s="1" t="s">
        <v>9</v>
      </c>
      <c r="C5" s="1" t="s">
        <v>25</v>
      </c>
      <c r="D5" s="1" t="s">
        <v>26</v>
      </c>
      <c r="E5" s="1" t="s">
        <v>11</v>
      </c>
      <c r="F5" s="1" t="s">
        <v>23</v>
      </c>
      <c r="G5" s="1" t="s">
        <v>27</v>
      </c>
      <c r="H5" s="1" t="s">
        <v>14</v>
      </c>
    </row>
    <row r="6" spans="1:8">
      <c r="A6" s="1" t="s">
        <v>28</v>
      </c>
      <c r="B6" s="1" t="s">
        <v>9</v>
      </c>
      <c r="C6" s="1" t="s">
        <v>29</v>
      </c>
      <c r="D6" s="1" t="s">
        <v>30</v>
      </c>
      <c r="E6" s="1" t="s">
        <v>11</v>
      </c>
      <c r="F6" s="1" t="s">
        <v>31</v>
      </c>
      <c r="G6" s="1" t="s">
        <v>32</v>
      </c>
      <c r="H6" s="1" t="s">
        <v>14</v>
      </c>
    </row>
    <row r="7" spans="1:8">
      <c r="A7" s="1" t="s">
        <v>33</v>
      </c>
      <c r="B7" s="1" t="s">
        <v>9</v>
      </c>
      <c r="C7" s="1" t="s">
        <v>34</v>
      </c>
      <c r="D7" s="1" t="s">
        <v>35</v>
      </c>
      <c r="E7" s="1" t="s">
        <v>11</v>
      </c>
      <c r="F7" s="1" t="s">
        <v>36</v>
      </c>
      <c r="G7" s="1" t="s">
        <v>37</v>
      </c>
      <c r="H7" s="1" t="s">
        <v>38</v>
      </c>
    </row>
    <row r="8" spans="1:8">
      <c r="A8" s="1" t="s">
        <v>39</v>
      </c>
      <c r="B8" s="1" t="s">
        <v>9</v>
      </c>
      <c r="C8" s="1" t="s">
        <v>40</v>
      </c>
      <c r="D8" s="1" t="s">
        <v>41</v>
      </c>
      <c r="E8" s="1" t="s">
        <v>11</v>
      </c>
      <c r="F8" s="1" t="s">
        <v>23</v>
      </c>
      <c r="G8" s="1" t="s">
        <v>42</v>
      </c>
      <c r="H8" s="1" t="s">
        <v>14</v>
      </c>
    </row>
    <row r="9" spans="1:8">
      <c r="A9" s="1" t="s">
        <v>43</v>
      </c>
      <c r="B9" s="1" t="s">
        <v>9</v>
      </c>
      <c r="C9" s="1" t="s">
        <v>44</v>
      </c>
      <c r="D9" s="1" t="s">
        <v>45</v>
      </c>
      <c r="E9" s="1" t="s">
        <v>11</v>
      </c>
      <c r="F9" s="1" t="s">
        <v>23</v>
      </c>
      <c r="G9" s="1" t="s">
        <v>46</v>
      </c>
      <c r="H9" s="1" t="s">
        <v>14</v>
      </c>
    </row>
    <row r="10" spans="1:8">
      <c r="A10" s="1" t="s">
        <v>47</v>
      </c>
      <c r="B10" s="1" t="s">
        <v>9</v>
      </c>
      <c r="C10" s="1" t="s">
        <v>48</v>
      </c>
      <c r="D10" s="1" t="s">
        <v>49</v>
      </c>
      <c r="E10" s="1" t="s">
        <v>11</v>
      </c>
      <c r="F10" s="1" t="s">
        <v>50</v>
      </c>
      <c r="G10" s="1" t="s">
        <v>51</v>
      </c>
      <c r="H10" s="1" t="s">
        <v>14</v>
      </c>
    </row>
    <row r="11" spans="1:8">
      <c r="A11" s="1" t="s">
        <v>52</v>
      </c>
      <c r="B11" s="1" t="s">
        <v>9</v>
      </c>
      <c r="C11" s="1" t="s">
        <v>53</v>
      </c>
      <c r="D11" s="1" t="s">
        <v>54</v>
      </c>
      <c r="E11" s="1" t="s">
        <v>11</v>
      </c>
      <c r="F11" s="1" t="s">
        <v>23</v>
      </c>
      <c r="G11" s="1" t="s">
        <v>55</v>
      </c>
      <c r="H11" s="1" t="s">
        <v>14</v>
      </c>
    </row>
    <row r="12" spans="1:8">
      <c r="A12" s="1" t="s">
        <v>56</v>
      </c>
      <c r="B12" s="1" t="s">
        <v>9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61</v>
      </c>
      <c r="H12" s="1" t="s">
        <v>14</v>
      </c>
    </row>
    <row r="13" spans="1:8">
      <c r="A13" s="1" t="s">
        <v>56</v>
      </c>
      <c r="B13" s="1" t="s">
        <v>9</v>
      </c>
      <c r="C13" s="1" t="s">
        <v>62</v>
      </c>
      <c r="D13" s="1" t="s">
        <v>63</v>
      </c>
      <c r="E13" s="1" t="s">
        <v>59</v>
      </c>
      <c r="F13" s="1" t="s">
        <v>60</v>
      </c>
      <c r="G13" s="1" t="s">
        <v>64</v>
      </c>
      <c r="H13" s="1" t="s">
        <v>14</v>
      </c>
    </row>
    <row r="14" spans="1:8">
      <c r="A14" s="1" t="s">
        <v>65</v>
      </c>
      <c r="B14" s="1" t="s">
        <v>9</v>
      </c>
      <c r="C14" s="1" t="s">
        <v>66</v>
      </c>
      <c r="D14" s="1" t="s">
        <v>67</v>
      </c>
      <c r="E14" s="1" t="s">
        <v>59</v>
      </c>
      <c r="F14" s="1" t="s">
        <v>68</v>
      </c>
      <c r="G14" s="1" t="s">
        <v>69</v>
      </c>
      <c r="H14" s="1" t="s">
        <v>70</v>
      </c>
    </row>
    <row r="15" spans="1:8">
      <c r="A15" s="1" t="s">
        <v>71</v>
      </c>
      <c r="B15" s="1" t="s">
        <v>9</v>
      </c>
      <c r="C15" s="1" t="s">
        <v>72</v>
      </c>
      <c r="D15" s="1" t="s">
        <v>73</v>
      </c>
      <c r="E15" s="1" t="s">
        <v>59</v>
      </c>
      <c r="F15" s="1" t="s">
        <v>23</v>
      </c>
      <c r="G15" s="1" t="s">
        <v>74</v>
      </c>
      <c r="H15" s="1" t="s">
        <v>14</v>
      </c>
    </row>
    <row r="16" spans="1:8">
      <c r="A16" s="1" t="s">
        <v>75</v>
      </c>
      <c r="B16" s="1" t="s">
        <v>9</v>
      </c>
      <c r="C16" s="1" t="s">
        <v>76</v>
      </c>
      <c r="D16" s="1" t="s">
        <v>77</v>
      </c>
      <c r="E16" s="1" t="s">
        <v>59</v>
      </c>
      <c r="F16" s="1" t="s">
        <v>78</v>
      </c>
      <c r="G16" s="1" t="s">
        <v>79</v>
      </c>
      <c r="H16" s="1" t="s">
        <v>80</v>
      </c>
    </row>
    <row r="17" spans="1:8">
      <c r="A17" s="1" t="s">
        <v>81</v>
      </c>
      <c r="B17" s="1" t="s">
        <v>9</v>
      </c>
      <c r="C17" s="1" t="s">
        <v>82</v>
      </c>
      <c r="D17" s="1" t="s">
        <v>83</v>
      </c>
      <c r="E17" s="1" t="s">
        <v>59</v>
      </c>
      <c r="F17" s="1" t="s">
        <v>68</v>
      </c>
      <c r="G17" s="1" t="s">
        <v>84</v>
      </c>
      <c r="H17" s="1" t="s">
        <v>70</v>
      </c>
    </row>
    <row r="18" spans="1:8">
      <c r="A18" s="1" t="s">
        <v>85</v>
      </c>
      <c r="B18" s="1" t="s">
        <v>9</v>
      </c>
      <c r="C18" s="1" t="s">
        <v>86</v>
      </c>
      <c r="D18" s="1" t="s">
        <v>87</v>
      </c>
      <c r="E18" s="1" t="s">
        <v>88</v>
      </c>
      <c r="F18" s="1" t="s">
        <v>85</v>
      </c>
      <c r="G18" s="1" t="s">
        <v>89</v>
      </c>
      <c r="H18" s="1" t="s">
        <v>14</v>
      </c>
    </row>
    <row r="19" spans="1:8">
      <c r="A19" s="1" t="s">
        <v>90</v>
      </c>
      <c r="B19" s="1" t="s">
        <v>9</v>
      </c>
      <c r="C19" s="1" t="s">
        <v>91</v>
      </c>
      <c r="D19" s="1" t="s">
        <v>92</v>
      </c>
      <c r="E19" s="1" t="s">
        <v>88</v>
      </c>
      <c r="F19" s="1" t="s">
        <v>93</v>
      </c>
      <c r="G19" s="1" t="s">
        <v>94</v>
      </c>
      <c r="H19" s="1" t="s">
        <v>14</v>
      </c>
    </row>
    <row r="20" spans="1:8">
      <c r="A20" s="1" t="s">
        <v>95</v>
      </c>
      <c r="B20" s="1" t="s">
        <v>9</v>
      </c>
      <c r="C20" s="1" t="s">
        <v>96</v>
      </c>
      <c r="D20" s="1" t="s">
        <v>97</v>
      </c>
      <c r="E20" s="1" t="s">
        <v>98</v>
      </c>
      <c r="F20" s="1" t="s">
        <v>99</v>
      </c>
      <c r="G20" s="1" t="s">
        <v>100</v>
      </c>
      <c r="H20" s="1" t="s">
        <v>101</v>
      </c>
    </row>
    <row r="21" spans="1:8">
      <c r="A21" s="1" t="s">
        <v>102</v>
      </c>
      <c r="B21" s="1" t="s">
        <v>9</v>
      </c>
      <c r="C21" s="1" t="s">
        <v>103</v>
      </c>
      <c r="D21" s="1" t="s">
        <v>104</v>
      </c>
      <c r="E21" s="1" t="s">
        <v>88</v>
      </c>
      <c r="F21" s="1" t="s">
        <v>85</v>
      </c>
      <c r="G21" s="1" t="s">
        <v>105</v>
      </c>
      <c r="H21" s="1" t="s">
        <v>14</v>
      </c>
    </row>
    <row r="22" spans="1:8">
      <c r="A22" s="1" t="s">
        <v>106</v>
      </c>
      <c r="B22" s="1" t="s">
        <v>9</v>
      </c>
      <c r="C22" s="1" t="s">
        <v>107</v>
      </c>
      <c r="D22" s="1" t="s">
        <v>108</v>
      </c>
      <c r="E22" s="1" t="s">
        <v>88</v>
      </c>
      <c r="F22" s="1" t="s">
        <v>31</v>
      </c>
      <c r="G22" s="1" t="s">
        <v>109</v>
      </c>
      <c r="H22" s="1" t="s">
        <v>14</v>
      </c>
    </row>
    <row r="23" spans="1:8">
      <c r="A23" s="1" t="s">
        <v>110</v>
      </c>
      <c r="B23" s="1" t="s">
        <v>9</v>
      </c>
      <c r="C23" s="1" t="s">
        <v>111</v>
      </c>
      <c r="D23" s="1" t="s">
        <v>112</v>
      </c>
      <c r="E23" s="1" t="s">
        <v>113</v>
      </c>
      <c r="F23" s="1" t="s">
        <v>114</v>
      </c>
      <c r="G23" s="1" t="s">
        <v>115</v>
      </c>
      <c r="H23" s="1" t="s">
        <v>116</v>
      </c>
    </row>
    <row r="24" spans="1:8">
      <c r="A24" s="1" t="s">
        <v>117</v>
      </c>
      <c r="B24" s="1" t="s">
        <v>9</v>
      </c>
      <c r="C24" s="1" t="s">
        <v>118</v>
      </c>
      <c r="D24" s="1" t="s">
        <v>119</v>
      </c>
      <c r="E24" s="1" t="s">
        <v>120</v>
      </c>
      <c r="F24" s="1" t="s">
        <v>23</v>
      </c>
      <c r="G24" s="1" t="s">
        <v>121</v>
      </c>
      <c r="H24" s="1" t="s">
        <v>14</v>
      </c>
    </row>
    <row r="25" spans="1:8">
      <c r="A25" s="1" t="s">
        <v>122</v>
      </c>
      <c r="B25" s="1" t="s">
        <v>9</v>
      </c>
      <c r="C25" s="1" t="s">
        <v>123</v>
      </c>
      <c r="D25" s="1" t="s">
        <v>124</v>
      </c>
      <c r="E25" s="1" t="s">
        <v>120</v>
      </c>
      <c r="F25" s="1" t="s">
        <v>125</v>
      </c>
      <c r="G25" s="1" t="s">
        <v>126</v>
      </c>
      <c r="H25" s="1" t="s">
        <v>127</v>
      </c>
    </row>
    <row r="26" spans="1:8">
      <c r="A26" s="1" t="s">
        <v>128</v>
      </c>
      <c r="B26" s="1" t="s">
        <v>9</v>
      </c>
      <c r="C26" s="1" t="s">
        <v>129</v>
      </c>
      <c r="D26" s="1" t="s">
        <v>130</v>
      </c>
      <c r="E26" s="1" t="s">
        <v>120</v>
      </c>
      <c r="F26" s="1" t="s">
        <v>125</v>
      </c>
      <c r="G26" s="1" t="s">
        <v>131</v>
      </c>
      <c r="H26" s="1" t="s">
        <v>127</v>
      </c>
    </row>
    <row r="27" spans="1:8">
      <c r="A27" s="1" t="s">
        <v>132</v>
      </c>
      <c r="B27" s="1" t="s">
        <v>9</v>
      </c>
      <c r="C27" s="1" t="s">
        <v>133</v>
      </c>
      <c r="D27" s="1" t="s">
        <v>134</v>
      </c>
      <c r="E27" s="1" t="s">
        <v>120</v>
      </c>
      <c r="F27" s="1" t="s">
        <v>135</v>
      </c>
      <c r="G27" s="1" t="s">
        <v>136</v>
      </c>
      <c r="H27" s="1" t="s">
        <v>137</v>
      </c>
    </row>
    <row r="28" spans="1:8">
      <c r="A28" s="1" t="s">
        <v>138</v>
      </c>
      <c r="B28" s="1" t="s">
        <v>9</v>
      </c>
      <c r="C28" s="1" t="s">
        <v>139</v>
      </c>
      <c r="D28" s="1" t="s">
        <v>140</v>
      </c>
      <c r="E28" s="1" t="s">
        <v>120</v>
      </c>
      <c r="F28" s="1" t="s">
        <v>141</v>
      </c>
      <c r="G28" s="1" t="s">
        <v>142</v>
      </c>
      <c r="H28" s="1" t="s">
        <v>143</v>
      </c>
    </row>
    <row r="29" spans="1:8">
      <c r="A29" s="1" t="s">
        <v>144</v>
      </c>
      <c r="B29" s="1" t="s">
        <v>9</v>
      </c>
      <c r="C29" s="1" t="s">
        <v>145</v>
      </c>
      <c r="D29" s="1" t="s">
        <v>140</v>
      </c>
      <c r="E29" s="1" t="s">
        <v>120</v>
      </c>
      <c r="F29" s="1" t="s">
        <v>146</v>
      </c>
      <c r="G29" s="1" t="s">
        <v>147</v>
      </c>
      <c r="H29" s="1" t="s">
        <v>148</v>
      </c>
    </row>
    <row r="30" spans="1:8">
      <c r="A30" s="1" t="s">
        <v>149</v>
      </c>
      <c r="B30" s="1" t="s">
        <v>9</v>
      </c>
      <c r="C30" s="1" t="s">
        <v>150</v>
      </c>
      <c r="D30" s="1" t="s">
        <v>140</v>
      </c>
      <c r="E30" s="1" t="s">
        <v>120</v>
      </c>
      <c r="F30" s="1" t="s">
        <v>23</v>
      </c>
      <c r="G30" s="1" t="s">
        <v>23</v>
      </c>
      <c r="H30" s="1" t="s">
        <v>14</v>
      </c>
    </row>
    <row r="31" spans="1:8">
      <c r="A31" s="1" t="s">
        <v>151</v>
      </c>
      <c r="B31" s="1" t="s">
        <v>9</v>
      </c>
      <c r="C31" s="1" t="s">
        <v>152</v>
      </c>
      <c r="D31" s="1" t="s">
        <v>153</v>
      </c>
      <c r="E31" s="1" t="s">
        <v>120</v>
      </c>
      <c r="F31" s="1" t="s">
        <v>23</v>
      </c>
      <c r="G31" s="1" t="s">
        <v>154</v>
      </c>
      <c r="H31" s="1" t="s">
        <v>14</v>
      </c>
    </row>
    <row r="32" spans="1:8">
      <c r="A32" s="1" t="s">
        <v>155</v>
      </c>
      <c r="B32" s="1" t="s">
        <v>9</v>
      </c>
      <c r="C32" s="1" t="s">
        <v>156</v>
      </c>
      <c r="D32" s="1" t="s">
        <v>157</v>
      </c>
      <c r="E32" s="1" t="s">
        <v>158</v>
      </c>
      <c r="F32" s="1" t="s">
        <v>23</v>
      </c>
      <c r="G32" s="1" t="s">
        <v>159</v>
      </c>
      <c r="H32" s="1" t="s">
        <v>14</v>
      </c>
    </row>
    <row r="33" spans="1:8">
      <c r="A33" s="1" t="s">
        <v>160</v>
      </c>
      <c r="B33" s="1" t="s">
        <v>9</v>
      </c>
      <c r="C33" s="1" t="s">
        <v>161</v>
      </c>
      <c r="D33" s="1" t="s">
        <v>88</v>
      </c>
      <c r="E33" s="1" t="s">
        <v>88</v>
      </c>
      <c r="F33" s="1" t="s">
        <v>162</v>
      </c>
      <c r="G33" s="1" t="s">
        <v>163</v>
      </c>
      <c r="H33" s="1" t="s">
        <v>164</v>
      </c>
    </row>
    <row r="34" spans="1:8">
      <c r="A34" s="1" t="s">
        <v>165</v>
      </c>
      <c r="B34" s="1" t="s">
        <v>9</v>
      </c>
      <c r="C34" s="1" t="s">
        <v>166</v>
      </c>
      <c r="D34" s="1" t="s">
        <v>167</v>
      </c>
      <c r="E34" s="1" t="s">
        <v>59</v>
      </c>
      <c r="F34" s="1" t="s">
        <v>168</v>
      </c>
      <c r="G34" s="1" t="s">
        <v>169</v>
      </c>
      <c r="H34" s="1" t="s">
        <v>170</v>
      </c>
    </row>
    <row r="35" spans="1:8">
      <c r="A35" s="1" t="s">
        <v>171</v>
      </c>
      <c r="B35" s="1" t="s">
        <v>9</v>
      </c>
      <c r="C35" s="1" t="s">
        <v>172</v>
      </c>
      <c r="D35" s="1" t="s">
        <v>173</v>
      </c>
      <c r="E35" s="1" t="s">
        <v>174</v>
      </c>
      <c r="F35" s="1" t="s">
        <v>175</v>
      </c>
      <c r="G35" s="1" t="s">
        <v>176</v>
      </c>
      <c r="H35" s="1" t="s">
        <v>177</v>
      </c>
    </row>
    <row r="36" spans="1:8">
      <c r="A36" s="1" t="s">
        <v>178</v>
      </c>
      <c r="B36" s="1" t="s">
        <v>9</v>
      </c>
      <c r="C36" s="1" t="s">
        <v>179</v>
      </c>
      <c r="D36" s="1" t="s">
        <v>174</v>
      </c>
      <c r="E36" s="1" t="s">
        <v>174</v>
      </c>
      <c r="F36" s="1" t="s">
        <v>180</v>
      </c>
      <c r="G36" s="1" t="s">
        <v>181</v>
      </c>
      <c r="H36" s="1" t="s">
        <v>182</v>
      </c>
    </row>
    <row r="37" spans="1:8">
      <c r="A37" s="1" t="s">
        <v>178</v>
      </c>
      <c r="B37" s="1" t="s">
        <v>9</v>
      </c>
      <c r="C37" s="1" t="s">
        <v>183</v>
      </c>
      <c r="D37" s="1" t="s">
        <v>184</v>
      </c>
      <c r="E37" s="1" t="s">
        <v>174</v>
      </c>
      <c r="F37" s="1" t="s">
        <v>180</v>
      </c>
      <c r="G37" s="1" t="s">
        <v>185</v>
      </c>
      <c r="H37" s="1" t="s">
        <v>182</v>
      </c>
    </row>
    <row r="38" spans="1:8">
      <c r="A38" s="1" t="s">
        <v>186</v>
      </c>
      <c r="B38" s="1" t="s">
        <v>9</v>
      </c>
      <c r="C38" s="1" t="s">
        <v>187</v>
      </c>
      <c r="D38" s="1" t="s">
        <v>188</v>
      </c>
      <c r="E38" s="1" t="s">
        <v>189</v>
      </c>
      <c r="F38" s="1" t="s">
        <v>190</v>
      </c>
      <c r="G38" s="1" t="s">
        <v>191</v>
      </c>
      <c r="H38" s="1" t="s">
        <v>192</v>
      </c>
    </row>
    <row r="39" spans="1:8">
      <c r="A39" s="1" t="s">
        <v>193</v>
      </c>
      <c r="B39" s="1" t="s">
        <v>9</v>
      </c>
      <c r="C39" s="1" t="s">
        <v>194</v>
      </c>
      <c r="D39" s="1" t="s">
        <v>195</v>
      </c>
      <c r="E39" s="1" t="s">
        <v>196</v>
      </c>
      <c r="F39" s="1" t="s">
        <v>197</v>
      </c>
      <c r="G39" s="1" t="s">
        <v>198</v>
      </c>
      <c r="H39" s="1" t="s">
        <v>199</v>
      </c>
    </row>
    <row r="40" spans="1:8">
      <c r="A40" s="1" t="s">
        <v>200</v>
      </c>
      <c r="B40" s="1" t="s">
        <v>9</v>
      </c>
      <c r="C40" s="1" t="s">
        <v>201</v>
      </c>
      <c r="D40" s="1" t="s">
        <v>202</v>
      </c>
      <c r="E40" s="1" t="s">
        <v>202</v>
      </c>
      <c r="F40" s="1" t="s">
        <v>203</v>
      </c>
      <c r="G40" s="1" t="s">
        <v>204</v>
      </c>
      <c r="H40" s="1" t="s">
        <v>14</v>
      </c>
    </row>
    <row r="41" spans="1:8">
      <c r="A41" s="1" t="s">
        <v>205</v>
      </c>
      <c r="B41" s="1" t="s">
        <v>9</v>
      </c>
      <c r="C41" s="1" t="s">
        <v>206</v>
      </c>
      <c r="D41" s="1" t="s">
        <v>202</v>
      </c>
      <c r="E41" s="1" t="s">
        <v>202</v>
      </c>
      <c r="F41" s="1" t="s">
        <v>23</v>
      </c>
      <c r="G41" s="1" t="s">
        <v>23</v>
      </c>
      <c r="H41" s="1" t="s">
        <v>14</v>
      </c>
    </row>
    <row r="42" spans="1:8">
      <c r="A42" s="1" t="s">
        <v>207</v>
      </c>
      <c r="B42" s="1" t="s">
        <v>9</v>
      </c>
      <c r="C42" s="1" t="s">
        <v>208</v>
      </c>
      <c r="D42" s="1" t="s">
        <v>209</v>
      </c>
      <c r="E42" s="1" t="s">
        <v>202</v>
      </c>
      <c r="F42" s="1" t="s">
        <v>210</v>
      </c>
      <c r="G42" s="1" t="s">
        <v>211</v>
      </c>
      <c r="H42" s="1" t="s">
        <v>212</v>
      </c>
    </row>
    <row r="43" spans="1:8">
      <c r="A43" s="1" t="s">
        <v>213</v>
      </c>
      <c r="B43" s="1" t="s">
        <v>9</v>
      </c>
      <c r="C43" s="1" t="s">
        <v>214</v>
      </c>
      <c r="D43" s="1" t="s">
        <v>215</v>
      </c>
      <c r="E43" s="1" t="s">
        <v>202</v>
      </c>
      <c r="F43" s="1" t="s">
        <v>216</v>
      </c>
      <c r="G43" s="1" t="s">
        <v>217</v>
      </c>
      <c r="H43" s="1" t="s">
        <v>14</v>
      </c>
    </row>
    <row r="44" spans="1:8">
      <c r="A44" s="1" t="s">
        <v>218</v>
      </c>
      <c r="B44" s="1" t="s">
        <v>9</v>
      </c>
      <c r="C44" s="1" t="s">
        <v>219</v>
      </c>
      <c r="D44" s="1" t="s">
        <v>220</v>
      </c>
      <c r="E44" s="1" t="s">
        <v>202</v>
      </c>
      <c r="F44" s="1" t="s">
        <v>23</v>
      </c>
      <c r="G44" s="1" t="s">
        <v>221</v>
      </c>
      <c r="H44" s="1" t="s">
        <v>14</v>
      </c>
    </row>
    <row r="45" spans="1:8">
      <c r="A45" s="1" t="s">
        <v>222</v>
      </c>
      <c r="B45" s="1" t="s">
        <v>9</v>
      </c>
      <c r="C45" s="1" t="s">
        <v>223</v>
      </c>
      <c r="D45" s="1" t="s">
        <v>224</v>
      </c>
      <c r="E45" s="1" t="s">
        <v>59</v>
      </c>
      <c r="F45" s="1" t="s">
        <v>31</v>
      </c>
      <c r="G45" s="1" t="s">
        <v>225</v>
      </c>
      <c r="H45" s="1" t="s">
        <v>14</v>
      </c>
    </row>
    <row r="46" spans="1:8">
      <c r="A46" s="1" t="s">
        <v>226</v>
      </c>
      <c r="B46" s="1" t="s">
        <v>9</v>
      </c>
      <c r="C46" s="1" t="s">
        <v>227</v>
      </c>
      <c r="D46" s="1" t="s">
        <v>220</v>
      </c>
      <c r="E46" s="1" t="s">
        <v>202</v>
      </c>
      <c r="F46" s="1" t="s">
        <v>228</v>
      </c>
      <c r="G46" s="1" t="s">
        <v>229</v>
      </c>
      <c r="H46" s="1" t="s">
        <v>230</v>
      </c>
    </row>
    <row r="47" spans="1:8">
      <c r="A47" s="1" t="s">
        <v>231</v>
      </c>
      <c r="B47" s="1" t="s">
        <v>9</v>
      </c>
      <c r="C47" s="1" t="s">
        <v>232</v>
      </c>
      <c r="D47" s="1" t="s">
        <v>224</v>
      </c>
      <c r="E47" s="1" t="s">
        <v>59</v>
      </c>
      <c r="F47" s="1" t="s">
        <v>233</v>
      </c>
      <c r="G47" s="1" t="s">
        <v>234</v>
      </c>
      <c r="H47" s="1" t="s">
        <v>235</v>
      </c>
    </row>
    <row r="48" spans="1:8">
      <c r="A48" s="1" t="s">
        <v>236</v>
      </c>
      <c r="B48" s="1" t="s">
        <v>9</v>
      </c>
      <c r="C48" s="1" t="s">
        <v>237</v>
      </c>
      <c r="D48" s="1" t="s">
        <v>238</v>
      </c>
      <c r="E48" s="1" t="s">
        <v>158</v>
      </c>
      <c r="F48" s="1" t="s">
        <v>23</v>
      </c>
      <c r="G48" s="1" t="s">
        <v>239</v>
      </c>
      <c r="H48" s="1" t="s">
        <v>14</v>
      </c>
    </row>
    <row r="49" spans="1:8">
      <c r="A49" s="1" t="s">
        <v>240</v>
      </c>
      <c r="B49" s="1" t="s">
        <v>9</v>
      </c>
      <c r="C49" s="1" t="s">
        <v>241</v>
      </c>
      <c r="D49" s="1" t="s">
        <v>242</v>
      </c>
      <c r="E49" s="1" t="s">
        <v>113</v>
      </c>
      <c r="F49" s="1" t="s">
        <v>243</v>
      </c>
      <c r="G49" s="1" t="s">
        <v>244</v>
      </c>
      <c r="H49" s="1" t="s">
        <v>245</v>
      </c>
    </row>
    <row r="50" spans="1:8">
      <c r="A50" s="1" t="s">
        <v>246</v>
      </c>
      <c r="B50" s="1" t="s">
        <v>9</v>
      </c>
      <c r="C50" s="1" t="s">
        <v>247</v>
      </c>
      <c r="D50" s="1" t="s">
        <v>248</v>
      </c>
      <c r="E50" s="1" t="s">
        <v>88</v>
      </c>
      <c r="F50" s="1" t="s">
        <v>249</v>
      </c>
      <c r="G50" s="1" t="s">
        <v>250</v>
      </c>
      <c r="H50" s="1" t="s">
        <v>251</v>
      </c>
    </row>
    <row r="51" spans="1:8">
      <c r="A51" s="1" t="s">
        <v>252</v>
      </c>
      <c r="B51" s="1" t="s">
        <v>9</v>
      </c>
      <c r="C51" s="1" t="s">
        <v>253</v>
      </c>
      <c r="D51" s="1" t="s">
        <v>254</v>
      </c>
      <c r="E51" s="1" t="s">
        <v>255</v>
      </c>
      <c r="F51" s="1" t="s">
        <v>256</v>
      </c>
      <c r="G51" s="1" t="s">
        <v>257</v>
      </c>
      <c r="H51" s="1" t="s">
        <v>258</v>
      </c>
    </row>
    <row r="52" spans="1:8">
      <c r="A52" s="1" t="s">
        <v>259</v>
      </c>
      <c r="B52" s="1" t="s">
        <v>9</v>
      </c>
      <c r="C52" s="1" t="s">
        <v>260</v>
      </c>
      <c r="D52" s="1" t="s">
        <v>254</v>
      </c>
      <c r="E52" s="1" t="s">
        <v>255</v>
      </c>
      <c r="F52" s="1" t="s">
        <v>261</v>
      </c>
      <c r="G52" s="1" t="s">
        <v>262</v>
      </c>
      <c r="H52" s="1" t="s">
        <v>263</v>
      </c>
    </row>
    <row r="53" spans="1:8">
      <c r="A53" s="1" t="s">
        <v>264</v>
      </c>
      <c r="B53" s="1" t="s">
        <v>9</v>
      </c>
      <c r="C53" s="1" t="s">
        <v>265</v>
      </c>
      <c r="D53" s="1" t="s">
        <v>266</v>
      </c>
      <c r="E53" s="1" t="s">
        <v>255</v>
      </c>
      <c r="F53" s="1" t="s">
        <v>267</v>
      </c>
      <c r="G53" s="1" t="s">
        <v>268</v>
      </c>
      <c r="H53" s="1" t="s">
        <v>269</v>
      </c>
    </row>
    <row r="54" spans="1:8">
      <c r="A54" s="1" t="s">
        <v>270</v>
      </c>
      <c r="B54" s="1" t="s">
        <v>9</v>
      </c>
      <c r="C54" s="1" t="s">
        <v>271</v>
      </c>
      <c r="D54" s="1" t="s">
        <v>272</v>
      </c>
      <c r="E54" s="1" t="s">
        <v>59</v>
      </c>
      <c r="F54" s="1" t="s">
        <v>273</v>
      </c>
      <c r="G54" s="1" t="s">
        <v>274</v>
      </c>
      <c r="H54" s="1" t="s">
        <v>14</v>
      </c>
    </row>
    <row r="55" spans="1:8">
      <c r="A55" s="1" t="s">
        <v>275</v>
      </c>
      <c r="B55" s="1" t="s">
        <v>9</v>
      </c>
      <c r="C55" s="1" t="s">
        <v>276</v>
      </c>
      <c r="D55" s="1" t="s">
        <v>254</v>
      </c>
      <c r="E55" s="1" t="s">
        <v>255</v>
      </c>
      <c r="F55" s="1" t="s">
        <v>23</v>
      </c>
      <c r="G55" s="1" t="s">
        <v>23</v>
      </c>
      <c r="H55" s="1" t="s">
        <v>14</v>
      </c>
    </row>
    <row r="56" spans="1:8">
      <c r="A56" s="1" t="s">
        <v>277</v>
      </c>
      <c r="B56" s="1" t="s">
        <v>9</v>
      </c>
      <c r="C56" s="1" t="s">
        <v>278</v>
      </c>
      <c r="D56" s="1" t="s">
        <v>266</v>
      </c>
      <c r="E56" s="1" t="s">
        <v>255</v>
      </c>
      <c r="F56" s="1" t="s">
        <v>279</v>
      </c>
      <c r="G56" s="1" t="s">
        <v>280</v>
      </c>
      <c r="H56" s="1" t="s">
        <v>14</v>
      </c>
    </row>
    <row r="57" spans="1:8">
      <c r="A57" s="1" t="s">
        <v>281</v>
      </c>
      <c r="B57" s="1" t="s">
        <v>9</v>
      </c>
      <c r="C57" s="1" t="s">
        <v>282</v>
      </c>
      <c r="D57" s="1" t="s">
        <v>283</v>
      </c>
      <c r="E57" s="1" t="s">
        <v>255</v>
      </c>
      <c r="F57" s="1" t="s">
        <v>284</v>
      </c>
      <c r="G57" s="1" t="s">
        <v>285</v>
      </c>
      <c r="H57" s="1" t="s">
        <v>286</v>
      </c>
    </row>
    <row r="58" spans="1:8">
      <c r="A58" s="1" t="s">
        <v>287</v>
      </c>
      <c r="B58" s="1" t="s">
        <v>9</v>
      </c>
      <c r="C58" s="1" t="s">
        <v>288</v>
      </c>
      <c r="D58" s="1" t="s">
        <v>289</v>
      </c>
      <c r="E58" s="1" t="s">
        <v>255</v>
      </c>
      <c r="F58" s="1" t="s">
        <v>290</v>
      </c>
      <c r="G58" s="1" t="s">
        <v>291</v>
      </c>
      <c r="H58" s="1" t="s">
        <v>292</v>
      </c>
    </row>
    <row r="59" spans="1:8">
      <c r="A59" s="1" t="s">
        <v>293</v>
      </c>
      <c r="B59" s="1" t="s">
        <v>9</v>
      </c>
      <c r="C59" s="1" t="s">
        <v>294</v>
      </c>
      <c r="D59" s="1" t="s">
        <v>295</v>
      </c>
      <c r="E59" s="1" t="s">
        <v>59</v>
      </c>
      <c r="F59" s="1" t="s">
        <v>23</v>
      </c>
      <c r="G59" s="1" t="s">
        <v>296</v>
      </c>
      <c r="H59" s="1" t="s">
        <v>14</v>
      </c>
    </row>
    <row r="60" spans="1:8">
      <c r="A60" s="1" t="s">
        <v>297</v>
      </c>
      <c r="B60" s="1" t="s">
        <v>9</v>
      </c>
      <c r="C60" s="1" t="s">
        <v>298</v>
      </c>
      <c r="D60" s="1" t="s">
        <v>299</v>
      </c>
      <c r="E60" s="1" t="s">
        <v>59</v>
      </c>
      <c r="F60" s="1" t="s">
        <v>300</v>
      </c>
      <c r="G60" s="1" t="s">
        <v>301</v>
      </c>
      <c r="H60" s="1" t="s">
        <v>302</v>
      </c>
    </row>
    <row r="61" spans="1:8">
      <c r="A61" s="1" t="s">
        <v>303</v>
      </c>
      <c r="B61" s="1" t="s">
        <v>9</v>
      </c>
      <c r="C61" s="1" t="s">
        <v>304</v>
      </c>
      <c r="D61" s="1" t="s">
        <v>305</v>
      </c>
      <c r="E61" s="1" t="s">
        <v>306</v>
      </c>
      <c r="F61" s="1" t="s">
        <v>307</v>
      </c>
      <c r="G61" s="1" t="s">
        <v>308</v>
      </c>
      <c r="H61" s="1" t="s">
        <v>309</v>
      </c>
    </row>
    <row r="62" spans="1:8">
      <c r="A62" s="1" t="s">
        <v>310</v>
      </c>
      <c r="B62" s="1" t="s">
        <v>9</v>
      </c>
      <c r="C62" s="1" t="s">
        <v>311</v>
      </c>
      <c r="D62" s="1" t="s">
        <v>88</v>
      </c>
      <c r="E62" s="1" t="s">
        <v>88</v>
      </c>
      <c r="F62" s="1" t="s">
        <v>312</v>
      </c>
      <c r="G62" s="1" t="s">
        <v>313</v>
      </c>
      <c r="H62" s="1" t="s">
        <v>14</v>
      </c>
    </row>
    <row r="63" spans="1:8">
      <c r="A63" s="1" t="s">
        <v>314</v>
      </c>
      <c r="B63" s="1" t="s">
        <v>9</v>
      </c>
      <c r="C63" s="1" t="s">
        <v>315</v>
      </c>
      <c r="D63" s="1" t="s">
        <v>88</v>
      </c>
      <c r="E63" s="1" t="s">
        <v>88</v>
      </c>
      <c r="F63" s="1" t="s">
        <v>312</v>
      </c>
      <c r="G63" s="1" t="s">
        <v>313</v>
      </c>
      <c r="H63" s="1" t="s">
        <v>14</v>
      </c>
    </row>
    <row r="64" spans="1:8">
      <c r="A64" s="1" t="s">
        <v>316</v>
      </c>
      <c r="B64" s="1" t="s">
        <v>9</v>
      </c>
      <c r="C64" s="1" t="s">
        <v>317</v>
      </c>
      <c r="D64" s="1" t="s">
        <v>88</v>
      </c>
      <c r="E64" s="1" t="s">
        <v>88</v>
      </c>
      <c r="F64" s="1" t="s">
        <v>318</v>
      </c>
      <c r="G64" s="1" t="s">
        <v>319</v>
      </c>
      <c r="H64" s="1" t="s">
        <v>320</v>
      </c>
    </row>
    <row r="65" spans="1:8">
      <c r="A65" s="1" t="s">
        <v>321</v>
      </c>
      <c r="B65" s="1" t="s">
        <v>9</v>
      </c>
      <c r="C65" s="1" t="s">
        <v>322</v>
      </c>
      <c r="D65" s="1" t="s">
        <v>88</v>
      </c>
      <c r="E65" s="1" t="s">
        <v>88</v>
      </c>
      <c r="F65" s="1" t="s">
        <v>93</v>
      </c>
      <c r="G65" s="1" t="s">
        <v>323</v>
      </c>
      <c r="H65" s="1" t="s">
        <v>14</v>
      </c>
    </row>
    <row r="66" spans="1:8">
      <c r="A66" s="1" t="s">
        <v>324</v>
      </c>
      <c r="B66" s="1" t="s">
        <v>9</v>
      </c>
      <c r="C66" s="1" t="s">
        <v>325</v>
      </c>
      <c r="D66" s="1" t="s">
        <v>88</v>
      </c>
      <c r="E66" s="1" t="s">
        <v>88</v>
      </c>
      <c r="F66" s="1" t="s">
        <v>326</v>
      </c>
      <c r="G66" s="1" t="s">
        <v>327</v>
      </c>
      <c r="H66" s="1" t="s">
        <v>328</v>
      </c>
    </row>
    <row r="67" spans="1:8">
      <c r="A67" s="1" t="s">
        <v>329</v>
      </c>
      <c r="B67" s="1" t="s">
        <v>9</v>
      </c>
      <c r="C67" s="1" t="s">
        <v>330</v>
      </c>
      <c r="D67" s="1" t="s">
        <v>88</v>
      </c>
      <c r="E67" s="1" t="s">
        <v>88</v>
      </c>
      <c r="F67" s="1" t="s">
        <v>23</v>
      </c>
      <c r="G67" s="1" t="s">
        <v>331</v>
      </c>
      <c r="H67" s="1" t="s">
        <v>14</v>
      </c>
    </row>
    <row r="68" spans="1:8">
      <c r="A68" s="1" t="s">
        <v>332</v>
      </c>
      <c r="B68" s="1" t="s">
        <v>9</v>
      </c>
      <c r="C68" s="1" t="s">
        <v>333</v>
      </c>
      <c r="D68" s="1" t="s">
        <v>88</v>
      </c>
      <c r="E68" s="1" t="s">
        <v>88</v>
      </c>
      <c r="F68" s="1" t="s">
        <v>334</v>
      </c>
      <c r="G68" s="1" t="s">
        <v>335</v>
      </c>
      <c r="H68" s="1" t="s">
        <v>336</v>
      </c>
    </row>
    <row r="69" spans="1:8">
      <c r="A69" s="1" t="s">
        <v>337</v>
      </c>
      <c r="B69" s="1" t="s">
        <v>9</v>
      </c>
      <c r="C69" s="1" t="s">
        <v>338</v>
      </c>
      <c r="D69" s="1" t="s">
        <v>88</v>
      </c>
      <c r="E69" s="1" t="s">
        <v>88</v>
      </c>
      <c r="F69" s="1" t="s">
        <v>339</v>
      </c>
      <c r="G69" s="1" t="s">
        <v>340</v>
      </c>
      <c r="H69" s="1" t="s">
        <v>14</v>
      </c>
    </row>
    <row r="70" spans="1:8">
      <c r="A70" s="1" t="s">
        <v>341</v>
      </c>
      <c r="B70" s="1" t="s">
        <v>9</v>
      </c>
      <c r="C70" s="1" t="s">
        <v>342</v>
      </c>
      <c r="D70" s="1" t="s">
        <v>343</v>
      </c>
      <c r="E70" s="1" t="s">
        <v>88</v>
      </c>
      <c r="F70" s="1" t="s">
        <v>23</v>
      </c>
      <c r="G70" s="1" t="s">
        <v>23</v>
      </c>
      <c r="H70" s="1" t="s">
        <v>14</v>
      </c>
    </row>
    <row r="71" spans="1:8">
      <c r="A71" s="1" t="s">
        <v>344</v>
      </c>
      <c r="B71" s="1" t="s">
        <v>9</v>
      </c>
      <c r="C71" s="1" t="s">
        <v>345</v>
      </c>
      <c r="D71" s="1" t="s">
        <v>346</v>
      </c>
      <c r="E71" s="1" t="s">
        <v>88</v>
      </c>
      <c r="F71" s="1" t="s">
        <v>23</v>
      </c>
      <c r="G71" s="1" t="s">
        <v>347</v>
      </c>
      <c r="H71" s="1" t="s">
        <v>14</v>
      </c>
    </row>
    <row r="72" spans="1:8">
      <c r="A72" s="1" t="s">
        <v>348</v>
      </c>
      <c r="B72" s="1" t="s">
        <v>9</v>
      </c>
      <c r="C72" s="1" t="s">
        <v>349</v>
      </c>
      <c r="D72" s="1" t="s">
        <v>350</v>
      </c>
      <c r="E72" s="1" t="s">
        <v>88</v>
      </c>
      <c r="F72" s="1" t="s">
        <v>348</v>
      </c>
      <c r="G72" s="1" t="s">
        <v>351</v>
      </c>
      <c r="H72" s="1" t="s">
        <v>14</v>
      </c>
    </row>
    <row r="73" spans="1:8">
      <c r="A73" s="1" t="s">
        <v>352</v>
      </c>
      <c r="B73" s="1" t="s">
        <v>9</v>
      </c>
      <c r="C73" s="1" t="s">
        <v>353</v>
      </c>
      <c r="D73" s="1" t="s">
        <v>350</v>
      </c>
      <c r="E73" s="1" t="s">
        <v>88</v>
      </c>
      <c r="F73" s="1" t="s">
        <v>354</v>
      </c>
      <c r="G73" s="1" t="s">
        <v>355</v>
      </c>
      <c r="H73" s="1" t="s">
        <v>356</v>
      </c>
    </row>
    <row r="74" spans="1:8">
      <c r="A74" s="1" t="s">
        <v>357</v>
      </c>
      <c r="B74" s="1" t="s">
        <v>9</v>
      </c>
      <c r="C74" s="1" t="s">
        <v>358</v>
      </c>
      <c r="D74" s="1" t="s">
        <v>346</v>
      </c>
      <c r="E74" s="1" t="s">
        <v>88</v>
      </c>
      <c r="F74" s="1" t="s">
        <v>359</v>
      </c>
      <c r="G74" s="1" t="s">
        <v>360</v>
      </c>
      <c r="H74" s="1" t="s">
        <v>361</v>
      </c>
    </row>
    <row r="75" spans="1:8">
      <c r="A75" s="1" t="s">
        <v>362</v>
      </c>
      <c r="B75" s="1" t="s">
        <v>9</v>
      </c>
      <c r="C75" s="1" t="s">
        <v>363</v>
      </c>
      <c r="D75" s="1" t="s">
        <v>364</v>
      </c>
      <c r="E75" s="1" t="s">
        <v>88</v>
      </c>
      <c r="F75" s="1" t="s">
        <v>365</v>
      </c>
      <c r="G75" s="1" t="s">
        <v>366</v>
      </c>
      <c r="H75" s="1" t="s">
        <v>367</v>
      </c>
    </row>
    <row r="76" spans="1:8">
      <c r="A76" s="1" t="s">
        <v>368</v>
      </c>
      <c r="B76" s="1" t="s">
        <v>9</v>
      </c>
      <c r="C76" s="1" t="s">
        <v>369</v>
      </c>
      <c r="D76" s="1" t="s">
        <v>108</v>
      </c>
      <c r="E76" s="1" t="s">
        <v>88</v>
      </c>
      <c r="F76" s="1" t="s">
        <v>370</v>
      </c>
      <c r="G76" s="1" t="s">
        <v>371</v>
      </c>
      <c r="H76" s="1" t="s">
        <v>372</v>
      </c>
    </row>
    <row r="77" spans="1:8">
      <c r="A77" s="1" t="s">
        <v>373</v>
      </c>
      <c r="B77" s="1" t="s">
        <v>9</v>
      </c>
      <c r="C77" s="1" t="s">
        <v>374</v>
      </c>
      <c r="D77" s="1" t="s">
        <v>248</v>
      </c>
      <c r="E77" s="1" t="s">
        <v>88</v>
      </c>
      <c r="F77" s="1" t="s">
        <v>249</v>
      </c>
      <c r="G77" s="1" t="s">
        <v>250</v>
      </c>
      <c r="H77" s="1" t="s">
        <v>251</v>
      </c>
    </row>
    <row r="78" spans="1:8">
      <c r="A78" s="1" t="s">
        <v>375</v>
      </c>
      <c r="B78" s="1" t="s">
        <v>9</v>
      </c>
      <c r="C78" s="1" t="s">
        <v>376</v>
      </c>
      <c r="D78" s="1" t="s">
        <v>248</v>
      </c>
      <c r="E78" s="1" t="s">
        <v>88</v>
      </c>
      <c r="F78" s="1" t="s">
        <v>249</v>
      </c>
      <c r="G78" s="1" t="s">
        <v>250</v>
      </c>
      <c r="H78" s="1" t="s">
        <v>251</v>
      </c>
    </row>
    <row r="79" spans="1:8">
      <c r="A79" s="1" t="s">
        <v>377</v>
      </c>
      <c r="B79" s="1" t="s">
        <v>9</v>
      </c>
      <c r="C79" s="1" t="s">
        <v>378</v>
      </c>
      <c r="D79" s="1" t="s">
        <v>113</v>
      </c>
      <c r="E79" s="1" t="s">
        <v>113</v>
      </c>
      <c r="F79" s="1" t="s">
        <v>379</v>
      </c>
      <c r="G79" s="1" t="s">
        <v>380</v>
      </c>
      <c r="H79" s="1" t="s">
        <v>14</v>
      </c>
    </row>
    <row r="80" spans="1:8">
      <c r="A80" s="1" t="s">
        <v>381</v>
      </c>
      <c r="B80" s="1" t="s">
        <v>9</v>
      </c>
      <c r="C80" s="1" t="s">
        <v>382</v>
      </c>
      <c r="D80" s="1" t="s">
        <v>383</v>
      </c>
      <c r="E80" s="1" t="s">
        <v>113</v>
      </c>
      <c r="F80" s="1" t="s">
        <v>384</v>
      </c>
      <c r="G80" s="1" t="s">
        <v>385</v>
      </c>
      <c r="H80" s="1" t="s">
        <v>386</v>
      </c>
    </row>
    <row r="81" spans="1:8">
      <c r="A81" s="1" t="s">
        <v>387</v>
      </c>
      <c r="B81" s="1" t="s">
        <v>9</v>
      </c>
      <c r="C81" s="1" t="s">
        <v>388</v>
      </c>
      <c r="D81" s="1" t="s">
        <v>383</v>
      </c>
      <c r="E81" s="1" t="s">
        <v>113</v>
      </c>
      <c r="F81" s="1" t="s">
        <v>389</v>
      </c>
      <c r="G81" s="1" t="s">
        <v>390</v>
      </c>
      <c r="H81" s="1" t="s">
        <v>14</v>
      </c>
    </row>
    <row r="82" spans="1:8">
      <c r="A82" s="1" t="s">
        <v>391</v>
      </c>
      <c r="B82" s="1" t="s">
        <v>9</v>
      </c>
      <c r="C82" s="1" t="s">
        <v>392</v>
      </c>
      <c r="D82" s="1" t="s">
        <v>383</v>
      </c>
      <c r="E82" s="1" t="s">
        <v>113</v>
      </c>
      <c r="F82" s="1" t="s">
        <v>23</v>
      </c>
      <c r="G82" s="1" t="s">
        <v>393</v>
      </c>
      <c r="H82" s="1" t="s">
        <v>14</v>
      </c>
    </row>
    <row r="83" spans="1:8">
      <c r="A83" s="1" t="s">
        <v>394</v>
      </c>
      <c r="B83" s="1" t="s">
        <v>9</v>
      </c>
      <c r="C83" s="1" t="s">
        <v>395</v>
      </c>
      <c r="D83" s="1" t="s">
        <v>396</v>
      </c>
      <c r="E83" s="1" t="s">
        <v>113</v>
      </c>
      <c r="F83" s="1" t="s">
        <v>397</v>
      </c>
      <c r="G83" s="1" t="s">
        <v>398</v>
      </c>
      <c r="H83" s="1" t="s">
        <v>14</v>
      </c>
    </row>
    <row r="84" spans="1:8">
      <c r="A84" s="1" t="s">
        <v>399</v>
      </c>
      <c r="B84" s="1" t="s">
        <v>9</v>
      </c>
      <c r="C84" s="1" t="s">
        <v>400</v>
      </c>
      <c r="D84" s="1" t="s">
        <v>383</v>
      </c>
      <c r="E84" s="1" t="s">
        <v>113</v>
      </c>
      <c r="F84" s="1" t="s">
        <v>401</v>
      </c>
      <c r="G84" s="1" t="s">
        <v>402</v>
      </c>
      <c r="H84" s="1" t="s">
        <v>403</v>
      </c>
    </row>
    <row r="85" spans="1:8">
      <c r="A85" s="1" t="s">
        <v>387</v>
      </c>
      <c r="B85" s="1" t="s">
        <v>9</v>
      </c>
      <c r="C85" s="1" t="s">
        <v>404</v>
      </c>
      <c r="D85" s="1" t="s">
        <v>405</v>
      </c>
      <c r="E85" s="1" t="s">
        <v>113</v>
      </c>
      <c r="F85" s="1" t="s">
        <v>389</v>
      </c>
      <c r="G85" s="1" t="s">
        <v>406</v>
      </c>
      <c r="H85" s="1" t="s">
        <v>14</v>
      </c>
    </row>
    <row r="86" spans="1:8">
      <c r="A86" s="1" t="s">
        <v>407</v>
      </c>
      <c r="B86" s="1" t="s">
        <v>9</v>
      </c>
      <c r="C86" s="1" t="s">
        <v>408</v>
      </c>
      <c r="D86" s="1" t="s">
        <v>409</v>
      </c>
      <c r="E86" s="1" t="s">
        <v>113</v>
      </c>
      <c r="F86" s="1" t="s">
        <v>23</v>
      </c>
      <c r="G86" s="1" t="s">
        <v>410</v>
      </c>
      <c r="H86" s="1" t="s">
        <v>14</v>
      </c>
    </row>
    <row r="87" spans="1:8">
      <c r="A87" s="1" t="s">
        <v>411</v>
      </c>
      <c r="B87" s="1" t="s">
        <v>9</v>
      </c>
      <c r="C87" s="1" t="s">
        <v>412</v>
      </c>
      <c r="D87" s="1" t="s">
        <v>413</v>
      </c>
      <c r="E87" s="1" t="s">
        <v>113</v>
      </c>
      <c r="F87" s="1" t="s">
        <v>414</v>
      </c>
      <c r="G87" s="1" t="s">
        <v>415</v>
      </c>
      <c r="H87" s="1" t="s">
        <v>416</v>
      </c>
    </row>
    <row r="88" spans="1:8">
      <c r="A88" s="1" t="s">
        <v>417</v>
      </c>
      <c r="B88" s="1" t="s">
        <v>9</v>
      </c>
      <c r="C88" s="1" t="s">
        <v>418</v>
      </c>
      <c r="D88" s="1" t="s">
        <v>413</v>
      </c>
      <c r="E88" s="1" t="s">
        <v>113</v>
      </c>
      <c r="F88" s="1" t="s">
        <v>419</v>
      </c>
      <c r="G88" s="1" t="s">
        <v>420</v>
      </c>
      <c r="H88" s="1" t="s">
        <v>14</v>
      </c>
    </row>
    <row r="89" spans="1:8">
      <c r="A89" s="1" t="s">
        <v>421</v>
      </c>
      <c r="B89" s="1" t="s">
        <v>9</v>
      </c>
      <c r="C89" s="1" t="s">
        <v>422</v>
      </c>
      <c r="D89" s="1" t="s">
        <v>423</v>
      </c>
      <c r="E89" s="1" t="s">
        <v>113</v>
      </c>
      <c r="F89" s="1" t="s">
        <v>23</v>
      </c>
      <c r="G89" s="1" t="s">
        <v>424</v>
      </c>
      <c r="H89" s="1" t="s">
        <v>14</v>
      </c>
    </row>
    <row r="90" spans="1:8">
      <c r="A90" s="1" t="s">
        <v>425</v>
      </c>
      <c r="B90" s="1" t="s">
        <v>9</v>
      </c>
      <c r="C90" s="1" t="s">
        <v>426</v>
      </c>
      <c r="D90" s="1" t="s">
        <v>427</v>
      </c>
      <c r="E90" s="1" t="s">
        <v>427</v>
      </c>
      <c r="F90" s="1" t="s">
        <v>428</v>
      </c>
      <c r="G90" s="1" t="s">
        <v>429</v>
      </c>
      <c r="H90" s="1" t="s">
        <v>14</v>
      </c>
    </row>
    <row r="91" spans="1:8">
      <c r="A91" s="1" t="s">
        <v>430</v>
      </c>
      <c r="B91" s="1" t="s">
        <v>9</v>
      </c>
      <c r="C91" s="1" t="s">
        <v>431</v>
      </c>
      <c r="D91" s="1" t="s">
        <v>427</v>
      </c>
      <c r="E91" s="1" t="s">
        <v>427</v>
      </c>
      <c r="F91" s="1" t="s">
        <v>23</v>
      </c>
      <c r="G91" s="1" t="s">
        <v>432</v>
      </c>
      <c r="H91" s="1" t="s">
        <v>14</v>
      </c>
    </row>
    <row r="92" spans="1:8">
      <c r="A92" s="1" t="s">
        <v>433</v>
      </c>
      <c r="B92" s="1" t="s">
        <v>9</v>
      </c>
      <c r="C92" s="1" t="s">
        <v>434</v>
      </c>
      <c r="D92" s="1" t="s">
        <v>435</v>
      </c>
      <c r="E92" s="1" t="s">
        <v>427</v>
      </c>
      <c r="F92" s="1" t="s">
        <v>436</v>
      </c>
      <c r="G92" s="1" t="s">
        <v>437</v>
      </c>
      <c r="H92" s="1" t="s">
        <v>14</v>
      </c>
    </row>
    <row r="93" spans="1:8">
      <c r="A93" s="1" t="s">
        <v>438</v>
      </c>
      <c r="B93" s="1" t="s">
        <v>9</v>
      </c>
      <c r="C93" s="1" t="s">
        <v>439</v>
      </c>
      <c r="D93" s="1" t="s">
        <v>440</v>
      </c>
      <c r="E93" s="1" t="s">
        <v>427</v>
      </c>
      <c r="F93" s="1" t="s">
        <v>441</v>
      </c>
      <c r="G93" s="1" t="s">
        <v>442</v>
      </c>
      <c r="H93" s="1" t="s">
        <v>443</v>
      </c>
    </row>
    <row r="94" spans="1:8">
      <c r="A94" s="1" t="s">
        <v>444</v>
      </c>
      <c r="B94" s="1" t="s">
        <v>9</v>
      </c>
      <c r="C94" s="1" t="s">
        <v>445</v>
      </c>
      <c r="D94" s="1" t="s">
        <v>446</v>
      </c>
      <c r="E94" s="1" t="s">
        <v>446</v>
      </c>
      <c r="F94" s="1" t="s">
        <v>23</v>
      </c>
      <c r="G94" s="1" t="s">
        <v>447</v>
      </c>
      <c r="H94" s="1" t="s">
        <v>14</v>
      </c>
    </row>
    <row r="95" spans="1:8">
      <c r="A95" s="1" t="s">
        <v>448</v>
      </c>
      <c r="B95" s="1" t="s">
        <v>9</v>
      </c>
      <c r="C95" s="1" t="s">
        <v>449</v>
      </c>
      <c r="D95" s="1" t="s">
        <v>450</v>
      </c>
      <c r="E95" s="1" t="s">
        <v>451</v>
      </c>
      <c r="F95" s="1" t="s">
        <v>452</v>
      </c>
      <c r="G95" s="1" t="s">
        <v>453</v>
      </c>
      <c r="H95" s="1" t="s">
        <v>14</v>
      </c>
    </row>
    <row r="96" spans="1:8">
      <c r="A96" s="1" t="s">
        <v>454</v>
      </c>
      <c r="B96" s="1" t="s">
        <v>9</v>
      </c>
      <c r="C96" s="1" t="s">
        <v>455</v>
      </c>
      <c r="D96" s="1" t="s">
        <v>456</v>
      </c>
      <c r="E96" s="1" t="s">
        <v>457</v>
      </c>
      <c r="F96" s="1" t="s">
        <v>458</v>
      </c>
      <c r="G96" s="1" t="s">
        <v>459</v>
      </c>
      <c r="H96" s="1" t="s">
        <v>460</v>
      </c>
    </row>
    <row r="97" spans="1:8">
      <c r="A97" s="1" t="s">
        <v>461</v>
      </c>
      <c r="B97" s="1" t="s">
        <v>9</v>
      </c>
      <c r="C97" s="1" t="s">
        <v>462</v>
      </c>
      <c r="D97" s="1" t="s">
        <v>446</v>
      </c>
      <c r="E97" s="1" t="s">
        <v>446</v>
      </c>
      <c r="F97" s="1" t="s">
        <v>463</v>
      </c>
      <c r="G97" s="1" t="s">
        <v>464</v>
      </c>
      <c r="H97" s="1" t="s">
        <v>465</v>
      </c>
    </row>
    <row r="98" spans="1:8">
      <c r="A98" s="1" t="s">
        <v>466</v>
      </c>
      <c r="B98" s="1" t="s">
        <v>9</v>
      </c>
      <c r="C98" s="1" t="s">
        <v>467</v>
      </c>
      <c r="D98" s="1" t="s">
        <v>468</v>
      </c>
      <c r="E98" s="1" t="s">
        <v>451</v>
      </c>
      <c r="F98" s="1" t="s">
        <v>23</v>
      </c>
      <c r="G98" s="1" t="s">
        <v>469</v>
      </c>
      <c r="H98" s="1" t="s">
        <v>14</v>
      </c>
    </row>
    <row r="99" spans="1:8">
      <c r="A99" s="1" t="s">
        <v>470</v>
      </c>
      <c r="B99" s="1" t="s">
        <v>9</v>
      </c>
      <c r="C99" s="1" t="s">
        <v>471</v>
      </c>
      <c r="D99" s="1" t="s">
        <v>472</v>
      </c>
      <c r="E99" s="1" t="s">
        <v>473</v>
      </c>
      <c r="F99" s="1" t="s">
        <v>474</v>
      </c>
      <c r="G99" s="1" t="s">
        <v>475</v>
      </c>
      <c r="H99" s="1" t="s">
        <v>476</v>
      </c>
    </row>
    <row r="100" spans="1:8">
      <c r="A100" s="1" t="s">
        <v>477</v>
      </c>
      <c r="B100" s="1" t="s">
        <v>9</v>
      </c>
      <c r="C100" s="1" t="s">
        <v>478</v>
      </c>
      <c r="D100" s="1" t="s">
        <v>479</v>
      </c>
      <c r="E100" s="1" t="s">
        <v>480</v>
      </c>
      <c r="F100" s="1" t="s">
        <v>481</v>
      </c>
      <c r="G100" s="1" t="s">
        <v>482</v>
      </c>
      <c r="H100" s="1" t="s">
        <v>483</v>
      </c>
    </row>
    <row r="101" spans="1:8">
      <c r="A101" s="1" t="s">
        <v>484</v>
      </c>
      <c r="B101" s="1" t="s">
        <v>9</v>
      </c>
      <c r="C101" s="1" t="s">
        <v>485</v>
      </c>
      <c r="D101" s="1" t="s">
        <v>486</v>
      </c>
      <c r="E101" s="1" t="s">
        <v>487</v>
      </c>
      <c r="F101" s="1" t="s">
        <v>488</v>
      </c>
      <c r="G101" s="1" t="s">
        <v>489</v>
      </c>
      <c r="H101" s="1" t="s">
        <v>14</v>
      </c>
    </row>
    <row r="102" spans="1:8">
      <c r="A102" s="1" t="s">
        <v>490</v>
      </c>
      <c r="B102" s="1" t="s">
        <v>9</v>
      </c>
      <c r="C102" s="1" t="s">
        <v>491</v>
      </c>
      <c r="D102" s="1" t="s">
        <v>486</v>
      </c>
      <c r="E102" s="1" t="s">
        <v>487</v>
      </c>
      <c r="F102" s="1" t="s">
        <v>492</v>
      </c>
      <c r="G102" s="1" t="s">
        <v>493</v>
      </c>
      <c r="H102" s="1" t="s">
        <v>494</v>
      </c>
    </row>
    <row r="103" spans="1:8">
      <c r="A103" s="1" t="s">
        <v>495</v>
      </c>
      <c r="B103" s="1" t="s">
        <v>9</v>
      </c>
      <c r="C103" s="1" t="s">
        <v>496</v>
      </c>
      <c r="D103" s="1" t="s">
        <v>497</v>
      </c>
      <c r="E103" s="1" t="s">
        <v>487</v>
      </c>
      <c r="F103" s="1" t="s">
        <v>498</v>
      </c>
      <c r="G103" s="1" t="s">
        <v>499</v>
      </c>
      <c r="H103" s="1" t="s">
        <v>14</v>
      </c>
    </row>
    <row r="104" spans="1:8">
      <c r="A104" s="1" t="s">
        <v>500</v>
      </c>
      <c r="B104" s="1" t="s">
        <v>9</v>
      </c>
      <c r="C104" s="1" t="s">
        <v>501</v>
      </c>
      <c r="D104" s="1" t="s">
        <v>502</v>
      </c>
      <c r="E104" s="1" t="s">
        <v>502</v>
      </c>
      <c r="F104" s="1" t="s">
        <v>488</v>
      </c>
      <c r="G104" s="1" t="s">
        <v>503</v>
      </c>
      <c r="H104" s="1" t="s">
        <v>14</v>
      </c>
    </row>
    <row r="105" spans="1:8">
      <c r="A105" s="1" t="s">
        <v>504</v>
      </c>
      <c r="B105" s="1" t="s">
        <v>9</v>
      </c>
      <c r="C105" s="1" t="s">
        <v>505</v>
      </c>
      <c r="D105" s="1" t="s">
        <v>506</v>
      </c>
      <c r="E105" s="1" t="s">
        <v>487</v>
      </c>
      <c r="F105" s="1" t="s">
        <v>507</v>
      </c>
      <c r="G105" s="1" t="s">
        <v>508</v>
      </c>
      <c r="H105" s="1" t="s">
        <v>509</v>
      </c>
    </row>
    <row r="106" spans="1:8">
      <c r="A106" s="1" t="s">
        <v>510</v>
      </c>
      <c r="B106" s="1" t="s">
        <v>9</v>
      </c>
      <c r="C106" s="1" t="s">
        <v>511</v>
      </c>
      <c r="D106" s="1" t="s">
        <v>512</v>
      </c>
      <c r="E106" s="1" t="s">
        <v>487</v>
      </c>
      <c r="F106" s="1" t="s">
        <v>513</v>
      </c>
      <c r="G106" s="1" t="s">
        <v>514</v>
      </c>
      <c r="H106" s="1" t="s">
        <v>515</v>
      </c>
    </row>
    <row r="107" spans="1:8">
      <c r="A107" s="1" t="s">
        <v>516</v>
      </c>
      <c r="B107" s="1" t="s">
        <v>9</v>
      </c>
      <c r="C107" s="1" t="s">
        <v>517</v>
      </c>
      <c r="D107" s="1" t="s">
        <v>518</v>
      </c>
      <c r="E107" s="1" t="s">
        <v>487</v>
      </c>
      <c r="F107" s="1" t="s">
        <v>23</v>
      </c>
      <c r="G107" s="1" t="s">
        <v>519</v>
      </c>
      <c r="H107" s="1" t="s">
        <v>14</v>
      </c>
    </row>
    <row r="108" spans="1:8">
      <c r="A108" s="1" t="s">
        <v>520</v>
      </c>
      <c r="B108" s="1" t="s">
        <v>9</v>
      </c>
      <c r="C108" s="1" t="s">
        <v>57</v>
      </c>
      <c r="D108" s="1" t="s">
        <v>58</v>
      </c>
      <c r="E108" s="1" t="s">
        <v>59</v>
      </c>
      <c r="F108" s="1" t="s">
        <v>60</v>
      </c>
      <c r="G108" s="1" t="s">
        <v>61</v>
      </c>
      <c r="H108" s="1" t="s">
        <v>14</v>
      </c>
    </row>
    <row r="109" spans="1:8">
      <c r="A109" s="1" t="s">
        <v>521</v>
      </c>
      <c r="B109" s="1" t="s">
        <v>9</v>
      </c>
      <c r="C109" s="1" t="s">
        <v>522</v>
      </c>
      <c r="D109" s="1" t="s">
        <v>523</v>
      </c>
      <c r="E109" s="1" t="s">
        <v>487</v>
      </c>
      <c r="F109" s="1" t="s">
        <v>23</v>
      </c>
      <c r="G109" s="1" t="s">
        <v>524</v>
      </c>
      <c r="H109" s="1" t="s">
        <v>14</v>
      </c>
    </row>
    <row r="110" spans="1:8">
      <c r="A110" s="1" t="s">
        <v>525</v>
      </c>
      <c r="B110" s="1" t="s">
        <v>9</v>
      </c>
      <c r="C110" s="1" t="s">
        <v>526</v>
      </c>
      <c r="D110" s="1" t="s">
        <v>527</v>
      </c>
      <c r="E110" s="1" t="s">
        <v>528</v>
      </c>
      <c r="F110" s="1" t="s">
        <v>529</v>
      </c>
      <c r="G110" s="1" t="s">
        <v>530</v>
      </c>
      <c r="H110" s="1" t="s">
        <v>14</v>
      </c>
    </row>
    <row r="111" spans="1:8">
      <c r="A111" s="1" t="s">
        <v>531</v>
      </c>
      <c r="B111" s="1" t="s">
        <v>9</v>
      </c>
      <c r="C111" s="1" t="s">
        <v>532</v>
      </c>
      <c r="D111" s="1" t="s">
        <v>527</v>
      </c>
      <c r="E111" s="1" t="s">
        <v>528</v>
      </c>
      <c r="F111" s="1" t="s">
        <v>533</v>
      </c>
      <c r="G111" s="1" t="s">
        <v>534</v>
      </c>
      <c r="H111" s="1" t="s">
        <v>535</v>
      </c>
    </row>
    <row r="112" spans="1:8">
      <c r="A112" s="1" t="s">
        <v>536</v>
      </c>
      <c r="B112" s="1" t="s">
        <v>9</v>
      </c>
      <c r="C112" s="1" t="s">
        <v>537</v>
      </c>
      <c r="D112" s="1" t="s">
        <v>527</v>
      </c>
      <c r="E112" s="1" t="s">
        <v>528</v>
      </c>
      <c r="F112" s="1" t="s">
        <v>538</v>
      </c>
      <c r="G112" s="1" t="s">
        <v>539</v>
      </c>
      <c r="H112" s="1" t="s">
        <v>540</v>
      </c>
    </row>
    <row r="113" spans="1:8">
      <c r="A113" s="1" t="s">
        <v>541</v>
      </c>
      <c r="B113" s="1" t="s">
        <v>9</v>
      </c>
      <c r="C113" s="1" t="s">
        <v>542</v>
      </c>
      <c r="D113" s="1" t="s">
        <v>543</v>
      </c>
      <c r="E113" s="1" t="s">
        <v>528</v>
      </c>
      <c r="F113" s="1" t="s">
        <v>544</v>
      </c>
      <c r="G113" s="1" t="s">
        <v>545</v>
      </c>
      <c r="H113" s="1" t="s">
        <v>14</v>
      </c>
    </row>
    <row r="114" spans="1:8">
      <c r="A114" s="1" t="s">
        <v>546</v>
      </c>
      <c r="B114" s="1" t="s">
        <v>9</v>
      </c>
      <c r="C114" s="1" t="s">
        <v>547</v>
      </c>
      <c r="D114" s="1" t="s">
        <v>548</v>
      </c>
      <c r="E114" s="1" t="s">
        <v>528</v>
      </c>
      <c r="F114" s="1" t="s">
        <v>549</v>
      </c>
      <c r="G114" s="1" t="s">
        <v>550</v>
      </c>
      <c r="H114" s="1" t="s">
        <v>551</v>
      </c>
    </row>
    <row r="115" spans="1:8">
      <c r="A115" s="1" t="s">
        <v>552</v>
      </c>
      <c r="B115" s="1" t="s">
        <v>9</v>
      </c>
      <c r="C115" s="1" t="s">
        <v>553</v>
      </c>
      <c r="D115" s="1" t="s">
        <v>554</v>
      </c>
      <c r="E115" s="1" t="s">
        <v>528</v>
      </c>
      <c r="F115" s="1" t="s">
        <v>544</v>
      </c>
      <c r="G115" s="1" t="s">
        <v>555</v>
      </c>
      <c r="H115" s="1" t="s">
        <v>14</v>
      </c>
    </row>
    <row r="116" spans="1:8">
      <c r="A116" s="1" t="s">
        <v>556</v>
      </c>
      <c r="B116" s="1" t="s">
        <v>9</v>
      </c>
      <c r="C116" s="1" t="s">
        <v>557</v>
      </c>
      <c r="D116" s="1" t="s">
        <v>558</v>
      </c>
      <c r="E116" s="1" t="s">
        <v>559</v>
      </c>
      <c r="F116" s="1" t="s">
        <v>560</v>
      </c>
      <c r="G116" s="1" t="s">
        <v>561</v>
      </c>
      <c r="H116" s="1" t="s">
        <v>14</v>
      </c>
    </row>
    <row r="117" spans="1:8">
      <c r="A117" s="1" t="s">
        <v>562</v>
      </c>
      <c r="B117" s="1" t="s">
        <v>9</v>
      </c>
      <c r="C117" s="1" t="s">
        <v>563</v>
      </c>
      <c r="D117" s="1" t="s">
        <v>564</v>
      </c>
      <c r="E117" s="1" t="s">
        <v>559</v>
      </c>
      <c r="F117" s="1" t="s">
        <v>529</v>
      </c>
      <c r="G117" s="1" t="s">
        <v>565</v>
      </c>
      <c r="H117" s="1" t="s">
        <v>14</v>
      </c>
    </row>
    <row r="118" spans="1:8">
      <c r="A118" s="1" t="s">
        <v>566</v>
      </c>
      <c r="B118" s="1" t="s">
        <v>9</v>
      </c>
      <c r="C118" s="1" t="s">
        <v>553</v>
      </c>
      <c r="D118" s="1" t="s">
        <v>554</v>
      </c>
      <c r="E118" s="1" t="s">
        <v>528</v>
      </c>
      <c r="F118" s="1" t="s">
        <v>567</v>
      </c>
      <c r="G118" s="1" t="s">
        <v>555</v>
      </c>
      <c r="H118" s="1" t="s">
        <v>568</v>
      </c>
    </row>
    <row r="119" spans="1:8">
      <c r="A119" s="1" t="s">
        <v>569</v>
      </c>
      <c r="B119" s="1" t="s">
        <v>9</v>
      </c>
      <c r="C119" s="1" t="s">
        <v>570</v>
      </c>
      <c r="D119" s="1" t="s">
        <v>554</v>
      </c>
      <c r="E119" s="1" t="s">
        <v>528</v>
      </c>
      <c r="F119" s="1" t="s">
        <v>571</v>
      </c>
      <c r="G119" s="1" t="s">
        <v>572</v>
      </c>
      <c r="H119" s="1" t="s">
        <v>573</v>
      </c>
    </row>
    <row r="120" spans="1:8">
      <c r="A120" s="1" t="s">
        <v>574</v>
      </c>
      <c r="B120" s="1" t="s">
        <v>9</v>
      </c>
      <c r="C120" s="1" t="s">
        <v>575</v>
      </c>
      <c r="D120" s="1" t="s">
        <v>576</v>
      </c>
      <c r="E120" s="1" t="s">
        <v>528</v>
      </c>
      <c r="F120" s="1" t="s">
        <v>577</v>
      </c>
      <c r="G120" s="1" t="s">
        <v>578</v>
      </c>
      <c r="H120" s="1" t="s">
        <v>579</v>
      </c>
    </row>
    <row r="121" spans="1:8">
      <c r="A121" s="1" t="s">
        <v>580</v>
      </c>
      <c r="B121" s="1" t="s">
        <v>9</v>
      </c>
      <c r="C121" s="1" t="s">
        <v>581</v>
      </c>
      <c r="D121" s="1" t="s">
        <v>527</v>
      </c>
      <c r="E121" s="1" t="s">
        <v>528</v>
      </c>
      <c r="F121" s="1" t="s">
        <v>23</v>
      </c>
      <c r="G121" s="1" t="s">
        <v>23</v>
      </c>
      <c r="H121" s="1" t="s">
        <v>14</v>
      </c>
    </row>
    <row r="122" spans="1:8">
      <c r="A122" s="1" t="s">
        <v>582</v>
      </c>
      <c r="B122" s="1" t="s">
        <v>9</v>
      </c>
      <c r="C122" s="1" t="s">
        <v>583</v>
      </c>
      <c r="D122" s="1" t="s">
        <v>584</v>
      </c>
      <c r="E122" s="1" t="s">
        <v>528</v>
      </c>
      <c r="F122" s="1" t="s">
        <v>585</v>
      </c>
      <c r="G122" s="1" t="s">
        <v>586</v>
      </c>
      <c r="H122" s="1" t="s">
        <v>587</v>
      </c>
    </row>
    <row r="123" spans="1:8">
      <c r="A123" s="1" t="s">
        <v>588</v>
      </c>
      <c r="B123" s="1" t="s">
        <v>9</v>
      </c>
      <c r="C123" s="1" t="s">
        <v>589</v>
      </c>
      <c r="D123" s="1" t="s">
        <v>590</v>
      </c>
      <c r="E123" s="1" t="s">
        <v>591</v>
      </c>
      <c r="F123" s="1" t="s">
        <v>23</v>
      </c>
      <c r="G123" s="1" t="s">
        <v>592</v>
      </c>
      <c r="H123" s="1" t="s">
        <v>14</v>
      </c>
    </row>
    <row r="124" spans="1:8">
      <c r="A124" s="1" t="s">
        <v>593</v>
      </c>
      <c r="B124" s="1" t="s">
        <v>9</v>
      </c>
      <c r="C124" s="1" t="s">
        <v>594</v>
      </c>
      <c r="D124" s="1" t="s">
        <v>595</v>
      </c>
      <c r="E124" s="1" t="s">
        <v>591</v>
      </c>
      <c r="F124" s="1" t="s">
        <v>596</v>
      </c>
      <c r="G124" s="1" t="s">
        <v>597</v>
      </c>
      <c r="H124" s="1" t="s">
        <v>598</v>
      </c>
    </row>
    <row r="125" spans="1:8">
      <c r="A125" s="1" t="s">
        <v>599</v>
      </c>
      <c r="B125" s="1" t="s">
        <v>9</v>
      </c>
      <c r="C125" s="1" t="s">
        <v>600</v>
      </c>
      <c r="D125" s="1" t="s">
        <v>601</v>
      </c>
      <c r="E125" s="1" t="s">
        <v>602</v>
      </c>
      <c r="F125" s="1" t="s">
        <v>23</v>
      </c>
      <c r="G125" s="1" t="s">
        <v>603</v>
      </c>
      <c r="H125" s="1" t="s">
        <v>14</v>
      </c>
    </row>
    <row r="126" spans="1:8">
      <c r="A126" s="1" t="s">
        <v>604</v>
      </c>
      <c r="B126" s="1" t="s">
        <v>9</v>
      </c>
      <c r="C126" s="1" t="s">
        <v>605</v>
      </c>
      <c r="D126" s="1" t="s">
        <v>606</v>
      </c>
      <c r="E126" s="1" t="s">
        <v>607</v>
      </c>
      <c r="F126" s="1" t="s">
        <v>608</v>
      </c>
      <c r="G126" s="1" t="s">
        <v>609</v>
      </c>
      <c r="H126" s="1" t="s">
        <v>610</v>
      </c>
    </row>
    <row r="127" spans="1:8">
      <c r="A127" s="1" t="s">
        <v>611</v>
      </c>
      <c r="B127" s="1" t="s">
        <v>9</v>
      </c>
      <c r="C127" s="1" t="s">
        <v>612</v>
      </c>
      <c r="D127" s="1" t="s">
        <v>606</v>
      </c>
      <c r="E127" s="1" t="s">
        <v>607</v>
      </c>
      <c r="F127" s="1" t="s">
        <v>613</v>
      </c>
      <c r="G127" s="1" t="s">
        <v>614</v>
      </c>
      <c r="H127" s="1" t="s">
        <v>615</v>
      </c>
    </row>
    <row r="128" spans="1:8">
      <c r="A128" s="1" t="s">
        <v>616</v>
      </c>
      <c r="B128" s="1" t="s">
        <v>9</v>
      </c>
      <c r="C128" s="1" t="s">
        <v>617</v>
      </c>
      <c r="D128" s="1" t="s">
        <v>606</v>
      </c>
      <c r="E128" s="1" t="s">
        <v>607</v>
      </c>
      <c r="F128" s="1" t="s">
        <v>23</v>
      </c>
      <c r="G128" s="1" t="s">
        <v>618</v>
      </c>
      <c r="H128" s="1" t="s">
        <v>14</v>
      </c>
    </row>
    <row r="129" spans="1:8">
      <c r="A129" s="1" t="s">
        <v>619</v>
      </c>
      <c r="B129" s="1" t="s">
        <v>9</v>
      </c>
      <c r="C129" s="1" t="s">
        <v>620</v>
      </c>
      <c r="D129" s="1" t="s">
        <v>621</v>
      </c>
      <c r="E129" s="1" t="s">
        <v>607</v>
      </c>
      <c r="F129" s="1" t="s">
        <v>622</v>
      </c>
      <c r="G129" s="1" t="s">
        <v>623</v>
      </c>
      <c r="H129" s="1" t="s">
        <v>624</v>
      </c>
    </row>
    <row r="130" spans="1:8">
      <c r="A130" s="1" t="s">
        <v>625</v>
      </c>
      <c r="B130" s="1" t="s">
        <v>9</v>
      </c>
      <c r="C130" s="1" t="s">
        <v>626</v>
      </c>
      <c r="D130" s="1" t="s">
        <v>627</v>
      </c>
      <c r="E130" s="1" t="s">
        <v>602</v>
      </c>
      <c r="F130" s="1" t="s">
        <v>628</v>
      </c>
      <c r="G130" s="1" t="s">
        <v>629</v>
      </c>
      <c r="H130" s="1" t="s">
        <v>630</v>
      </c>
    </row>
    <row r="131" spans="1:8">
      <c r="A131" s="1" t="s">
        <v>631</v>
      </c>
      <c r="B131" s="1" t="s">
        <v>9</v>
      </c>
      <c r="C131" s="1" t="s">
        <v>632</v>
      </c>
      <c r="D131" s="1" t="s">
        <v>633</v>
      </c>
      <c r="E131" s="1" t="s">
        <v>634</v>
      </c>
      <c r="F131" s="1" t="s">
        <v>635</v>
      </c>
      <c r="G131" s="1" t="s">
        <v>636</v>
      </c>
      <c r="H131" s="1" t="s">
        <v>14</v>
      </c>
    </row>
    <row r="132" spans="1:8">
      <c r="A132" s="1" t="s">
        <v>637</v>
      </c>
      <c r="B132" s="1" t="s">
        <v>9</v>
      </c>
      <c r="C132" s="1" t="s">
        <v>638</v>
      </c>
      <c r="D132" s="1" t="s">
        <v>639</v>
      </c>
      <c r="E132" s="1" t="s">
        <v>634</v>
      </c>
      <c r="F132" s="1" t="s">
        <v>640</v>
      </c>
      <c r="G132" s="1" t="s">
        <v>641</v>
      </c>
      <c r="H132" s="1" t="s">
        <v>642</v>
      </c>
    </row>
    <row r="133" spans="1:8">
      <c r="A133" s="1" t="s">
        <v>643</v>
      </c>
      <c r="B133" s="1" t="s">
        <v>9</v>
      </c>
      <c r="C133" s="1" t="s">
        <v>644</v>
      </c>
      <c r="D133" s="1" t="s">
        <v>645</v>
      </c>
      <c r="E133" s="1" t="s">
        <v>634</v>
      </c>
      <c r="F133" s="1" t="s">
        <v>23</v>
      </c>
      <c r="G133" s="1" t="s">
        <v>646</v>
      </c>
      <c r="H133" s="1" t="s">
        <v>14</v>
      </c>
    </row>
    <row r="134" spans="1:8">
      <c r="A134" s="1" t="s">
        <v>647</v>
      </c>
      <c r="B134" s="1" t="s">
        <v>9</v>
      </c>
      <c r="C134" s="1" t="s">
        <v>648</v>
      </c>
      <c r="D134" s="1" t="s">
        <v>649</v>
      </c>
      <c r="E134" s="1" t="s">
        <v>634</v>
      </c>
      <c r="F134" s="1" t="s">
        <v>650</v>
      </c>
      <c r="G134" s="1" t="s">
        <v>651</v>
      </c>
      <c r="H134" s="1" t="s">
        <v>14</v>
      </c>
    </row>
    <row r="135" spans="1:8">
      <c r="A135" s="1" t="s">
        <v>652</v>
      </c>
      <c r="B135" s="1" t="s">
        <v>9</v>
      </c>
      <c r="C135" s="1" t="s">
        <v>653</v>
      </c>
      <c r="D135" s="1" t="s">
        <v>654</v>
      </c>
      <c r="E135" s="1" t="s">
        <v>655</v>
      </c>
      <c r="F135" s="1" t="s">
        <v>23</v>
      </c>
      <c r="G135" s="1" t="s">
        <v>656</v>
      </c>
      <c r="H135" s="1" t="s">
        <v>14</v>
      </c>
    </row>
    <row r="136" spans="1:8">
      <c r="A136" s="1" t="s">
        <v>657</v>
      </c>
      <c r="B136" s="1" t="s">
        <v>9</v>
      </c>
      <c r="C136" s="1" t="s">
        <v>658</v>
      </c>
      <c r="D136" s="1" t="s">
        <v>659</v>
      </c>
      <c r="E136" s="1" t="s">
        <v>660</v>
      </c>
      <c r="F136" s="1" t="s">
        <v>23</v>
      </c>
      <c r="G136" s="1" t="s">
        <v>661</v>
      </c>
      <c r="H136" s="1" t="s">
        <v>14</v>
      </c>
    </row>
    <row r="137" spans="1:8">
      <c r="A137" s="1" t="s">
        <v>662</v>
      </c>
      <c r="B137" s="1" t="s">
        <v>9</v>
      </c>
      <c r="C137" s="1" t="s">
        <v>663</v>
      </c>
      <c r="D137" s="1" t="s">
        <v>664</v>
      </c>
      <c r="E137" s="1" t="s">
        <v>660</v>
      </c>
      <c r="F137" s="1" t="s">
        <v>665</v>
      </c>
      <c r="G137" s="1" t="s">
        <v>666</v>
      </c>
      <c r="H137" s="1" t="s">
        <v>667</v>
      </c>
    </row>
    <row r="138" spans="1:8">
      <c r="A138" s="1" t="s">
        <v>668</v>
      </c>
      <c r="B138" s="1" t="s">
        <v>9</v>
      </c>
      <c r="C138" s="1" t="s">
        <v>669</v>
      </c>
      <c r="D138" s="1" t="s">
        <v>670</v>
      </c>
      <c r="E138" s="1" t="s">
        <v>671</v>
      </c>
      <c r="F138" s="1" t="s">
        <v>672</v>
      </c>
      <c r="G138" s="1" t="s">
        <v>673</v>
      </c>
      <c r="H138" s="1" t="s">
        <v>674</v>
      </c>
    </row>
    <row r="139" spans="1:8">
      <c r="A139" s="1" t="s">
        <v>675</v>
      </c>
      <c r="B139" s="1" t="s">
        <v>9</v>
      </c>
      <c r="C139" s="1" t="s">
        <v>676</v>
      </c>
      <c r="D139" s="1" t="s">
        <v>664</v>
      </c>
      <c r="E139" s="1" t="s">
        <v>660</v>
      </c>
      <c r="F139" s="1" t="s">
        <v>23</v>
      </c>
      <c r="G139" s="1" t="s">
        <v>677</v>
      </c>
      <c r="H139" s="1" t="s">
        <v>14</v>
      </c>
    </row>
    <row r="140" spans="1:8">
      <c r="A140" s="1" t="s">
        <v>657</v>
      </c>
      <c r="B140" s="1" t="s">
        <v>9</v>
      </c>
      <c r="C140" s="1" t="s">
        <v>678</v>
      </c>
      <c r="D140" s="1" t="s">
        <v>679</v>
      </c>
      <c r="E140" s="1" t="s">
        <v>680</v>
      </c>
      <c r="F140" s="1" t="s">
        <v>681</v>
      </c>
      <c r="G140" s="1" t="s">
        <v>682</v>
      </c>
      <c r="H140" s="1" t="s">
        <v>14</v>
      </c>
    </row>
    <row r="141" spans="1:8">
      <c r="A141" s="1" t="s">
        <v>683</v>
      </c>
      <c r="B141" s="1" t="s">
        <v>9</v>
      </c>
      <c r="C141" s="1" t="s">
        <v>684</v>
      </c>
      <c r="D141" s="1" t="s">
        <v>685</v>
      </c>
      <c r="E141" s="1" t="s">
        <v>685</v>
      </c>
      <c r="F141" s="1" t="s">
        <v>686</v>
      </c>
      <c r="G141" s="1" t="s">
        <v>687</v>
      </c>
      <c r="H141" s="1" t="s">
        <v>14</v>
      </c>
    </row>
    <row r="142" spans="1:8">
      <c r="A142" s="1" t="s">
        <v>688</v>
      </c>
      <c r="B142" s="1" t="s">
        <v>9</v>
      </c>
      <c r="C142" s="1" t="s">
        <v>689</v>
      </c>
      <c r="D142" s="1" t="s">
        <v>690</v>
      </c>
      <c r="E142" s="1" t="s">
        <v>691</v>
      </c>
      <c r="F142" s="1" t="s">
        <v>692</v>
      </c>
      <c r="G142" s="1" t="s">
        <v>693</v>
      </c>
      <c r="H142" s="1" t="s">
        <v>694</v>
      </c>
    </row>
    <row r="143" spans="1:8">
      <c r="A143" s="1" t="s">
        <v>695</v>
      </c>
      <c r="B143" s="1" t="s">
        <v>9</v>
      </c>
      <c r="C143" s="1" t="s">
        <v>696</v>
      </c>
      <c r="D143" s="1" t="s">
        <v>697</v>
      </c>
      <c r="E143" s="1" t="s">
        <v>591</v>
      </c>
      <c r="F143" s="1" t="s">
        <v>698</v>
      </c>
      <c r="G143" s="1" t="s">
        <v>699</v>
      </c>
      <c r="H143" s="1" t="s">
        <v>14</v>
      </c>
    </row>
    <row r="144" spans="1:8">
      <c r="A144" s="1" t="s">
        <v>700</v>
      </c>
      <c r="B144" s="1" t="s">
        <v>9</v>
      </c>
      <c r="C144" s="1" t="s">
        <v>701</v>
      </c>
      <c r="D144" s="1" t="s">
        <v>702</v>
      </c>
      <c r="E144" s="1" t="s">
        <v>473</v>
      </c>
      <c r="F144" s="1" t="s">
        <v>703</v>
      </c>
      <c r="G144" s="1" t="s">
        <v>704</v>
      </c>
      <c r="H144" s="1" t="s">
        <v>705</v>
      </c>
    </row>
    <row r="145" spans="1:8">
      <c r="A145" s="1" t="s">
        <v>706</v>
      </c>
      <c r="B145" s="1" t="s">
        <v>9</v>
      </c>
      <c r="C145" s="1" t="s">
        <v>707</v>
      </c>
      <c r="D145" s="1" t="s">
        <v>708</v>
      </c>
      <c r="E145" s="1" t="s">
        <v>709</v>
      </c>
      <c r="F145" s="1" t="s">
        <v>710</v>
      </c>
      <c r="G145" s="1" t="s">
        <v>711</v>
      </c>
      <c r="H145" s="1" t="s">
        <v>712</v>
      </c>
    </row>
    <row r="146" spans="1:8">
      <c r="A146" s="1" t="s">
        <v>713</v>
      </c>
      <c r="B146" s="1" t="s">
        <v>9</v>
      </c>
      <c r="C146" s="1" t="s">
        <v>714</v>
      </c>
      <c r="D146" s="1" t="s">
        <v>715</v>
      </c>
      <c r="E146" s="1" t="s">
        <v>709</v>
      </c>
      <c r="F146" s="1" t="s">
        <v>716</v>
      </c>
      <c r="G146" s="1" t="s">
        <v>717</v>
      </c>
      <c r="H146" s="1" t="s">
        <v>718</v>
      </c>
    </row>
    <row r="147" spans="1:8">
      <c r="A147" s="1" t="s">
        <v>719</v>
      </c>
      <c r="B147" s="1" t="s">
        <v>9</v>
      </c>
      <c r="C147" s="1" t="s">
        <v>720</v>
      </c>
      <c r="D147" s="1" t="s">
        <v>721</v>
      </c>
      <c r="E147" s="1" t="s">
        <v>709</v>
      </c>
      <c r="F147" s="1" t="s">
        <v>722</v>
      </c>
      <c r="G147" s="1" t="s">
        <v>723</v>
      </c>
      <c r="H147" s="1" t="s">
        <v>724</v>
      </c>
    </row>
    <row r="148" spans="1:8">
      <c r="A148" s="1" t="s">
        <v>725</v>
      </c>
      <c r="B148" s="1" t="s">
        <v>9</v>
      </c>
      <c r="C148" s="1" t="s">
        <v>726</v>
      </c>
      <c r="D148" s="1" t="s">
        <v>727</v>
      </c>
      <c r="E148" s="1" t="s">
        <v>728</v>
      </c>
      <c r="F148" s="1" t="s">
        <v>23</v>
      </c>
      <c r="G148" s="1" t="s">
        <v>729</v>
      </c>
      <c r="H148" s="1" t="s">
        <v>14</v>
      </c>
    </row>
    <row r="149" spans="1:8">
      <c r="A149" s="1" t="s">
        <v>730</v>
      </c>
      <c r="B149" s="1" t="s">
        <v>9</v>
      </c>
      <c r="C149" s="1" t="s">
        <v>731</v>
      </c>
      <c r="D149" s="1" t="s">
        <v>732</v>
      </c>
      <c r="E149" s="1" t="s">
        <v>174</v>
      </c>
      <c r="F149" s="1" t="s">
        <v>733</v>
      </c>
      <c r="G149" s="1" t="s">
        <v>734</v>
      </c>
      <c r="H149" s="1" t="s">
        <v>735</v>
      </c>
    </row>
    <row r="150" spans="1:8">
      <c r="A150" s="1" t="s">
        <v>736</v>
      </c>
      <c r="B150" s="1" t="s">
        <v>9</v>
      </c>
      <c r="C150" s="1" t="s">
        <v>737</v>
      </c>
      <c r="D150" s="1" t="s">
        <v>174</v>
      </c>
      <c r="E150" s="1" t="s">
        <v>174</v>
      </c>
      <c r="F150" s="1" t="s">
        <v>738</v>
      </c>
      <c r="G150" s="1" t="s">
        <v>739</v>
      </c>
      <c r="H150" s="1" t="s">
        <v>740</v>
      </c>
    </row>
    <row r="151" spans="1:8">
      <c r="A151" s="1" t="s">
        <v>741</v>
      </c>
      <c r="B151" s="1" t="s">
        <v>9</v>
      </c>
      <c r="C151" s="1" t="s">
        <v>742</v>
      </c>
      <c r="D151" s="1" t="s">
        <v>743</v>
      </c>
      <c r="E151" s="1" t="s">
        <v>744</v>
      </c>
      <c r="F151" s="1" t="s">
        <v>175</v>
      </c>
      <c r="G151" s="1" t="s">
        <v>745</v>
      </c>
      <c r="H151" s="1" t="s">
        <v>177</v>
      </c>
    </row>
    <row r="152" spans="1:8">
      <c r="A152" s="1" t="s">
        <v>746</v>
      </c>
      <c r="B152" s="1" t="s">
        <v>9</v>
      </c>
      <c r="C152" s="1" t="s">
        <v>747</v>
      </c>
      <c r="D152" s="1" t="s">
        <v>174</v>
      </c>
      <c r="E152" s="1" t="s">
        <v>174</v>
      </c>
      <c r="F152" s="1" t="s">
        <v>748</v>
      </c>
      <c r="G152" s="1" t="s">
        <v>749</v>
      </c>
      <c r="H152" s="1" t="s">
        <v>750</v>
      </c>
    </row>
    <row r="153" spans="1:8">
      <c r="A153" s="1" t="s">
        <v>751</v>
      </c>
      <c r="B153" s="1" t="s">
        <v>9</v>
      </c>
      <c r="C153" s="1" t="s">
        <v>752</v>
      </c>
      <c r="D153" s="1" t="s">
        <v>744</v>
      </c>
      <c r="E153" s="1" t="s">
        <v>744</v>
      </c>
      <c r="F153" s="1" t="s">
        <v>753</v>
      </c>
      <c r="G153" s="1" t="s">
        <v>754</v>
      </c>
      <c r="H153" s="1" t="s">
        <v>755</v>
      </c>
    </row>
    <row r="154" spans="1:8">
      <c r="A154" s="1" t="s">
        <v>756</v>
      </c>
      <c r="B154" s="1" t="s">
        <v>9</v>
      </c>
      <c r="C154" s="1" t="s">
        <v>757</v>
      </c>
      <c r="D154" s="1" t="s">
        <v>758</v>
      </c>
      <c r="E154" s="1" t="s">
        <v>744</v>
      </c>
      <c r="F154" s="1" t="s">
        <v>759</v>
      </c>
      <c r="G154" s="1" t="s">
        <v>760</v>
      </c>
      <c r="H154" s="1" t="s">
        <v>14</v>
      </c>
    </row>
    <row r="155" spans="1:8">
      <c r="A155" s="1" t="s">
        <v>761</v>
      </c>
      <c r="B155" s="1" t="s">
        <v>9</v>
      </c>
      <c r="C155" s="1" t="s">
        <v>762</v>
      </c>
      <c r="D155" s="1" t="s">
        <v>173</v>
      </c>
      <c r="E155" s="1" t="s">
        <v>174</v>
      </c>
      <c r="F155" s="1" t="s">
        <v>763</v>
      </c>
      <c r="G155" s="1" t="s">
        <v>764</v>
      </c>
      <c r="H155" s="1" t="s">
        <v>765</v>
      </c>
    </row>
    <row r="156" spans="1:8">
      <c r="A156" s="1" t="s">
        <v>766</v>
      </c>
      <c r="B156" s="1" t="s">
        <v>9</v>
      </c>
      <c r="C156" s="1" t="s">
        <v>767</v>
      </c>
      <c r="D156" s="1" t="s">
        <v>768</v>
      </c>
      <c r="E156" s="1" t="s">
        <v>174</v>
      </c>
      <c r="F156" s="1" t="s">
        <v>769</v>
      </c>
      <c r="G156" s="1" t="s">
        <v>770</v>
      </c>
      <c r="H156" s="1" t="s">
        <v>771</v>
      </c>
    </row>
    <row r="157" spans="1:8">
      <c r="A157" s="1" t="s">
        <v>772</v>
      </c>
      <c r="B157" s="1" t="s">
        <v>9</v>
      </c>
      <c r="C157" s="1" t="s">
        <v>773</v>
      </c>
      <c r="D157" s="1" t="s">
        <v>774</v>
      </c>
      <c r="E157" s="1" t="s">
        <v>174</v>
      </c>
      <c r="F157" s="1" t="s">
        <v>775</v>
      </c>
      <c r="G157" s="1" t="s">
        <v>776</v>
      </c>
      <c r="H157" s="1" t="s">
        <v>777</v>
      </c>
    </row>
    <row r="158" spans="1:8">
      <c r="A158" s="1" t="s">
        <v>778</v>
      </c>
      <c r="B158" s="1" t="s">
        <v>9</v>
      </c>
      <c r="C158" s="1" t="s">
        <v>779</v>
      </c>
      <c r="D158" s="1" t="s">
        <v>780</v>
      </c>
      <c r="E158" s="1" t="s">
        <v>174</v>
      </c>
      <c r="F158" s="1" t="s">
        <v>781</v>
      </c>
      <c r="G158" s="1" t="s">
        <v>782</v>
      </c>
      <c r="H158" s="1" t="s">
        <v>14</v>
      </c>
    </row>
    <row r="159" spans="1:8">
      <c r="A159" s="1" t="s">
        <v>783</v>
      </c>
      <c r="B159" s="1" t="s">
        <v>784</v>
      </c>
      <c r="C159" s="1" t="s">
        <v>23</v>
      </c>
      <c r="D159" s="1" t="s">
        <v>785</v>
      </c>
      <c r="E159" s="1" t="s">
        <v>23</v>
      </c>
      <c r="F159" s="1" t="s">
        <v>23</v>
      </c>
      <c r="G159" s="1" t="s">
        <v>786</v>
      </c>
      <c r="H159" s="1" t="s">
        <v>14</v>
      </c>
    </row>
    <row r="160" spans="1:8">
      <c r="A160" s="1" t="s">
        <v>787</v>
      </c>
      <c r="B160" s="1" t="s">
        <v>9</v>
      </c>
      <c r="C160" s="1" t="s">
        <v>788</v>
      </c>
      <c r="D160" s="1" t="s">
        <v>789</v>
      </c>
      <c r="E160" s="1" t="s">
        <v>174</v>
      </c>
      <c r="F160" s="1" t="s">
        <v>790</v>
      </c>
      <c r="G160" s="1" t="s">
        <v>791</v>
      </c>
      <c r="H160" s="1" t="s">
        <v>792</v>
      </c>
    </row>
    <row r="161" spans="1:8">
      <c r="A161" s="1" t="s">
        <v>793</v>
      </c>
      <c r="B161" s="1" t="s">
        <v>9</v>
      </c>
      <c r="C161" s="1" t="s">
        <v>794</v>
      </c>
      <c r="D161" s="1" t="s">
        <v>795</v>
      </c>
      <c r="E161" s="1" t="s">
        <v>174</v>
      </c>
      <c r="F161" s="1" t="s">
        <v>23</v>
      </c>
      <c r="G161" s="1" t="s">
        <v>796</v>
      </c>
      <c r="H161" s="1" t="s">
        <v>14</v>
      </c>
    </row>
    <row r="162" spans="1:8">
      <c r="A162" s="1" t="s">
        <v>797</v>
      </c>
      <c r="B162" s="1" t="s">
        <v>9</v>
      </c>
      <c r="C162" s="1" t="s">
        <v>798</v>
      </c>
      <c r="D162" s="1" t="s">
        <v>799</v>
      </c>
      <c r="E162" s="1" t="s">
        <v>174</v>
      </c>
      <c r="F162" s="1" t="s">
        <v>800</v>
      </c>
      <c r="G162" s="1" t="s">
        <v>801</v>
      </c>
      <c r="H162" s="1" t="s">
        <v>802</v>
      </c>
    </row>
    <row r="163" spans="1:8">
      <c r="A163" s="1" t="s">
        <v>803</v>
      </c>
      <c r="B163" s="1" t="s">
        <v>9</v>
      </c>
      <c r="C163" s="1" t="s">
        <v>23</v>
      </c>
      <c r="D163" s="1" t="s">
        <v>785</v>
      </c>
      <c r="E163" s="1" t="s">
        <v>23</v>
      </c>
      <c r="F163" s="1" t="s">
        <v>23</v>
      </c>
      <c r="G163" s="1" t="s">
        <v>804</v>
      </c>
      <c r="H163" s="1" t="s">
        <v>14</v>
      </c>
    </row>
    <row r="164" spans="1:8">
      <c r="A164" s="1" t="s">
        <v>805</v>
      </c>
      <c r="B164" s="1" t="s">
        <v>9</v>
      </c>
      <c r="C164" s="1" t="s">
        <v>806</v>
      </c>
      <c r="D164" s="1" t="s">
        <v>807</v>
      </c>
      <c r="E164" s="1" t="s">
        <v>174</v>
      </c>
      <c r="F164" s="1" t="s">
        <v>808</v>
      </c>
      <c r="G164" s="1" t="s">
        <v>809</v>
      </c>
      <c r="H164" s="1" t="s">
        <v>14</v>
      </c>
    </row>
    <row r="165" spans="1:8">
      <c r="A165" s="1" t="s">
        <v>810</v>
      </c>
      <c r="B165" s="1" t="s">
        <v>784</v>
      </c>
      <c r="C165" s="1" t="s">
        <v>23</v>
      </c>
      <c r="D165" s="1" t="s">
        <v>785</v>
      </c>
      <c r="E165" s="1" t="s">
        <v>23</v>
      </c>
      <c r="F165" s="1" t="s">
        <v>23</v>
      </c>
      <c r="G165" s="1" t="s">
        <v>811</v>
      </c>
      <c r="H165" s="1" t="s">
        <v>14</v>
      </c>
    </row>
    <row r="166" spans="1:8">
      <c r="A166" s="1" t="s">
        <v>812</v>
      </c>
      <c r="B166" s="1" t="s">
        <v>9</v>
      </c>
      <c r="C166" s="1" t="s">
        <v>813</v>
      </c>
      <c r="D166" s="1" t="s">
        <v>814</v>
      </c>
      <c r="E166" s="1" t="s">
        <v>174</v>
      </c>
      <c r="F166" s="1" t="s">
        <v>815</v>
      </c>
      <c r="G166" s="1" t="s">
        <v>816</v>
      </c>
      <c r="H166" s="1" t="s">
        <v>14</v>
      </c>
    </row>
    <row r="167" spans="1:8">
      <c r="A167" s="1" t="s">
        <v>817</v>
      </c>
      <c r="B167" s="1" t="s">
        <v>9</v>
      </c>
      <c r="C167" s="1" t="s">
        <v>818</v>
      </c>
      <c r="D167" s="1" t="s">
        <v>174</v>
      </c>
      <c r="E167" s="1" t="s">
        <v>174</v>
      </c>
      <c r="F167" s="1" t="s">
        <v>31</v>
      </c>
      <c r="G167" s="1" t="s">
        <v>819</v>
      </c>
      <c r="H167" s="1" t="s">
        <v>14</v>
      </c>
    </row>
    <row r="168" spans="1:8">
      <c r="A168" s="1" t="s">
        <v>820</v>
      </c>
      <c r="B168" s="1" t="s">
        <v>9</v>
      </c>
      <c r="C168" s="1" t="s">
        <v>821</v>
      </c>
      <c r="D168" s="1" t="s">
        <v>174</v>
      </c>
      <c r="E168" s="1" t="s">
        <v>174</v>
      </c>
      <c r="F168" s="1" t="s">
        <v>822</v>
      </c>
      <c r="G168" s="1" t="s">
        <v>823</v>
      </c>
      <c r="H168" s="1" t="s">
        <v>824</v>
      </c>
    </row>
    <row r="169" spans="1:8">
      <c r="A169" s="1" t="s">
        <v>825</v>
      </c>
      <c r="B169" s="1" t="s">
        <v>9</v>
      </c>
      <c r="C169" s="1" t="s">
        <v>826</v>
      </c>
      <c r="D169" s="1" t="s">
        <v>174</v>
      </c>
      <c r="E169" s="1" t="s">
        <v>174</v>
      </c>
      <c r="F169" s="1" t="s">
        <v>827</v>
      </c>
      <c r="G169" s="1" t="s">
        <v>828</v>
      </c>
      <c r="H169" s="1" t="s">
        <v>829</v>
      </c>
    </row>
    <row r="170" spans="1:8">
      <c r="A170" s="1" t="s">
        <v>830</v>
      </c>
      <c r="B170" s="1" t="s">
        <v>9</v>
      </c>
      <c r="C170" s="1" t="s">
        <v>831</v>
      </c>
      <c r="D170" s="1" t="s">
        <v>174</v>
      </c>
      <c r="E170" s="1" t="s">
        <v>174</v>
      </c>
      <c r="F170" s="1" t="s">
        <v>832</v>
      </c>
      <c r="G170" s="1" t="s">
        <v>833</v>
      </c>
      <c r="H170" s="1" t="s">
        <v>834</v>
      </c>
    </row>
    <row r="171" spans="1:8">
      <c r="A171" s="1" t="s">
        <v>835</v>
      </c>
      <c r="B171" s="1" t="s">
        <v>9</v>
      </c>
      <c r="C171" s="1" t="s">
        <v>836</v>
      </c>
      <c r="D171" s="1" t="s">
        <v>174</v>
      </c>
      <c r="E171" s="1" t="s">
        <v>174</v>
      </c>
      <c r="F171" s="1" t="s">
        <v>837</v>
      </c>
      <c r="G171" s="1" t="s">
        <v>838</v>
      </c>
      <c r="H171" s="1" t="s">
        <v>535</v>
      </c>
    </row>
    <row r="172" spans="1:8">
      <c r="A172" s="1" t="s">
        <v>839</v>
      </c>
      <c r="B172" s="1" t="s">
        <v>9</v>
      </c>
      <c r="C172" s="1" t="s">
        <v>840</v>
      </c>
      <c r="D172" s="1" t="s">
        <v>184</v>
      </c>
      <c r="E172" s="1" t="s">
        <v>174</v>
      </c>
      <c r="F172" s="1" t="s">
        <v>841</v>
      </c>
      <c r="G172" s="1" t="s">
        <v>842</v>
      </c>
      <c r="H172" s="1" t="s">
        <v>843</v>
      </c>
    </row>
    <row r="173" spans="1:8">
      <c r="A173" s="1" t="s">
        <v>844</v>
      </c>
      <c r="B173" s="1" t="s">
        <v>784</v>
      </c>
      <c r="C173" s="1" t="s">
        <v>23</v>
      </c>
      <c r="D173" s="1" t="s">
        <v>785</v>
      </c>
      <c r="E173" s="1" t="s">
        <v>23</v>
      </c>
      <c r="F173" s="1" t="s">
        <v>23</v>
      </c>
      <c r="G173" s="1" t="s">
        <v>845</v>
      </c>
      <c r="H173" s="1" t="s">
        <v>14</v>
      </c>
    </row>
    <row r="174" spans="1:8">
      <c r="A174" s="1" t="s">
        <v>846</v>
      </c>
      <c r="B174" s="1" t="s">
        <v>9</v>
      </c>
      <c r="C174" s="1" t="s">
        <v>847</v>
      </c>
      <c r="D174" s="1" t="s">
        <v>848</v>
      </c>
      <c r="E174" s="1" t="s">
        <v>174</v>
      </c>
      <c r="F174" s="1" t="s">
        <v>849</v>
      </c>
      <c r="G174" s="1" t="s">
        <v>850</v>
      </c>
      <c r="H174" s="1" t="s">
        <v>14</v>
      </c>
    </row>
    <row r="175" spans="1:8">
      <c r="A175" s="1" t="s">
        <v>851</v>
      </c>
      <c r="B175" s="1" t="s">
        <v>9</v>
      </c>
      <c r="C175" s="1" t="s">
        <v>852</v>
      </c>
      <c r="D175" s="1" t="s">
        <v>853</v>
      </c>
      <c r="E175" s="1" t="s">
        <v>728</v>
      </c>
      <c r="F175" s="1" t="s">
        <v>854</v>
      </c>
      <c r="G175" s="1" t="s">
        <v>855</v>
      </c>
      <c r="H175" s="1" t="s">
        <v>535</v>
      </c>
    </row>
    <row r="176" spans="1:8">
      <c r="A176" s="1" t="s">
        <v>856</v>
      </c>
      <c r="B176" s="1" t="s">
        <v>9</v>
      </c>
      <c r="C176" s="1" t="s">
        <v>857</v>
      </c>
      <c r="D176" s="1" t="s">
        <v>858</v>
      </c>
      <c r="E176" s="1" t="s">
        <v>174</v>
      </c>
      <c r="F176" s="1" t="s">
        <v>859</v>
      </c>
      <c r="G176" s="1" t="s">
        <v>860</v>
      </c>
      <c r="H176" s="1" t="s">
        <v>861</v>
      </c>
    </row>
    <row r="177" spans="1:8">
      <c r="A177" s="1" t="s">
        <v>862</v>
      </c>
      <c r="B177" s="1" t="s">
        <v>9</v>
      </c>
      <c r="C177" s="1" t="s">
        <v>863</v>
      </c>
      <c r="D177" s="1" t="s">
        <v>864</v>
      </c>
      <c r="E177" s="1" t="s">
        <v>728</v>
      </c>
      <c r="F177" s="1" t="s">
        <v>865</v>
      </c>
      <c r="G177" s="1" t="s">
        <v>866</v>
      </c>
      <c r="H177" s="1" t="s">
        <v>14</v>
      </c>
    </row>
    <row r="178" spans="1:8">
      <c r="A178" s="1" t="s">
        <v>867</v>
      </c>
      <c r="B178" s="1" t="s">
        <v>9</v>
      </c>
      <c r="C178" s="1" t="s">
        <v>868</v>
      </c>
      <c r="D178" s="1" t="s">
        <v>869</v>
      </c>
      <c r="E178" s="1" t="s">
        <v>174</v>
      </c>
      <c r="F178" s="1" t="s">
        <v>870</v>
      </c>
      <c r="G178" s="1" t="s">
        <v>871</v>
      </c>
      <c r="H178" s="1" t="s">
        <v>872</v>
      </c>
    </row>
    <row r="179" spans="1:8">
      <c r="A179" s="1" t="s">
        <v>873</v>
      </c>
      <c r="B179" s="1" t="s">
        <v>9</v>
      </c>
      <c r="C179" s="1" t="s">
        <v>874</v>
      </c>
      <c r="D179" s="1" t="s">
        <v>875</v>
      </c>
      <c r="E179" s="1" t="s">
        <v>174</v>
      </c>
      <c r="F179" s="1" t="s">
        <v>23</v>
      </c>
      <c r="G179" s="1" t="s">
        <v>876</v>
      </c>
      <c r="H179" s="1" t="s">
        <v>14</v>
      </c>
    </row>
    <row r="180" spans="1:8">
      <c r="A180" s="1" t="s">
        <v>877</v>
      </c>
      <c r="B180" s="1" t="s">
        <v>9</v>
      </c>
      <c r="C180" s="1" t="s">
        <v>874</v>
      </c>
      <c r="D180" s="1" t="s">
        <v>875</v>
      </c>
      <c r="E180" s="1" t="s">
        <v>174</v>
      </c>
      <c r="F180" s="1" t="s">
        <v>23</v>
      </c>
      <c r="G180" s="1" t="s">
        <v>876</v>
      </c>
      <c r="H180" s="1" t="s">
        <v>14</v>
      </c>
    </row>
    <row r="181" spans="1:8">
      <c r="A181" s="1" t="s">
        <v>878</v>
      </c>
      <c r="B181" s="1" t="s">
        <v>9</v>
      </c>
      <c r="C181" s="1" t="s">
        <v>879</v>
      </c>
      <c r="D181" s="1" t="s">
        <v>880</v>
      </c>
      <c r="E181" s="1" t="s">
        <v>880</v>
      </c>
      <c r="F181" s="1" t="s">
        <v>23</v>
      </c>
      <c r="G181" s="1" t="s">
        <v>881</v>
      </c>
      <c r="H181" s="1" t="s">
        <v>14</v>
      </c>
    </row>
    <row r="182" spans="1:8">
      <c r="A182" s="1" t="s">
        <v>882</v>
      </c>
      <c r="B182" s="1" t="s">
        <v>9</v>
      </c>
      <c r="C182" s="1" t="s">
        <v>883</v>
      </c>
      <c r="D182" s="1" t="s">
        <v>184</v>
      </c>
      <c r="E182" s="1" t="s">
        <v>174</v>
      </c>
      <c r="F182" s="1" t="s">
        <v>884</v>
      </c>
      <c r="G182" s="1" t="s">
        <v>885</v>
      </c>
      <c r="H182" s="1" t="s">
        <v>14</v>
      </c>
    </row>
    <row r="183" spans="1:8">
      <c r="A183" s="1" t="s">
        <v>886</v>
      </c>
      <c r="B183" s="1" t="s">
        <v>9</v>
      </c>
      <c r="C183" s="1" t="s">
        <v>887</v>
      </c>
      <c r="D183" s="1" t="s">
        <v>888</v>
      </c>
      <c r="E183" s="1" t="s">
        <v>728</v>
      </c>
      <c r="F183" s="1" t="s">
        <v>889</v>
      </c>
      <c r="G183" s="1" t="s">
        <v>890</v>
      </c>
      <c r="H183" s="1" t="s">
        <v>14</v>
      </c>
    </row>
    <row r="184" spans="1:8">
      <c r="A184" s="1" t="s">
        <v>891</v>
      </c>
      <c r="B184" s="1" t="s">
        <v>9</v>
      </c>
      <c r="C184" s="1" t="s">
        <v>892</v>
      </c>
      <c r="D184" s="1" t="s">
        <v>893</v>
      </c>
      <c r="E184" s="1" t="s">
        <v>174</v>
      </c>
      <c r="F184" s="1" t="s">
        <v>894</v>
      </c>
      <c r="G184" s="1" t="s">
        <v>895</v>
      </c>
      <c r="H184" s="1" t="s">
        <v>14</v>
      </c>
    </row>
    <row r="185" spans="1:8">
      <c r="A185" s="1" t="s">
        <v>896</v>
      </c>
      <c r="B185" s="1" t="s">
        <v>9</v>
      </c>
      <c r="C185" s="1" t="s">
        <v>897</v>
      </c>
      <c r="D185" s="1" t="s">
        <v>898</v>
      </c>
      <c r="E185" s="1" t="s">
        <v>174</v>
      </c>
      <c r="F185" s="1" t="s">
        <v>23</v>
      </c>
      <c r="G185" s="1" t="s">
        <v>899</v>
      </c>
      <c r="H185" s="1" t="s">
        <v>14</v>
      </c>
    </row>
    <row r="186" spans="1:8">
      <c r="A186" s="1" t="s">
        <v>900</v>
      </c>
      <c r="B186" s="1" t="s">
        <v>9</v>
      </c>
      <c r="C186" s="1" t="s">
        <v>901</v>
      </c>
      <c r="D186" s="1" t="s">
        <v>902</v>
      </c>
      <c r="E186" s="1" t="s">
        <v>174</v>
      </c>
      <c r="F186" s="1" t="s">
        <v>903</v>
      </c>
      <c r="G186" s="1" t="s">
        <v>904</v>
      </c>
      <c r="H186" s="1" t="s">
        <v>905</v>
      </c>
    </row>
    <row r="187" spans="1:8">
      <c r="A187" s="1" t="s">
        <v>906</v>
      </c>
      <c r="B187" s="1" t="s">
        <v>9</v>
      </c>
      <c r="C187" s="1" t="s">
        <v>907</v>
      </c>
      <c r="D187" s="1" t="s">
        <v>908</v>
      </c>
      <c r="E187" s="1" t="s">
        <v>908</v>
      </c>
      <c r="F187" s="1" t="s">
        <v>909</v>
      </c>
      <c r="G187" s="1" t="s">
        <v>910</v>
      </c>
      <c r="H187" s="1" t="s">
        <v>14</v>
      </c>
    </row>
    <row r="188" spans="1:8">
      <c r="A188" s="1" t="s">
        <v>911</v>
      </c>
      <c r="B188" s="1" t="s">
        <v>9</v>
      </c>
      <c r="C188" s="1" t="s">
        <v>912</v>
      </c>
      <c r="D188" s="1" t="s">
        <v>913</v>
      </c>
      <c r="E188" s="1" t="s">
        <v>913</v>
      </c>
      <c r="F188" s="1" t="s">
        <v>914</v>
      </c>
      <c r="G188" s="1" t="s">
        <v>915</v>
      </c>
      <c r="H188" s="1" t="s">
        <v>14</v>
      </c>
    </row>
    <row r="189" spans="1:8">
      <c r="A189" s="1" t="s">
        <v>916</v>
      </c>
      <c r="B189" s="1" t="s">
        <v>9</v>
      </c>
      <c r="C189" s="1" t="s">
        <v>917</v>
      </c>
      <c r="D189" s="1" t="s">
        <v>913</v>
      </c>
      <c r="E189" s="1" t="s">
        <v>913</v>
      </c>
      <c r="F189" s="1" t="s">
        <v>918</v>
      </c>
      <c r="G189" s="1" t="s">
        <v>919</v>
      </c>
      <c r="H189" s="1" t="s">
        <v>920</v>
      </c>
    </row>
    <row r="190" spans="1:8">
      <c r="A190" s="1" t="s">
        <v>921</v>
      </c>
      <c r="B190" s="1" t="s">
        <v>9</v>
      </c>
      <c r="C190" s="1" t="s">
        <v>922</v>
      </c>
      <c r="D190" s="1" t="s">
        <v>923</v>
      </c>
      <c r="E190" s="1" t="s">
        <v>174</v>
      </c>
      <c r="F190" s="1" t="s">
        <v>924</v>
      </c>
      <c r="G190" s="1" t="s">
        <v>925</v>
      </c>
      <c r="H190" s="1" t="s">
        <v>926</v>
      </c>
    </row>
    <row r="191" spans="1:8">
      <c r="A191" s="1" t="s">
        <v>927</v>
      </c>
      <c r="B191" s="1" t="s">
        <v>9</v>
      </c>
      <c r="C191" s="1" t="s">
        <v>928</v>
      </c>
      <c r="D191" s="1" t="s">
        <v>929</v>
      </c>
      <c r="E191" s="1" t="s">
        <v>174</v>
      </c>
      <c r="F191" s="1" t="s">
        <v>930</v>
      </c>
      <c r="G191" s="1" t="s">
        <v>931</v>
      </c>
      <c r="H191" s="1" t="s">
        <v>14</v>
      </c>
    </row>
    <row r="192" spans="1:8">
      <c r="A192" s="1" t="s">
        <v>932</v>
      </c>
      <c r="B192" s="1" t="s">
        <v>9</v>
      </c>
      <c r="C192" s="1" t="s">
        <v>933</v>
      </c>
      <c r="D192" s="1" t="s">
        <v>934</v>
      </c>
      <c r="E192" s="1" t="s">
        <v>934</v>
      </c>
      <c r="F192" s="1" t="s">
        <v>935</v>
      </c>
      <c r="G192" s="1" t="s">
        <v>936</v>
      </c>
      <c r="H192" s="1" t="s">
        <v>937</v>
      </c>
    </row>
    <row r="193" spans="1:8">
      <c r="A193" s="1" t="s">
        <v>938</v>
      </c>
      <c r="B193" s="1" t="s">
        <v>9</v>
      </c>
      <c r="C193" s="1" t="s">
        <v>939</v>
      </c>
      <c r="D193" s="1" t="s">
        <v>655</v>
      </c>
      <c r="E193" s="1" t="s">
        <v>655</v>
      </c>
      <c r="F193" s="1" t="s">
        <v>940</v>
      </c>
      <c r="G193" s="1" t="s">
        <v>941</v>
      </c>
      <c r="H193" s="1" t="s">
        <v>14</v>
      </c>
    </row>
    <row r="194" spans="1:8">
      <c r="A194" s="1" t="s">
        <v>942</v>
      </c>
      <c r="B194" s="1" t="s">
        <v>9</v>
      </c>
      <c r="C194" s="1" t="s">
        <v>943</v>
      </c>
      <c r="D194" s="1" t="s">
        <v>655</v>
      </c>
      <c r="E194" s="1" t="s">
        <v>655</v>
      </c>
      <c r="F194" s="1" t="s">
        <v>944</v>
      </c>
      <c r="G194" s="1" t="s">
        <v>23</v>
      </c>
      <c r="H194" s="1" t="s">
        <v>945</v>
      </c>
    </row>
    <row r="195" spans="1:8">
      <c r="A195" s="1" t="s">
        <v>946</v>
      </c>
      <c r="B195" s="1" t="s">
        <v>9</v>
      </c>
      <c r="C195" s="1" t="s">
        <v>947</v>
      </c>
      <c r="D195" s="1" t="s">
        <v>655</v>
      </c>
      <c r="E195" s="1" t="s">
        <v>655</v>
      </c>
      <c r="F195" s="1" t="s">
        <v>948</v>
      </c>
      <c r="G195" s="1" t="s">
        <v>949</v>
      </c>
      <c r="H195" s="1" t="s">
        <v>950</v>
      </c>
    </row>
    <row r="196" spans="1:8">
      <c r="A196" s="1" t="s">
        <v>951</v>
      </c>
      <c r="B196" s="1" t="s">
        <v>9</v>
      </c>
      <c r="C196" s="1" t="s">
        <v>952</v>
      </c>
      <c r="D196" s="1" t="s">
        <v>953</v>
      </c>
      <c r="E196" s="1" t="s">
        <v>655</v>
      </c>
      <c r="F196" s="1" t="s">
        <v>665</v>
      </c>
      <c r="G196" s="1" t="s">
        <v>954</v>
      </c>
      <c r="H196" s="1" t="s">
        <v>667</v>
      </c>
    </row>
    <row r="197" spans="1:8">
      <c r="A197" s="1" t="s">
        <v>955</v>
      </c>
      <c r="B197" s="1" t="s">
        <v>9</v>
      </c>
      <c r="C197" s="1" t="s">
        <v>956</v>
      </c>
      <c r="D197" s="1" t="s">
        <v>655</v>
      </c>
      <c r="E197" s="1" t="s">
        <v>655</v>
      </c>
      <c r="F197" s="1" t="s">
        <v>23</v>
      </c>
      <c r="G197" s="1" t="s">
        <v>23</v>
      </c>
      <c r="H197" s="1" t="s">
        <v>14</v>
      </c>
    </row>
    <row r="198" spans="1:8">
      <c r="A198" s="1" t="s">
        <v>957</v>
      </c>
      <c r="B198" s="1" t="s">
        <v>9</v>
      </c>
      <c r="C198" s="1" t="s">
        <v>958</v>
      </c>
      <c r="D198" s="1" t="s">
        <v>959</v>
      </c>
      <c r="E198" s="1" t="s">
        <v>655</v>
      </c>
      <c r="F198" s="1" t="s">
        <v>960</v>
      </c>
      <c r="G198" s="1" t="s">
        <v>961</v>
      </c>
      <c r="H198" s="1" t="s">
        <v>962</v>
      </c>
    </row>
    <row r="199" spans="1:8">
      <c r="A199" s="1" t="s">
        <v>963</v>
      </c>
      <c r="B199" s="1" t="s">
        <v>9</v>
      </c>
      <c r="C199" s="1" t="s">
        <v>964</v>
      </c>
      <c r="D199" s="1" t="s">
        <v>965</v>
      </c>
      <c r="E199" s="1" t="s">
        <v>966</v>
      </c>
      <c r="F199" s="1" t="s">
        <v>967</v>
      </c>
      <c r="G199" s="1" t="s">
        <v>968</v>
      </c>
      <c r="H199" s="1" t="s">
        <v>969</v>
      </c>
    </row>
    <row r="200" spans="1:8">
      <c r="A200" s="1" t="s">
        <v>970</v>
      </c>
      <c r="B200" s="1" t="s">
        <v>9</v>
      </c>
      <c r="C200" s="1" t="s">
        <v>971</v>
      </c>
      <c r="D200" s="1" t="s">
        <v>972</v>
      </c>
      <c r="E200" s="1" t="s">
        <v>966</v>
      </c>
      <c r="F200" s="1" t="s">
        <v>973</v>
      </c>
      <c r="G200" s="1" t="s">
        <v>974</v>
      </c>
      <c r="H200" s="1" t="s">
        <v>14</v>
      </c>
    </row>
    <row r="201" spans="1:8">
      <c r="A201" s="1" t="s">
        <v>975</v>
      </c>
      <c r="B201" s="1" t="s">
        <v>9</v>
      </c>
      <c r="C201" s="1" t="s">
        <v>976</v>
      </c>
      <c r="D201" s="1" t="s">
        <v>977</v>
      </c>
      <c r="E201" s="1" t="s">
        <v>966</v>
      </c>
      <c r="F201" s="1" t="s">
        <v>216</v>
      </c>
      <c r="G201" s="1" t="s">
        <v>978</v>
      </c>
      <c r="H201" s="1" t="s">
        <v>14</v>
      </c>
    </row>
    <row r="202" spans="1:8">
      <c r="A202" s="1" t="s">
        <v>979</v>
      </c>
      <c r="B202" s="1" t="s">
        <v>9</v>
      </c>
      <c r="C202" s="1" t="s">
        <v>980</v>
      </c>
      <c r="D202" s="1" t="s">
        <v>981</v>
      </c>
      <c r="E202" s="1" t="s">
        <v>966</v>
      </c>
      <c r="F202" s="1" t="s">
        <v>982</v>
      </c>
      <c r="G202" s="1" t="s">
        <v>983</v>
      </c>
      <c r="H202" s="1" t="s">
        <v>14</v>
      </c>
    </row>
    <row r="203" spans="1:8">
      <c r="A203" s="1" t="s">
        <v>984</v>
      </c>
      <c r="B203" s="1" t="s">
        <v>9</v>
      </c>
      <c r="C203" s="1" t="s">
        <v>23</v>
      </c>
      <c r="D203" s="1" t="s">
        <v>985</v>
      </c>
      <c r="E203" s="1" t="s">
        <v>23</v>
      </c>
      <c r="F203" s="1" t="s">
        <v>986</v>
      </c>
      <c r="G203" s="1" t="s">
        <v>987</v>
      </c>
      <c r="H203" s="1" t="s">
        <v>988</v>
      </c>
    </row>
    <row r="204" spans="1:8">
      <c r="A204" s="1" t="s">
        <v>989</v>
      </c>
      <c r="B204" s="1" t="s">
        <v>9</v>
      </c>
      <c r="C204" s="1" t="s">
        <v>990</v>
      </c>
      <c r="D204" s="1" t="s">
        <v>991</v>
      </c>
      <c r="E204" s="1" t="s">
        <v>991</v>
      </c>
      <c r="F204" s="1" t="s">
        <v>992</v>
      </c>
      <c r="G204" s="1" t="s">
        <v>993</v>
      </c>
      <c r="H204" s="1" t="s">
        <v>14</v>
      </c>
    </row>
    <row r="205" spans="1:8">
      <c r="A205" s="1" t="s">
        <v>994</v>
      </c>
      <c r="B205" s="1" t="s">
        <v>9</v>
      </c>
      <c r="C205" s="1" t="s">
        <v>995</v>
      </c>
      <c r="D205" s="1" t="s">
        <v>996</v>
      </c>
      <c r="E205" s="1" t="s">
        <v>996</v>
      </c>
      <c r="F205" s="1" t="s">
        <v>31</v>
      </c>
      <c r="G205" s="1" t="s">
        <v>997</v>
      </c>
      <c r="H205" s="1" t="s">
        <v>14</v>
      </c>
    </row>
    <row r="206" spans="1:8">
      <c r="A206" s="1" t="s">
        <v>998</v>
      </c>
      <c r="B206" s="1" t="s">
        <v>9</v>
      </c>
      <c r="C206" s="1" t="s">
        <v>999</v>
      </c>
      <c r="D206" s="1" t="s">
        <v>1000</v>
      </c>
      <c r="E206" s="1" t="s">
        <v>1000</v>
      </c>
      <c r="F206" s="1" t="s">
        <v>1001</v>
      </c>
      <c r="G206" s="1" t="s">
        <v>1002</v>
      </c>
      <c r="H206" s="1" t="s">
        <v>14</v>
      </c>
    </row>
    <row r="207" spans="1:8">
      <c r="A207" s="1" t="s">
        <v>1003</v>
      </c>
      <c r="B207" s="1" t="s">
        <v>9</v>
      </c>
      <c r="C207" s="1" t="s">
        <v>1004</v>
      </c>
      <c r="D207" s="1" t="s">
        <v>1005</v>
      </c>
      <c r="E207" s="1" t="s">
        <v>996</v>
      </c>
      <c r="F207" s="1" t="s">
        <v>23</v>
      </c>
      <c r="G207" s="1" t="s">
        <v>1006</v>
      </c>
      <c r="H207" s="1" t="s">
        <v>14</v>
      </c>
    </row>
    <row r="208" spans="1:8">
      <c r="A208" s="1" t="s">
        <v>1007</v>
      </c>
      <c r="B208" s="1" t="s">
        <v>9</v>
      </c>
      <c r="C208" s="1" t="s">
        <v>1008</v>
      </c>
      <c r="D208" s="1" t="s">
        <v>1009</v>
      </c>
      <c r="E208" s="1" t="s">
        <v>1009</v>
      </c>
      <c r="F208" s="1" t="s">
        <v>1010</v>
      </c>
      <c r="G208" s="1" t="s">
        <v>1011</v>
      </c>
      <c r="H208" s="1" t="s">
        <v>937</v>
      </c>
    </row>
    <row r="209" spans="1:8">
      <c r="A209" s="1" t="s">
        <v>1012</v>
      </c>
      <c r="B209" s="1" t="s">
        <v>9</v>
      </c>
      <c r="C209" s="1" t="s">
        <v>1013</v>
      </c>
      <c r="D209" s="1" t="s">
        <v>1014</v>
      </c>
      <c r="E209" s="1" t="s">
        <v>1015</v>
      </c>
      <c r="F209" s="1" t="s">
        <v>1016</v>
      </c>
      <c r="G209" s="1" t="s">
        <v>1017</v>
      </c>
      <c r="H209" s="1" t="s">
        <v>1018</v>
      </c>
    </row>
    <row r="210" spans="1:8">
      <c r="A210" s="1" t="s">
        <v>1019</v>
      </c>
      <c r="B210" s="1" t="s">
        <v>9</v>
      </c>
      <c r="C210" s="1" t="s">
        <v>1020</v>
      </c>
      <c r="D210" s="1" t="s">
        <v>1021</v>
      </c>
      <c r="E210" s="1" t="s">
        <v>196</v>
      </c>
      <c r="F210" s="1" t="s">
        <v>1022</v>
      </c>
      <c r="G210" s="1" t="s">
        <v>1023</v>
      </c>
      <c r="H210" s="1" t="s">
        <v>1024</v>
      </c>
    </row>
    <row r="211" spans="1:8">
      <c r="A211" s="1" t="s">
        <v>1025</v>
      </c>
      <c r="B211" s="1" t="s">
        <v>9</v>
      </c>
      <c r="C211" s="1" t="s">
        <v>1026</v>
      </c>
      <c r="D211" s="1" t="s">
        <v>1027</v>
      </c>
      <c r="E211" s="1" t="s">
        <v>991</v>
      </c>
      <c r="F211" s="1" t="s">
        <v>1028</v>
      </c>
      <c r="G211" s="1" t="s">
        <v>1029</v>
      </c>
      <c r="H211" s="1" t="s">
        <v>1030</v>
      </c>
    </row>
    <row r="212" spans="1:8">
      <c r="A212" s="1" t="s">
        <v>1031</v>
      </c>
      <c r="B212" s="1" t="s">
        <v>9</v>
      </c>
      <c r="C212" s="1" t="s">
        <v>1032</v>
      </c>
      <c r="D212" s="1" t="s">
        <v>1033</v>
      </c>
      <c r="E212" s="1" t="s">
        <v>934</v>
      </c>
      <c r="F212" s="1" t="s">
        <v>365</v>
      </c>
      <c r="G212" s="1" t="s">
        <v>1034</v>
      </c>
      <c r="H212" s="1" t="s">
        <v>367</v>
      </c>
    </row>
    <row r="213" spans="1:8">
      <c r="A213" s="1" t="s">
        <v>1035</v>
      </c>
      <c r="B213" s="1" t="s">
        <v>9</v>
      </c>
      <c r="C213" s="1" t="s">
        <v>1036</v>
      </c>
      <c r="D213" s="1" t="s">
        <v>1037</v>
      </c>
      <c r="E213" s="1" t="s">
        <v>934</v>
      </c>
      <c r="F213" s="1" t="s">
        <v>23</v>
      </c>
      <c r="G213" s="1" t="s">
        <v>1038</v>
      </c>
      <c r="H213" s="1" t="s">
        <v>14</v>
      </c>
    </row>
    <row r="214" spans="1:8">
      <c r="A214" s="1" t="s">
        <v>1039</v>
      </c>
      <c r="B214" s="1" t="s">
        <v>9</v>
      </c>
      <c r="C214" s="1" t="s">
        <v>1040</v>
      </c>
      <c r="D214" s="1" t="s">
        <v>1041</v>
      </c>
      <c r="E214" s="1" t="s">
        <v>1015</v>
      </c>
      <c r="F214" s="1" t="s">
        <v>23</v>
      </c>
      <c r="G214" s="1" t="s">
        <v>1042</v>
      </c>
      <c r="H214" s="1" t="s">
        <v>14</v>
      </c>
    </row>
    <row r="215" spans="1:8">
      <c r="A215" s="1" t="s">
        <v>1043</v>
      </c>
      <c r="B215" s="1" t="s">
        <v>9</v>
      </c>
      <c r="C215" s="1" t="s">
        <v>1044</v>
      </c>
      <c r="D215" s="1" t="s">
        <v>991</v>
      </c>
      <c r="E215" s="1" t="s">
        <v>991</v>
      </c>
      <c r="F215" s="1" t="s">
        <v>1045</v>
      </c>
      <c r="G215" s="1" t="s">
        <v>1046</v>
      </c>
      <c r="H215" s="1" t="s">
        <v>1047</v>
      </c>
    </row>
    <row r="216" spans="1:8">
      <c r="A216" s="1" t="s">
        <v>1048</v>
      </c>
      <c r="B216" s="1" t="s">
        <v>9</v>
      </c>
      <c r="C216" s="1" t="s">
        <v>1049</v>
      </c>
      <c r="D216" s="1" t="s">
        <v>991</v>
      </c>
      <c r="E216" s="1" t="s">
        <v>991</v>
      </c>
      <c r="F216" s="1" t="s">
        <v>1050</v>
      </c>
      <c r="G216" s="1" t="s">
        <v>1051</v>
      </c>
      <c r="H216" s="1" t="s">
        <v>1052</v>
      </c>
    </row>
    <row r="217" spans="1:8">
      <c r="A217" s="1" t="s">
        <v>1053</v>
      </c>
      <c r="B217" s="1" t="s">
        <v>9</v>
      </c>
      <c r="C217" s="1" t="s">
        <v>1054</v>
      </c>
      <c r="D217" s="1" t="s">
        <v>1055</v>
      </c>
      <c r="E217" s="1" t="s">
        <v>991</v>
      </c>
      <c r="F217" s="1" t="s">
        <v>23</v>
      </c>
      <c r="G217" s="1" t="s">
        <v>1056</v>
      </c>
      <c r="H217" s="1" t="s">
        <v>14</v>
      </c>
    </row>
    <row r="218" spans="1:8">
      <c r="A218" s="1" t="s">
        <v>1057</v>
      </c>
      <c r="B218" s="1" t="s">
        <v>9</v>
      </c>
      <c r="C218" s="1" t="s">
        <v>1058</v>
      </c>
      <c r="D218" s="1" t="s">
        <v>996</v>
      </c>
      <c r="E218" s="1" t="s">
        <v>996</v>
      </c>
      <c r="F218" s="1" t="s">
        <v>1059</v>
      </c>
      <c r="G218" s="1" t="s">
        <v>1060</v>
      </c>
      <c r="H218" s="1" t="s">
        <v>14</v>
      </c>
    </row>
    <row r="219" spans="1:8">
      <c r="A219" s="1" t="s">
        <v>1061</v>
      </c>
      <c r="B219" s="1" t="s">
        <v>9</v>
      </c>
      <c r="C219" s="1" t="s">
        <v>1062</v>
      </c>
      <c r="D219" s="1" t="s">
        <v>1063</v>
      </c>
      <c r="E219" s="1" t="s">
        <v>991</v>
      </c>
      <c r="F219" s="1" t="s">
        <v>1064</v>
      </c>
      <c r="G219" s="1" t="s">
        <v>1065</v>
      </c>
      <c r="H219" s="1" t="s">
        <v>14</v>
      </c>
    </row>
    <row r="220" spans="1:8">
      <c r="A220" s="1" t="s">
        <v>1066</v>
      </c>
      <c r="B220" s="1" t="s">
        <v>9</v>
      </c>
      <c r="C220" s="1" t="s">
        <v>1067</v>
      </c>
      <c r="D220" s="1" t="s">
        <v>174</v>
      </c>
      <c r="E220" s="1" t="s">
        <v>174</v>
      </c>
      <c r="F220" s="1" t="s">
        <v>1068</v>
      </c>
      <c r="G220" s="1" t="s">
        <v>1069</v>
      </c>
      <c r="H220" s="1" t="s">
        <v>1070</v>
      </c>
    </row>
    <row r="221" spans="1:8">
      <c r="A221" s="1" t="s">
        <v>1071</v>
      </c>
      <c r="B221" s="1" t="s">
        <v>9</v>
      </c>
      <c r="C221" s="1" t="s">
        <v>1072</v>
      </c>
      <c r="D221" s="1" t="s">
        <v>1073</v>
      </c>
      <c r="E221" s="1" t="s">
        <v>174</v>
      </c>
      <c r="F221" s="1" t="s">
        <v>1074</v>
      </c>
      <c r="G221" s="1" t="s">
        <v>1075</v>
      </c>
      <c r="H221" s="1" t="s">
        <v>1076</v>
      </c>
    </row>
    <row r="222" spans="1:8">
      <c r="A222" s="1" t="s">
        <v>1077</v>
      </c>
      <c r="B222" s="1" t="s">
        <v>9</v>
      </c>
      <c r="C222" s="1" t="s">
        <v>1078</v>
      </c>
      <c r="D222" s="1" t="s">
        <v>1079</v>
      </c>
      <c r="E222" s="1" t="s">
        <v>174</v>
      </c>
      <c r="F222" s="1" t="s">
        <v>23</v>
      </c>
      <c r="G222" s="1" t="s">
        <v>1080</v>
      </c>
      <c r="H222" s="1" t="s">
        <v>14</v>
      </c>
    </row>
    <row r="223" spans="1:8">
      <c r="A223" s="1" t="s">
        <v>1081</v>
      </c>
      <c r="B223" s="1" t="s">
        <v>9</v>
      </c>
      <c r="C223" s="1" t="s">
        <v>1082</v>
      </c>
      <c r="D223" s="1" t="s">
        <v>1083</v>
      </c>
      <c r="E223" s="1" t="s">
        <v>174</v>
      </c>
      <c r="F223" s="1" t="s">
        <v>1084</v>
      </c>
      <c r="G223" s="1" t="s">
        <v>1085</v>
      </c>
      <c r="H223" s="1" t="s">
        <v>14</v>
      </c>
    </row>
    <row r="224" spans="1:8">
      <c r="A224" s="1" t="s">
        <v>1086</v>
      </c>
      <c r="B224" s="1" t="s">
        <v>9</v>
      </c>
      <c r="C224" s="1" t="s">
        <v>1087</v>
      </c>
      <c r="D224" s="1" t="s">
        <v>1073</v>
      </c>
      <c r="E224" s="1" t="s">
        <v>174</v>
      </c>
      <c r="F224" s="1" t="s">
        <v>23</v>
      </c>
      <c r="G224" s="1" t="s">
        <v>1088</v>
      </c>
      <c r="H224" s="1" t="s">
        <v>14</v>
      </c>
    </row>
    <row r="225" spans="1:8">
      <c r="A225" s="1" t="s">
        <v>1089</v>
      </c>
      <c r="B225" s="1" t="s">
        <v>9</v>
      </c>
      <c r="C225" s="1" t="s">
        <v>1090</v>
      </c>
      <c r="D225" s="1" t="s">
        <v>1091</v>
      </c>
      <c r="E225" s="1" t="s">
        <v>189</v>
      </c>
      <c r="F225" s="1" t="s">
        <v>1092</v>
      </c>
      <c r="G225" s="1" t="s">
        <v>1093</v>
      </c>
      <c r="H225" s="1" t="s">
        <v>1094</v>
      </c>
    </row>
    <row r="226" spans="1:8">
      <c r="A226" s="1" t="s">
        <v>1095</v>
      </c>
      <c r="B226" s="1" t="s">
        <v>9</v>
      </c>
      <c r="C226" s="1" t="s">
        <v>1096</v>
      </c>
      <c r="D226" s="1" t="s">
        <v>1097</v>
      </c>
      <c r="E226" s="1" t="s">
        <v>591</v>
      </c>
      <c r="F226" s="1" t="s">
        <v>1098</v>
      </c>
      <c r="G226" s="1" t="s">
        <v>1099</v>
      </c>
      <c r="H226" s="1" t="s">
        <v>1100</v>
      </c>
    </row>
    <row r="227" spans="1:8">
      <c r="A227" s="1" t="s">
        <v>1101</v>
      </c>
      <c r="B227" s="1" t="s">
        <v>9</v>
      </c>
      <c r="C227" s="1" t="s">
        <v>1102</v>
      </c>
      <c r="D227" s="1" t="s">
        <v>934</v>
      </c>
      <c r="E227" s="1" t="s">
        <v>934</v>
      </c>
      <c r="F227" s="1" t="s">
        <v>1103</v>
      </c>
      <c r="G227" s="1" t="s">
        <v>1104</v>
      </c>
      <c r="H227" s="1" t="s">
        <v>1105</v>
      </c>
    </row>
    <row r="228" spans="1:8">
      <c r="A228" s="1" t="s">
        <v>1106</v>
      </c>
      <c r="B228" s="1" t="s">
        <v>9</v>
      </c>
      <c r="C228" s="1" t="s">
        <v>1107</v>
      </c>
      <c r="D228" s="1" t="s">
        <v>934</v>
      </c>
      <c r="E228" s="1" t="s">
        <v>934</v>
      </c>
      <c r="F228" s="1" t="s">
        <v>1108</v>
      </c>
      <c r="G228" s="1" t="s">
        <v>1109</v>
      </c>
      <c r="H228" s="1" t="s">
        <v>1110</v>
      </c>
    </row>
    <row r="229" spans="1:8">
      <c r="A229" s="1" t="s">
        <v>1111</v>
      </c>
      <c r="B229" s="1" t="s">
        <v>9</v>
      </c>
      <c r="C229" s="1" t="s">
        <v>1112</v>
      </c>
      <c r="D229" s="1" t="s">
        <v>1113</v>
      </c>
      <c r="E229" s="1" t="s">
        <v>934</v>
      </c>
      <c r="F229" s="1" t="s">
        <v>23</v>
      </c>
      <c r="G229" s="1" t="s">
        <v>23</v>
      </c>
      <c r="H229" s="1" t="s">
        <v>14</v>
      </c>
    </row>
    <row r="230" spans="1:8">
      <c r="A230" s="1" t="s">
        <v>1114</v>
      </c>
      <c r="B230" s="1" t="s">
        <v>9</v>
      </c>
      <c r="C230" s="1" t="s">
        <v>1115</v>
      </c>
      <c r="D230" s="1" t="s">
        <v>1116</v>
      </c>
      <c r="E230" s="1" t="s">
        <v>996</v>
      </c>
      <c r="F230" s="1" t="s">
        <v>23</v>
      </c>
      <c r="G230" s="1" t="s">
        <v>1117</v>
      </c>
      <c r="H230" s="1" t="s">
        <v>14</v>
      </c>
    </row>
    <row r="231" spans="1:8">
      <c r="A231" s="1" t="s">
        <v>1118</v>
      </c>
      <c r="B231" s="1" t="s">
        <v>9</v>
      </c>
      <c r="C231" s="1" t="s">
        <v>1119</v>
      </c>
      <c r="D231" s="1" t="s">
        <v>189</v>
      </c>
      <c r="E231" s="1" t="s">
        <v>189</v>
      </c>
      <c r="F231" s="1" t="s">
        <v>1120</v>
      </c>
      <c r="G231" s="1" t="s">
        <v>1121</v>
      </c>
      <c r="H231" s="1" t="s">
        <v>1122</v>
      </c>
    </row>
    <row r="232" spans="1:8">
      <c r="A232" s="1" t="s">
        <v>1123</v>
      </c>
      <c r="B232" s="1" t="s">
        <v>9</v>
      </c>
      <c r="C232" s="1" t="s">
        <v>1124</v>
      </c>
      <c r="D232" s="1" t="s">
        <v>189</v>
      </c>
      <c r="E232" s="1" t="s">
        <v>189</v>
      </c>
      <c r="F232" s="1" t="s">
        <v>1125</v>
      </c>
      <c r="G232" s="1" t="s">
        <v>1126</v>
      </c>
      <c r="H232" s="1" t="s">
        <v>1127</v>
      </c>
    </row>
    <row r="233" spans="1:8">
      <c r="A233" s="1" t="s">
        <v>1128</v>
      </c>
      <c r="B233" s="1" t="s">
        <v>9</v>
      </c>
      <c r="C233" s="1" t="s">
        <v>1129</v>
      </c>
      <c r="D233" s="1" t="s">
        <v>189</v>
      </c>
      <c r="E233" s="1" t="s">
        <v>189</v>
      </c>
      <c r="F233" s="1" t="s">
        <v>1130</v>
      </c>
      <c r="G233" s="1" t="s">
        <v>1131</v>
      </c>
      <c r="H233" s="1" t="s">
        <v>14</v>
      </c>
    </row>
    <row r="234" spans="1:8">
      <c r="A234" s="1" t="s">
        <v>1132</v>
      </c>
      <c r="B234" s="1" t="s">
        <v>9</v>
      </c>
      <c r="C234" s="1" t="s">
        <v>1133</v>
      </c>
      <c r="D234" s="1" t="s">
        <v>1134</v>
      </c>
      <c r="E234" s="1" t="s">
        <v>189</v>
      </c>
      <c r="F234" s="1" t="s">
        <v>1135</v>
      </c>
      <c r="G234" s="1" t="s">
        <v>1136</v>
      </c>
      <c r="H234" s="1" t="s">
        <v>1137</v>
      </c>
    </row>
    <row r="235" spans="1:8">
      <c r="A235" s="1" t="s">
        <v>1138</v>
      </c>
      <c r="B235" s="1" t="s">
        <v>9</v>
      </c>
      <c r="C235" s="1" t="s">
        <v>1139</v>
      </c>
      <c r="D235" s="1" t="s">
        <v>189</v>
      </c>
      <c r="E235" s="1" t="s">
        <v>189</v>
      </c>
      <c r="F235" s="1" t="s">
        <v>1140</v>
      </c>
      <c r="G235" s="1" t="s">
        <v>1141</v>
      </c>
      <c r="H235" s="1" t="s">
        <v>1142</v>
      </c>
    </row>
    <row r="236" spans="1:8">
      <c r="A236" s="1" t="s">
        <v>1143</v>
      </c>
      <c r="B236" s="1" t="s">
        <v>9</v>
      </c>
      <c r="C236" s="1" t="s">
        <v>1144</v>
      </c>
      <c r="D236" s="1" t="s">
        <v>1134</v>
      </c>
      <c r="E236" s="1" t="s">
        <v>189</v>
      </c>
      <c r="F236" s="1" t="s">
        <v>1145</v>
      </c>
      <c r="G236" s="1" t="s">
        <v>1146</v>
      </c>
      <c r="H236" s="1" t="s">
        <v>1147</v>
      </c>
    </row>
    <row r="237" spans="1:8">
      <c r="A237" s="1" t="s">
        <v>1148</v>
      </c>
      <c r="B237" s="1" t="s">
        <v>9</v>
      </c>
      <c r="C237" s="1" t="s">
        <v>1149</v>
      </c>
      <c r="D237" s="1" t="s">
        <v>189</v>
      </c>
      <c r="E237" s="1" t="s">
        <v>189</v>
      </c>
      <c r="F237" s="1" t="s">
        <v>1150</v>
      </c>
      <c r="G237" s="1" t="s">
        <v>1151</v>
      </c>
      <c r="H237" s="1" t="s">
        <v>1152</v>
      </c>
    </row>
    <row r="238" spans="1:8">
      <c r="A238" s="1" t="s">
        <v>1153</v>
      </c>
      <c r="B238" s="1" t="s">
        <v>9</v>
      </c>
      <c r="C238" s="1" t="s">
        <v>1154</v>
      </c>
      <c r="D238" s="1" t="s">
        <v>1155</v>
      </c>
      <c r="E238" s="1" t="s">
        <v>189</v>
      </c>
      <c r="F238" s="1" t="s">
        <v>23</v>
      </c>
      <c r="G238" s="1" t="s">
        <v>1156</v>
      </c>
      <c r="H238" s="1" t="s">
        <v>14</v>
      </c>
    </row>
    <row r="239" spans="1:8">
      <c r="A239" s="1" t="s">
        <v>1157</v>
      </c>
      <c r="B239" s="1" t="s">
        <v>9</v>
      </c>
      <c r="C239" s="1" t="s">
        <v>1158</v>
      </c>
      <c r="D239" s="1" t="s">
        <v>189</v>
      </c>
      <c r="E239" s="1" t="s">
        <v>189</v>
      </c>
      <c r="F239" s="1" t="s">
        <v>1159</v>
      </c>
      <c r="G239" s="1" t="s">
        <v>1160</v>
      </c>
      <c r="H239" s="1" t="s">
        <v>1161</v>
      </c>
    </row>
    <row r="240" spans="1:8">
      <c r="A240" s="1" t="s">
        <v>1162</v>
      </c>
      <c r="B240" s="1" t="s">
        <v>9</v>
      </c>
      <c r="C240" s="1" t="s">
        <v>1119</v>
      </c>
      <c r="D240" s="1" t="s">
        <v>189</v>
      </c>
      <c r="E240" s="1" t="s">
        <v>189</v>
      </c>
      <c r="F240" s="1" t="s">
        <v>1163</v>
      </c>
      <c r="G240" s="1" t="s">
        <v>23</v>
      </c>
      <c r="H240" s="1" t="s">
        <v>14</v>
      </c>
    </row>
    <row r="241" spans="1:8">
      <c r="A241" s="1" t="s">
        <v>1164</v>
      </c>
      <c r="B241" s="1" t="s">
        <v>9</v>
      </c>
      <c r="C241" s="1" t="s">
        <v>1165</v>
      </c>
      <c r="D241" s="1" t="s">
        <v>189</v>
      </c>
      <c r="E241" s="1" t="s">
        <v>189</v>
      </c>
      <c r="F241" s="1" t="s">
        <v>23</v>
      </c>
      <c r="G241" s="1" t="s">
        <v>23</v>
      </c>
      <c r="H241" s="1" t="s">
        <v>14</v>
      </c>
    </row>
    <row r="242" spans="1:8">
      <c r="A242" s="1" t="s">
        <v>1166</v>
      </c>
      <c r="B242" s="1" t="s">
        <v>9</v>
      </c>
      <c r="C242" s="1" t="s">
        <v>1167</v>
      </c>
      <c r="D242" s="1" t="s">
        <v>1134</v>
      </c>
      <c r="E242" s="1" t="s">
        <v>189</v>
      </c>
      <c r="F242" s="1" t="s">
        <v>23</v>
      </c>
      <c r="G242" s="1" t="s">
        <v>1168</v>
      </c>
      <c r="H242" s="1" t="s">
        <v>14</v>
      </c>
    </row>
    <row r="243" spans="1:8">
      <c r="A243" s="1" t="s">
        <v>1169</v>
      </c>
      <c r="B243" s="1" t="s">
        <v>9</v>
      </c>
      <c r="C243" s="1" t="s">
        <v>1170</v>
      </c>
      <c r="D243" s="1" t="s">
        <v>1171</v>
      </c>
      <c r="E243" s="1" t="s">
        <v>189</v>
      </c>
      <c r="F243" s="1" t="s">
        <v>1172</v>
      </c>
      <c r="G243" s="1" t="s">
        <v>1173</v>
      </c>
      <c r="H243" s="1" t="s">
        <v>1174</v>
      </c>
    </row>
    <row r="244" spans="1:8">
      <c r="A244" s="1" t="s">
        <v>1175</v>
      </c>
      <c r="B244" s="1" t="s">
        <v>9</v>
      </c>
      <c r="C244" s="1" t="s">
        <v>1176</v>
      </c>
      <c r="D244" s="1" t="s">
        <v>1171</v>
      </c>
      <c r="E244" s="1" t="s">
        <v>189</v>
      </c>
      <c r="F244" s="1" t="s">
        <v>23</v>
      </c>
      <c r="G244" s="1" t="s">
        <v>23</v>
      </c>
      <c r="H244" s="1" t="s">
        <v>14</v>
      </c>
    </row>
    <row r="245" spans="1:8">
      <c r="A245" s="1" t="s">
        <v>1177</v>
      </c>
      <c r="B245" s="1" t="s">
        <v>9</v>
      </c>
      <c r="C245" s="1" t="s">
        <v>1178</v>
      </c>
      <c r="D245" s="1" t="s">
        <v>1179</v>
      </c>
      <c r="E245" s="1" t="s">
        <v>189</v>
      </c>
      <c r="F245" s="1" t="s">
        <v>1180</v>
      </c>
      <c r="G245" s="1" t="s">
        <v>1181</v>
      </c>
      <c r="H245" s="1" t="s">
        <v>1182</v>
      </c>
    </row>
    <row r="246" spans="1:8">
      <c r="A246" s="1" t="s">
        <v>1183</v>
      </c>
      <c r="B246" s="1" t="s">
        <v>9</v>
      </c>
      <c r="C246" s="1" t="s">
        <v>1184</v>
      </c>
      <c r="D246" s="1" t="s">
        <v>1185</v>
      </c>
      <c r="E246" s="1" t="s">
        <v>189</v>
      </c>
      <c r="F246" s="1" t="s">
        <v>1186</v>
      </c>
      <c r="G246" s="1" t="s">
        <v>1187</v>
      </c>
      <c r="H246" s="1" t="s">
        <v>1188</v>
      </c>
    </row>
    <row r="247" spans="1:8">
      <c r="A247" s="1" t="s">
        <v>1189</v>
      </c>
      <c r="B247" s="1" t="s">
        <v>9</v>
      </c>
      <c r="C247" s="1" t="s">
        <v>1190</v>
      </c>
      <c r="D247" s="1" t="s">
        <v>1191</v>
      </c>
      <c r="E247" s="1" t="s">
        <v>189</v>
      </c>
      <c r="F247" s="1" t="s">
        <v>1192</v>
      </c>
      <c r="G247" s="1" t="s">
        <v>1193</v>
      </c>
      <c r="H247" s="1" t="s">
        <v>1194</v>
      </c>
    </row>
    <row r="248" spans="1:8">
      <c r="A248" s="1" t="s">
        <v>1195</v>
      </c>
      <c r="B248" s="1" t="s">
        <v>9</v>
      </c>
      <c r="C248" s="1" t="s">
        <v>1196</v>
      </c>
      <c r="D248" s="1" t="s">
        <v>189</v>
      </c>
      <c r="E248" s="1" t="s">
        <v>189</v>
      </c>
      <c r="F248" s="1" t="s">
        <v>1197</v>
      </c>
      <c r="G248" s="1" t="s">
        <v>1198</v>
      </c>
      <c r="H248" s="1" t="s">
        <v>14</v>
      </c>
    </row>
    <row r="249" spans="1:8">
      <c r="A249" s="1" t="s">
        <v>1128</v>
      </c>
      <c r="B249" s="1" t="s">
        <v>9</v>
      </c>
      <c r="C249" s="1" t="s">
        <v>1199</v>
      </c>
      <c r="D249" s="1" t="s">
        <v>1200</v>
      </c>
      <c r="E249" s="1" t="s">
        <v>189</v>
      </c>
      <c r="F249" s="1" t="s">
        <v>1130</v>
      </c>
      <c r="G249" s="1" t="s">
        <v>1201</v>
      </c>
      <c r="H249" s="1" t="s">
        <v>14</v>
      </c>
    </row>
    <row r="250" spans="1:8">
      <c r="A250" s="1" t="s">
        <v>1202</v>
      </c>
      <c r="B250" s="1" t="s">
        <v>9</v>
      </c>
      <c r="C250" s="1" t="s">
        <v>1203</v>
      </c>
      <c r="D250" s="1" t="s">
        <v>1204</v>
      </c>
      <c r="E250" s="1" t="s">
        <v>189</v>
      </c>
      <c r="F250" s="1" t="s">
        <v>1140</v>
      </c>
      <c r="G250" s="1" t="s">
        <v>1205</v>
      </c>
      <c r="H250" s="1" t="s">
        <v>1142</v>
      </c>
    </row>
    <row r="251" spans="1:8">
      <c r="A251" s="1" t="s">
        <v>1206</v>
      </c>
      <c r="B251" s="1" t="s">
        <v>9</v>
      </c>
      <c r="C251" s="1" t="s">
        <v>1207</v>
      </c>
      <c r="D251" s="1" t="s">
        <v>1208</v>
      </c>
      <c r="E251" s="1" t="s">
        <v>189</v>
      </c>
      <c r="F251" s="1" t="s">
        <v>1209</v>
      </c>
      <c r="G251" s="1" t="s">
        <v>1210</v>
      </c>
      <c r="H251" s="1" t="s">
        <v>1211</v>
      </c>
    </row>
    <row r="252" spans="1:8">
      <c r="A252" s="1" t="s">
        <v>1212</v>
      </c>
      <c r="B252" s="1" t="s">
        <v>9</v>
      </c>
      <c r="C252" s="1" t="s">
        <v>1213</v>
      </c>
      <c r="D252" s="1" t="s">
        <v>1214</v>
      </c>
      <c r="E252" s="1" t="s">
        <v>189</v>
      </c>
      <c r="F252" s="1" t="s">
        <v>1130</v>
      </c>
      <c r="G252" s="1" t="s">
        <v>1215</v>
      </c>
      <c r="H252" s="1" t="s">
        <v>14</v>
      </c>
    </row>
    <row r="253" spans="1:8">
      <c r="A253" s="1" t="s">
        <v>1216</v>
      </c>
      <c r="B253" s="1" t="s">
        <v>9</v>
      </c>
      <c r="C253" s="1" t="s">
        <v>1217</v>
      </c>
      <c r="D253" s="1" t="s">
        <v>1218</v>
      </c>
      <c r="E253" s="1" t="s">
        <v>189</v>
      </c>
      <c r="F253" s="1" t="s">
        <v>1219</v>
      </c>
      <c r="G253" s="1" t="s">
        <v>1220</v>
      </c>
      <c r="H253" s="1" t="s">
        <v>1221</v>
      </c>
    </row>
    <row r="254" spans="1:8">
      <c r="A254" s="1" t="s">
        <v>1222</v>
      </c>
      <c r="B254" s="1" t="s">
        <v>9</v>
      </c>
      <c r="C254" s="1" t="s">
        <v>1223</v>
      </c>
      <c r="D254" s="1" t="s">
        <v>1218</v>
      </c>
      <c r="E254" s="1" t="s">
        <v>189</v>
      </c>
      <c r="F254" s="1" t="s">
        <v>1224</v>
      </c>
      <c r="G254" s="1" t="s">
        <v>1225</v>
      </c>
      <c r="H254" s="1" t="s">
        <v>1226</v>
      </c>
    </row>
    <row r="255" spans="1:8">
      <c r="A255" s="1" t="s">
        <v>1212</v>
      </c>
      <c r="B255" s="1" t="s">
        <v>9</v>
      </c>
      <c r="C255" s="1" t="s">
        <v>1227</v>
      </c>
      <c r="D255" s="1" t="s">
        <v>1218</v>
      </c>
      <c r="E255" s="1" t="s">
        <v>189</v>
      </c>
      <c r="F255" s="1" t="s">
        <v>1228</v>
      </c>
      <c r="G255" s="1" t="s">
        <v>1229</v>
      </c>
      <c r="H255" s="1" t="s">
        <v>14</v>
      </c>
    </row>
    <row r="256" spans="1:8">
      <c r="A256" s="1" t="s">
        <v>1230</v>
      </c>
      <c r="B256" s="1" t="s">
        <v>9</v>
      </c>
      <c r="C256" s="1" t="s">
        <v>583</v>
      </c>
      <c r="D256" s="1" t="s">
        <v>584</v>
      </c>
      <c r="E256" s="1" t="s">
        <v>528</v>
      </c>
      <c r="F256" s="1" t="s">
        <v>585</v>
      </c>
      <c r="G256" s="1" t="s">
        <v>586</v>
      </c>
      <c r="H256" s="1" t="s">
        <v>587</v>
      </c>
    </row>
    <row r="257" spans="1:8">
      <c r="A257" s="1" t="s">
        <v>1231</v>
      </c>
      <c r="B257" s="1" t="s">
        <v>9</v>
      </c>
      <c r="C257" s="1" t="s">
        <v>1232</v>
      </c>
      <c r="D257" s="1" t="s">
        <v>1233</v>
      </c>
      <c r="E257" s="1" t="s">
        <v>189</v>
      </c>
      <c r="F257" s="1" t="s">
        <v>1234</v>
      </c>
      <c r="G257" s="1" t="s">
        <v>1235</v>
      </c>
      <c r="H257" s="1" t="s">
        <v>14</v>
      </c>
    </row>
    <row r="258" spans="1:8">
      <c r="A258" s="1" t="s">
        <v>1236</v>
      </c>
      <c r="B258" s="1" t="s">
        <v>9</v>
      </c>
      <c r="C258" s="1" t="s">
        <v>1237</v>
      </c>
      <c r="D258" s="1" t="s">
        <v>1238</v>
      </c>
      <c r="E258" s="1" t="s">
        <v>189</v>
      </c>
      <c r="F258" s="1" t="s">
        <v>23</v>
      </c>
      <c r="G258" s="1" t="s">
        <v>1239</v>
      </c>
      <c r="H258" s="1" t="s">
        <v>14</v>
      </c>
    </row>
    <row r="259" spans="1:8">
      <c r="A259" s="1" t="s">
        <v>1240</v>
      </c>
      <c r="B259" s="1" t="s">
        <v>9</v>
      </c>
      <c r="C259" s="1" t="s">
        <v>1241</v>
      </c>
      <c r="D259" s="1" t="s">
        <v>1242</v>
      </c>
      <c r="E259" s="1" t="s">
        <v>189</v>
      </c>
      <c r="F259" s="1" t="s">
        <v>23</v>
      </c>
      <c r="G259" s="1" t="s">
        <v>1243</v>
      </c>
      <c r="H259" s="1" t="s">
        <v>14</v>
      </c>
    </row>
    <row r="260" spans="1:8">
      <c r="A260" s="1" t="s">
        <v>1244</v>
      </c>
      <c r="B260" s="1" t="s">
        <v>9</v>
      </c>
      <c r="C260" s="1" t="s">
        <v>1245</v>
      </c>
      <c r="D260" s="1" t="s">
        <v>1246</v>
      </c>
      <c r="E260" s="1" t="s">
        <v>189</v>
      </c>
      <c r="F260" s="1" t="s">
        <v>1247</v>
      </c>
      <c r="G260" s="1" t="s">
        <v>1248</v>
      </c>
      <c r="H260" s="1" t="s">
        <v>1249</v>
      </c>
    </row>
    <row r="261" spans="1:8">
      <c r="A261" s="1" t="s">
        <v>1250</v>
      </c>
      <c r="B261" s="1" t="s">
        <v>9</v>
      </c>
      <c r="C261" s="1" t="s">
        <v>1251</v>
      </c>
      <c r="D261" s="1" t="s">
        <v>1252</v>
      </c>
      <c r="E261" s="1" t="s">
        <v>1253</v>
      </c>
      <c r="F261" s="1" t="s">
        <v>1254</v>
      </c>
      <c r="G261" s="1" t="s">
        <v>1255</v>
      </c>
      <c r="H261" s="1" t="s">
        <v>14</v>
      </c>
    </row>
    <row r="262" spans="1:8">
      <c r="A262" s="1" t="s">
        <v>1256</v>
      </c>
      <c r="B262" s="1" t="s">
        <v>9</v>
      </c>
      <c r="C262" s="1" t="s">
        <v>1257</v>
      </c>
      <c r="D262" s="1" t="s">
        <v>1258</v>
      </c>
      <c r="E262" s="1" t="s">
        <v>1259</v>
      </c>
      <c r="F262" s="1" t="s">
        <v>23</v>
      </c>
      <c r="G262" s="1" t="s">
        <v>1260</v>
      </c>
      <c r="H262" s="1" t="s">
        <v>14</v>
      </c>
    </row>
    <row r="263" spans="1:8">
      <c r="A263" s="1" t="s">
        <v>1261</v>
      </c>
      <c r="B263" s="1" t="s">
        <v>9</v>
      </c>
      <c r="C263" s="1" t="s">
        <v>1262</v>
      </c>
      <c r="D263" s="1" t="s">
        <v>1263</v>
      </c>
      <c r="E263" s="1" t="s">
        <v>1259</v>
      </c>
      <c r="F263" s="1" t="s">
        <v>1264</v>
      </c>
      <c r="G263" s="1" t="s">
        <v>1265</v>
      </c>
      <c r="H263" s="1" t="s">
        <v>1266</v>
      </c>
    </row>
    <row r="264" spans="1:8">
      <c r="A264" s="1" t="s">
        <v>1267</v>
      </c>
      <c r="B264" s="1" t="s">
        <v>9</v>
      </c>
      <c r="C264" s="1" t="s">
        <v>1268</v>
      </c>
      <c r="D264" s="1" t="s">
        <v>1269</v>
      </c>
      <c r="E264" s="1" t="s">
        <v>1259</v>
      </c>
      <c r="F264" s="1" t="s">
        <v>1270</v>
      </c>
      <c r="G264" s="1" t="s">
        <v>1271</v>
      </c>
      <c r="H264" s="1" t="s">
        <v>1272</v>
      </c>
    </row>
    <row r="265" spans="1:8">
      <c r="A265" s="1" t="s">
        <v>1273</v>
      </c>
      <c r="B265" s="1" t="s">
        <v>9</v>
      </c>
      <c r="C265" s="1" t="s">
        <v>1274</v>
      </c>
      <c r="D265" s="1" t="s">
        <v>1275</v>
      </c>
      <c r="E265" s="1" t="s">
        <v>1259</v>
      </c>
      <c r="F265" s="1" t="s">
        <v>1276</v>
      </c>
      <c r="G265" s="1" t="s">
        <v>1277</v>
      </c>
      <c r="H265" s="1" t="s">
        <v>1278</v>
      </c>
    </row>
    <row r="266" spans="1:8">
      <c r="A266" s="1" t="s">
        <v>1279</v>
      </c>
      <c r="B266" s="1" t="s">
        <v>9</v>
      </c>
      <c r="C266" s="1" t="s">
        <v>1280</v>
      </c>
      <c r="D266" s="1" t="s">
        <v>1281</v>
      </c>
      <c r="E266" s="1" t="s">
        <v>1259</v>
      </c>
      <c r="F266" s="1" t="s">
        <v>23</v>
      </c>
      <c r="G266" s="1" t="s">
        <v>23</v>
      </c>
      <c r="H266" s="1" t="s">
        <v>14</v>
      </c>
    </row>
    <row r="267" spans="1:8">
      <c r="A267" s="1" t="s">
        <v>1282</v>
      </c>
      <c r="B267" s="1" t="s">
        <v>9</v>
      </c>
      <c r="C267" s="1" t="s">
        <v>1283</v>
      </c>
      <c r="D267" s="1" t="s">
        <v>1284</v>
      </c>
      <c r="E267" s="1" t="s">
        <v>1259</v>
      </c>
      <c r="F267" s="1" t="s">
        <v>1285</v>
      </c>
      <c r="G267" s="1" t="s">
        <v>1286</v>
      </c>
      <c r="H267" s="1" t="s">
        <v>14</v>
      </c>
    </row>
    <row r="268" spans="1:8">
      <c r="A268" s="1" t="s">
        <v>1287</v>
      </c>
      <c r="B268" s="1" t="s">
        <v>9</v>
      </c>
      <c r="C268" s="1" t="s">
        <v>1288</v>
      </c>
      <c r="D268" s="1" t="s">
        <v>1289</v>
      </c>
      <c r="E268" s="1" t="s">
        <v>1259</v>
      </c>
      <c r="F268" s="1" t="s">
        <v>1290</v>
      </c>
      <c r="G268" s="1" t="s">
        <v>1291</v>
      </c>
      <c r="H268" s="1" t="s">
        <v>1292</v>
      </c>
    </row>
    <row r="269" spans="1:8">
      <c r="A269" s="1" t="s">
        <v>1293</v>
      </c>
      <c r="B269" s="1" t="s">
        <v>9</v>
      </c>
      <c r="C269" s="1" t="s">
        <v>1294</v>
      </c>
      <c r="D269" s="1" t="s">
        <v>1295</v>
      </c>
      <c r="E269" s="1" t="s">
        <v>1259</v>
      </c>
      <c r="F269" s="1" t="s">
        <v>1296</v>
      </c>
      <c r="G269" s="1" t="s">
        <v>1297</v>
      </c>
      <c r="H269" s="1" t="s">
        <v>1298</v>
      </c>
    </row>
    <row r="270" spans="1:8">
      <c r="A270" s="1" t="s">
        <v>1212</v>
      </c>
      <c r="B270" s="1" t="s">
        <v>9</v>
      </c>
      <c r="C270" s="1" t="s">
        <v>1299</v>
      </c>
      <c r="D270" s="1" t="s">
        <v>1269</v>
      </c>
      <c r="E270" s="1" t="s">
        <v>1259</v>
      </c>
      <c r="F270" s="1" t="s">
        <v>23</v>
      </c>
      <c r="G270" s="1" t="s">
        <v>23</v>
      </c>
      <c r="H270" s="1" t="s">
        <v>14</v>
      </c>
    </row>
    <row r="271" spans="1:8">
      <c r="A271" s="1" t="s">
        <v>1300</v>
      </c>
      <c r="B271" s="1" t="s">
        <v>9</v>
      </c>
      <c r="C271" s="1" t="s">
        <v>1301</v>
      </c>
      <c r="D271" s="1" t="s">
        <v>1302</v>
      </c>
      <c r="E271" s="1" t="s">
        <v>1259</v>
      </c>
      <c r="F271" s="1" t="s">
        <v>216</v>
      </c>
      <c r="G271" s="1" t="s">
        <v>1303</v>
      </c>
      <c r="H271" s="1" t="s">
        <v>14</v>
      </c>
    </row>
    <row r="272" spans="1:8">
      <c r="A272" s="1" t="s">
        <v>1304</v>
      </c>
      <c r="B272" s="1" t="s">
        <v>9</v>
      </c>
      <c r="C272" s="1" t="s">
        <v>1305</v>
      </c>
      <c r="D272" s="1" t="s">
        <v>1306</v>
      </c>
      <c r="E272" s="1" t="s">
        <v>1259</v>
      </c>
      <c r="F272" s="1" t="s">
        <v>1307</v>
      </c>
      <c r="G272" s="1" t="s">
        <v>1308</v>
      </c>
      <c r="H272" s="1" t="s">
        <v>1309</v>
      </c>
    </row>
    <row r="273" spans="1:8">
      <c r="A273" s="1" t="s">
        <v>1310</v>
      </c>
      <c r="B273" s="1" t="s">
        <v>9</v>
      </c>
      <c r="C273" s="1" t="s">
        <v>1311</v>
      </c>
      <c r="D273" s="1" t="s">
        <v>1312</v>
      </c>
      <c r="E273" s="1" t="s">
        <v>1259</v>
      </c>
      <c r="F273" s="1" t="s">
        <v>1313</v>
      </c>
      <c r="G273" s="1" t="s">
        <v>1314</v>
      </c>
      <c r="H273" s="1" t="s">
        <v>14</v>
      </c>
    </row>
    <row r="274" spans="1:8">
      <c r="A274" s="1" t="s">
        <v>1315</v>
      </c>
      <c r="B274" s="1" t="s">
        <v>9</v>
      </c>
      <c r="C274" s="1" t="s">
        <v>1316</v>
      </c>
      <c r="D274" s="1" t="s">
        <v>1317</v>
      </c>
      <c r="E274" s="1" t="s">
        <v>1259</v>
      </c>
      <c r="F274" s="1" t="s">
        <v>1318</v>
      </c>
      <c r="G274" s="1" t="s">
        <v>1319</v>
      </c>
      <c r="H274" s="1" t="s">
        <v>535</v>
      </c>
    </row>
    <row r="275" spans="1:8">
      <c r="A275" s="1" t="s">
        <v>1320</v>
      </c>
      <c r="B275" s="1" t="s">
        <v>9</v>
      </c>
      <c r="C275" s="1" t="s">
        <v>1321</v>
      </c>
      <c r="D275" s="1" t="s">
        <v>1295</v>
      </c>
      <c r="E275" s="1" t="s">
        <v>1259</v>
      </c>
      <c r="F275" s="1" t="s">
        <v>1322</v>
      </c>
      <c r="G275" s="1" t="s">
        <v>1323</v>
      </c>
      <c r="H275" s="1" t="s">
        <v>1324</v>
      </c>
    </row>
    <row r="276" spans="1:8">
      <c r="A276" s="1" t="s">
        <v>1320</v>
      </c>
      <c r="B276" s="1" t="s">
        <v>9</v>
      </c>
      <c r="C276" s="1" t="s">
        <v>1325</v>
      </c>
      <c r="D276" s="1" t="s">
        <v>1326</v>
      </c>
      <c r="E276" s="1" t="s">
        <v>1259</v>
      </c>
      <c r="F276" s="1" t="s">
        <v>1322</v>
      </c>
      <c r="G276" s="1" t="s">
        <v>1327</v>
      </c>
      <c r="H276" s="1" t="s">
        <v>1324</v>
      </c>
    </row>
    <row r="277" spans="1:8">
      <c r="A277" s="1" t="s">
        <v>1328</v>
      </c>
      <c r="B277" s="1" t="s">
        <v>9</v>
      </c>
      <c r="C277" s="1" t="s">
        <v>1329</v>
      </c>
      <c r="D277" s="1" t="s">
        <v>1302</v>
      </c>
      <c r="E277" s="1" t="s">
        <v>1259</v>
      </c>
      <c r="F277" s="1" t="s">
        <v>1330</v>
      </c>
      <c r="G277" s="1" t="s">
        <v>1331</v>
      </c>
      <c r="H277" s="1" t="s">
        <v>1332</v>
      </c>
    </row>
    <row r="278" spans="1:8">
      <c r="A278" s="1" t="s">
        <v>1333</v>
      </c>
      <c r="B278" s="1" t="s">
        <v>9</v>
      </c>
      <c r="C278" s="1" t="s">
        <v>1334</v>
      </c>
      <c r="D278" s="1" t="s">
        <v>1269</v>
      </c>
      <c r="E278" s="1" t="s">
        <v>1259</v>
      </c>
      <c r="F278" s="1" t="s">
        <v>23</v>
      </c>
      <c r="G278" s="1" t="s">
        <v>1335</v>
      </c>
      <c r="H278" s="1" t="s">
        <v>14</v>
      </c>
    </row>
    <row r="279" spans="1:8">
      <c r="A279" s="1" t="s">
        <v>1336</v>
      </c>
      <c r="B279" s="1" t="s">
        <v>9</v>
      </c>
      <c r="C279" s="1" t="s">
        <v>1337</v>
      </c>
      <c r="D279" s="1" t="s">
        <v>1338</v>
      </c>
      <c r="E279" s="1" t="s">
        <v>1259</v>
      </c>
      <c r="F279" s="1" t="s">
        <v>1339</v>
      </c>
      <c r="G279" s="1" t="s">
        <v>1340</v>
      </c>
      <c r="H279" s="1" t="s">
        <v>14</v>
      </c>
    </row>
    <row r="280" spans="1:8">
      <c r="A280" s="1" t="s">
        <v>1341</v>
      </c>
      <c r="B280" s="1" t="s">
        <v>9</v>
      </c>
      <c r="C280" s="1" t="s">
        <v>1342</v>
      </c>
      <c r="D280" s="1" t="s">
        <v>1343</v>
      </c>
      <c r="E280" s="1" t="s">
        <v>1259</v>
      </c>
      <c r="F280" s="1" t="s">
        <v>23</v>
      </c>
      <c r="G280" s="1" t="s">
        <v>1344</v>
      </c>
      <c r="H280" s="1" t="s">
        <v>14</v>
      </c>
    </row>
    <row r="281" spans="1:8">
      <c r="A281" s="1" t="s">
        <v>1345</v>
      </c>
      <c r="B281" s="1" t="s">
        <v>9</v>
      </c>
      <c r="C281" s="1" t="s">
        <v>1346</v>
      </c>
      <c r="D281" s="1" t="s">
        <v>1233</v>
      </c>
      <c r="E281" s="1" t="s">
        <v>189</v>
      </c>
      <c r="F281" s="1" t="s">
        <v>1347</v>
      </c>
      <c r="G281" s="1" t="s">
        <v>1348</v>
      </c>
      <c r="H281" s="1" t="s">
        <v>1349</v>
      </c>
    </row>
    <row r="282" spans="1:8">
      <c r="A282" s="1" t="s">
        <v>1128</v>
      </c>
      <c r="B282" s="1" t="s">
        <v>9</v>
      </c>
      <c r="C282" s="1" t="s">
        <v>1350</v>
      </c>
      <c r="D282" s="1" t="s">
        <v>1258</v>
      </c>
      <c r="E282" s="1" t="s">
        <v>1259</v>
      </c>
      <c r="F282" s="1" t="s">
        <v>23</v>
      </c>
      <c r="G282" s="1" t="s">
        <v>1351</v>
      </c>
      <c r="H282" s="1" t="s">
        <v>14</v>
      </c>
    </row>
    <row r="283" spans="1:8">
      <c r="A283" s="1" t="s">
        <v>1352</v>
      </c>
      <c r="B283" s="1" t="s">
        <v>9</v>
      </c>
      <c r="C283" s="1" t="s">
        <v>1353</v>
      </c>
      <c r="D283" s="1" t="s">
        <v>1354</v>
      </c>
      <c r="E283" s="1" t="s">
        <v>1355</v>
      </c>
      <c r="F283" s="1" t="s">
        <v>1356</v>
      </c>
      <c r="G283" s="1" t="s">
        <v>1357</v>
      </c>
      <c r="H283" s="1" t="s">
        <v>1358</v>
      </c>
    </row>
    <row r="284" spans="1:8">
      <c r="A284" s="1" t="s">
        <v>1359</v>
      </c>
      <c r="B284" s="1" t="s">
        <v>9</v>
      </c>
      <c r="C284" s="1" t="s">
        <v>1360</v>
      </c>
      <c r="D284" s="1" t="s">
        <v>1361</v>
      </c>
      <c r="E284" s="1" t="s">
        <v>1355</v>
      </c>
      <c r="F284" s="1" t="s">
        <v>23</v>
      </c>
      <c r="G284" s="1" t="s">
        <v>1362</v>
      </c>
      <c r="H284" s="1" t="s">
        <v>14</v>
      </c>
    </row>
    <row r="285" spans="1:8">
      <c r="A285" s="1" t="s">
        <v>1363</v>
      </c>
      <c r="B285" s="1" t="s">
        <v>9</v>
      </c>
      <c r="C285" s="1" t="s">
        <v>1364</v>
      </c>
      <c r="D285" s="1" t="s">
        <v>1365</v>
      </c>
      <c r="E285" s="1" t="s">
        <v>1253</v>
      </c>
      <c r="F285" s="1" t="s">
        <v>1366</v>
      </c>
      <c r="G285" s="1" t="s">
        <v>1367</v>
      </c>
      <c r="H285" s="1" t="s">
        <v>14</v>
      </c>
    </row>
    <row r="286" spans="1:8">
      <c r="A286" s="1" t="s">
        <v>1368</v>
      </c>
      <c r="B286" s="1" t="s">
        <v>9</v>
      </c>
      <c r="C286" s="1" t="s">
        <v>1369</v>
      </c>
      <c r="D286" s="1" t="s">
        <v>1365</v>
      </c>
      <c r="E286" s="1" t="s">
        <v>1253</v>
      </c>
      <c r="F286" s="1" t="s">
        <v>1370</v>
      </c>
      <c r="G286" s="1" t="s">
        <v>1371</v>
      </c>
      <c r="H286" s="1" t="s">
        <v>1372</v>
      </c>
    </row>
    <row r="287" spans="1:8">
      <c r="A287" s="1" t="s">
        <v>1373</v>
      </c>
      <c r="B287" s="1" t="s">
        <v>9</v>
      </c>
      <c r="C287" s="1" t="s">
        <v>1374</v>
      </c>
      <c r="D287" s="1" t="s">
        <v>1375</v>
      </c>
      <c r="E287" s="1" t="s">
        <v>1253</v>
      </c>
      <c r="F287" s="1" t="s">
        <v>1376</v>
      </c>
      <c r="G287" s="1" t="s">
        <v>1377</v>
      </c>
      <c r="H287" s="1" t="s">
        <v>14</v>
      </c>
    </row>
    <row r="288" spans="1:8">
      <c r="A288" s="1" t="s">
        <v>1378</v>
      </c>
      <c r="B288" s="1" t="s">
        <v>9</v>
      </c>
      <c r="C288" s="1" t="s">
        <v>1379</v>
      </c>
      <c r="D288" s="1" t="s">
        <v>1380</v>
      </c>
      <c r="E288" s="1" t="s">
        <v>1381</v>
      </c>
      <c r="F288" s="1" t="s">
        <v>1382</v>
      </c>
      <c r="G288" s="1" t="s">
        <v>1383</v>
      </c>
      <c r="H288" s="1" t="s">
        <v>1384</v>
      </c>
    </row>
    <row r="289" spans="1:8">
      <c r="A289" s="1" t="s">
        <v>1385</v>
      </c>
      <c r="B289" s="1" t="s">
        <v>9</v>
      </c>
      <c r="C289" s="1" t="s">
        <v>1386</v>
      </c>
      <c r="D289" s="1" t="s">
        <v>446</v>
      </c>
      <c r="E289" s="1" t="s">
        <v>446</v>
      </c>
      <c r="F289" s="1" t="s">
        <v>1387</v>
      </c>
      <c r="G289" s="1" t="s">
        <v>1388</v>
      </c>
      <c r="H289" s="1" t="s">
        <v>1389</v>
      </c>
    </row>
    <row r="290" spans="1:8">
      <c r="A290" s="1" t="s">
        <v>1390</v>
      </c>
      <c r="B290" s="1" t="s">
        <v>9</v>
      </c>
      <c r="C290" s="1" t="s">
        <v>1391</v>
      </c>
      <c r="D290" s="1" t="s">
        <v>1392</v>
      </c>
      <c r="E290" s="1" t="s">
        <v>1253</v>
      </c>
      <c r="F290" s="1" t="s">
        <v>1393</v>
      </c>
      <c r="G290" s="1" t="s">
        <v>1394</v>
      </c>
      <c r="H290" s="1" t="s">
        <v>1395</v>
      </c>
    </row>
    <row r="291" spans="1:8">
      <c r="A291" s="1" t="s">
        <v>1396</v>
      </c>
      <c r="B291" s="1" t="s">
        <v>9</v>
      </c>
      <c r="C291" s="1" t="s">
        <v>1397</v>
      </c>
      <c r="D291" s="1" t="s">
        <v>1398</v>
      </c>
      <c r="E291" s="1" t="s">
        <v>1253</v>
      </c>
      <c r="F291" s="1" t="s">
        <v>1399</v>
      </c>
      <c r="G291" s="1" t="s">
        <v>1400</v>
      </c>
      <c r="H291" s="1" t="s">
        <v>14</v>
      </c>
    </row>
    <row r="292" spans="1:8">
      <c r="A292" s="1" t="s">
        <v>1401</v>
      </c>
      <c r="B292" s="1" t="s">
        <v>9</v>
      </c>
      <c r="C292" s="1" t="s">
        <v>1402</v>
      </c>
      <c r="D292" s="1" t="s">
        <v>1403</v>
      </c>
      <c r="E292" s="1" t="s">
        <v>1253</v>
      </c>
      <c r="F292" s="1" t="s">
        <v>1404</v>
      </c>
      <c r="G292" s="1" t="s">
        <v>1405</v>
      </c>
      <c r="H292" s="1" t="s">
        <v>1406</v>
      </c>
    </row>
    <row r="293" spans="1:8">
      <c r="A293" s="1" t="s">
        <v>1407</v>
      </c>
      <c r="B293" s="1" t="s">
        <v>9</v>
      </c>
      <c r="C293" s="1" t="s">
        <v>1408</v>
      </c>
      <c r="D293" s="1" t="s">
        <v>1409</v>
      </c>
      <c r="E293" s="1" t="s">
        <v>480</v>
      </c>
      <c r="F293" s="1" t="s">
        <v>1410</v>
      </c>
      <c r="G293" s="1" t="s">
        <v>1411</v>
      </c>
      <c r="H293" s="1" t="s">
        <v>14</v>
      </c>
    </row>
    <row r="294" spans="1:8">
      <c r="A294" s="1" t="s">
        <v>1412</v>
      </c>
      <c r="B294" s="1" t="s">
        <v>9</v>
      </c>
      <c r="C294" s="1" t="s">
        <v>1413</v>
      </c>
      <c r="D294" s="1" t="s">
        <v>1414</v>
      </c>
      <c r="E294" s="1" t="s">
        <v>189</v>
      </c>
      <c r="F294" s="1" t="s">
        <v>1415</v>
      </c>
      <c r="G294" s="1" t="s">
        <v>1416</v>
      </c>
      <c r="H294" s="1" t="s">
        <v>1417</v>
      </c>
    </row>
    <row r="295" spans="1:8">
      <c r="A295" s="1" t="s">
        <v>1418</v>
      </c>
      <c r="B295" s="1" t="s">
        <v>9</v>
      </c>
      <c r="C295" s="1" t="s">
        <v>1419</v>
      </c>
      <c r="D295" s="1" t="s">
        <v>1420</v>
      </c>
      <c r="E295" s="1" t="s">
        <v>473</v>
      </c>
      <c r="F295" s="1" t="s">
        <v>1421</v>
      </c>
      <c r="G295" s="1" t="s">
        <v>1422</v>
      </c>
      <c r="H295" s="1" t="s">
        <v>1423</v>
      </c>
    </row>
    <row r="296" spans="1:8">
      <c r="A296" s="1" t="s">
        <v>1424</v>
      </c>
      <c r="B296" s="1" t="s">
        <v>9</v>
      </c>
      <c r="C296" s="1" t="s">
        <v>1425</v>
      </c>
      <c r="D296" s="1" t="s">
        <v>108</v>
      </c>
      <c r="E296" s="1" t="s">
        <v>88</v>
      </c>
      <c r="F296" s="1" t="s">
        <v>23</v>
      </c>
      <c r="G296" s="1" t="s">
        <v>1426</v>
      </c>
      <c r="H296" s="1" t="s">
        <v>14</v>
      </c>
    </row>
    <row r="297" spans="1:8">
      <c r="A297" s="1" t="s">
        <v>1427</v>
      </c>
      <c r="B297" s="1" t="s">
        <v>9</v>
      </c>
      <c r="C297" s="1" t="s">
        <v>1428</v>
      </c>
      <c r="D297" s="1" t="s">
        <v>108</v>
      </c>
      <c r="E297" s="1" t="s">
        <v>88</v>
      </c>
      <c r="F297" s="1" t="s">
        <v>1429</v>
      </c>
      <c r="G297" s="1" t="s">
        <v>1430</v>
      </c>
      <c r="H297" s="1" t="s">
        <v>14</v>
      </c>
    </row>
    <row r="298" spans="1:8">
      <c r="A298" s="1" t="s">
        <v>1431</v>
      </c>
      <c r="B298" s="1" t="s">
        <v>9</v>
      </c>
      <c r="C298" s="1" t="s">
        <v>1432</v>
      </c>
      <c r="D298" s="1" t="s">
        <v>1433</v>
      </c>
      <c r="E298" s="1" t="s">
        <v>591</v>
      </c>
      <c r="F298" s="1" t="s">
        <v>1434</v>
      </c>
      <c r="G298" s="1" t="s">
        <v>1435</v>
      </c>
      <c r="H298" s="1" t="s">
        <v>14</v>
      </c>
    </row>
    <row r="299" spans="1:8">
      <c r="A299" s="1" t="s">
        <v>1436</v>
      </c>
      <c r="B299" s="1" t="s">
        <v>9</v>
      </c>
      <c r="C299" s="1" t="s">
        <v>1437</v>
      </c>
      <c r="D299" s="1" t="s">
        <v>1438</v>
      </c>
      <c r="E299" s="1" t="s">
        <v>591</v>
      </c>
      <c r="F299" s="1" t="s">
        <v>23</v>
      </c>
      <c r="G299" s="1" t="s">
        <v>1439</v>
      </c>
      <c r="H299" s="1" t="s">
        <v>14</v>
      </c>
    </row>
    <row r="300" spans="1:8">
      <c r="A300" s="1" t="s">
        <v>1440</v>
      </c>
      <c r="B300" s="1" t="s">
        <v>9</v>
      </c>
      <c r="C300" s="1" t="s">
        <v>1441</v>
      </c>
      <c r="D300" s="1" t="s">
        <v>1442</v>
      </c>
      <c r="E300" s="1" t="s">
        <v>591</v>
      </c>
      <c r="F300" s="1" t="s">
        <v>1443</v>
      </c>
      <c r="G300" s="1" t="s">
        <v>1444</v>
      </c>
      <c r="H300" s="1" t="s">
        <v>1445</v>
      </c>
    </row>
    <row r="301" spans="1:8">
      <c r="A301" s="1" t="s">
        <v>1446</v>
      </c>
      <c r="B301" s="1" t="s">
        <v>9</v>
      </c>
      <c r="C301" s="1" t="s">
        <v>1447</v>
      </c>
      <c r="D301" s="1" t="s">
        <v>1448</v>
      </c>
      <c r="E301" s="1" t="s">
        <v>591</v>
      </c>
      <c r="F301" s="1" t="s">
        <v>1449</v>
      </c>
      <c r="G301" s="1" t="s">
        <v>1450</v>
      </c>
      <c r="H301" s="1" t="s">
        <v>14</v>
      </c>
    </row>
    <row r="302" spans="1:8">
      <c r="A302" s="1" t="s">
        <v>1451</v>
      </c>
      <c r="B302" s="1" t="s">
        <v>9</v>
      </c>
      <c r="C302" s="1" t="s">
        <v>1452</v>
      </c>
      <c r="D302" s="1" t="s">
        <v>1453</v>
      </c>
      <c r="E302" s="1" t="s">
        <v>591</v>
      </c>
      <c r="F302" s="1" t="s">
        <v>1454</v>
      </c>
      <c r="G302" s="1" t="s">
        <v>1455</v>
      </c>
      <c r="H302" s="1" t="s">
        <v>1456</v>
      </c>
    </row>
    <row r="303" spans="1:8">
      <c r="A303" s="1" t="s">
        <v>1457</v>
      </c>
      <c r="B303" s="1" t="s">
        <v>9</v>
      </c>
      <c r="C303" s="1" t="s">
        <v>1458</v>
      </c>
      <c r="D303" s="1" t="s">
        <v>1459</v>
      </c>
      <c r="E303" s="1" t="s">
        <v>591</v>
      </c>
      <c r="F303" s="1" t="s">
        <v>23</v>
      </c>
      <c r="G303" s="1" t="s">
        <v>1460</v>
      </c>
      <c r="H303" s="1" t="s">
        <v>14</v>
      </c>
    </row>
    <row r="304" spans="1:8">
      <c r="A304" s="1" t="s">
        <v>1461</v>
      </c>
      <c r="B304" s="1" t="s">
        <v>9</v>
      </c>
      <c r="C304" s="1" t="s">
        <v>1462</v>
      </c>
      <c r="D304" s="1" t="s">
        <v>1463</v>
      </c>
      <c r="E304" s="1" t="s">
        <v>591</v>
      </c>
      <c r="F304" s="1" t="s">
        <v>1464</v>
      </c>
      <c r="G304" s="1" t="s">
        <v>1465</v>
      </c>
      <c r="H304" s="1" t="s">
        <v>1466</v>
      </c>
    </row>
    <row r="305" spans="1:8">
      <c r="A305" s="1" t="s">
        <v>1467</v>
      </c>
      <c r="B305" s="1" t="s">
        <v>9</v>
      </c>
      <c r="C305" s="1" t="s">
        <v>1462</v>
      </c>
      <c r="D305" s="1" t="s">
        <v>1463</v>
      </c>
      <c r="E305" s="1" t="s">
        <v>591</v>
      </c>
      <c r="F305" s="1" t="s">
        <v>1468</v>
      </c>
      <c r="G305" s="1" t="s">
        <v>1469</v>
      </c>
      <c r="H305" s="1" t="s">
        <v>14</v>
      </c>
    </row>
    <row r="306" spans="1:8">
      <c r="A306" s="1" t="s">
        <v>1470</v>
      </c>
      <c r="B306" s="1" t="s">
        <v>9</v>
      </c>
      <c r="C306" s="1" t="s">
        <v>1471</v>
      </c>
      <c r="D306" s="1" t="s">
        <v>1472</v>
      </c>
      <c r="E306" s="1" t="s">
        <v>591</v>
      </c>
      <c r="F306" s="1" t="s">
        <v>1473</v>
      </c>
      <c r="G306" s="1" t="s">
        <v>1474</v>
      </c>
      <c r="H306" s="1" t="s">
        <v>14</v>
      </c>
    </row>
    <row r="307" spans="1:8">
      <c r="A307" s="1" t="s">
        <v>1475</v>
      </c>
      <c r="B307" s="1" t="s">
        <v>9</v>
      </c>
      <c r="C307" s="1" t="s">
        <v>1476</v>
      </c>
      <c r="D307" s="1" t="s">
        <v>1477</v>
      </c>
      <c r="E307" s="1" t="s">
        <v>591</v>
      </c>
      <c r="F307" s="1" t="s">
        <v>23</v>
      </c>
      <c r="G307" s="1" t="s">
        <v>1478</v>
      </c>
      <c r="H307" s="1" t="s">
        <v>14</v>
      </c>
    </row>
    <row r="308" spans="1:8">
      <c r="A308" s="1" t="s">
        <v>1479</v>
      </c>
      <c r="B308" s="1" t="s">
        <v>9</v>
      </c>
      <c r="C308" s="1" t="s">
        <v>1480</v>
      </c>
      <c r="D308" s="1" t="s">
        <v>1481</v>
      </c>
      <c r="E308" s="1" t="s">
        <v>591</v>
      </c>
      <c r="F308" s="1" t="s">
        <v>1482</v>
      </c>
      <c r="G308" s="1" t="s">
        <v>1483</v>
      </c>
      <c r="H308" s="1" t="s">
        <v>1484</v>
      </c>
    </row>
    <row r="309" spans="1:8">
      <c r="A309" s="1" t="s">
        <v>1485</v>
      </c>
      <c r="B309" s="1" t="s">
        <v>9</v>
      </c>
      <c r="C309" s="1" t="s">
        <v>1486</v>
      </c>
      <c r="D309" s="1" t="s">
        <v>1463</v>
      </c>
      <c r="E309" s="1" t="s">
        <v>591</v>
      </c>
      <c r="F309" s="1" t="s">
        <v>1487</v>
      </c>
      <c r="G309" s="1" t="s">
        <v>1488</v>
      </c>
      <c r="H309" s="1" t="s">
        <v>1489</v>
      </c>
    </row>
    <row r="310" spans="1:8">
      <c r="A310" s="1" t="s">
        <v>1095</v>
      </c>
      <c r="B310" s="1" t="s">
        <v>9</v>
      </c>
      <c r="C310" s="1" t="s">
        <v>1490</v>
      </c>
      <c r="D310" s="1" t="s">
        <v>1477</v>
      </c>
      <c r="E310" s="1" t="s">
        <v>591</v>
      </c>
      <c r="F310" s="1" t="s">
        <v>23</v>
      </c>
      <c r="G310" s="1" t="s">
        <v>1491</v>
      </c>
      <c r="H310" s="1" t="s">
        <v>14</v>
      </c>
    </row>
    <row r="311" spans="1:8">
      <c r="A311" s="1" t="s">
        <v>1492</v>
      </c>
      <c r="B311" s="1" t="s">
        <v>9</v>
      </c>
      <c r="C311" s="1" t="s">
        <v>1493</v>
      </c>
      <c r="D311" s="1" t="s">
        <v>1481</v>
      </c>
      <c r="E311" s="1" t="s">
        <v>591</v>
      </c>
      <c r="F311" s="1" t="s">
        <v>1494</v>
      </c>
      <c r="G311" s="1" t="s">
        <v>1483</v>
      </c>
      <c r="H311" s="1" t="s">
        <v>1495</v>
      </c>
    </row>
    <row r="312" spans="1:8">
      <c r="A312" s="1" t="s">
        <v>1496</v>
      </c>
      <c r="B312" s="1" t="s">
        <v>9</v>
      </c>
      <c r="C312" s="1" t="s">
        <v>1497</v>
      </c>
      <c r="D312" s="1" t="s">
        <v>595</v>
      </c>
      <c r="E312" s="1" t="s">
        <v>591</v>
      </c>
      <c r="F312" s="1" t="s">
        <v>1498</v>
      </c>
      <c r="G312" s="1" t="s">
        <v>1499</v>
      </c>
      <c r="H312" s="1" t="s">
        <v>1500</v>
      </c>
    </row>
    <row r="313" spans="1:8">
      <c r="A313" s="1" t="s">
        <v>1501</v>
      </c>
      <c r="B313" s="1" t="s">
        <v>9</v>
      </c>
      <c r="C313" s="1" t="s">
        <v>1502</v>
      </c>
      <c r="D313" s="1" t="s">
        <v>1503</v>
      </c>
      <c r="E313" s="1" t="s">
        <v>591</v>
      </c>
      <c r="F313" s="1" t="s">
        <v>23</v>
      </c>
      <c r="G313" s="1" t="s">
        <v>23</v>
      </c>
      <c r="H313" s="1" t="s">
        <v>14</v>
      </c>
    </row>
    <row r="314" spans="1:8">
      <c r="A314" s="1" t="s">
        <v>1504</v>
      </c>
      <c r="B314" s="1" t="s">
        <v>9</v>
      </c>
      <c r="C314" s="1" t="s">
        <v>1505</v>
      </c>
      <c r="D314" s="1" t="s">
        <v>1506</v>
      </c>
      <c r="E314" s="1" t="s">
        <v>98</v>
      </c>
      <c r="F314" s="1" t="s">
        <v>1507</v>
      </c>
      <c r="G314" s="1" t="s">
        <v>1508</v>
      </c>
      <c r="H314" s="1" t="s">
        <v>14</v>
      </c>
    </row>
    <row r="315" spans="1:8">
      <c r="A315" s="1" t="s">
        <v>1509</v>
      </c>
      <c r="B315" s="1" t="s">
        <v>9</v>
      </c>
      <c r="C315" s="1" t="s">
        <v>1510</v>
      </c>
      <c r="D315" s="1" t="s">
        <v>1511</v>
      </c>
      <c r="E315" s="1" t="s">
        <v>591</v>
      </c>
      <c r="F315" s="1" t="s">
        <v>1512</v>
      </c>
      <c r="G315" s="1" t="s">
        <v>1513</v>
      </c>
      <c r="H315" s="1" t="s">
        <v>1514</v>
      </c>
    </row>
    <row r="316" spans="1:8">
      <c r="A316" s="1" t="s">
        <v>1515</v>
      </c>
      <c r="B316" s="1" t="s">
        <v>9</v>
      </c>
      <c r="C316" s="1" t="s">
        <v>1516</v>
      </c>
      <c r="D316" s="1" t="s">
        <v>1511</v>
      </c>
      <c r="E316" s="1" t="s">
        <v>591</v>
      </c>
      <c r="F316" s="1" t="s">
        <v>1517</v>
      </c>
      <c r="G316" s="1" t="s">
        <v>1518</v>
      </c>
      <c r="H316" s="1" t="s">
        <v>1519</v>
      </c>
    </row>
    <row r="317" spans="1:8">
      <c r="A317" s="1" t="s">
        <v>1520</v>
      </c>
      <c r="B317" s="1" t="s">
        <v>9</v>
      </c>
      <c r="C317" s="1" t="s">
        <v>1521</v>
      </c>
      <c r="D317" s="1" t="s">
        <v>1522</v>
      </c>
      <c r="E317" s="1" t="s">
        <v>591</v>
      </c>
      <c r="F317" s="1" t="s">
        <v>1523</v>
      </c>
      <c r="G317" s="1" t="s">
        <v>1524</v>
      </c>
      <c r="H317" s="1" t="s">
        <v>1525</v>
      </c>
    </row>
    <row r="318" spans="1:8">
      <c r="A318" s="1" t="s">
        <v>205</v>
      </c>
      <c r="B318" s="1" t="s">
        <v>9</v>
      </c>
      <c r="C318" s="1" t="s">
        <v>1526</v>
      </c>
      <c r="D318" s="1" t="s">
        <v>1527</v>
      </c>
      <c r="E318" s="1" t="s">
        <v>480</v>
      </c>
      <c r="F318" s="1" t="s">
        <v>23</v>
      </c>
      <c r="G318" s="1" t="s">
        <v>23</v>
      </c>
      <c r="H318" s="1" t="s">
        <v>14</v>
      </c>
    </row>
    <row r="319" spans="1:8">
      <c r="A319" s="1" t="s">
        <v>1528</v>
      </c>
      <c r="B319" s="1" t="s">
        <v>9</v>
      </c>
      <c r="C319" s="1" t="s">
        <v>1529</v>
      </c>
      <c r="D319" s="1" t="s">
        <v>1530</v>
      </c>
      <c r="E319" s="1" t="s">
        <v>480</v>
      </c>
      <c r="F319" s="1" t="s">
        <v>1531</v>
      </c>
      <c r="G319" s="1" t="s">
        <v>1532</v>
      </c>
      <c r="H319" s="1" t="s">
        <v>1533</v>
      </c>
    </row>
    <row r="320" spans="1:8">
      <c r="A320" s="1" t="s">
        <v>1534</v>
      </c>
      <c r="B320" s="1" t="s">
        <v>9</v>
      </c>
      <c r="C320" s="1" t="s">
        <v>1535</v>
      </c>
      <c r="D320" s="1" t="s">
        <v>1536</v>
      </c>
      <c r="E320" s="1" t="s">
        <v>480</v>
      </c>
      <c r="F320" s="1" t="s">
        <v>23</v>
      </c>
      <c r="G320" s="1" t="s">
        <v>23</v>
      </c>
      <c r="H320" s="1" t="s">
        <v>14</v>
      </c>
    </row>
    <row r="321" spans="1:8">
      <c r="A321" s="1" t="s">
        <v>1537</v>
      </c>
      <c r="B321" s="1" t="s">
        <v>9</v>
      </c>
      <c r="C321" s="1" t="s">
        <v>1538</v>
      </c>
      <c r="D321" s="1" t="s">
        <v>473</v>
      </c>
      <c r="E321" s="1" t="s">
        <v>473</v>
      </c>
      <c r="F321" s="1" t="s">
        <v>1539</v>
      </c>
      <c r="G321" s="1" t="s">
        <v>1540</v>
      </c>
      <c r="H321" s="1" t="s">
        <v>1541</v>
      </c>
    </row>
    <row r="322" spans="1:8">
      <c r="A322" s="1" t="s">
        <v>1542</v>
      </c>
      <c r="B322" s="1" t="s">
        <v>9</v>
      </c>
      <c r="C322" s="1" t="s">
        <v>1543</v>
      </c>
      <c r="D322" s="1" t="s">
        <v>1544</v>
      </c>
      <c r="E322" s="1" t="s">
        <v>473</v>
      </c>
      <c r="F322" s="1" t="s">
        <v>1545</v>
      </c>
      <c r="G322" s="1" t="s">
        <v>1546</v>
      </c>
      <c r="H322" s="1" t="s">
        <v>1547</v>
      </c>
    </row>
    <row r="323" spans="1:8">
      <c r="A323" s="1" t="s">
        <v>1548</v>
      </c>
      <c r="B323" s="1" t="s">
        <v>9</v>
      </c>
      <c r="C323" s="1" t="s">
        <v>1549</v>
      </c>
      <c r="D323" s="1" t="s">
        <v>473</v>
      </c>
      <c r="E323" s="1" t="s">
        <v>473</v>
      </c>
      <c r="F323" s="1" t="s">
        <v>1550</v>
      </c>
      <c r="G323" s="1" t="s">
        <v>1551</v>
      </c>
      <c r="H323" s="1" t="s">
        <v>14</v>
      </c>
    </row>
    <row r="324" spans="1:8">
      <c r="A324" s="1" t="s">
        <v>1552</v>
      </c>
      <c r="B324" s="1" t="s">
        <v>9</v>
      </c>
      <c r="C324" s="1" t="s">
        <v>1553</v>
      </c>
      <c r="D324" s="1" t="s">
        <v>1554</v>
      </c>
      <c r="E324" s="1" t="s">
        <v>473</v>
      </c>
      <c r="F324" s="1" t="s">
        <v>1555</v>
      </c>
      <c r="G324" s="1" t="s">
        <v>1556</v>
      </c>
      <c r="H324" s="1" t="s">
        <v>535</v>
      </c>
    </row>
    <row r="325" spans="1:8">
      <c r="A325" s="1" t="s">
        <v>1557</v>
      </c>
      <c r="B325" s="1" t="s">
        <v>9</v>
      </c>
      <c r="C325" s="1" t="s">
        <v>1558</v>
      </c>
      <c r="D325" s="1" t="s">
        <v>1559</v>
      </c>
      <c r="E325" s="1" t="s">
        <v>473</v>
      </c>
      <c r="F325" s="1" t="s">
        <v>1545</v>
      </c>
      <c r="G325" s="1" t="s">
        <v>1560</v>
      </c>
      <c r="H325" s="1" t="s">
        <v>1547</v>
      </c>
    </row>
    <row r="326" spans="1:8">
      <c r="A326" s="1" t="s">
        <v>1561</v>
      </c>
      <c r="B326" s="1" t="s">
        <v>9</v>
      </c>
      <c r="C326" s="1" t="s">
        <v>1562</v>
      </c>
      <c r="D326" s="1" t="s">
        <v>1563</v>
      </c>
      <c r="E326" s="1" t="s">
        <v>473</v>
      </c>
      <c r="F326" s="1" t="s">
        <v>1564</v>
      </c>
      <c r="G326" s="1" t="s">
        <v>23</v>
      </c>
      <c r="H326" s="1" t="s">
        <v>14</v>
      </c>
    </row>
    <row r="327" spans="1:8">
      <c r="A327" s="1" t="s">
        <v>1565</v>
      </c>
      <c r="B327" s="1" t="s">
        <v>9</v>
      </c>
      <c r="C327" s="1" t="s">
        <v>1566</v>
      </c>
      <c r="D327" s="1" t="s">
        <v>473</v>
      </c>
      <c r="E327" s="1" t="s">
        <v>473</v>
      </c>
      <c r="F327" s="1" t="s">
        <v>23</v>
      </c>
      <c r="G327" s="1" t="s">
        <v>23</v>
      </c>
      <c r="H327" s="1" t="s">
        <v>14</v>
      </c>
    </row>
    <row r="328" spans="1:8">
      <c r="A328" s="1" t="s">
        <v>1567</v>
      </c>
      <c r="B328" s="1" t="s">
        <v>9</v>
      </c>
      <c r="C328" s="1" t="s">
        <v>471</v>
      </c>
      <c r="D328" s="1" t="s">
        <v>472</v>
      </c>
      <c r="E328" s="1" t="s">
        <v>473</v>
      </c>
      <c r="F328" s="1" t="s">
        <v>23</v>
      </c>
      <c r="G328" s="1" t="s">
        <v>475</v>
      </c>
      <c r="H328" s="1" t="s">
        <v>14</v>
      </c>
    </row>
    <row r="329" spans="1:8">
      <c r="A329" s="1" t="s">
        <v>1568</v>
      </c>
      <c r="B329" s="1" t="s">
        <v>9</v>
      </c>
      <c r="C329" s="1" t="s">
        <v>1569</v>
      </c>
      <c r="D329" s="1" t="s">
        <v>1570</v>
      </c>
      <c r="E329" s="1" t="s">
        <v>473</v>
      </c>
      <c r="F329" s="1" t="s">
        <v>1571</v>
      </c>
      <c r="G329" s="1" t="s">
        <v>1572</v>
      </c>
      <c r="H329" s="1" t="s">
        <v>1573</v>
      </c>
    </row>
    <row r="330" spans="1:8">
      <c r="A330" s="1" t="s">
        <v>1574</v>
      </c>
      <c r="B330" s="1" t="s">
        <v>9</v>
      </c>
      <c r="C330" s="1" t="s">
        <v>1575</v>
      </c>
      <c r="D330" s="1" t="s">
        <v>1554</v>
      </c>
      <c r="E330" s="1" t="s">
        <v>473</v>
      </c>
      <c r="F330" s="1" t="s">
        <v>1576</v>
      </c>
      <c r="G330" s="1" t="s">
        <v>1577</v>
      </c>
      <c r="H330" s="1" t="s">
        <v>1578</v>
      </c>
    </row>
    <row r="331" spans="1:8">
      <c r="A331" s="1" t="s">
        <v>1579</v>
      </c>
      <c r="B331" s="1" t="s">
        <v>9</v>
      </c>
      <c r="C331" s="1" t="s">
        <v>1580</v>
      </c>
      <c r="D331" s="1" t="s">
        <v>1581</v>
      </c>
      <c r="E331" s="1" t="s">
        <v>1581</v>
      </c>
      <c r="F331" s="1" t="s">
        <v>23</v>
      </c>
      <c r="G331" s="1" t="s">
        <v>1582</v>
      </c>
      <c r="H331" s="1" t="s">
        <v>14</v>
      </c>
    </row>
    <row r="332" spans="1:8">
      <c r="A332" s="1" t="s">
        <v>1583</v>
      </c>
      <c r="B332" s="1" t="s">
        <v>9</v>
      </c>
      <c r="C332" s="1" t="s">
        <v>1584</v>
      </c>
      <c r="D332" s="1" t="s">
        <v>1585</v>
      </c>
      <c r="E332" s="1" t="s">
        <v>473</v>
      </c>
      <c r="F332" s="1" t="s">
        <v>23</v>
      </c>
      <c r="G332" s="1" t="s">
        <v>1586</v>
      </c>
      <c r="H332" s="1" t="s">
        <v>14</v>
      </c>
    </row>
    <row r="333" spans="1:8">
      <c r="A333" s="1" t="s">
        <v>1587</v>
      </c>
      <c r="B333" s="1" t="s">
        <v>9</v>
      </c>
      <c r="C333" s="1" t="s">
        <v>1588</v>
      </c>
      <c r="D333" s="1" t="s">
        <v>1589</v>
      </c>
      <c r="E333" s="1" t="s">
        <v>473</v>
      </c>
      <c r="F333" s="1" t="s">
        <v>23</v>
      </c>
      <c r="G333" s="1" t="s">
        <v>1590</v>
      </c>
      <c r="H333" s="1" t="s">
        <v>14</v>
      </c>
    </row>
    <row r="334" spans="1:8">
      <c r="A334" s="1" t="s">
        <v>1591</v>
      </c>
      <c r="B334" s="1" t="s">
        <v>9</v>
      </c>
      <c r="C334" s="1" t="s">
        <v>1592</v>
      </c>
      <c r="D334" s="1" t="s">
        <v>1593</v>
      </c>
      <c r="E334" s="1" t="s">
        <v>473</v>
      </c>
      <c r="F334" s="1" t="s">
        <v>1594</v>
      </c>
      <c r="G334" s="1" t="s">
        <v>1595</v>
      </c>
      <c r="H334" s="1" t="s">
        <v>14</v>
      </c>
    </row>
    <row r="335" spans="1:8">
      <c r="A335" s="1" t="s">
        <v>1596</v>
      </c>
      <c r="B335" s="1" t="s">
        <v>9</v>
      </c>
      <c r="C335" s="1" t="s">
        <v>1575</v>
      </c>
      <c r="D335" s="1" t="s">
        <v>1554</v>
      </c>
      <c r="E335" s="1" t="s">
        <v>473</v>
      </c>
      <c r="F335" s="1" t="s">
        <v>23</v>
      </c>
      <c r="G335" s="1" t="s">
        <v>1597</v>
      </c>
      <c r="H335" s="1" t="s">
        <v>14</v>
      </c>
    </row>
    <row r="336" spans="1:8">
      <c r="A336" s="1" t="s">
        <v>1598</v>
      </c>
      <c r="B336" s="1" t="s">
        <v>9</v>
      </c>
      <c r="C336" s="1" t="s">
        <v>1599</v>
      </c>
      <c r="D336" s="1" t="s">
        <v>1600</v>
      </c>
      <c r="E336" s="1" t="s">
        <v>473</v>
      </c>
      <c r="F336" s="1" t="s">
        <v>1601</v>
      </c>
      <c r="G336" s="1" t="s">
        <v>1602</v>
      </c>
      <c r="H336" s="1" t="s">
        <v>535</v>
      </c>
    </row>
    <row r="337" spans="1:8">
      <c r="A337" s="1" t="s">
        <v>1603</v>
      </c>
      <c r="B337" s="1" t="s">
        <v>9</v>
      </c>
      <c r="C337" s="1" t="s">
        <v>1604</v>
      </c>
      <c r="D337" s="1" t="s">
        <v>1605</v>
      </c>
      <c r="E337" s="1" t="s">
        <v>473</v>
      </c>
      <c r="F337" s="1" t="s">
        <v>23</v>
      </c>
      <c r="G337" s="1" t="s">
        <v>23</v>
      </c>
      <c r="H337" s="1" t="s">
        <v>14</v>
      </c>
    </row>
    <row r="338" spans="1:8">
      <c r="A338" s="1" t="s">
        <v>1606</v>
      </c>
      <c r="B338" s="1" t="s">
        <v>9</v>
      </c>
      <c r="C338" s="1" t="s">
        <v>1607</v>
      </c>
      <c r="D338" s="1" t="s">
        <v>1589</v>
      </c>
      <c r="E338" s="1" t="s">
        <v>473</v>
      </c>
      <c r="F338" s="1" t="s">
        <v>23</v>
      </c>
      <c r="G338" s="1" t="s">
        <v>23</v>
      </c>
      <c r="H338" s="1" t="s">
        <v>14</v>
      </c>
    </row>
    <row r="339" spans="1:8">
      <c r="A339" s="1" t="s">
        <v>1608</v>
      </c>
      <c r="B339" s="1" t="s">
        <v>9</v>
      </c>
      <c r="C339" s="1" t="s">
        <v>1609</v>
      </c>
      <c r="D339" s="1" t="s">
        <v>58</v>
      </c>
      <c r="E339" s="1" t="s">
        <v>59</v>
      </c>
      <c r="F339" s="1" t="s">
        <v>60</v>
      </c>
      <c r="G339" s="1" t="s">
        <v>1610</v>
      </c>
      <c r="H339" s="1" t="s">
        <v>14</v>
      </c>
    </row>
    <row r="340" spans="1:8">
      <c r="A340" s="1" t="s">
        <v>1611</v>
      </c>
      <c r="B340" s="1" t="s">
        <v>9</v>
      </c>
      <c r="C340" s="1" t="s">
        <v>1612</v>
      </c>
      <c r="D340" s="1" t="s">
        <v>1613</v>
      </c>
      <c r="E340" s="1" t="s">
        <v>306</v>
      </c>
      <c r="F340" s="1" t="s">
        <v>23</v>
      </c>
      <c r="G340" s="1" t="s">
        <v>1614</v>
      </c>
      <c r="H340" s="1" t="s">
        <v>14</v>
      </c>
    </row>
    <row r="341" spans="1:8">
      <c r="A341" s="1" t="s">
        <v>1615</v>
      </c>
      <c r="B341" s="1" t="s">
        <v>9</v>
      </c>
      <c r="C341" s="1" t="s">
        <v>1616</v>
      </c>
      <c r="D341" s="1" t="s">
        <v>1617</v>
      </c>
      <c r="E341" s="1" t="s">
        <v>1618</v>
      </c>
      <c r="F341" s="1" t="s">
        <v>1619</v>
      </c>
      <c r="G341" s="1" t="s">
        <v>1620</v>
      </c>
      <c r="H341" s="1" t="s">
        <v>14</v>
      </c>
    </row>
    <row r="342" spans="1:8">
      <c r="A342" s="1" t="s">
        <v>1621</v>
      </c>
      <c r="B342" s="1" t="s">
        <v>9</v>
      </c>
      <c r="C342" s="1" t="s">
        <v>1622</v>
      </c>
      <c r="D342" s="1" t="s">
        <v>715</v>
      </c>
      <c r="E342" s="1" t="s">
        <v>709</v>
      </c>
      <c r="F342" s="1" t="s">
        <v>1623</v>
      </c>
      <c r="G342" s="1" t="s">
        <v>717</v>
      </c>
      <c r="H342" s="1" t="s">
        <v>1624</v>
      </c>
    </row>
    <row r="343" spans="1:8">
      <c r="A343" s="1" t="s">
        <v>1625</v>
      </c>
      <c r="B343" s="1" t="s">
        <v>9</v>
      </c>
      <c r="C343" s="1" t="s">
        <v>1626</v>
      </c>
      <c r="D343" s="1" t="s">
        <v>1627</v>
      </c>
      <c r="E343" s="1" t="s">
        <v>457</v>
      </c>
      <c r="F343" s="1" t="s">
        <v>1628</v>
      </c>
      <c r="G343" s="1" t="s">
        <v>1629</v>
      </c>
      <c r="H343" s="1" t="s">
        <v>1630</v>
      </c>
    </row>
    <row r="344" spans="1:8">
      <c r="A344" s="1" t="s">
        <v>1625</v>
      </c>
      <c r="B344" s="1" t="s">
        <v>9</v>
      </c>
      <c r="C344" s="1" t="s">
        <v>1631</v>
      </c>
      <c r="D344" s="1" t="s">
        <v>1632</v>
      </c>
      <c r="E344" s="1" t="s">
        <v>1632</v>
      </c>
      <c r="F344" s="1" t="s">
        <v>1628</v>
      </c>
      <c r="G344" s="1" t="s">
        <v>1633</v>
      </c>
      <c r="H344" s="1" t="s">
        <v>1630</v>
      </c>
    </row>
    <row r="345" spans="1:8">
      <c r="A345" s="1" t="s">
        <v>1634</v>
      </c>
      <c r="B345" s="1" t="s">
        <v>9</v>
      </c>
      <c r="C345" s="1" t="s">
        <v>1635</v>
      </c>
      <c r="D345" s="1" t="s">
        <v>1636</v>
      </c>
      <c r="E345" s="1" t="s">
        <v>1637</v>
      </c>
      <c r="F345" s="1" t="s">
        <v>1638</v>
      </c>
      <c r="G345" s="1" t="s">
        <v>1639</v>
      </c>
      <c r="H345" s="1" t="s">
        <v>1640</v>
      </c>
    </row>
    <row r="346" spans="1:8">
      <c r="A346" s="1" t="s">
        <v>1641</v>
      </c>
      <c r="B346" s="1" t="s">
        <v>9</v>
      </c>
      <c r="C346" s="1" t="s">
        <v>1642</v>
      </c>
      <c r="D346" s="1" t="s">
        <v>1643</v>
      </c>
      <c r="E346" s="1" t="s">
        <v>1637</v>
      </c>
      <c r="F346" s="1" t="s">
        <v>1644</v>
      </c>
      <c r="G346" s="1" t="s">
        <v>1645</v>
      </c>
      <c r="H346" s="1" t="s">
        <v>1646</v>
      </c>
    </row>
    <row r="347" spans="1:8">
      <c r="A347" s="1" t="s">
        <v>1647</v>
      </c>
      <c r="B347" s="1" t="s">
        <v>9</v>
      </c>
      <c r="C347" s="1" t="s">
        <v>1648</v>
      </c>
      <c r="D347" s="1" t="s">
        <v>1649</v>
      </c>
      <c r="E347" s="1" t="s">
        <v>1649</v>
      </c>
      <c r="F347" s="1" t="s">
        <v>1650</v>
      </c>
      <c r="G347" s="1" t="s">
        <v>1651</v>
      </c>
      <c r="H347" s="1" t="s">
        <v>1652</v>
      </c>
    </row>
    <row r="348" spans="1:8">
      <c r="A348" s="1" t="s">
        <v>1653</v>
      </c>
      <c r="B348" s="1" t="s">
        <v>9</v>
      </c>
      <c r="C348" s="1" t="s">
        <v>1654</v>
      </c>
      <c r="D348" s="1" t="s">
        <v>1655</v>
      </c>
      <c r="E348" s="1" t="s">
        <v>1649</v>
      </c>
      <c r="F348" s="1" t="s">
        <v>1656</v>
      </c>
      <c r="G348" s="1" t="s">
        <v>1657</v>
      </c>
      <c r="H348" s="1" t="s">
        <v>14</v>
      </c>
    </row>
    <row r="349" spans="1:8">
      <c r="A349" s="1" t="s">
        <v>1658</v>
      </c>
      <c r="B349" s="1" t="s">
        <v>9</v>
      </c>
      <c r="C349" s="1" t="s">
        <v>1659</v>
      </c>
      <c r="D349" s="1" t="s">
        <v>1660</v>
      </c>
      <c r="E349" s="1" t="s">
        <v>1661</v>
      </c>
      <c r="F349" s="1" t="s">
        <v>1662</v>
      </c>
      <c r="G349" s="1" t="s">
        <v>1663</v>
      </c>
      <c r="H349" s="1" t="s">
        <v>1664</v>
      </c>
    </row>
    <row r="350" spans="1:8">
      <c r="A350" s="1" t="s">
        <v>1665</v>
      </c>
      <c r="B350" s="1" t="s">
        <v>9</v>
      </c>
      <c r="C350" s="1" t="s">
        <v>1666</v>
      </c>
      <c r="D350" s="1" t="s">
        <v>1667</v>
      </c>
      <c r="E350" s="1" t="s">
        <v>1668</v>
      </c>
      <c r="F350" s="1" t="s">
        <v>1669</v>
      </c>
      <c r="G350" s="1" t="s">
        <v>1670</v>
      </c>
      <c r="H350" s="1" t="s">
        <v>1671</v>
      </c>
    </row>
    <row r="351" spans="1:8">
      <c r="A351" s="1" t="s">
        <v>1672</v>
      </c>
      <c r="B351" s="1" t="s">
        <v>9</v>
      </c>
      <c r="C351" s="1" t="s">
        <v>1673</v>
      </c>
      <c r="D351" s="1" t="s">
        <v>1674</v>
      </c>
      <c r="E351" s="1" t="s">
        <v>1668</v>
      </c>
      <c r="F351" s="1" t="s">
        <v>1675</v>
      </c>
      <c r="G351" s="1" t="s">
        <v>1676</v>
      </c>
      <c r="H351" s="1" t="s">
        <v>1677</v>
      </c>
    </row>
    <row r="352" spans="1:8">
      <c r="A352" s="1" t="s">
        <v>1678</v>
      </c>
      <c r="B352" s="1" t="s">
        <v>9</v>
      </c>
      <c r="C352" s="1" t="s">
        <v>1679</v>
      </c>
      <c r="D352" s="1" t="s">
        <v>1680</v>
      </c>
      <c r="E352" s="1" t="s">
        <v>1668</v>
      </c>
      <c r="F352" s="1" t="s">
        <v>1669</v>
      </c>
      <c r="G352" s="1" t="s">
        <v>1670</v>
      </c>
      <c r="H352" s="1" t="s">
        <v>1671</v>
      </c>
    </row>
    <row r="353" spans="1:8">
      <c r="A353" s="1" t="s">
        <v>1681</v>
      </c>
      <c r="B353" s="1" t="s">
        <v>9</v>
      </c>
      <c r="C353" s="1" t="s">
        <v>1682</v>
      </c>
      <c r="D353" s="1" t="s">
        <v>1683</v>
      </c>
      <c r="E353" s="1" t="s">
        <v>196</v>
      </c>
      <c r="F353" s="1" t="s">
        <v>23</v>
      </c>
      <c r="G353" s="1" t="s">
        <v>1684</v>
      </c>
      <c r="H353" s="1" t="s">
        <v>14</v>
      </c>
    </row>
    <row r="354" spans="1:8">
      <c r="A354" s="1" t="s">
        <v>1685</v>
      </c>
      <c r="B354" s="1" t="s">
        <v>9</v>
      </c>
      <c r="C354" s="1" t="s">
        <v>1686</v>
      </c>
      <c r="D354" s="1" t="s">
        <v>1687</v>
      </c>
      <c r="E354" s="1" t="s">
        <v>1661</v>
      </c>
      <c r="F354" s="1" t="s">
        <v>1688</v>
      </c>
      <c r="G354" s="1" t="s">
        <v>1689</v>
      </c>
      <c r="H354" s="1" t="s">
        <v>14</v>
      </c>
    </row>
    <row r="355" spans="1:8">
      <c r="A355" s="1" t="s">
        <v>1690</v>
      </c>
      <c r="B355" s="1" t="s">
        <v>9</v>
      </c>
      <c r="C355" s="1" t="s">
        <v>1691</v>
      </c>
      <c r="D355" s="1" t="s">
        <v>195</v>
      </c>
      <c r="E355" s="1" t="s">
        <v>196</v>
      </c>
      <c r="F355" s="1" t="s">
        <v>1692</v>
      </c>
      <c r="G355" s="1" t="s">
        <v>1693</v>
      </c>
      <c r="H355" s="1" t="s">
        <v>1694</v>
      </c>
    </row>
    <row r="356" spans="1:8">
      <c r="A356" s="1" t="s">
        <v>1695</v>
      </c>
      <c r="B356" s="1" t="s">
        <v>9</v>
      </c>
      <c r="C356" s="1" t="s">
        <v>1696</v>
      </c>
      <c r="D356" s="1" t="s">
        <v>195</v>
      </c>
      <c r="E356" s="1" t="s">
        <v>1697</v>
      </c>
      <c r="F356" s="1" t="s">
        <v>1698</v>
      </c>
      <c r="G356" s="1" t="s">
        <v>1699</v>
      </c>
      <c r="H356" s="1" t="s">
        <v>14</v>
      </c>
    </row>
    <row r="357" spans="1:8">
      <c r="A357" s="1" t="s">
        <v>1700</v>
      </c>
      <c r="B357" s="1" t="s">
        <v>9</v>
      </c>
      <c r="C357" s="1" t="s">
        <v>1701</v>
      </c>
      <c r="D357" s="1" t="s">
        <v>1702</v>
      </c>
      <c r="E357" s="1" t="s">
        <v>1668</v>
      </c>
      <c r="F357" s="1" t="s">
        <v>1703</v>
      </c>
      <c r="G357" s="1" t="s">
        <v>1704</v>
      </c>
      <c r="H357" s="1" t="s">
        <v>336</v>
      </c>
    </row>
    <row r="358" spans="1:8">
      <c r="A358" s="1" t="s">
        <v>1705</v>
      </c>
      <c r="B358" s="1" t="s">
        <v>9</v>
      </c>
      <c r="C358" s="1" t="s">
        <v>1706</v>
      </c>
      <c r="D358" s="1" t="s">
        <v>1668</v>
      </c>
      <c r="E358" s="1" t="s">
        <v>1668</v>
      </c>
      <c r="F358" s="1" t="s">
        <v>1707</v>
      </c>
      <c r="G358" s="1" t="s">
        <v>1708</v>
      </c>
      <c r="H358" s="1" t="s">
        <v>1709</v>
      </c>
    </row>
    <row r="359" spans="1:8">
      <c r="A359" s="1" t="s">
        <v>1710</v>
      </c>
      <c r="B359" s="1" t="s">
        <v>9</v>
      </c>
      <c r="C359" s="1" t="s">
        <v>1711</v>
      </c>
      <c r="D359" s="1" t="s">
        <v>1712</v>
      </c>
      <c r="E359" s="1" t="s">
        <v>1668</v>
      </c>
      <c r="F359" s="1" t="s">
        <v>1713</v>
      </c>
      <c r="G359" s="1" t="s">
        <v>1714</v>
      </c>
      <c r="H359" s="1" t="s">
        <v>1715</v>
      </c>
    </row>
    <row r="360" spans="1:8">
      <c r="A360" s="1" t="s">
        <v>1716</v>
      </c>
      <c r="B360" s="1" t="s">
        <v>9</v>
      </c>
      <c r="C360" s="1" t="s">
        <v>1717</v>
      </c>
      <c r="D360" s="1" t="s">
        <v>1718</v>
      </c>
      <c r="E360" s="1" t="s">
        <v>1668</v>
      </c>
      <c r="F360" s="1" t="s">
        <v>1719</v>
      </c>
      <c r="G360" s="1" t="s">
        <v>1720</v>
      </c>
      <c r="H360" s="1" t="s">
        <v>1721</v>
      </c>
    </row>
    <row r="361" spans="1:8">
      <c r="A361" s="1" t="s">
        <v>1722</v>
      </c>
      <c r="B361" s="1" t="s">
        <v>9</v>
      </c>
      <c r="C361" s="1" t="s">
        <v>1723</v>
      </c>
      <c r="D361" s="1" t="s">
        <v>1668</v>
      </c>
      <c r="E361" s="1" t="s">
        <v>1668</v>
      </c>
      <c r="F361" s="1" t="s">
        <v>23</v>
      </c>
      <c r="G361" s="1" t="s">
        <v>1724</v>
      </c>
      <c r="H361" s="1" t="s">
        <v>14</v>
      </c>
    </row>
    <row r="362" spans="1:8">
      <c r="A362" s="1" t="s">
        <v>1725</v>
      </c>
      <c r="B362" s="1" t="s">
        <v>9</v>
      </c>
      <c r="C362" s="1" t="s">
        <v>1726</v>
      </c>
      <c r="D362" s="1" t="s">
        <v>1727</v>
      </c>
      <c r="E362" s="1" t="s">
        <v>1668</v>
      </c>
      <c r="F362" s="1" t="s">
        <v>1719</v>
      </c>
      <c r="G362" s="1" t="s">
        <v>1728</v>
      </c>
      <c r="H362" s="1" t="s">
        <v>1721</v>
      </c>
    </row>
    <row r="363" spans="1:8">
      <c r="A363" s="1" t="s">
        <v>1729</v>
      </c>
      <c r="B363" s="1" t="s">
        <v>9</v>
      </c>
      <c r="C363" s="1" t="s">
        <v>1730</v>
      </c>
      <c r="D363" s="1" t="s">
        <v>1731</v>
      </c>
      <c r="E363" s="1" t="s">
        <v>1668</v>
      </c>
      <c r="F363" s="1" t="s">
        <v>1732</v>
      </c>
      <c r="G363" s="1" t="s">
        <v>1733</v>
      </c>
      <c r="H363" s="1" t="s">
        <v>1734</v>
      </c>
    </row>
    <row r="364" spans="1:8">
      <c r="A364" s="1" t="s">
        <v>1735</v>
      </c>
      <c r="B364" s="1" t="s">
        <v>9</v>
      </c>
      <c r="C364" s="1" t="s">
        <v>1736</v>
      </c>
      <c r="D364" s="1" t="s">
        <v>1737</v>
      </c>
      <c r="E364" s="1" t="s">
        <v>1668</v>
      </c>
      <c r="F364" s="1" t="s">
        <v>1738</v>
      </c>
      <c r="G364" s="1" t="s">
        <v>1739</v>
      </c>
      <c r="H364" s="1" t="s">
        <v>14</v>
      </c>
    </row>
    <row r="365" spans="1:8">
      <c r="A365" s="1" t="s">
        <v>128</v>
      </c>
      <c r="B365" s="1" t="s">
        <v>9</v>
      </c>
      <c r="C365" s="1" t="s">
        <v>1740</v>
      </c>
      <c r="D365" s="1" t="s">
        <v>1741</v>
      </c>
      <c r="E365" s="1" t="s">
        <v>1668</v>
      </c>
      <c r="F365" s="1" t="s">
        <v>1742</v>
      </c>
      <c r="G365" s="1" t="s">
        <v>1743</v>
      </c>
      <c r="H365" s="1" t="s">
        <v>14</v>
      </c>
    </row>
    <row r="366" spans="1:8">
      <c r="A366" s="1" t="s">
        <v>1744</v>
      </c>
      <c r="B366" s="1" t="s">
        <v>9</v>
      </c>
      <c r="C366" s="1" t="s">
        <v>1745</v>
      </c>
      <c r="D366" s="1" t="s">
        <v>1746</v>
      </c>
      <c r="E366" s="1" t="s">
        <v>1668</v>
      </c>
      <c r="F366" s="1" t="s">
        <v>50</v>
      </c>
      <c r="G366" s="1" t="s">
        <v>1747</v>
      </c>
      <c r="H366" s="1" t="s">
        <v>14</v>
      </c>
    </row>
    <row r="367" spans="1:8">
      <c r="A367" s="1" t="s">
        <v>1748</v>
      </c>
      <c r="B367" s="1" t="s">
        <v>9</v>
      </c>
      <c r="C367" s="1" t="s">
        <v>1749</v>
      </c>
      <c r="D367" s="1" t="s">
        <v>1750</v>
      </c>
      <c r="E367" s="1" t="s">
        <v>1668</v>
      </c>
      <c r="F367" s="1" t="s">
        <v>1751</v>
      </c>
      <c r="G367" s="1" t="s">
        <v>1752</v>
      </c>
      <c r="H367" s="1" t="s">
        <v>1753</v>
      </c>
    </row>
    <row r="368" spans="1:8">
      <c r="A368" s="1" t="s">
        <v>1754</v>
      </c>
      <c r="B368" s="1" t="s">
        <v>9</v>
      </c>
      <c r="C368" s="1" t="s">
        <v>1755</v>
      </c>
      <c r="D368" s="1" t="s">
        <v>1756</v>
      </c>
      <c r="E368" s="1" t="s">
        <v>1661</v>
      </c>
      <c r="F368" s="1" t="s">
        <v>1757</v>
      </c>
      <c r="G368" s="1" t="s">
        <v>1758</v>
      </c>
      <c r="H368" s="1" t="s">
        <v>1759</v>
      </c>
    </row>
    <row r="369" spans="1:8">
      <c r="A369" s="1" t="s">
        <v>1760</v>
      </c>
      <c r="B369" s="1" t="s">
        <v>9</v>
      </c>
      <c r="C369" s="1" t="s">
        <v>1701</v>
      </c>
      <c r="D369" s="1" t="s">
        <v>1702</v>
      </c>
      <c r="E369" s="1" t="s">
        <v>1668</v>
      </c>
      <c r="F369" s="1" t="s">
        <v>23</v>
      </c>
      <c r="G369" s="1" t="s">
        <v>1761</v>
      </c>
      <c r="H369" s="1" t="s">
        <v>14</v>
      </c>
    </row>
    <row r="370" spans="1:8">
      <c r="A370" s="1" t="s">
        <v>1762</v>
      </c>
      <c r="B370" s="1" t="s">
        <v>9</v>
      </c>
      <c r="C370" s="1" t="s">
        <v>1763</v>
      </c>
      <c r="D370" s="1" t="s">
        <v>1764</v>
      </c>
      <c r="E370" s="1" t="s">
        <v>1661</v>
      </c>
      <c r="F370" s="1" t="s">
        <v>1762</v>
      </c>
      <c r="G370" s="1" t="s">
        <v>1765</v>
      </c>
      <c r="H370" s="1" t="s">
        <v>1766</v>
      </c>
    </row>
    <row r="371" spans="1:8">
      <c r="A371" s="1" t="s">
        <v>1767</v>
      </c>
      <c r="B371" s="1" t="s">
        <v>9</v>
      </c>
      <c r="C371" s="1" t="s">
        <v>1768</v>
      </c>
      <c r="D371" s="1" t="s">
        <v>456</v>
      </c>
      <c r="E371" s="1" t="s">
        <v>457</v>
      </c>
      <c r="F371" s="1" t="s">
        <v>23</v>
      </c>
      <c r="G371" s="1" t="s">
        <v>23</v>
      </c>
      <c r="H371" s="1" t="s">
        <v>14</v>
      </c>
    </row>
    <row r="372" spans="1:8">
      <c r="A372" s="1" t="s">
        <v>1769</v>
      </c>
      <c r="B372" s="1" t="s">
        <v>9</v>
      </c>
      <c r="C372" s="1" t="s">
        <v>23</v>
      </c>
      <c r="D372" s="1" t="s">
        <v>1770</v>
      </c>
      <c r="E372" s="1" t="s">
        <v>23</v>
      </c>
      <c r="F372" s="1" t="s">
        <v>1771</v>
      </c>
      <c r="G372" s="1" t="s">
        <v>1772</v>
      </c>
      <c r="H372" s="1" t="s">
        <v>1773</v>
      </c>
    </row>
    <row r="373" spans="1:8">
      <c r="A373" s="1" t="s">
        <v>1774</v>
      </c>
      <c r="B373" s="1" t="s">
        <v>9</v>
      </c>
      <c r="C373" s="1" t="s">
        <v>1775</v>
      </c>
      <c r="D373" s="1" t="s">
        <v>670</v>
      </c>
      <c r="E373" s="1" t="s">
        <v>1776</v>
      </c>
      <c r="F373" s="1" t="s">
        <v>1777</v>
      </c>
      <c r="G373" s="1" t="s">
        <v>1778</v>
      </c>
      <c r="H373" s="1" t="s">
        <v>14</v>
      </c>
    </row>
    <row r="374" spans="1:8">
      <c r="A374" s="1" t="s">
        <v>1779</v>
      </c>
      <c r="B374" s="1" t="s">
        <v>9</v>
      </c>
      <c r="C374" s="1" t="s">
        <v>1780</v>
      </c>
      <c r="D374" s="1" t="s">
        <v>174</v>
      </c>
      <c r="E374" s="1" t="s">
        <v>174</v>
      </c>
      <c r="F374" s="1" t="s">
        <v>23</v>
      </c>
      <c r="G374" s="1" t="s">
        <v>1781</v>
      </c>
      <c r="H374" s="1" t="s">
        <v>14</v>
      </c>
    </row>
    <row r="375" spans="1:8">
      <c r="A375" s="1" t="s">
        <v>1782</v>
      </c>
      <c r="B375" s="1" t="s">
        <v>9</v>
      </c>
      <c r="C375" s="1" t="s">
        <v>1783</v>
      </c>
      <c r="D375" s="1" t="s">
        <v>174</v>
      </c>
      <c r="E375" s="1" t="s">
        <v>174</v>
      </c>
      <c r="F375" s="1" t="s">
        <v>1784</v>
      </c>
      <c r="G375" s="1" t="s">
        <v>23</v>
      </c>
      <c r="H375" s="1" t="s">
        <v>14</v>
      </c>
    </row>
    <row r="376" spans="1:8">
      <c r="A376" s="1" t="s">
        <v>1785</v>
      </c>
      <c r="B376" s="1" t="s">
        <v>9</v>
      </c>
      <c r="C376" s="1" t="s">
        <v>1786</v>
      </c>
      <c r="D376" s="1" t="s">
        <v>174</v>
      </c>
      <c r="E376" s="1" t="s">
        <v>174</v>
      </c>
      <c r="F376" s="1" t="s">
        <v>1787</v>
      </c>
      <c r="G376" s="1" t="s">
        <v>1788</v>
      </c>
      <c r="H376" s="1" t="s">
        <v>14</v>
      </c>
    </row>
    <row r="377" spans="1:8">
      <c r="A377" s="1" t="s">
        <v>1789</v>
      </c>
      <c r="B377" s="1" t="s">
        <v>9</v>
      </c>
      <c r="C377" s="1" t="s">
        <v>1790</v>
      </c>
      <c r="D377" s="1" t="s">
        <v>184</v>
      </c>
      <c r="E377" s="1" t="s">
        <v>174</v>
      </c>
      <c r="F377" s="1" t="s">
        <v>775</v>
      </c>
      <c r="G377" s="1" t="s">
        <v>1791</v>
      </c>
      <c r="H377" s="1" t="s">
        <v>777</v>
      </c>
    </row>
    <row r="378" spans="1:8">
      <c r="A378" s="1" t="s">
        <v>1792</v>
      </c>
      <c r="B378" s="1" t="s">
        <v>9</v>
      </c>
      <c r="C378" s="1" t="s">
        <v>1793</v>
      </c>
      <c r="D378" s="1" t="s">
        <v>184</v>
      </c>
      <c r="E378" s="1" t="s">
        <v>174</v>
      </c>
      <c r="F378" s="1" t="s">
        <v>31</v>
      </c>
      <c r="G378" s="1" t="s">
        <v>1794</v>
      </c>
      <c r="H378" s="1" t="s">
        <v>14</v>
      </c>
    </row>
    <row r="379" spans="1:8">
      <c r="A379" s="1" t="s">
        <v>1795</v>
      </c>
      <c r="B379" s="1" t="s">
        <v>9</v>
      </c>
      <c r="C379" s="1" t="s">
        <v>1796</v>
      </c>
      <c r="D379" s="1" t="s">
        <v>1797</v>
      </c>
      <c r="E379" s="1" t="s">
        <v>174</v>
      </c>
      <c r="F379" s="1" t="s">
        <v>1798</v>
      </c>
      <c r="G379" s="1" t="s">
        <v>1799</v>
      </c>
      <c r="H379" s="1" t="s">
        <v>1800</v>
      </c>
    </row>
    <row r="380" spans="1:8">
      <c r="A380" s="1" t="s">
        <v>1801</v>
      </c>
      <c r="B380" s="1" t="s">
        <v>9</v>
      </c>
      <c r="C380" s="1" t="s">
        <v>1802</v>
      </c>
      <c r="D380" s="1" t="s">
        <v>184</v>
      </c>
      <c r="E380" s="1" t="s">
        <v>174</v>
      </c>
      <c r="F380" s="1" t="s">
        <v>23</v>
      </c>
      <c r="G380" s="1" t="s">
        <v>1803</v>
      </c>
      <c r="H380" s="1" t="s">
        <v>14</v>
      </c>
    </row>
    <row r="381" spans="1:8">
      <c r="A381" s="1" t="s">
        <v>1804</v>
      </c>
      <c r="B381" s="1" t="s">
        <v>9</v>
      </c>
      <c r="C381" s="1" t="s">
        <v>1805</v>
      </c>
      <c r="D381" s="1" t="s">
        <v>1806</v>
      </c>
      <c r="E381" s="1" t="s">
        <v>174</v>
      </c>
      <c r="F381" s="1" t="s">
        <v>1807</v>
      </c>
      <c r="G381" s="1" t="s">
        <v>1808</v>
      </c>
      <c r="H381" s="1" t="s">
        <v>14</v>
      </c>
    </row>
    <row r="382" spans="1:8">
      <c r="A382" s="1" t="s">
        <v>1809</v>
      </c>
      <c r="B382" s="1" t="s">
        <v>9</v>
      </c>
      <c r="C382" s="1" t="s">
        <v>1810</v>
      </c>
      <c r="D382" s="1" t="s">
        <v>1811</v>
      </c>
      <c r="E382" s="1" t="s">
        <v>174</v>
      </c>
      <c r="F382" s="1" t="s">
        <v>23</v>
      </c>
      <c r="G382" s="1" t="s">
        <v>1812</v>
      </c>
      <c r="H382" s="1" t="s">
        <v>14</v>
      </c>
    </row>
    <row r="383" spans="1:8">
      <c r="A383" s="1" t="s">
        <v>812</v>
      </c>
      <c r="B383" s="1" t="s">
        <v>9</v>
      </c>
      <c r="C383" s="1" t="s">
        <v>1813</v>
      </c>
      <c r="D383" s="1" t="s">
        <v>814</v>
      </c>
      <c r="E383" s="1" t="s">
        <v>174</v>
      </c>
      <c r="F383" s="1" t="s">
        <v>23</v>
      </c>
      <c r="G383" s="1" t="s">
        <v>23</v>
      </c>
      <c r="H383" s="1" t="s">
        <v>14</v>
      </c>
    </row>
    <row r="384" spans="1:8">
      <c r="A384" s="1" t="s">
        <v>1814</v>
      </c>
      <c r="B384" s="1" t="s">
        <v>9</v>
      </c>
      <c r="C384" s="1" t="s">
        <v>1815</v>
      </c>
      <c r="D384" s="1" t="s">
        <v>848</v>
      </c>
      <c r="E384" s="1" t="s">
        <v>174</v>
      </c>
      <c r="F384" s="1" t="s">
        <v>1816</v>
      </c>
      <c r="G384" s="1" t="s">
        <v>1817</v>
      </c>
      <c r="H384" s="1" t="s">
        <v>535</v>
      </c>
    </row>
    <row r="385" spans="1:8">
      <c r="A385" s="1" t="s">
        <v>1818</v>
      </c>
      <c r="B385" s="1" t="s">
        <v>784</v>
      </c>
      <c r="C385" s="1" t="s">
        <v>1819</v>
      </c>
      <c r="D385" s="1" t="s">
        <v>1820</v>
      </c>
      <c r="E385" s="1" t="s">
        <v>174</v>
      </c>
      <c r="F385" s="1" t="s">
        <v>1821</v>
      </c>
      <c r="G385" s="1" t="s">
        <v>1822</v>
      </c>
      <c r="H385" s="1" t="s">
        <v>535</v>
      </c>
    </row>
    <row r="386" spans="1:8">
      <c r="A386" s="1" t="s">
        <v>1823</v>
      </c>
      <c r="B386" s="1" t="s">
        <v>9</v>
      </c>
      <c r="C386" s="1" t="s">
        <v>1824</v>
      </c>
      <c r="D386" s="1" t="s">
        <v>98</v>
      </c>
      <c r="E386" s="1" t="s">
        <v>98</v>
      </c>
      <c r="F386" s="1" t="s">
        <v>1825</v>
      </c>
      <c r="G386" s="1" t="s">
        <v>1826</v>
      </c>
      <c r="H386" s="1" t="s">
        <v>1827</v>
      </c>
    </row>
    <row r="387" spans="1:8">
      <c r="A387" s="1" t="s">
        <v>1828</v>
      </c>
      <c r="B387" s="1" t="s">
        <v>9</v>
      </c>
      <c r="C387" s="1" t="s">
        <v>1829</v>
      </c>
      <c r="D387" s="1" t="s">
        <v>98</v>
      </c>
      <c r="E387" s="1" t="s">
        <v>98</v>
      </c>
      <c r="F387" s="1" t="s">
        <v>1830</v>
      </c>
      <c r="G387" s="1" t="s">
        <v>1831</v>
      </c>
      <c r="H387" s="1" t="s">
        <v>1832</v>
      </c>
    </row>
    <row r="388" spans="1:8">
      <c r="A388" s="1" t="s">
        <v>1833</v>
      </c>
      <c r="B388" s="1" t="s">
        <v>9</v>
      </c>
      <c r="C388" s="1" t="s">
        <v>1834</v>
      </c>
      <c r="D388" s="1" t="s">
        <v>1835</v>
      </c>
      <c r="E388" s="1" t="s">
        <v>98</v>
      </c>
      <c r="F388" s="1" t="s">
        <v>23</v>
      </c>
      <c r="G388" s="1" t="s">
        <v>1836</v>
      </c>
      <c r="H388" s="1" t="s">
        <v>14</v>
      </c>
    </row>
    <row r="389" spans="1:8">
      <c r="A389" s="1" t="s">
        <v>1837</v>
      </c>
      <c r="B389" s="1" t="s">
        <v>9</v>
      </c>
      <c r="C389" s="1" t="s">
        <v>1838</v>
      </c>
      <c r="D389" s="1" t="s">
        <v>1839</v>
      </c>
      <c r="E389" s="1" t="s">
        <v>98</v>
      </c>
      <c r="F389" s="1" t="s">
        <v>1840</v>
      </c>
      <c r="G389" s="1" t="s">
        <v>1841</v>
      </c>
      <c r="H389" s="1" t="s">
        <v>1842</v>
      </c>
    </row>
    <row r="390" spans="1:8">
      <c r="A390" s="1" t="s">
        <v>1843</v>
      </c>
      <c r="B390" s="1" t="s">
        <v>9</v>
      </c>
      <c r="C390" s="1" t="s">
        <v>1844</v>
      </c>
      <c r="D390" s="1" t="s">
        <v>97</v>
      </c>
      <c r="E390" s="1" t="s">
        <v>98</v>
      </c>
      <c r="F390" s="1" t="s">
        <v>23</v>
      </c>
      <c r="G390" s="1" t="s">
        <v>1845</v>
      </c>
      <c r="H390" s="1" t="s">
        <v>14</v>
      </c>
    </row>
    <row r="391" spans="1:8">
      <c r="A391" s="1" t="s">
        <v>1846</v>
      </c>
      <c r="B391" s="1" t="s">
        <v>9</v>
      </c>
      <c r="C391" s="1" t="s">
        <v>1847</v>
      </c>
      <c r="D391" s="1" t="s">
        <v>1848</v>
      </c>
      <c r="E391" s="1" t="s">
        <v>98</v>
      </c>
      <c r="F391" s="1" t="s">
        <v>23</v>
      </c>
      <c r="G391" s="1" t="s">
        <v>1849</v>
      </c>
      <c r="H391" s="1" t="s">
        <v>14</v>
      </c>
    </row>
    <row r="392" spans="1:8">
      <c r="A392" s="1" t="s">
        <v>1850</v>
      </c>
      <c r="B392" s="1" t="s">
        <v>9</v>
      </c>
      <c r="C392" s="1" t="s">
        <v>1851</v>
      </c>
      <c r="D392" s="1" t="s">
        <v>1852</v>
      </c>
      <c r="E392" s="1" t="s">
        <v>98</v>
      </c>
      <c r="F392" s="1" t="s">
        <v>1853</v>
      </c>
      <c r="G392" s="1" t="s">
        <v>1854</v>
      </c>
      <c r="H392" s="1" t="s">
        <v>14</v>
      </c>
    </row>
    <row r="393" spans="1:8">
      <c r="A393" s="1" t="s">
        <v>1855</v>
      </c>
      <c r="B393" s="1" t="s">
        <v>9</v>
      </c>
      <c r="C393" s="1" t="s">
        <v>1856</v>
      </c>
      <c r="D393" s="1" t="s">
        <v>1857</v>
      </c>
      <c r="E393" s="1" t="s">
        <v>98</v>
      </c>
      <c r="F393" s="1" t="s">
        <v>31</v>
      </c>
      <c r="G393" s="1" t="s">
        <v>1858</v>
      </c>
      <c r="H393" s="1" t="s">
        <v>14</v>
      </c>
    </row>
    <row r="394" spans="1:8">
      <c r="A394" s="1" t="s">
        <v>1859</v>
      </c>
      <c r="B394" s="1" t="s">
        <v>9</v>
      </c>
      <c r="C394" s="1" t="s">
        <v>1860</v>
      </c>
      <c r="D394" s="1" t="s">
        <v>1861</v>
      </c>
      <c r="E394" s="1" t="s">
        <v>1862</v>
      </c>
      <c r="F394" s="1" t="s">
        <v>1863</v>
      </c>
      <c r="G394" s="1" t="s">
        <v>1864</v>
      </c>
      <c r="H394" s="1" t="s">
        <v>1865</v>
      </c>
    </row>
    <row r="395" spans="1:8">
      <c r="A395" s="1" t="s">
        <v>1866</v>
      </c>
      <c r="B395" s="1" t="s">
        <v>9</v>
      </c>
      <c r="C395" s="1" t="s">
        <v>1867</v>
      </c>
      <c r="D395" s="1" t="s">
        <v>1861</v>
      </c>
      <c r="E395" s="1" t="s">
        <v>1868</v>
      </c>
      <c r="F395" s="1" t="s">
        <v>23</v>
      </c>
      <c r="G395" s="1" t="s">
        <v>1869</v>
      </c>
      <c r="H395" s="1" t="s">
        <v>14</v>
      </c>
    </row>
    <row r="396" spans="1:8">
      <c r="A396" s="1" t="s">
        <v>1870</v>
      </c>
      <c r="B396" s="1" t="s">
        <v>9</v>
      </c>
      <c r="C396" s="1" t="s">
        <v>23</v>
      </c>
      <c r="D396" s="1" t="s">
        <v>1871</v>
      </c>
      <c r="E396" s="1" t="s">
        <v>23</v>
      </c>
      <c r="F396" s="1" t="s">
        <v>1872</v>
      </c>
      <c r="G396" s="1" t="s">
        <v>1873</v>
      </c>
      <c r="H396" s="1" t="s">
        <v>1874</v>
      </c>
    </row>
    <row r="397" spans="1:8">
      <c r="A397" s="1" t="s">
        <v>1875</v>
      </c>
      <c r="B397" s="1" t="s">
        <v>9</v>
      </c>
      <c r="C397" s="1" t="s">
        <v>1876</v>
      </c>
      <c r="D397" s="1" t="s">
        <v>1877</v>
      </c>
      <c r="E397" s="1" t="s">
        <v>1637</v>
      </c>
      <c r="F397" s="1" t="s">
        <v>23</v>
      </c>
      <c r="G397" s="1" t="s">
        <v>1878</v>
      </c>
      <c r="H397" s="1" t="s">
        <v>14</v>
      </c>
    </row>
    <row r="398" spans="1:8">
      <c r="A398" s="1" t="s">
        <v>1879</v>
      </c>
      <c r="B398" s="1" t="s">
        <v>9</v>
      </c>
      <c r="C398" s="1" t="s">
        <v>1880</v>
      </c>
      <c r="D398" s="1" t="s">
        <v>1881</v>
      </c>
      <c r="E398" s="1" t="s">
        <v>1882</v>
      </c>
      <c r="F398" s="1" t="s">
        <v>1883</v>
      </c>
      <c r="G398" s="1" t="s">
        <v>1884</v>
      </c>
      <c r="H398" s="1" t="s">
        <v>1885</v>
      </c>
    </row>
    <row r="399" spans="1:8">
      <c r="A399" s="1" t="s">
        <v>1886</v>
      </c>
      <c r="B399" s="1" t="s">
        <v>9</v>
      </c>
      <c r="C399" s="1" t="s">
        <v>1887</v>
      </c>
      <c r="D399" s="1" t="s">
        <v>1888</v>
      </c>
      <c r="E399" s="1" t="s">
        <v>1882</v>
      </c>
      <c r="F399" s="1" t="s">
        <v>1889</v>
      </c>
      <c r="G399" s="1" t="s">
        <v>1890</v>
      </c>
      <c r="H399" s="1" t="s">
        <v>1891</v>
      </c>
    </row>
    <row r="400" spans="1:8">
      <c r="A400" s="1" t="s">
        <v>1892</v>
      </c>
      <c r="B400" s="1" t="s">
        <v>9</v>
      </c>
      <c r="C400" s="1" t="s">
        <v>1893</v>
      </c>
      <c r="D400" s="1" t="s">
        <v>1894</v>
      </c>
      <c r="E400" s="1" t="s">
        <v>1882</v>
      </c>
      <c r="F400" s="1" t="s">
        <v>23</v>
      </c>
      <c r="G400" s="1" t="s">
        <v>1895</v>
      </c>
      <c r="H400" s="1" t="s">
        <v>14</v>
      </c>
    </row>
    <row r="401" spans="1:8">
      <c r="A401" s="1" t="s">
        <v>1896</v>
      </c>
      <c r="B401" s="1" t="s">
        <v>9</v>
      </c>
      <c r="C401" s="1" t="s">
        <v>1897</v>
      </c>
      <c r="D401" s="1" t="s">
        <v>1898</v>
      </c>
      <c r="E401" s="1" t="s">
        <v>671</v>
      </c>
      <c r="F401" s="1" t="s">
        <v>1899</v>
      </c>
      <c r="G401" s="1" t="s">
        <v>1900</v>
      </c>
      <c r="H401" s="1" t="s">
        <v>14</v>
      </c>
    </row>
    <row r="402" spans="1:8">
      <c r="A402" s="1" t="s">
        <v>1901</v>
      </c>
      <c r="B402" s="1" t="s">
        <v>9</v>
      </c>
      <c r="C402" s="1" t="s">
        <v>1902</v>
      </c>
      <c r="D402" s="1" t="s">
        <v>1903</v>
      </c>
      <c r="E402" s="1" t="s">
        <v>1882</v>
      </c>
      <c r="F402" s="1" t="s">
        <v>1904</v>
      </c>
      <c r="G402" s="1" t="s">
        <v>1905</v>
      </c>
      <c r="H402" s="1" t="s">
        <v>1906</v>
      </c>
    </row>
    <row r="403" spans="1:8">
      <c r="A403" s="1" t="s">
        <v>1907</v>
      </c>
      <c r="B403" s="1" t="s">
        <v>9</v>
      </c>
      <c r="C403" s="1" t="s">
        <v>1908</v>
      </c>
      <c r="D403" s="1" t="s">
        <v>1909</v>
      </c>
      <c r="E403" s="1" t="s">
        <v>1882</v>
      </c>
      <c r="F403" s="1" t="s">
        <v>1910</v>
      </c>
      <c r="G403" s="1" t="s">
        <v>1911</v>
      </c>
      <c r="H403" s="1" t="s">
        <v>1912</v>
      </c>
    </row>
  </sheetData>
  <autoFilter ref="A1:H1" xr:uid="{4572C34B-1342-49D8-B580-5711333576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D063-0BC2-420E-9730-E7D73C4F3F9E}">
  <dimension ref="A1:G4"/>
  <sheetViews>
    <sheetView workbookViewId="0">
      <selection activeCell="H9" sqref="H9"/>
    </sheetView>
  </sheetViews>
  <sheetFormatPr defaultColWidth="11.42578125" defaultRowHeight="14.45"/>
  <cols>
    <col min="1" max="1" width="21.140625" customWidth="1"/>
    <col min="2" max="2" width="28.28515625" customWidth="1"/>
    <col min="3" max="3" width="19.28515625" customWidth="1"/>
    <col min="4" max="4" width="21.28515625" customWidth="1"/>
    <col min="5" max="5" width="22" customWidth="1"/>
    <col min="6" max="6" width="24.5703125" customWidth="1"/>
    <col min="7" max="7" width="20.140625" customWidth="1"/>
  </cols>
  <sheetData>
    <row r="1" spans="1:7">
      <c r="A1" t="s">
        <v>1913</v>
      </c>
      <c r="B1" t="s">
        <v>1914</v>
      </c>
      <c r="C1" t="s">
        <v>1915</v>
      </c>
      <c r="D1" t="s">
        <v>1916</v>
      </c>
      <c r="E1" t="s">
        <v>1917</v>
      </c>
      <c r="F1" t="s">
        <v>1918</v>
      </c>
      <c r="G1" t="s">
        <v>1919</v>
      </c>
    </row>
    <row r="2" spans="1:7">
      <c r="A2">
        <f ca="1">COUNTIF('centraldecomunicacion.es'!A2:'centraldecomunicacion.es'!A19472,"*")</f>
        <v>402</v>
      </c>
      <c r="B2">
        <f ca="1">COUNTIF('centraldecomunicacion.es'!H2:'centraldecomunicacion.es'!H19472,"*@*")</f>
        <v>199</v>
      </c>
      <c r="C2">
        <f ca="1">COUNTIF('centraldecomunicacion.es'!F2:'centraldecomunicacion.es'!F19472,"*.*")</f>
        <v>305</v>
      </c>
      <c r="D2">
        <f ca="1">COUNTIF('centraldecomunicacion.es'!G2:'centraldecomunicacion.es'!G19472,"6*")+COUNTIF('centraldecomunicacion.es'!G2:'centraldecomunicacion.es'!G19472,"9*")</f>
        <v>375</v>
      </c>
      <c r="E2">
        <f ca="1">COUNTIF('centraldecomunicacion.es'!G2:'centraldecomunicacion.es'!G19472,"9*")</f>
        <v>290</v>
      </c>
      <c r="F2">
        <f ca="1">COUNTIF('centraldecomunicacion.es'!G2:'centraldecomunicacion.es'!G19472,"6*")</f>
        <v>85</v>
      </c>
      <c r="G2" t="str" cm="1">
        <f t="array" aca="1" ref="G2:G4" ca="1">_xlfn.UNIQUE('centraldecomunicacion.es'!B2:'centraldecomunicacion.es'!B19472)</f>
        <v>Tienda de chimeneas</v>
      </c>
    </row>
    <row r="3" spans="1:7">
      <c r="G3" t="str">
        <f ca="1"/>
        <v>Servicios de chimeneas</v>
      </c>
    </row>
    <row r="4" spans="1:7">
      <c r="G4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6F38-1AA8-4E7E-B0A3-FE5C606C6E08}">
  <dimension ref="A1"/>
  <sheetViews>
    <sheetView workbookViewId="0">
      <selection activeCell="B5" sqref="B5"/>
    </sheetView>
  </sheetViews>
  <sheetFormatPr defaultColWidth="11.42578125" defaultRowHeight="14.45"/>
  <cols>
    <col min="1" max="1" width="87.5703125" customWidth="1"/>
  </cols>
  <sheetData>
    <row r="1" spans="1:1" ht="87">
      <c r="A1" s="2" t="s">
        <v>1920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D23D43-4B7C-4750-985D-4FFBC6E85F30}"/>
</file>

<file path=customXml/itemProps2.xml><?xml version="1.0" encoding="utf-8"?>
<ds:datastoreItem xmlns:ds="http://schemas.openxmlformats.org/officeDocument/2006/customXml" ds:itemID="{16BFE9FF-BFFA-492A-BF4E-8DFDB1C645B4}"/>
</file>

<file path=customXml/itemProps3.xml><?xml version="1.0" encoding="utf-8"?>
<ds:datastoreItem xmlns:ds="http://schemas.openxmlformats.org/officeDocument/2006/customXml" ds:itemID="{8D7F290B-166F-49E2-89E3-7B3FD9330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2022-06-07T10:54:16Z</dcterms:created>
  <dcterms:modified xsi:type="dcterms:W3CDTF">2024-01-11T16:58:56Z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