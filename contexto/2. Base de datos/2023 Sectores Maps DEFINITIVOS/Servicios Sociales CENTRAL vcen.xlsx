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0" documentId="13_ncr:1_{4F07E967-8642-4AC9-8508-A0BB9A688DB9}" xr6:coauthVersionLast="47" xr6:coauthVersionMax="47" xr10:uidLastSave="{00000000-0000-0000-0000-000000000000}"/>
  <bookViews>
    <workbookView xWindow="-38520" yWindow="-6645" windowWidth="38640" windowHeight="21120" activeTab="1" xr2:uid="{A21439F3-7943-4FFF-9348-B1FF7717A9A3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'centraldecomunicacion.es'!$A$1:$Z$1562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<sst xmlns="http://schemas.openxmlformats.org/spreadsheetml/2006/main" count="25000" uniqueCount="11940">
  <si>
    <t>﻿Nombre</t>
  </si>
  <si>
    <t>Categoría</t>
  </si>
  <si>
    <t>Rating</t>
  </si>
  <si>
    <t>Nº Reviews</t>
  </si>
  <si>
    <t>Código Plus</t>
  </si>
  <si>
    <t>Localidad</t>
  </si>
  <si>
    <t>Provincia</t>
  </si>
  <si>
    <t>Website</t>
  </si>
  <si>
    <t>Teléfono</t>
  </si>
  <si>
    <t>email</t>
  </si>
  <si>
    <t>Reclamar</t>
  </si>
  <si>
    <t>Latitud</t>
  </si>
  <si>
    <t>Longitud</t>
  </si>
  <si>
    <t>Url en Maps</t>
  </si>
  <si>
    <t>Imagen Url</t>
  </si>
  <si>
    <t>5,0</t>
  </si>
  <si>
    <t>1</t>
  </si>
  <si>
    <t>Almería</t>
  </si>
  <si>
    <t>seg-social.es</t>
  </si>
  <si>
    <t>-</t>
  </si>
  <si>
    <t>No</t>
  </si>
  <si>
    <t>3,2</t>
  </si>
  <si>
    <t>22</t>
  </si>
  <si>
    <t>2,5</t>
  </si>
  <si>
    <t>28</t>
  </si>
  <si>
    <t>1,0</t>
  </si>
  <si>
    <t>4,5</t>
  </si>
  <si>
    <t>2</t>
  </si>
  <si>
    <t/>
  </si>
  <si>
    <t>36.8350215</t>
  </si>
  <si>
    <t>-2.4972926</t>
  </si>
  <si>
    <t>Fundación Andaluza de Servicios Sociales</t>
  </si>
  <si>
    <t>Delegación de Servicios Sociales</t>
  </si>
  <si>
    <t>RGQP+RV Almería</t>
  </si>
  <si>
    <t>Calle Navarro Rodrigo, 8, 04001 Almería</t>
  </si>
  <si>
    <t>950 25 34 98</t>
  </si>
  <si>
    <t>https://goo.gl/maps/hxZP8dbRqaz1dKZZA</t>
  </si>
  <si>
    <t>https://streetviewpixels-pa.googleapis.com/v1/thumbnail?panoid=kYEHqjNfo3eotWtYHwW4uw&amp;cb_client=search.gws-prod.gps&amp;w=408&amp;h=240&amp;yaw=185.90146&amp;pitch=0&amp;thumbfov=100</t>
  </si>
  <si>
    <t>Centro de Servicios Sociales Casco Antíguo</t>
  </si>
  <si>
    <t>RGQH+84 Almería</t>
  </si>
  <si>
    <t>Calle Chafarinas, 3, 04002 Almería</t>
  </si>
  <si>
    <t>950 27 05 11</t>
  </si>
  <si>
    <t>36.838354</t>
  </si>
  <si>
    <t>-2.4896879</t>
  </si>
  <si>
    <t>https://goo.gl/maps/nTPf28dcZ7f5URGi9</t>
  </si>
  <si>
    <t>https://streetviewpixels-pa.googleapis.com/v1/thumbnail?panoid=v7WhQCgnEgdnBTeYIw3ogw&amp;cb_client=search.gws-prod.gps&amp;w=408&amp;h=240&amp;yaw=264.04657&amp;pitch=0&amp;thumbfov=100</t>
  </si>
  <si>
    <t>Centro de Servicios Sociales Comunitarios Nueva Andalucia</t>
  </si>
  <si>
    <t>RHR4+3C Almería</t>
  </si>
  <si>
    <t>Ctra. del Doctoral, 04006 Almería</t>
  </si>
  <si>
    <t>950 22 61 83</t>
  </si>
  <si>
    <t>36.8379253</t>
  </si>
  <si>
    <t>-2.4648503</t>
  </si>
  <si>
    <t>https://goo.gl/maps/rx5hMrU13uYSturt7</t>
  </si>
  <si>
    <t>https://streetviewpixels-pa.googleapis.com/v1/thumbnail?panoid=LQQ9i6o-4mkDFOVLW8XRVA&amp;cb_client=search.gws-prod.gps&amp;w=408&amp;h=240&amp;yaw=306.54147&amp;pitch=0&amp;thumbfov=100</t>
  </si>
  <si>
    <t>Centro De Servicios Sociales Rambla Belen -...</t>
  </si>
  <si>
    <t>Organización de servicios sociales</t>
  </si>
  <si>
    <t>RGXR+FC Almería</t>
  </si>
  <si>
    <t>Calle Quinta Avenida, 5, 04008 Almería</t>
  </si>
  <si>
    <t>https://goo.gl/maps/KudcEkHWJes2Pzpt7</t>
  </si>
  <si>
    <t>https://streetviewpixels-pa.googleapis.com/v1/thumbnail?panoid=7aNRhMG7IBo3TT2zDutGpQ&amp;cb_client=search.gws-prod.gps&amp;w=408&amp;h=240&amp;yaw=277.74664&amp;pitch=0&amp;thumbfov=100</t>
  </si>
  <si>
    <t>36.8486904</t>
  </si>
  <si>
    <t>-2.4764889</t>
  </si>
  <si>
    <t>Cepaim Almeria</t>
  </si>
  <si>
    <t>RGVP+3W Almería</t>
  </si>
  <si>
    <t>Calle Granada, 25, 04003 Almería</t>
  </si>
  <si>
    <t>https://goo.gl/maps/34kktYqEj9ms25bdA</t>
  </si>
  <si>
    <t>https://streetviewpixels-pa.googleapis.com/v1/thumbnail?panoid=xEecH86AZTl5E2casDY59A&amp;cb_client=search.gws-prod.gps&amp;w=408&amp;h=240&amp;yaw=268.9941&amp;pitch=0&amp;thumbfov=100</t>
  </si>
  <si>
    <t>CAPI 500 Viviendas</t>
  </si>
  <si>
    <t>3</t>
  </si>
  <si>
    <t>RHM2+6F Almería</t>
  </si>
  <si>
    <t>Calle Gijón, 1, 04007 Almería</t>
  </si>
  <si>
    <t>guadalinfo.es</t>
  </si>
  <si>
    <t>accesounico.ceic@andaluciaesdigital.es</t>
  </si>
  <si>
    <t>36.8330904</t>
  </si>
  <si>
    <t>-2.4663027</t>
  </si>
  <si>
    <t>https://goo.gl/maps/5Nsc557AW1d3RTLu7</t>
  </si>
  <si>
    <t>https://lh5.googleusercontent.com/p/AF1QipPIWoaHaXpmKtsTw8pzTFNMIXgNAkJJupKyU_LG=w408-h240-k-no-pi0-ya320-ro0-fo100</t>
  </si>
  <si>
    <t>Once Almeria</t>
  </si>
  <si>
    <t>4,3</t>
  </si>
  <si>
    <t>39</t>
  </si>
  <si>
    <t>RGQQ+P2 Almería</t>
  </si>
  <si>
    <t>a,, Calle Reyes Católicos, 11, 04001 Almería</t>
  </si>
  <si>
    <t>once.es</t>
  </si>
  <si>
    <t>950 28 21 11</t>
  </si>
  <si>
    <t>soi@once.es</t>
  </si>
  <si>
    <t>https://goo.gl/maps/P5fEnxZJ5EMBpEH76</t>
  </si>
  <si>
    <t>https://lh5.googleusercontent.com/p/AF1QipM9nGWP9-ogFEU25ciVX-y4Ou_kjaCXm-9afkHL=w408-h725-k-no</t>
  </si>
  <si>
    <t>Juzgado Social Nº 3</t>
  </si>
  <si>
    <t>Tribunal social</t>
  </si>
  <si>
    <t>RGQW+WF Almería</t>
  </si>
  <si>
    <t>Ctra. de Ronda, 120 - Plta. 6ª Bloque B, 04005 Almería</t>
  </si>
  <si>
    <t>poderjudicial.es</t>
  </si>
  <si>
    <t>950 20 40 77</t>
  </si>
  <si>
    <t>https://goo.gl/maps/VEXsergVFP592h1D8</t>
  </si>
  <si>
    <t>https://streetviewpixels-pa.googleapis.com/v1/thumbnail?panoid=uIgH3Arz6k2H63hPEXzGFw&amp;cb_client=search.gws-prod.gps&amp;w=408&amp;h=240&amp;yaw=108.61607&amp;pitch=0&amp;thumbfov=100</t>
  </si>
  <si>
    <t>Asociación de Personas con Discapacidad &amp;quot;El Saliente&amp;quot;</t>
  </si>
  <si>
    <t>4,8</t>
  </si>
  <si>
    <t>36</t>
  </si>
  <si>
    <t>VH84+P5 Almería</t>
  </si>
  <si>
    <t>Pol. Ind. de San Rafael, Calle San Rafael, 25, 04230 Huércal de Almería, Almería</t>
  </si>
  <si>
    <t>elsaliente.com</t>
  </si>
  <si>
    <t>950 62 06 06</t>
  </si>
  <si>
    <t>36.8668125</t>
  </si>
  <si>
    <t>-2.4620228</t>
  </si>
  <si>
    <t>https://goo.gl/maps/2eDKUcNMYTxq3E5L6</t>
  </si>
  <si>
    <t>https://lh5.googleusercontent.com/p/AF1QipN_E5MaARyIW6wSP0e32limBja-7j71J2ceMWpV=w408-h265-k-no</t>
  </si>
  <si>
    <t>Centro SIGMA</t>
  </si>
  <si>
    <t>Centro de bienestar social</t>
  </si>
  <si>
    <t>RGRP+5H Almería</t>
  </si>
  <si>
    <t>Paseo de Almería, 11, 04001 Almería</t>
  </si>
  <si>
    <t>psicologiasigma.com</t>
  </si>
  <si>
    <t>670 33 45 50</t>
  </si>
  <si>
    <t>36.8348362</t>
  </si>
  <si>
    <t>-2.4810921</t>
  </si>
  <si>
    <t>https://goo.gl/maps/uuDMWQyVzsWpgxwh8</t>
  </si>
  <si>
    <t>https://streetviewpixels-pa.googleapis.com/v1/thumbnail?panoid=l7NlviK4h4rafuHeRVxqUw&amp;cb_client=search.gws-prod.gps&amp;w=408&amp;h=240&amp;yaw=64.547134&amp;pitch=0&amp;thumbfov=100</t>
  </si>
  <si>
    <t>Asociación De Hogares Para Niños Privados De Ambiente Familiar Nuevo Futuro</t>
  </si>
  <si>
    <t>3,0</t>
  </si>
  <si>
    <t>RGQV+3H Almería</t>
  </si>
  <si>
    <t>Calle Dr. Gregorio Marañón, 43, 04005 Almería</t>
  </si>
  <si>
    <t>950 22 55 40</t>
  </si>
  <si>
    <t>https://goo.gl/maps/jJyokx3HCriGS3TC7</t>
  </si>
  <si>
    <t>https://lh5.googleusercontent.com/p/AF1QipMRl1uM3TwXeKvwzyD6hb2bkM-NyCGdVvrCGgaK=w425-h240-k-no</t>
  </si>
  <si>
    <t>Asociación Almeriense Jugadores De Azar En Rehabilitación</t>
  </si>
  <si>
    <t>4</t>
  </si>
  <si>
    <t>RHV3+2V Almería</t>
  </si>
  <si>
    <t>Av. del Mediterráneo, 222, 04006 Almería</t>
  </si>
  <si>
    <t>950 27 25 44</t>
  </si>
  <si>
    <t>36.8425499</t>
  </si>
  <si>
    <t>-2.4628707</t>
  </si>
  <si>
    <t>https://goo.gl/maps/eJ9xt1GiFeDkQPYY8</t>
  </si>
  <si>
    <t>https://streetviewpixels-pa.googleapis.com/v1/thumbnail?panoid=G9HzR9lI-uhL1buFaPGPgQ&amp;cb_client=search.gws-prod.gps&amp;w=408&amp;h=240&amp;yaw=225.28938&amp;pitch=0&amp;thumbfov=100</t>
  </si>
  <si>
    <t>Faisem - Fundación Andaluza Para la Integración Social del Enfermo Mental</t>
  </si>
  <si>
    <t>RGVX+V3 Almería</t>
  </si>
  <si>
    <t>Ctra. de Ronda, 226, 04009 Almería</t>
  </si>
  <si>
    <t>faisem.es</t>
  </si>
  <si>
    <t>950 01 77 24</t>
  </si>
  <si>
    <t>https://goo.gl/maps/qEusqWxPdC6n1bcA9</t>
  </si>
  <si>
    <t>https://streetviewpixels-pa.googleapis.com/v1/thumbnail?panoid=49wSLjIiZS4nH_ma3K9BPg&amp;cb_client=search.gws-prod.gps&amp;w=408&amp;h=240&amp;yaw=176.77492&amp;pitch=0&amp;thumbfov=100</t>
  </si>
  <si>
    <t>Asociación Nuevo Rumbo</t>
  </si>
  <si>
    <t>4,9</t>
  </si>
  <si>
    <t>11</t>
  </si>
  <si>
    <t>RGWV+27 Almería</t>
  </si>
  <si>
    <t>Calle Sor Policarpa, 17, 04005 Almería</t>
  </si>
  <si>
    <t>asociacionnuevorumbo.es</t>
  </si>
  <si>
    <t>950 27 60 99</t>
  </si>
  <si>
    <t>info@asociacionnuevorumbo.es</t>
  </si>
  <si>
    <t>36.8450091</t>
  </si>
  <si>
    <t>-2.4743617</t>
  </si>
  <si>
    <t>https://goo.gl/maps/hxUReFUjSm6dU6Mg7</t>
  </si>
  <si>
    <t>https://streetviewpixels-pa.googleapis.com/v1/thumbnail?panoid=-nNWbKrIswrfavtQsN9dCg&amp;cb_client=search.gws-prod.gps&amp;w=408&amp;h=240&amp;yaw=298.9407&amp;pitch=0&amp;thumbfov=100</t>
  </si>
  <si>
    <t>RHQ2+GF Almería</t>
  </si>
  <si>
    <t>Calle Torres Naharro, 2, 04006 Almería</t>
  </si>
  <si>
    <t>950 25 33 55</t>
  </si>
  <si>
    <t>https://goo.gl/maps/AUS6jFRSf1D4Kx258</t>
  </si>
  <si>
    <t>https://streetviewpixels-pa.googleapis.com/v1/thumbnail?panoid=GyJ1AYCPotcTyp7XfXB1yg&amp;cb_client=search.gws-prod.gps&amp;w=408&amp;h=240&amp;yaw=41.649536&amp;pitch=0&amp;thumbfov=100</t>
  </si>
  <si>
    <t>Cruz Roja Española</t>
  </si>
  <si>
    <t>Servicios sociales</t>
  </si>
  <si>
    <t>4,4</t>
  </si>
  <si>
    <t>114</t>
  </si>
  <si>
    <t>RGPH+QX Almería</t>
  </si>
  <si>
    <t>Parque de Nicolás Salmerón, 28, 04002 Almería</t>
  </si>
  <si>
    <t>cruzroja.es</t>
  </si>
  <si>
    <t>950 25 71 66</t>
  </si>
  <si>
    <t>informa@cruzroja.es</t>
  </si>
  <si>
    <t>36.8320648</t>
  </si>
  <si>
    <t>-2.4748721</t>
  </si>
  <si>
    <t>https://goo.gl/maps/vbxfTzSG7xWJshyz9</t>
  </si>
  <si>
    <t>https://lh5.googleusercontent.com/p/AF1QipP3TtxgTU2elAxV4Vc23RbbKGJpbC51USv__CIz=w408-h725-k-no</t>
  </si>
  <si>
    <t>Fundación Unicef Comité Español</t>
  </si>
  <si>
    <t>2,3</t>
  </si>
  <si>
    <t>RGQP+R5 Almería</t>
  </si>
  <si>
    <t>Calle Ricardos, 11, 04001 Almería</t>
  </si>
  <si>
    <t>950 27 68 30</t>
  </si>
  <si>
    <t>https://goo.gl/maps/TuFXkMbzQqyau5mc9</t>
  </si>
  <si>
    <t>https://streetviewpixels-pa.googleapis.com/v1/thumbnail?panoid=dm-BdGhTIdIj7Bh61__z9g&amp;cb_client=search.gws-prod.gps&amp;w=408&amp;h=240&amp;yaw=257.22186&amp;pitch=0&amp;thumbfov=100</t>
  </si>
  <si>
    <t>Fundación Margenes y Vinculos</t>
  </si>
  <si>
    <t>3,7</t>
  </si>
  <si>
    <t>RGQP+F3 Almería</t>
  </si>
  <si>
    <t>Calle San Pedro, 6, 04001 Almería</t>
  </si>
  <si>
    <t>fmyv.es</t>
  </si>
  <si>
    <t>950 62 14 39</t>
  </si>
  <si>
    <t>https://goo.gl/maps/vKXqcxERRvaTFki28</t>
  </si>
  <si>
    <t>https://streetviewpixels-pa.googleapis.com/v1/thumbnail?panoid=VoT-imONeKRw4tMr69IZiA&amp;cb_client=search.gws-prod.gps&amp;w=408&amp;h=240&amp;yaw=317.76236&amp;pitch=0&amp;thumbfov=100</t>
  </si>
  <si>
    <t>Centro de la Mujer &amp;quot;Cortijo Grande&amp;quot;</t>
  </si>
  <si>
    <t>35</t>
  </si>
  <si>
    <t>RHJ4+R3 Almería</t>
  </si>
  <si>
    <t>Calle Antonio Muñoz Zamora, 5, 04007 Almería</t>
  </si>
  <si>
    <t>mujeralmeria.es</t>
  </si>
  <si>
    <t>950 26 79 92</t>
  </si>
  <si>
    <t>bdtalmeria@gmail.com</t>
  </si>
  <si>
    <t>https://goo.gl/maps/jejxPieiZpbt1MQQ6</t>
  </si>
  <si>
    <t>https://lh5.googleusercontent.com/p/AF1QipPu39jmAwQZLq86jSa8GF9n-Ao4i5MNds-wQT5D=w480-h240-k-no</t>
  </si>
  <si>
    <t>CENTRO DE ESTANCIAS DIURNAS ALMERIA SLL</t>
  </si>
  <si>
    <t>Asistente social</t>
  </si>
  <si>
    <t>RGQX+22 Almería</t>
  </si>
  <si>
    <t>CALLE GUADARRAMA, 14 PARADOR DE, 04006 Almería</t>
  </si>
  <si>
    <t>950 55 18 77</t>
  </si>
  <si>
    <t>https://goo.gl/maps/zrHU1EPJeXbWoY2B8</t>
  </si>
  <si>
    <t>https://streetviewpixels-pa.googleapis.com/v1/thumbnail?panoid=FBwAM6I7d9L9TgLbB_-Zjg&amp;cb_client=search.gws-prod.gps&amp;w=408&amp;h=240&amp;yaw=254.42853&amp;pitch=0&amp;thumbfov=100</t>
  </si>
  <si>
    <t>Asociación de Hogares Para Niños Privados de Ambiente Familiar Nuevo Futuro</t>
  </si>
  <si>
    <t>RHP2+57 Almería</t>
  </si>
  <si>
    <t>Av. de Madrid, 58, 04007 Almería</t>
  </si>
  <si>
    <t>https://goo.gl/maps/4VWwwgpKsto7hdPo7</t>
  </si>
  <si>
    <t>https://streetviewpixels-pa.googleapis.com/v1/thumbnail?panoid=Uzxcvhnhg_afWRzpHD2tbw&amp;cb_client=search.gws-prod.gps&amp;w=408&amp;h=240&amp;yaw=249.1555&amp;pitch=0&amp;thumbfov=100</t>
  </si>
  <si>
    <t>4,7</t>
  </si>
  <si>
    <t>13</t>
  </si>
  <si>
    <t>facebook.com</t>
  </si>
  <si>
    <t>Celemin Formacion</t>
  </si>
  <si>
    <t>RHP3+WW Almería</t>
  </si>
  <si>
    <t>Calle Benizalón, nº 2, 1º A, 04007 Almería</t>
  </si>
  <si>
    <t>celemin.es</t>
  </si>
  <si>
    <t>950 25 01 10</t>
  </si>
  <si>
    <t>info@celemin.es</t>
  </si>
  <si>
    <t>https://goo.gl/maps/pMSqm7ySZYrFDg6K7</t>
  </si>
  <si>
    <t>https://streetviewpixels-pa.googleapis.com/v1/thumbnail?panoid=z4IM62H0gT-QEguYja2Omg&amp;cb_client=search.gws-prod.gps&amp;w=408&amp;h=240&amp;yaw=243.79366&amp;pitch=0&amp;thumbfov=100</t>
  </si>
  <si>
    <t>Amefa - Asociacion Andaluza de Mediacion Familiar</t>
  </si>
  <si>
    <t>RGPQ+Q2 Almería</t>
  </si>
  <si>
    <t>Calle Gral. Tamayo, 7, 1º 3, 04001 Almería</t>
  </si>
  <si>
    <t>950 08 08 08</t>
  </si>
  <si>
    <t>https://goo.gl/maps/V7GpHXyJ7yNgnGLy8</t>
  </si>
  <si>
    <t>https://streetviewpixels-pa.googleapis.com/v1/thumbnail?panoid=gC33GcfWnGoxAbZNZXykfw&amp;cb_client=search.gws-prod.gps&amp;w=408&amp;h=240&amp;yaw=173.90416&amp;pitch=0&amp;thumbfov=100</t>
  </si>
  <si>
    <t>Aravera Servicios Sociales, S.L.</t>
  </si>
  <si>
    <t>RGMP+JG Almería</t>
  </si>
  <si>
    <t>04001 Almería</t>
  </si>
  <si>
    <t>araveraserviciossociales.com</t>
  </si>
  <si>
    <t>676 81 75 16</t>
  </si>
  <si>
    <t>aravera76@yahoo.es</t>
  </si>
  <si>
    <t>https://goo.gl/maps/EzFisCbfHJTczACD8</t>
  </si>
  <si>
    <t>https://streetviewpixels-pa.googleapis.com/v1/thumbnail?panoid=jVZXqCSY1JuDZptB2e5_lA&amp;cb_client=search.gws-prod.gps&amp;w=408&amp;h=240&amp;yaw=354.53528&amp;pitch=0&amp;thumbfov=100</t>
  </si>
  <si>
    <t>Punto de Empleo SAE Almería-Almadrabillas</t>
  </si>
  <si>
    <t>83</t>
  </si>
  <si>
    <t>RGMQ+FM Almería</t>
  </si>
  <si>
    <t>Ctra. de Ronda, 13, 04004 Almería</t>
  </si>
  <si>
    <t>juntadeandalucia.es</t>
  </si>
  <si>
    <t>950 80 20 28</t>
  </si>
  <si>
    <t>36.8336411</t>
  </si>
  <si>
    <t>-2.4783306</t>
  </si>
  <si>
    <t>https://goo.gl/maps/ecAK6EknzyzQVoK19</t>
  </si>
  <si>
    <t>https://lh5.googleusercontent.com/p/AF1QipPgGEe1SpAcy4hLoTvdWsWSMPhuWfSr_o46H2QO=w408-h725-k-no</t>
  </si>
  <si>
    <t>Hogar Santa Teresa Jornet</t>
  </si>
  <si>
    <t>4,2</t>
  </si>
  <si>
    <t>41</t>
  </si>
  <si>
    <t>VH3M+RJ Almería</t>
  </si>
  <si>
    <t>Carr. del Hospital Psiquiatrico, 04120 Almería</t>
  </si>
  <si>
    <t>950 29 01 80</t>
  </si>
  <si>
    <t>36.8545295</t>
  </si>
  <si>
    <t>-2.4334186</t>
  </si>
  <si>
    <t>https://goo.gl/maps/XtSPuF83QDjzS77fA</t>
  </si>
  <si>
    <t>https://lh5.googleusercontent.com/p/AF1QipNlv8LNjKHSCIX82eF_51a4N3SBhIhBmqGzF5GT=w426-h240-k-no</t>
  </si>
  <si>
    <t>3,4</t>
  </si>
  <si>
    <t>48</t>
  </si>
  <si>
    <t>2,9</t>
  </si>
  <si>
    <t>Cádiz</t>
  </si>
  <si>
    <t>Asociación Reinsercion Social</t>
  </si>
  <si>
    <t>GP3G+QC Cádiz</t>
  </si>
  <si>
    <t>Calle Pintor Clemente de Torres, 1, 11010 Cádiz</t>
  </si>
  <si>
    <t>956 27 22 71</t>
  </si>
  <si>
    <t>36.5025523</t>
  </si>
  <si>
    <t>-6.306549</t>
  </si>
  <si>
    <t>https://goo.gl/maps/JccakQBhdm8qBVht6</t>
  </si>
  <si>
    <t>https://streetviewpixels-pa.googleapis.com/v1/thumbnail?panoid=POVqlEBzDyszV0WhQUyN7A&amp;cb_client=search.gws-prod.gps&amp;w=408&amp;h=240&amp;yaw=77.50038&amp;pitch=0&amp;thumbfov=100</t>
  </si>
  <si>
    <t>Asociación de Alcoholicos Rehabilitados de Cádiz</t>
  </si>
  <si>
    <t>GP2H+44 Cádiz</t>
  </si>
  <si>
    <t>Calle Conil de la Frontera, 3, 11011 Cádiz</t>
  </si>
  <si>
    <t>https://goo.gl/maps/hgtdJ5wWySphKQ7t9</t>
  </si>
  <si>
    <t>https://streetviewpixels-pa.googleapis.com/v1/thumbnail?panoid=0zDfcj5IOjHi1q5-37zztA&amp;cb_client=search.gws-prod.gps&amp;w=408&amp;h=240&amp;yaw=25.12955&amp;pitch=0&amp;thumbfov=100</t>
  </si>
  <si>
    <t>FEGADI (Federación Gaditana de Personas con Discapacidad Física y/u orgánica)</t>
  </si>
  <si>
    <t>25</t>
  </si>
  <si>
    <t>GP3J+JF Cádiz</t>
  </si>
  <si>
    <t>C/ Polonia, 1, 11011 Cádiz</t>
  </si>
  <si>
    <t>fegadi.org</t>
  </si>
  <si>
    <t>956 22 25 15</t>
  </si>
  <si>
    <t>https://goo.gl/maps/AoSVUnp3bCzXAnhi6</t>
  </si>
  <si>
    <t>https://lh5.googleusercontent.com/p/AF1QipNnvGuhapbcLsbEogXKkdap-ZRh7vAySGjM82hs=w426-h240-k-no</t>
  </si>
  <si>
    <t>Servisar Servicios Sociales</t>
  </si>
  <si>
    <t>GPJ4+8X Cádiz</t>
  </si>
  <si>
    <t>Calle Nueva, 2, 11005 Cádiz</t>
  </si>
  <si>
    <t>956 29 09 83</t>
  </si>
  <si>
    <t>https://goo.gl/maps/xcqgn1HvbWfQyaKn8</t>
  </si>
  <si>
    <t>https://streetviewpixels-pa.googleapis.com/v1/thumbnail?panoid=nTuFOICiSjcCFL00Q8CsAA&amp;cb_client=search.gws-prod.gps&amp;w=408&amp;h=240&amp;yaw=27.967768&amp;pitch=0&amp;thumbfov=100</t>
  </si>
  <si>
    <t>Agencia de Servicios Sociales y Dependencia de Andalucía</t>
  </si>
  <si>
    <t>9</t>
  </si>
  <si>
    <t>GP6H+P5 Cádiz</t>
  </si>
  <si>
    <t>Av. Guadalquivir, 0, 11007 Cádiz</t>
  </si>
  <si>
    <t>956 00 70 00</t>
  </si>
  <si>
    <t>https://goo.gl/maps/y5oPBbufn1PgpikB9</t>
  </si>
  <si>
    <t>https://lh5.googleusercontent.com/p/AF1QipMvWeWF84dz1Xi8kX1seB_Sl093t9i_3oxlXchr=w408-h306-k-no</t>
  </si>
  <si>
    <t>Fondo de Asistencia Social Voluntario</t>
  </si>
  <si>
    <t>GPH5+8W Cádiz</t>
  </si>
  <si>
    <t>Calle Muelles, 0 S/N, 11006 Cádiz</t>
  </si>
  <si>
    <t>956 25 21 09</t>
  </si>
  <si>
    <t>36.5283455</t>
  </si>
  <si>
    <t>-6.3252554</t>
  </si>
  <si>
    <t>https://goo.gl/maps/5HVBtvmoS6outSGw9</t>
  </si>
  <si>
    <t>https://streetviewpixels-pa.googleapis.com/v1/thumbnail?panoid=GbFQ_U_UDAMfTqZvBeSenw&amp;cb_client=search.gws-prod.gps&amp;w=408&amp;h=240&amp;yaw=248.10027&amp;pitch=0&amp;thumbfov=100</t>
  </si>
  <si>
    <t>Asistencia social</t>
  </si>
  <si>
    <t>GP2H+82 Cádiz</t>
  </si>
  <si>
    <t>Calle Conil de la Frontera, 11011 Cádiz</t>
  </si>
  <si>
    <t>36.5007925</t>
  </si>
  <si>
    <t>-6.3075147</t>
  </si>
  <si>
    <t>https://goo.gl/maps/XZoepSLZpD23LBJ4A</t>
  </si>
  <si>
    <t>https://streetviewpixels-pa.googleapis.com/v1/thumbnail?panoid=clpvipBiuOF0TdubSTD_ug&amp;cb_client=search.gws-prod.gps&amp;w=408&amp;h=240&amp;yaw=204.13936&amp;pitch=0&amp;thumbfov=100</t>
  </si>
  <si>
    <t>Hermanas de la Compañía de la Cruz</t>
  </si>
  <si>
    <t>12</t>
  </si>
  <si>
    <t>GMMX+GV Cádiz</t>
  </si>
  <si>
    <t>Calle Benjumeda, 29, 11003 Cádiz</t>
  </si>
  <si>
    <t>956 22 65 35</t>
  </si>
  <si>
    <t>https://goo.gl/maps/x5JPbP8h6p1jkgLH9</t>
  </si>
  <si>
    <t>https://streetviewpixels-pa.googleapis.com/v1/thumbnail?panoid=dBU1OoNkGp3XrY5Y-L_NvQ&amp;cb_client=search.gws-prod.gps&amp;w=408&amp;h=240&amp;yaw=18.68136&amp;pitch=0&amp;thumbfov=100</t>
  </si>
  <si>
    <t>Once</t>
  </si>
  <si>
    <t>4,6</t>
  </si>
  <si>
    <t>61</t>
  </si>
  <si>
    <t>GPG7+67 Cádiz</t>
  </si>
  <si>
    <t>Calle Acacias, 5, 11007 Cádiz</t>
  </si>
  <si>
    <t>956 29 37 47</t>
  </si>
  <si>
    <t>https://goo.gl/maps/QsqUihEsr6AQXXB29</t>
  </si>
  <si>
    <t>https://lh5.googleusercontent.com/p/AF1QipOZl3v3sTElFS0a7zF89R6YeLbdma9ExiMxTq4H=w408-h306-k-no</t>
  </si>
  <si>
    <t>Asociación Arcaduz Mediación Familiar</t>
  </si>
  <si>
    <t>GP6C+4Q Cádiz</t>
  </si>
  <si>
    <t>Calle Fernández Ballesteros, 23, 11009 Cádiz</t>
  </si>
  <si>
    <t>956 07 54 75</t>
  </si>
  <si>
    <t>https://goo.gl/maps/nVZoLuqi8MC3nF6U9</t>
  </si>
  <si>
    <t>https://streetviewpixels-pa.googleapis.com/v1/thumbnail?panoid=_ClXZMbe139tlx4FiU435w&amp;cb_client=search.gws-prod.gps&amp;w=408&amp;h=240&amp;yaw=12.385543&amp;pitch=0&amp;thumbfov=100</t>
  </si>
  <si>
    <t>10</t>
  </si>
  <si>
    <t>Remar España</t>
  </si>
  <si>
    <t>GMPX+8J Cádiz</t>
  </si>
  <si>
    <t>Plaza Mentidero, 2, 11003 Cádiz</t>
  </si>
  <si>
    <t>956 22 44 90</t>
  </si>
  <si>
    <t>36.5358024</t>
  </si>
  <si>
    <t>-6.3359894</t>
  </si>
  <si>
    <t>https://goo.gl/maps/dVSCpXh5J7nT83a29</t>
  </si>
  <si>
    <t>https://streetviewpixels-pa.googleapis.com/v1/thumbnail?panoid=-C8ow5kXib_Lc7L5bP6sAA&amp;cb_client=search.gws-prod.gps&amp;w=408&amp;h=240&amp;yaw=79.94928&amp;pitch=0&amp;thumbfov=100</t>
  </si>
  <si>
    <t>FeSMC UGT Cadiz</t>
  </si>
  <si>
    <t>GPF7+J3 Cádiz</t>
  </si>
  <si>
    <t>Av. Andalucía, 6, 11008 Cádiz</t>
  </si>
  <si>
    <t>fesmcugt.org</t>
  </si>
  <si>
    <t>comunicacion@fesmcugt.org</t>
  </si>
  <si>
    <t>https://goo.gl/maps/KrWo3VWUgWbCtR8s6</t>
  </si>
  <si>
    <t>https://streetviewpixels-pa.googleapis.com/v1/thumbnail?panoid=_DLilPISt4EyZOKbVAwMvg&amp;cb_client=search.gws-prod.gps&amp;w=408&amp;h=240&amp;yaw=235.05476&amp;pitch=0&amp;thumbfov=100</t>
  </si>
  <si>
    <t>Fmyv</t>
  </si>
  <si>
    <t>3,3</t>
  </si>
  <si>
    <t>GPP3+53 Cádiz</t>
  </si>
  <si>
    <t>Plaza de Mina, 14, 11004 Cádiz</t>
  </si>
  <si>
    <t>956 26 10 32</t>
  </si>
  <si>
    <t>https://goo.gl/maps/YDKXDiW6sDPRdKRt5</t>
  </si>
  <si>
    <t>https://lh5.googleusercontent.com/p/AF1QipMjrCqhPr8LyfRukvLPRZQM07EDzC8TL6WeyPlk=w427-h240-k-no</t>
  </si>
  <si>
    <t>CEPA Colectivo De Prevención E Insercion Andalucía</t>
  </si>
  <si>
    <t>7</t>
  </si>
  <si>
    <t>GMPW+5W Cádiz</t>
  </si>
  <si>
    <t>Calle Bartolomé Llompart, S/N, 11003 Cádiz</t>
  </si>
  <si>
    <t>colectivocepa.com</t>
  </si>
  <si>
    <t>956 07 95 14</t>
  </si>
  <si>
    <t>colectivocepa@colectivocepa.com</t>
  </si>
  <si>
    <t>https://goo.gl/maps/rnBykdFwYuWyT4yH8</t>
  </si>
  <si>
    <t>https://streetviewpixels-pa.googleapis.com/v1/thumbnail?panoid=im2alLacgnBrAMlrGeAbNw&amp;cb_client=search.gws-prod.gps&amp;w=408&amp;h=240&amp;yaw=159.31633&amp;pitch=0&amp;thumbfov=100</t>
  </si>
  <si>
    <t>Fundación Geron</t>
  </si>
  <si>
    <t>3,8</t>
  </si>
  <si>
    <t>GPH4+PW Cádiz</t>
  </si>
  <si>
    <t>Calle San Juan de Dios, 1, 11005 Cádiz</t>
  </si>
  <si>
    <t>geron.es</t>
  </si>
  <si>
    <t>956 29 01 10</t>
  </si>
  <si>
    <t>geron@geron.es</t>
  </si>
  <si>
    <t>https://goo.gl/maps/fm77BfZbgW42kKWr9</t>
  </si>
  <si>
    <t>https://lh5.googleusercontent.com/p/AF1QipN0SqL_uAQVfwRg644tuAwAvJVv0m0AakZdPLyW=w408-h544-k-no</t>
  </si>
  <si>
    <t>Aprissa</t>
  </si>
  <si>
    <t>GP2J+WC Cádiz</t>
  </si>
  <si>
    <t>Lugar Parque Empresarial de Poniente, 3 7, 11011 Cádiz</t>
  </si>
  <si>
    <t>36.5014425</t>
  </si>
  <si>
    <t>-6.3039696</t>
  </si>
  <si>
    <t>https://goo.gl/maps/oq3yvBj3oYw2qVqG9</t>
  </si>
  <si>
    <t>https://streetviewpixels-pa.googleapis.com/v1/thumbnail?panoid=bkAblwG4hX4rezERhJ_6Ig&amp;cb_client=search.gws-prod.gps&amp;w=408&amp;h=240&amp;yaw=233.18544&amp;pitch=0&amp;thumbfov=100</t>
  </si>
  <si>
    <t>Comedor Virgen Poderosa En Cádiz. Compañía Hijas de la Caridad de San Vicente de Paúl-Prov Sevilla</t>
  </si>
  <si>
    <t>Comedor social</t>
  </si>
  <si>
    <t>8</t>
  </si>
  <si>
    <t>GMJX+6R Cádiz</t>
  </si>
  <si>
    <t>Calle María Arteaga, 23, 11002 Cádiz</t>
  </si>
  <si>
    <t>956 22 09 69</t>
  </si>
  <si>
    <t>36.5296646</t>
  </si>
  <si>
    <t>-6.3279647</t>
  </si>
  <si>
    <t>https://goo.gl/maps/qyqm24pJ6ynS7o3WA</t>
  </si>
  <si>
    <t>https://lh5.googleusercontent.com/p/AF1QipO0ao6MlmcZzqJ84gnZi421_BMRbUirib_vBHww=w408-h369-k-no</t>
  </si>
  <si>
    <t>Calor en la Noche - Local de desayunos</t>
  </si>
  <si>
    <t>GPH2+HJ Cádiz</t>
  </si>
  <si>
    <t>Calle Regimiento Infantería de Cádiz, 2-4, 11002 Cádiz</t>
  </si>
  <si>
    <t>calorenlanoche.org</t>
  </si>
  <si>
    <t>634 46 30 18</t>
  </si>
  <si>
    <t>36.5327</t>
  </si>
  <si>
    <t>-6.3400089</t>
  </si>
  <si>
    <t>https://goo.gl/maps/Nx9N7CS2JJpeMf469</t>
  </si>
  <si>
    <t>https://lh5.googleusercontent.com/p/AF1QipNswmpICQwBTWltAQ30re1oytvXlE_lOt_tGxLk=w408-h343-k-no</t>
  </si>
  <si>
    <t>CRMF-SF - IMSERSO (Instituto de Mayores y Servicios Sociales) (CrmfSF)</t>
  </si>
  <si>
    <t>74</t>
  </si>
  <si>
    <t>CQXR+VG San Fernando</t>
  </si>
  <si>
    <t>Calle Pintor Fernando Vela, 0, 11100 San Fernando, Cádiz</t>
  </si>
  <si>
    <t>San Fernando</t>
  </si>
  <si>
    <t>crmfsanfernando.es</t>
  </si>
  <si>
    <t>956 48 79 04</t>
  </si>
  <si>
    <t>crmf.sanfernando@imserso.es</t>
  </si>
  <si>
    <t>36.449649</t>
  </si>
  <si>
    <t>-6.2437639</t>
  </si>
  <si>
    <t>https://goo.gl/maps/N4EiG3tTeCS4w2FG7</t>
  </si>
  <si>
    <t>https://lh5.googleusercontent.com/p/AF1QipPHloeE6ty0OPEXebLh0GCSjwZZrQIhg-GwY3oL=w426-h240-k-no</t>
  </si>
  <si>
    <t>24</t>
  </si>
  <si>
    <t>El Puerto de Sta María</t>
  </si>
  <si>
    <t>Fegadi Federación Gaditana De Personas Con Discapacidad Física</t>
  </si>
  <si>
    <t>Ctra. Cádiz Madrid, 11510 Puerto Real, Cádiz</t>
  </si>
  <si>
    <t>Alcalá de los Gazules</t>
  </si>
  <si>
    <t>956 47 22 98</t>
  </si>
  <si>
    <t>36.5280814</t>
  </si>
  <si>
    <t>-6.2434329</t>
  </si>
  <si>
    <t>https://goo.gl/maps/hi4aA2Yz4Uyrtohz7</t>
  </si>
  <si>
    <t>https://streetviewpixels-pa.googleapis.com/v1/thumbnail?panoid=HEouY3S5h0vG3mKw73ubww&amp;cb_client=search.gws-prod.gps&amp;w=408&amp;h=240&amp;yaw=313.89343&amp;pitch=0&amp;thumbfov=100</t>
  </si>
  <si>
    <t>Centro de Rehabilitación Social Bahía de Cádiz</t>
  </si>
  <si>
    <t>GRP7+CM Puerto Real</t>
  </si>
  <si>
    <t>Paseo de María Auxiliadora, s/n, 11510 Puerto Real, Cádiz</t>
  </si>
  <si>
    <t>Puerto Real</t>
  </si>
  <si>
    <t>956 80 41 51</t>
  </si>
  <si>
    <t>36.5361028</t>
  </si>
  <si>
    <t>-6.2208524</t>
  </si>
  <si>
    <t>https://goo.gl/maps/nHeLabQZsJit4pAu7</t>
  </si>
  <si>
    <t>https://streetviewpixels-pa.googleapis.com/v1/thumbnail?panoid=_8CY5QmrUPUV4EYPps0AOg&amp;cb_client=search.gws-prod.gps&amp;w=408&amp;h=240&amp;yaw=210.0046&amp;pitch=0&amp;thumbfov=100</t>
  </si>
  <si>
    <t>Mediación Cádiz</t>
  </si>
  <si>
    <t>FR93+6J San Fernando</t>
  </si>
  <si>
    <t>Calle Vicario, 20, 11100 San Fernando, Cádiz</t>
  </si>
  <si>
    <t>956 94 34 90</t>
  </si>
  <si>
    <t>36.4680307</t>
  </si>
  <si>
    <t>-6.230941</t>
  </si>
  <si>
    <t>https://goo.gl/maps/eaiDPAAFVzUrjM437</t>
  </si>
  <si>
    <t>https://streetviewpixels-pa.googleapis.com/v1/thumbnail?panoid=jHsnXUiqVpGAEI-YmnQ_pw&amp;cb_client=search.gws-prod.gps&amp;w=408&amp;h=240&amp;yaw=83.8555&amp;pitch=0&amp;thumbfov=100</t>
  </si>
  <si>
    <t>2,1</t>
  </si>
  <si>
    <t>Vivienda de Apoyo a la Reinserción de la Asociación de Ayuda A Drogodependencia y Presos Mara</t>
  </si>
  <si>
    <t>1,5</t>
  </si>
  <si>
    <t>GRP5+R9 Puerto Real</t>
  </si>
  <si>
    <t>C. Luna, 124, 11510 Puerto Real, Cádiz</t>
  </si>
  <si>
    <t>956 47 38 96</t>
  </si>
  <si>
    <t>36.5370583</t>
  </si>
  <si>
    <t>-6.2266275</t>
  </si>
  <si>
    <t>https://goo.gl/maps/MK4DPKqMYeiEnQer9</t>
  </si>
  <si>
    <t>https://lh5.googleusercontent.com/p/AF1QipNPGbayrLGOyWswUF0mQWAyaAY3aP_-B5h7LO43=w408-h408-k-no</t>
  </si>
  <si>
    <t>Afanas Centro De Atención De Minusválidos Psiquicos</t>
  </si>
  <si>
    <t>FRJ2+RM San Fernando</t>
  </si>
  <si>
    <t>Calle Juan Sebastián Elcano, 35, 11100 San Fernando, Cádiz</t>
  </si>
  <si>
    <t>956 80 00 33</t>
  </si>
  <si>
    <t>36.4685088</t>
  </si>
  <si>
    <t>-6.2444402</t>
  </si>
  <si>
    <t>https://goo.gl/maps/SUeZ2mZPE7pX55268</t>
  </si>
  <si>
    <t>https://streetviewpixels-pa.googleapis.com/v1/thumbnail?panoid=mj4luXk9tj3XSrP_V8MrcQ&amp;cb_client=search.gws-prod.gps&amp;w=408&amp;h=240&amp;yaw=264.0443&amp;pitch=0&amp;thumbfov=100</t>
  </si>
  <si>
    <t>1,8</t>
  </si>
  <si>
    <t>5</t>
  </si>
  <si>
    <t>Chiclana de la Frontera</t>
  </si>
  <si>
    <t>Asociación Gaditana De Emigrantes Retornados</t>
  </si>
  <si>
    <t>FR72+62 San Fernando</t>
  </si>
  <si>
    <t>Alameda Moreno de Guerra, 8, 11100 San Fernando, Cádiz</t>
  </si>
  <si>
    <t>956 89 36 90</t>
  </si>
  <si>
    <t>36.4631219</t>
  </si>
  <si>
    <t>-6.2349892</t>
  </si>
  <si>
    <t>https://goo.gl/maps/FRaKvNiCh6g2xbkb7</t>
  </si>
  <si>
    <t>https://streetviewpixels-pa.googleapis.com/v1/thumbnail?panoid=GDRCc-5Ipl0IUiIB5-sF6g&amp;cb_client=search.gws-prod.gps&amp;w=408&amp;h=240&amp;yaw=262.1419&amp;pitch=0&amp;thumbfov=100</t>
  </si>
  <si>
    <t>Centro S.S.C. Hermana Cristina</t>
  </si>
  <si>
    <t>CQWR+XF San Fernando</t>
  </si>
  <si>
    <t>11100 San Fernando, Cádiz</t>
  </si>
  <si>
    <t>956 94 42 06</t>
  </si>
  <si>
    <t>36.4473981</t>
  </si>
  <si>
    <t>-6.243801</t>
  </si>
  <si>
    <t>https://goo.gl/maps/etUozz9nKhLmMMUM7</t>
  </si>
  <si>
    <t>https://lh5.googleusercontent.com/p/AF1QipPdrgvPrCrTYPl9BQEkR_qM21ttZC22z9ynQecb=w408-h306-k-no</t>
  </si>
  <si>
    <t>Calor En La Noche</t>
  </si>
  <si>
    <t>FR73+JF San Fernando</t>
  </si>
  <si>
    <t>Calle San Cristóbal, 22, 11100 San Fernando, Cádiz</t>
  </si>
  <si>
    <t>601 25 47 93</t>
  </si>
  <si>
    <t>https://goo.gl/maps/iEt1XVkEZQVifS5A9</t>
  </si>
  <si>
    <t>https://streetviewpixels-pa.googleapis.com/v1/thumbnail?panoid=FtZ-e89BFg6J7fnCKzw8rg&amp;cb_client=search.gws-prod.gps&amp;w=408&amp;h=240&amp;yaw=218.312&amp;pitch=0&amp;thumbfov=100</t>
  </si>
  <si>
    <t>Centro De Participacion Activa Mayores</t>
  </si>
  <si>
    <t>4,1</t>
  </si>
  <si>
    <t>42</t>
  </si>
  <si>
    <t>GRJ5+7G Puerto Real</t>
  </si>
  <si>
    <t>Calle Teresa de Calcuta, 64, 11510 Puerto Real, Cádiz</t>
  </si>
  <si>
    <t>36.5306867</t>
  </si>
  <si>
    <t>-6.2262127</t>
  </si>
  <si>
    <t>https://goo.gl/maps/WRGLvC8mP2L2BxdQ7</t>
  </si>
  <si>
    <t>https://lh5.googleusercontent.com/p/AF1QipOApqgNqfZk6V9ogJSSr2ua_6SJdK7-JYOgMRc3=w493-h240-k-no</t>
  </si>
  <si>
    <t>Cruz Roja</t>
  </si>
  <si>
    <t>FR75+85 San Fernando</t>
  </si>
  <si>
    <t>Carretera Madrid-Cádiz, S/N, 11100 San Fernando, Cádiz</t>
  </si>
  <si>
    <t>956 88 58 52</t>
  </si>
  <si>
    <t>36.4633444</t>
  </si>
  <si>
    <t>-6.2270647</t>
  </si>
  <si>
    <t>https://goo.gl/maps/2L8SfEqDfh4dQ7KJA</t>
  </si>
  <si>
    <t>https://streetviewpixels-pa.googleapis.com/v1/thumbnail?panoid=FOUAmi1NB3ZirnyaFmG2tA&amp;cb_client=search.gws-prod.gps&amp;w=408&amp;h=240&amp;yaw=10.689239&amp;pitch=0&amp;thumbfov=100</t>
  </si>
  <si>
    <t>Federación De Organizaciones Andaluzas De Mayores</t>
  </si>
  <si>
    <t>FRC2+3G San Fernando</t>
  </si>
  <si>
    <t>Av. Reyes Católicos, 23, 11100 San Fernando, Cádiz</t>
  </si>
  <si>
    <t>36.4701302</t>
  </si>
  <si>
    <t>-6.2336745</t>
  </si>
  <si>
    <t>https://goo.gl/maps/xkPHmRWnYiJ9TrtCA</t>
  </si>
  <si>
    <t>https://streetviewpixels-pa.googleapis.com/v1/thumbnail?panoid=8lbQFQN2N0HCRdyFB2QKKQ&amp;cb_client=search.gws-prod.gps&amp;w=408&amp;h=240&amp;yaw=299.30267&amp;pitch=0&amp;thumbfov=100</t>
  </si>
  <si>
    <t>2,0</t>
  </si>
  <si>
    <t>Jerez de la Frontera</t>
  </si>
  <si>
    <t>ADRA Puerto de Santa María</t>
  </si>
  <si>
    <t>JQ2G+VF El Puerto de Sta María</t>
  </si>
  <si>
    <t>Calle Diego Niño, 8, 11500 El Puerto de Sta María, Cádiz</t>
  </si>
  <si>
    <t>adra-es.org</t>
  </si>
  <si>
    <t>915 71 38 47</t>
  </si>
  <si>
    <t>i.lopez@adra-es.org</t>
  </si>
  <si>
    <t>36.6022075</t>
  </si>
  <si>
    <t>-6.2587865</t>
  </si>
  <si>
    <t>https://goo.gl/maps/SU4AQtGeRnanzpVVA</t>
  </si>
  <si>
    <t>https://streetviewpixels-pa.googleapis.com/v1/thumbnail?panoid=9tzlOBK2mLBE1z1B7nNPBw&amp;cb_client=search.gws-prod.gps&amp;w=408&amp;h=240&amp;yaw=341.7469&amp;pitch=0&amp;thumbfov=100</t>
  </si>
  <si>
    <t>FR73+59 San Fernando</t>
  </si>
  <si>
    <t>Calle Tomás del Valle, 5, 11100 San Fernando, Cádiz</t>
  </si>
  <si>
    <t>956 88 97 13</t>
  </si>
  <si>
    <t>36.4629132</t>
  </si>
  <si>
    <t>-6.2316018</t>
  </si>
  <si>
    <t>https://goo.gl/maps/RgH3fcois1EqceXz7</t>
  </si>
  <si>
    <t>https://streetviewpixels-pa.googleapis.com/v1/thumbnail?panoid=gSd-VQwrYPyfvjrtDWR1tg&amp;cb_client=search.gws-prod.gps&amp;w=408&amp;h=240&amp;yaw=25.027405&amp;pitch=0&amp;thumbfov=100</t>
  </si>
  <si>
    <t>Cáritas Parroquial De San Pedro Y San Pablo</t>
  </si>
  <si>
    <t>FR83+5M San Fernando</t>
  </si>
  <si>
    <t>Calle Pérez Galdós, 39, 11100 San Fernando, Cádiz</t>
  </si>
  <si>
    <t>956 88 22 11</t>
  </si>
  <si>
    <t>36.4654048</t>
  </si>
  <si>
    <t>-6.2308812</t>
  </si>
  <si>
    <t>https://goo.gl/maps/UEKq2thm8QLv5EbR6</t>
  </si>
  <si>
    <t>https://streetviewpixels-pa.googleapis.com/v1/thumbnail?panoid=r-MCUQCwmj4QhHJbdu2aGg&amp;cb_client=search.gws-prod.gps&amp;w=408&amp;h=240&amp;yaw=341.83307&amp;pitch=0&amp;thumbfov=100</t>
  </si>
  <si>
    <t>AGENCIA ONCE CHICLANA</t>
  </si>
  <si>
    <t>CVC2+J6 Chiclana de la Frontera</t>
  </si>
  <si>
    <t>Calle Ntra. Sra. de los Remedios, 8, 11130 Chiclana de la Frontera, Cádiz</t>
  </si>
  <si>
    <t>956 40 84 11</t>
  </si>
  <si>
    <t>36.4215933</t>
  </si>
  <si>
    <t>-6.1844662</t>
  </si>
  <si>
    <t>https://goo.gl/maps/jtQjTXKn5GsGwiFz9</t>
  </si>
  <si>
    <t>https://streetviewpixels-pa.googleapis.com/v1/thumbnail?panoid=Nob2Qlu_CeVjHafpzNWpfA&amp;cb_client=search.gws-prod.gps&amp;w=408&amp;h=240&amp;yaw=359.67758&amp;pitch=0&amp;thumbfov=100</t>
  </si>
  <si>
    <t>JQ5P+X7 El Puerto de Sta María</t>
  </si>
  <si>
    <t>Calle Nardos, 11500 El Puerto de Sta María, Cádiz</t>
  </si>
  <si>
    <t>36.6098952</t>
  </si>
  <si>
    <t>-6.2493574</t>
  </si>
  <si>
    <t>https://goo.gl/maps/YjyMX3HUC7EbhKW97</t>
  </si>
  <si>
    <t>https://streetviewpixels-pa.googleapis.com/v1/thumbnail?panoid=n71aaOuVx7Zk85dQg0f_og&amp;cb_client=search.gws-prod.gps&amp;w=408&amp;h=240&amp;yaw=149.71658&amp;pitch=0&amp;thumbfov=100</t>
  </si>
  <si>
    <t>ONCE</t>
  </si>
  <si>
    <t>69</t>
  </si>
  <si>
    <t>MVP6+V9 Jerez de la Frontera</t>
  </si>
  <si>
    <t>Calle Porvera, 26, 11403 Jerez de la Frontera, Cádiz</t>
  </si>
  <si>
    <t>956 33 04 58</t>
  </si>
  <si>
    <t>36.6871537</t>
  </si>
  <si>
    <t>-6.1741108</t>
  </si>
  <si>
    <t>https://goo.gl/maps/BA8c1kFn1cnKwtos9</t>
  </si>
  <si>
    <t>https://lh5.googleusercontent.com/p/AF1QipMA5Jm2BTl9dxhQDKabyRK3SXVZx-Y5TChFh3EX=w408-h429-k-no</t>
  </si>
  <si>
    <t>Accem</t>
  </si>
  <si>
    <t>3,9</t>
  </si>
  <si>
    <t>17</t>
  </si>
  <si>
    <t>MVXX+MR Jerez de la Frontera</t>
  </si>
  <si>
    <t>Calle Joan Miró, 1. Local, 1. Bajo, 11405 Jerez de la Frontera, Cádiz</t>
  </si>
  <si>
    <t>accem.es</t>
  </si>
  <si>
    <t>956 33 20 73</t>
  </si>
  <si>
    <t>rrhh.seleccion@accem.es</t>
  </si>
  <si>
    <t>36.6992199</t>
  </si>
  <si>
    <t>-6.1353989</t>
  </si>
  <si>
    <t>https://goo.gl/maps/gWmpdJoLHqbjpXLcA</t>
  </si>
  <si>
    <t>https://lh5.googleusercontent.com/p/AF1QipOKOVNX5s6P5AgV1C-torEyHzlqGxtGpa0sywPC=w408-h292-k-no</t>
  </si>
  <si>
    <t>Claros S C A</t>
  </si>
  <si>
    <t>QJJV+M6 Sanlúcar de Barrameda</t>
  </si>
  <si>
    <t>Calle Manuel de Diego Lora, 0, 11540 Sanlúcar de Barrameda, Cádiz</t>
  </si>
  <si>
    <t>Sanlúcar de Barrameda</t>
  </si>
  <si>
    <t>claros.coop</t>
  </si>
  <si>
    <t>956 38 33 39</t>
  </si>
  <si>
    <t>informacion@claros.coop</t>
  </si>
  <si>
    <t>36.781683</t>
  </si>
  <si>
    <t>-6.3919047</t>
  </si>
  <si>
    <t>https://goo.gl/maps/hFC5wWWKHdvKtLkV7</t>
  </si>
  <si>
    <t>https://streetviewpixels-pa.googleapis.com/v1/thumbnail?panoid=iQCbfig5xkWz7ov3bUGIJg&amp;cb_client=search.gws-prod.gps&amp;w=408&amp;h=240&amp;yaw=46.434883&amp;pitch=0&amp;thumbfov=100</t>
  </si>
  <si>
    <t>Q52P+C5 Arcos de la Frontera</t>
  </si>
  <si>
    <t>Calle Muñoz Vázquez, 18, 11630 Arcos de la Frontera, Cádiz</t>
  </si>
  <si>
    <t>Arcos de la Frontera</t>
  </si>
  <si>
    <t>956 70 44 48</t>
  </si>
  <si>
    <t>36.7510665</t>
  </si>
  <si>
    <t>-5.8495716</t>
  </si>
  <si>
    <t>https://goo.gl/maps/wtVbqtN8jRwkHucf6</t>
  </si>
  <si>
    <t>https://streetviewpixels-pa.googleapis.com/v1/thumbnail?panoid=fLsfLPM7IQkBcQlcXepJoA&amp;cb_client=search.gws-prod.gps&amp;w=408&amp;h=240&amp;yaw=353.78217&amp;pitch=0&amp;thumbfov=100</t>
  </si>
  <si>
    <t>Fsgg Fundación Secretariado Gitano</t>
  </si>
  <si>
    <t>MVM6+G9 Jerez de la Frontera</t>
  </si>
  <si>
    <t>Calle Chapinería, 3, 3a. Planta, 11403 Jerez de la Frontera, Cádiz</t>
  </si>
  <si>
    <t>956 32 71 90</t>
  </si>
  <si>
    <t>36.6837661</t>
  </si>
  <si>
    <t>-6.2091246</t>
  </si>
  <si>
    <t>https://goo.gl/maps/9c1rzL1EinM4PyUZ9</t>
  </si>
  <si>
    <t>https://lh5.googleusercontent.com/p/AF1QipMFK8qd9IryVKRRvHSPI9SVMIwLdDVx-oPPjcXV=w408-h544-k-no</t>
  </si>
  <si>
    <t>QJJW+PR Sanlúcar de Barrameda</t>
  </si>
  <si>
    <t>Av. del Cerro Falón, 2, 11540 Sanlúcar de Barrameda, Cádiz</t>
  </si>
  <si>
    <t>956 38 58 92</t>
  </si>
  <si>
    <t>36.7818338</t>
  </si>
  <si>
    <t>-6.4230286</t>
  </si>
  <si>
    <t>https://goo.gl/maps/Wu2UsLEpoYwccAnk9</t>
  </si>
  <si>
    <t>https://streetviewpixels-pa.googleapis.com/v1/thumbnail?panoid=zRWfHj4EbGGYu8Drg_yvQA&amp;cb_client=search.gws-prod.gps&amp;w=408&amp;h=240&amp;yaw=57.42322&amp;pitch=0&amp;thumbfov=100</t>
  </si>
  <si>
    <t>Cáritas Diocesana de Jerez</t>
  </si>
  <si>
    <t>MVP5+P4 Jerez de la Frontera</t>
  </si>
  <si>
    <t>Calle Chancillería, 18, 11403 Jerez de la Frontera, Cádiz</t>
  </si>
  <si>
    <t>caritas.es</t>
  </si>
  <si>
    <t>956 06 63 45</t>
  </si>
  <si>
    <t>correo@caritas.es</t>
  </si>
  <si>
    <t>36.6867758</t>
  </si>
  <si>
    <t>-6.2122767</t>
  </si>
  <si>
    <t>https://goo.gl/maps/pQMsxuwBRRcjr3Vp6</t>
  </si>
  <si>
    <t>https://lh5.googleusercontent.com/p/AF1QipMBhYXEmBX73Bf0xYgD-8S2jV0jsrgWiNi3WhPY=w408-h906-k-no</t>
  </si>
  <si>
    <t>Comedor Social El Salvador ( Hijas de la Caridad )</t>
  </si>
  <si>
    <t>MVM5+W7 Jerez de la Frontera</t>
  </si>
  <si>
    <t>Calle Sor Angela de la Cruz, 2, 11403 Jerez de la Frontera, Cádiz</t>
  </si>
  <si>
    <t>hhccespanasur.org</t>
  </si>
  <si>
    <t>956 34 16 88</t>
  </si>
  <si>
    <t>info@hhccespanasur.org</t>
  </si>
  <si>
    <t>36.6847708</t>
  </si>
  <si>
    <t>-6.2117951</t>
  </si>
  <si>
    <t>https://goo.gl/maps/KCcMKPqoMySaML178</t>
  </si>
  <si>
    <t>https://lh5.googleusercontent.com/p/AF1QipMe7dsTLLYz2gpGcShxp1O5Pj_vJpo_akwfBPUT=w408-h544-k-no</t>
  </si>
  <si>
    <t>2,7</t>
  </si>
  <si>
    <t>6</t>
  </si>
  <si>
    <t>Córdoba</t>
  </si>
  <si>
    <t>37.8727955</t>
  </si>
  <si>
    <t>-4.7986156</t>
  </si>
  <si>
    <t>Centro de Servicios Sociales Comunitarios Sur.</t>
  </si>
  <si>
    <t>2,4</t>
  </si>
  <si>
    <t>V67G+63 Córdoba</t>
  </si>
  <si>
    <t>Calle Motril, s/n, 14013 Córdoba</t>
  </si>
  <si>
    <t>ssm.cordoba.es</t>
  </si>
  <si>
    <t>957 42 01 93</t>
  </si>
  <si>
    <t>servicios.sociales@ayuncordoba.es</t>
  </si>
  <si>
    <t>https://goo.gl/maps/kE9FjdJLm8uHE8cA6</t>
  </si>
  <si>
    <t>https://lh5.googleusercontent.com/p/AF1QipOkzjW5pDUZntovY6glODjmk85phb6pBjxQzx1w=w408-h306-k-no</t>
  </si>
  <si>
    <t>Delegación de Igualdad y Políticas Sociales de Córdoba - Junta de Andalucía</t>
  </si>
  <si>
    <t>2,8</t>
  </si>
  <si>
    <t>59</t>
  </si>
  <si>
    <t>V6M8+7X Córdoba</t>
  </si>
  <si>
    <t>Plaza de Ramón y Cajal, 6, 14003 Córdoba</t>
  </si>
  <si>
    <t>957 00 54 00</t>
  </si>
  <si>
    <t>https://goo.gl/maps/sjapXxziwMurBbrB8</t>
  </si>
  <si>
    <t>https://lh5.googleusercontent.com/p/AF1QipNgqB5cC77sh3n42KuPXyH0TtrlgM1H_pL2fGrS=w408-h306-k-no</t>
  </si>
  <si>
    <t>Centro Municipal de Mayores Poniente Sur – Ciudad Jardín</t>
  </si>
  <si>
    <t>V6G5+H6 Córdoba</t>
  </si>
  <si>
    <t>Plaza de Vista Alegre, 10, 14004 Córdoba</t>
  </si>
  <si>
    <t>957 41 14 42</t>
  </si>
  <si>
    <t>https://goo.gl/maps/NKibtnoN8At9qCH7A</t>
  </si>
  <si>
    <t>https://lh5.googleusercontent.com/p/AF1QipP0YNHMGAy4D_udUf_ODgYnvLfvG208gOCBu5Kh=w426-h240-k-no</t>
  </si>
  <si>
    <t>Centro de Servicios Sociales Comunitarios Noroeste - Moreras</t>
  </si>
  <si>
    <t>V6W6+CX Córdoba</t>
  </si>
  <si>
    <t>Glorieta Rafael Bernier Soldevilla s/n, esquina con Av. Tenor Pedro Lavirgen, 14071 Córdoba</t>
  </si>
  <si>
    <t>957 34 00 55</t>
  </si>
  <si>
    <t>https://goo.gl/maps/mVhwYDyhQZbzZfKP9</t>
  </si>
  <si>
    <t>https://lh5.googleusercontent.com/p/AF1QipNSnjstQ9612X58T83Q_H7D73RlK3mxU7Pd_vlk=w460-h240-k-no</t>
  </si>
  <si>
    <t>Centro de Servicios Sociales Comunitarios Poniente Sur</t>
  </si>
  <si>
    <t>V6J3+FR Córdoba</t>
  </si>
  <si>
    <t>c/Camino Viejo de Almodóvar, s/n junto a plaza de toros, 14005 Córdoba</t>
  </si>
  <si>
    <t>https://goo.gl/maps/TXYev5tXPBkJX2Bw9</t>
  </si>
  <si>
    <t>https://lh5.googleusercontent.com/p/AF1QipPmOFajGoEJJ7ZSo-eSNgf5mz4CShre3NCJAs__=w408-h306-k-no</t>
  </si>
  <si>
    <t>Centro de Servicios Sociales Comunitarios Centro - La Ribera</t>
  </si>
  <si>
    <t>V6JH+Q2 Córdoba</t>
  </si>
  <si>
    <t>Calle Don Rodrigo, 4, 14002 Córdoba</t>
  </si>
  <si>
    <t>957 47 49 81</t>
  </si>
  <si>
    <t>https://goo.gl/maps/kA9CNhbcqMmSubF99</t>
  </si>
  <si>
    <t>https://lh5.googleusercontent.com/p/AF1QipPtxd3aAo7fLXf6EInG0-AZdvH9ew79kZEU_yLa=w408-h398-k-no</t>
  </si>
  <si>
    <t>1,6</t>
  </si>
  <si>
    <t>Centro de Servicios Sociales Comunitarios Poniente Norte &amp;quot;La Foggara&amp;quot;</t>
  </si>
  <si>
    <t>V5MJ+47 Córdoba</t>
  </si>
  <si>
    <t>Calle Ing. Antonio Carbonell, 14005 Córdoba</t>
  </si>
  <si>
    <t>957 46 74 74</t>
  </si>
  <si>
    <t>37.8828735</t>
  </si>
  <si>
    <t>-4.8542933</t>
  </si>
  <si>
    <t>https://goo.gl/maps/KWwTtyh8J69g6Skq8</t>
  </si>
  <si>
    <t>https://lh5.googleusercontent.com/p/AF1QipOMvq6GyuyFJFSQb9kAAPJ93_MIYgg8Pm_Sa-xq=w408-h306-k-no</t>
  </si>
  <si>
    <t>Casa de Acogida y Centro de Emergencia Social. Ayuntamiento de Córdoba</t>
  </si>
  <si>
    <t>V6JM+Q8 Córdoba</t>
  </si>
  <si>
    <t>Avda. Campo Madre de Dios s/n, esquina Avda. de la Fuensanta, 14071 Córdoba</t>
  </si>
  <si>
    <t>ssm.ayuncordoba.es</t>
  </si>
  <si>
    <t>957 26 76 87</t>
  </si>
  <si>
    <t>37.891534</t>
  </si>
  <si>
    <t>-4.7844853</t>
  </si>
  <si>
    <t>https://goo.gl/maps/9DbbPz3Yb88F8nxp6</t>
  </si>
  <si>
    <t>https://lh5.googleusercontent.com/p/AF1QipO0uXAPsgy8RI4sjl7ei796pwVwVzApxexqqb5h=w408-h306-k-no</t>
  </si>
  <si>
    <t>Ayuntamiento de Córdoba</t>
  </si>
  <si>
    <t>W66C+F9 Córdoba</t>
  </si>
  <si>
    <t>Calle Díaz Huertas, 21, 14012 Córdoba</t>
  </si>
  <si>
    <t>957 35 67 29</t>
  </si>
  <si>
    <t>https://goo.gl/maps/gzh2JxiDPKQAHJMw7</t>
  </si>
  <si>
    <t>https://streetviewpixels-pa.googleapis.com/v1/thumbnail?panoid=RMTcenmXq5NQeo3xdzJtPw&amp;cb_client=search.gws-prod.gps&amp;w=408&amp;h=240&amp;yaw=141.55054&amp;pitch=0&amp;thumbfov=100</t>
  </si>
  <si>
    <t>Ayuntamiento De Córdoba</t>
  </si>
  <si>
    <t>V5JJ+JJ Córdoba</t>
  </si>
  <si>
    <t>Calle Ing. Antonio Carbonell, 0, 14001 Córdoba</t>
  </si>
  <si>
    <t>957 46 77 58</t>
  </si>
  <si>
    <t>37.8816029</t>
  </si>
  <si>
    <t>-4.8535043</t>
  </si>
  <si>
    <t>https://goo.gl/maps/EXFqohkxaaozqibq6</t>
  </si>
  <si>
    <t>https://streetviewpixels-pa.googleapis.com/v1/thumbnail?panoid=R-qhWjchW9LPODaOlOZEdg&amp;cb_client=search.gws-prod.gps&amp;w=408&amp;h=240&amp;yaw=154.88213&amp;pitch=0&amp;thumbfov=100</t>
  </si>
  <si>
    <t>Programa de Mediación Intercultural (Inmigración). Ayuntamiento de Córdoba</t>
  </si>
  <si>
    <t>4,0</t>
  </si>
  <si>
    <t>V6HC+RQ Córdoba</t>
  </si>
  <si>
    <t>C. Martínez Rucker, 10, 14003 Córdoba</t>
  </si>
  <si>
    <t>957 48 58 25</t>
  </si>
  <si>
    <t>37.881303</t>
  </si>
  <si>
    <t>-4.7936839</t>
  </si>
  <si>
    <t>https://goo.gl/maps/RzUtakQCQVp33TJb7</t>
  </si>
  <si>
    <t>https://lh5.googleusercontent.com/p/AF1QipMUYq3kJP2ir9RUwKgcCRqs_fuNc37PHXwPeVrc=w408-h306-k-no</t>
  </si>
  <si>
    <t>3,6</t>
  </si>
  <si>
    <t>18</t>
  </si>
  <si>
    <t>37.8811269</t>
  </si>
  <si>
    <t>-4.8304481</t>
  </si>
  <si>
    <t>Centro Municipal de Mayores Centro – Alcázar Viejo</t>
  </si>
  <si>
    <t>V6G7+2W Córdoba</t>
  </si>
  <si>
    <t>Calle Puerta Sevilla, 5, 14004 Córdoba</t>
  </si>
  <si>
    <t>957 29 45 73</t>
  </si>
  <si>
    <t>https://goo.gl/maps/f3YGMF8nsnNdsZeJA</t>
  </si>
  <si>
    <t>https://lh5.googleusercontent.com/p/AF1QipM_s0dArb31gxG4hRB5I-OGWFFVMbcixkRCV2Gr=w408-h271-k-no</t>
  </si>
  <si>
    <t>V5QV+FJ Córdoba</t>
  </si>
  <si>
    <t>Av. del Mediterráneo, 0, 14001 Córdoba</t>
  </si>
  <si>
    <t>957 46 33 60</t>
  </si>
  <si>
    <t>https://goo.gl/maps/KWsdsysc7m62J4mAA</t>
  </si>
  <si>
    <t>https://streetviewpixels-pa.googleapis.com/v1/thumbnail?panoid=1Ekl3JNSRnS7fPhk_uagGA&amp;cb_client=search.gws-prod.gps&amp;w=408&amp;h=240&amp;yaw=85.164955&amp;pitch=0&amp;thumbfov=100</t>
  </si>
  <si>
    <t>V658+3J Córdoba</t>
  </si>
  <si>
    <t>Calle Libertador Simón Bolívar, 0, 14013 Córdoba</t>
  </si>
  <si>
    <t>957 76 00 46</t>
  </si>
  <si>
    <t>37.8576294</t>
  </si>
  <si>
    <t>-4.8184701</t>
  </si>
  <si>
    <t>https://goo.gl/maps/FXYR26yeSfHUsq9y6</t>
  </si>
  <si>
    <t>https://streetviewpixels-pa.googleapis.com/v1/thumbnail?panoid=lY8T1ApsfGVZBfMrHEJe-g&amp;cb_client=search.gws-prod.gps&amp;w=408&amp;h=240&amp;yaw=56.143387&amp;pitch=0&amp;thumbfov=100</t>
  </si>
  <si>
    <t>Plataforma del Voluntariado de Cordoba</t>
  </si>
  <si>
    <t>V6H5+4Q Córdoba</t>
  </si>
  <si>
    <t>Calle Dr. Manuel Ruiz Maya, 8, 14004 Córdoba</t>
  </si>
  <si>
    <t>voluntariadodecordoba.org</t>
  </si>
  <si>
    <t>957 45 47 17</t>
  </si>
  <si>
    <t>37.8778516</t>
  </si>
  <si>
    <t>-4.8256204</t>
  </si>
  <si>
    <t>https://goo.gl/maps/ouYGAqkd77C1ZJS2A</t>
  </si>
  <si>
    <t>https://streetviewpixels-pa.googleapis.com/v1/thumbnail?panoid=zI7k4p9COYCbMtNG0FuKlw&amp;cb_client=search.gws-prod.gps&amp;w=408&amp;h=240&amp;yaw=334.5496&amp;pitch=0&amp;thumbfov=100</t>
  </si>
  <si>
    <t>V6C4+PG Córdoba</t>
  </si>
  <si>
    <t>Calle Dr. José Altolaguirre, 0, 14004 Córdoba</t>
  </si>
  <si>
    <t>957 29 80 18</t>
  </si>
  <si>
    <t>https://goo.gl/maps/kmmyBjwGpqjRU6EBA</t>
  </si>
  <si>
    <t>https://streetviewpixels-pa.googleapis.com/v1/thumbnail?panoid=aWbJPYYrDieC6t-bdYCM2g&amp;cb_client=search.gws-prod.gps&amp;w=408&amp;h=240&amp;yaw=227.8103&amp;pitch=0&amp;thumbfov=100</t>
  </si>
  <si>
    <t>Centro Municipal de Mayores Noroeste – Huerta de la Reina</t>
  </si>
  <si>
    <t>V6W6+GP Córdoba</t>
  </si>
  <si>
    <t>Edificio Apartamentos para mayores de VIMCORSA, Calle Músico Cristóbal de Morales, nº 2, 14011 Córdoba</t>
  </si>
  <si>
    <t>957 28 32 27</t>
  </si>
  <si>
    <t>https://goo.gl/maps/nnSYNwaSixo7qSvS8</t>
  </si>
  <si>
    <t>https://streetviewpixels-pa.googleapis.com/v1/thumbnail?panoid=HMuT1oQ7FgA76g7_QYqsiw&amp;cb_client=search.gws-prod.gps&amp;w=408&amp;h=240&amp;yaw=338.31955&amp;pitch=0&amp;thumbfov=100</t>
  </si>
  <si>
    <t>Fundación Prolibertas</t>
  </si>
  <si>
    <t>V6MF+P4 Córdoba</t>
  </si>
  <si>
    <t>Calle María Cristina, 8, 14002 Córdoba</t>
  </si>
  <si>
    <t>prolibertas.org</t>
  </si>
  <si>
    <t>957 48 53 25</t>
  </si>
  <si>
    <t>info@prolibertas.org</t>
  </si>
  <si>
    <t>https://goo.gl/maps/vPfxv7oxGUJjuYE39</t>
  </si>
  <si>
    <t>https://streetviewpixels-pa.googleapis.com/v1/thumbnail?panoid=lTJUUnHxjKV8MX9vD22yiw&amp;cb_client=search.gws-prod.gps&amp;w=408&amp;h=240&amp;yaw=237.56729&amp;pitch=0&amp;thumbfov=100</t>
  </si>
  <si>
    <t>Centro Municipal de Mayores Complementario Poniente Norte</t>
  </si>
  <si>
    <t>V5MQ+7J Córdoba</t>
  </si>
  <si>
    <t>Calle Ntra. Sra. de Begoña, s/n, 14005 Córdoba</t>
  </si>
  <si>
    <t>957 46 51 65</t>
  </si>
  <si>
    <t>https://goo.gl/maps/RAA4ks6jC7NXbz52A</t>
  </si>
  <si>
    <t>https://streetviewpixels-pa.googleapis.com/v1/thumbnail?panoid=kwHgNqh7LYjYt1RRJ2mPng&amp;cb_client=search.gws-prod.gps&amp;w=408&amp;h=240&amp;yaw=251.34515&amp;pitch=0&amp;thumbfov=100</t>
  </si>
  <si>
    <t>118</t>
  </si>
  <si>
    <t>V6G5+WQ Córdoba</t>
  </si>
  <si>
    <t>957 46 81 11</t>
  </si>
  <si>
    <t>https://goo.gl/maps/RLwmDy6qucQ6Xw2b7</t>
  </si>
  <si>
    <t>https://lh5.googleusercontent.com/p/AF1QipMlqfSLKXJlPeUHEcnPxTIvggMMKOiWBvlozmaU=w408-h306-k-no</t>
  </si>
  <si>
    <t>Asociación Pro Inmigrantes de Córdoba -APIC-</t>
  </si>
  <si>
    <t>V6HC+RP Córdoba</t>
  </si>
  <si>
    <t>37.8795094</t>
  </si>
  <si>
    <t>-4.8131879</t>
  </si>
  <si>
    <t>https://goo.gl/maps/mg422Ny31UbHQBt57</t>
  </si>
  <si>
    <t>https://lh5.googleusercontent.com/p/AF1QipM8PnfB4tB3UI7Fm3lgp0dfAoZoxUoHUfyHw-bP=w408-h544-k-no</t>
  </si>
  <si>
    <t>Residencia Municipal de Mayores &amp;quot;Guadalquivir&amp;quot;. Ayuntamiento de Córdoba</t>
  </si>
  <si>
    <t>V659+XF Córdoba</t>
  </si>
  <si>
    <t>Calle Libertador Hidalgo y Costilla, esquina con Calle Libertador Simón Bolívar, 14013 Córdoba</t>
  </si>
  <si>
    <t>957 76 04 62</t>
  </si>
  <si>
    <t>37.8599848</t>
  </si>
  <si>
    <t>-4.8162817</t>
  </si>
  <si>
    <t>https://goo.gl/maps/d5QVFqyhPtiMuya87</t>
  </si>
  <si>
    <t>https://streetviewpixels-pa.googleapis.com/v1/thumbnail?panoid=0n5C4GhbqjLnfIElz6-q5w&amp;cb_client=search.gws-prod.gps&amp;w=408&amp;h=240&amp;yaw=205.62927&amp;pitch=0&amp;thumbfov=100</t>
  </si>
  <si>
    <t>26</t>
  </si>
  <si>
    <t>V6G3+H2 Córdoba</t>
  </si>
  <si>
    <t>Lugar Parque de las Avenidas, 8, 14004 Córdoba</t>
  </si>
  <si>
    <t>957 45 31 22</t>
  </si>
  <si>
    <t>https://goo.gl/maps/hbcAmmKwfUVrmapk8</t>
  </si>
  <si>
    <t>https://streetviewpixels-pa.googleapis.com/v1/thumbnail?panoid=Ljh28FAiH9_8Y1jiBbKdeg&amp;cb_client=search.gws-prod.gps&amp;w=408&amp;h=240&amp;yaw=60.321148&amp;pitch=0&amp;thumbfov=100</t>
  </si>
  <si>
    <t>Cáritas Diocesana</t>
  </si>
  <si>
    <t>V6RP+2Q Córdoba</t>
  </si>
  <si>
    <t>Av. de la Viñuela, 9, 14010 Córdoba</t>
  </si>
  <si>
    <t>957 25 86 80</t>
  </si>
  <si>
    <t>https://goo.gl/maps/VCL9f6LUR2wixL81A</t>
  </si>
  <si>
    <t>https://streetviewpixels-pa.googleapis.com/v1/thumbnail?panoid=kfeDCNu34gevEAGM9z-iDw&amp;cb_client=search.gws-prod.gps&amp;w=408&amp;h=240&amp;yaw=112.99772&amp;pitch=0&amp;thumbfov=100</t>
  </si>
  <si>
    <t>Federación FEPAMIC | Oficinas Centrales</t>
  </si>
  <si>
    <t>168</t>
  </si>
  <si>
    <t>V6W3+7J Córdoba</t>
  </si>
  <si>
    <t>Calle María Montessori, s/n, 14011 Córdoba</t>
  </si>
  <si>
    <t>fepamic.org</t>
  </si>
  <si>
    <t>957 76 77 00</t>
  </si>
  <si>
    <t>37.89563</t>
  </si>
  <si>
    <t>-4.8309512</t>
  </si>
  <si>
    <t>https://g.page/fepamic-oficinas-centrales?share</t>
  </si>
  <si>
    <t>https://lh5.googleusercontent.com/p/AF1QipNhi_4wf30HYhpHYusFdcBLJxSIRBSx1-59wURX=w426-h240-k-no</t>
  </si>
  <si>
    <t>Centro Municipal de Mayores Levante</t>
  </si>
  <si>
    <t>V6WW+J4 Córdoba</t>
  </si>
  <si>
    <t>frente surtidor de gasolina, Av. Carlos III, 53 bis, 14014 Córdoba</t>
  </si>
  <si>
    <t>957 76 96 31</t>
  </si>
  <si>
    <t>37.8775634</t>
  </si>
  <si>
    <t>-4.8224305</t>
  </si>
  <si>
    <t>https://goo.gl/maps/xvtorMpM9LY9F61x5</t>
  </si>
  <si>
    <t>https://streetviewpixels-pa.googleapis.com/v1/thumbnail?panoid=xVjlRq1Pj_Y-P0gKH7wObQ&amp;cb_client=search.gws-prod.gps&amp;w=408&amp;h=240&amp;yaw=12.65541&amp;pitch=0&amp;thumbfov=100</t>
  </si>
  <si>
    <t>W659+HH Córdoba</t>
  </si>
  <si>
    <t>Calle Madres Escolapias, 76, 14012 Córdoba</t>
  </si>
  <si>
    <t>957 40 53 68</t>
  </si>
  <si>
    <t>https://goo.gl/maps/BJ3KfahwBRVr6fDb6</t>
  </si>
  <si>
    <t>https://streetviewpixels-pa.googleapis.com/v1/thumbnail?panoid=2m9csUHzE_VSQl3VvEzbyg&amp;cb_client=search.gws-prod.gps&amp;w=408&amp;h=240&amp;yaw=29.378685&amp;pitch=0&amp;thumbfov=100</t>
  </si>
  <si>
    <t>37.8576252</t>
  </si>
  <si>
    <t>-4.8159609</t>
  </si>
  <si>
    <t>APERFOSA Asociación Peniel de Rehabilitación y Formación Social</t>
  </si>
  <si>
    <t>20</t>
  </si>
  <si>
    <t>V6RR+RM Córdoba</t>
  </si>
  <si>
    <t>Plaza Lahore, 1, 14007 Córdoba</t>
  </si>
  <si>
    <t>aperfosa.org</t>
  </si>
  <si>
    <t>957 43 07 02</t>
  </si>
  <si>
    <t>aperfosa@aperfosa.org</t>
  </si>
  <si>
    <t>https://goo.gl/maps/h9soRc7PcQjNa77D6</t>
  </si>
  <si>
    <t>https://lh5.googleusercontent.com/p/AF1QipOSNKx13XY3fC1duaLNgGob2R38P-XD8tWUvyso=w408-h306-k-no</t>
  </si>
  <si>
    <t>Economata Social</t>
  </si>
  <si>
    <t>V6R3+WV Córdoba</t>
  </si>
  <si>
    <t>Calle Sta. Cecilia, 1, 14011 Córdoba</t>
  </si>
  <si>
    <t>957 28 11 80</t>
  </si>
  <si>
    <t>https://goo.gl/maps/keLxij5u1sj5m42q7</t>
  </si>
  <si>
    <t>https://streetviewpixels-pa.googleapis.com/v1/thumbnail?panoid=Zb55PWQTuD2uu7K2B-Ji_A&amp;cb_client=search.gws-prod.gps&amp;w=408&amp;h=240&amp;yaw=42.521667&amp;pitch=0&amp;thumbfov=100</t>
  </si>
  <si>
    <t>Centro de Servicios Sociales Comunitarios Alcolea de Córdoba</t>
  </si>
  <si>
    <t>W8JG+XX Córdoba</t>
  </si>
  <si>
    <t>Plaza La Cerería, s/n, 14610 Córdoba</t>
  </si>
  <si>
    <t>957 32 11 49</t>
  </si>
  <si>
    <t>37.9324378</t>
  </si>
  <si>
    <t>-4.7076239</t>
  </si>
  <si>
    <t>https://goo.gl/maps/PXTLWh4HkYGBeKHe6</t>
  </si>
  <si>
    <t>https://lh5.googleusercontent.com/p/AF1QipNfAq3N_br0mdWUyBopYp_kPC-uxXDV3eIgA3I7=w408-h306-k-no</t>
  </si>
  <si>
    <t>Hogar de Nazaret</t>
  </si>
  <si>
    <t>V6PF+2J Córdoba</t>
  </si>
  <si>
    <t>Calle Capitulares, 12, 14002 Córdoba</t>
  </si>
  <si>
    <t>hogardenazaret.org</t>
  </si>
  <si>
    <t>957 47 78 49</t>
  </si>
  <si>
    <t>nazaret@hogardenazaret.org</t>
  </si>
  <si>
    <t>37.8851127</t>
  </si>
  <si>
    <t>-4.8109646</t>
  </si>
  <si>
    <t>https://goo.gl/maps/1A8cKB3Zsj1JtT8U8</t>
  </si>
  <si>
    <t>https://streetviewpixels-pa.googleapis.com/v1/thumbnail?panoid=_TY-caEkNhWhdLGILJ2uaQ&amp;cb_client=search.gws-prod.gps&amp;w=408&amp;h=240&amp;yaw=31.373571&amp;pitch=0&amp;thumbfov=100</t>
  </si>
  <si>
    <t>Asociación de Familiares y Amigos de Drogodependientes &amp;quot;ARIADNA&amp;quot;</t>
  </si>
  <si>
    <t>V6V5+9F Córdoba</t>
  </si>
  <si>
    <t>Calle Músico Francisco de Salinas, local 9, 14011 Córdoba</t>
  </si>
  <si>
    <t>ariadnaong.es</t>
  </si>
  <si>
    <t>691 24 02 55</t>
  </si>
  <si>
    <t>https://goo.gl/maps/TXCgGvhjtnNEqDXY8</t>
  </si>
  <si>
    <t>https://lh5.googleusercontent.com/p/AF1QipOQPlaISsuKef8v4iCAVBbat_aNlKKHm-IloRNG=w426-h240-k-no</t>
  </si>
  <si>
    <t>Secretariado Mujeres Acción Católica Manos Unidas</t>
  </si>
  <si>
    <t>V6Q9+77 Córdoba</t>
  </si>
  <si>
    <t>Av. Ronda de los Tejares, 24, 14001 Córdoba</t>
  </si>
  <si>
    <t>957 48 54 34</t>
  </si>
  <si>
    <t>https://goo.gl/maps/o1CviMvJWbUnP25k7</t>
  </si>
  <si>
    <t>https://streetviewpixels-pa.googleapis.com/v1/thumbnail?panoid=07tJNkw9AIKlzn6TNE_2Ow&amp;cb_client=search.gws-prod.gps&amp;w=408&amp;h=240&amp;yaw=302.3239&amp;pitch=0&amp;thumbfov=100</t>
  </si>
  <si>
    <t>No más piojitos</t>
  </si>
  <si>
    <t>56</t>
  </si>
  <si>
    <t>V6RQ+78 Córdoba</t>
  </si>
  <si>
    <t>Av. de Jesús Rescatado, N°10, 14007 1°5, 14007 Córdoba</t>
  </si>
  <si>
    <t>nomaspiojitoscordoba.es</t>
  </si>
  <si>
    <t>666 18 18 06</t>
  </si>
  <si>
    <t>nomaspiojitoscordoba@gmail.com</t>
  </si>
  <si>
    <t>https://goo.gl/maps/WPAVuMs1nSCxQ31S6</t>
  </si>
  <si>
    <t>https://lh5.googleusercontent.com/p/AF1QipOX3Ak44ONvh6CjlkV3Jxtz9lp5t694TEyAe3le=w408-h306-k-no</t>
  </si>
  <si>
    <t>V6HM+99 Córdoba</t>
  </si>
  <si>
    <t>Av. del Arcángel, 1, 14010 Córdoba</t>
  </si>
  <si>
    <t>https://goo.gl/maps/HQrhyHVVcZYxWmvD6</t>
  </si>
  <si>
    <t>https://streetviewpixels-pa.googleapis.com/v1/thumbnail?panoid=NBQpI53FqZsRm_fICUSN4Q&amp;cb_client=search.gws-prod.gps&amp;w=408&amp;h=240&amp;yaw=40.2958&amp;pitch=0&amp;thumbfov=100</t>
  </si>
  <si>
    <t>Almacén Provincial Cruz Roja, Córdoba</t>
  </si>
  <si>
    <t>V624+34 Córdoba</t>
  </si>
  <si>
    <t>Calle Rectificadores, 14013 Córdoba</t>
  </si>
  <si>
    <t>957 43 38 78</t>
  </si>
  <si>
    <t>37.8502273</t>
  </si>
  <si>
    <t>-4.8297629</t>
  </si>
  <si>
    <t>https://goo.gl/maps/eV74a9TXpn4CbF4BA</t>
  </si>
  <si>
    <t>https://lh5.googleusercontent.com/p/AF1QipMMNK-df9PhaBx0u6uK_e5QUzarYbmA-kg0G3HA=w408-h306-k-no</t>
  </si>
  <si>
    <t>Asociación Hogar de Nazaret</t>
  </si>
  <si>
    <t>V6PM+RC Córdoba</t>
  </si>
  <si>
    <t>Antón de Montoro, 6, 14010 Córdoba</t>
  </si>
  <si>
    <t>957 49 12 92</t>
  </si>
  <si>
    <t>https://goo.gl/maps/tzr7qNvHqstkmxn89</t>
  </si>
  <si>
    <t>https://streetviewpixels-pa.googleapis.com/v1/thumbnail?panoid=3DMS4cq1tFJwpCwfQVJvzw&amp;cb_client=search.gws-prod.gps&amp;w=408&amp;h=240&amp;yaw=170.88715&amp;pitch=0&amp;thumbfov=100</t>
  </si>
  <si>
    <t>Centro de Servicios Sociales Comunitarios Villarrubia</t>
  </si>
  <si>
    <t>R3XR+V4 Córdoba</t>
  </si>
  <si>
    <t>Plaza Aljarilla, 15, 14071 Córdoba</t>
  </si>
  <si>
    <t>957 45 80 78</t>
  </si>
  <si>
    <t>37.849673</t>
  </si>
  <si>
    <t>-4.9447601</t>
  </si>
  <si>
    <t>https://goo.gl/maps/Catna9pyoMQ2K4xb7</t>
  </si>
  <si>
    <t>https://lh5.googleusercontent.com/p/AF1QipO2kU_cV5-FJhPDAXsBvNI5Yf9IJLkAU4gGJ2nT=w408-h306-k-no</t>
  </si>
  <si>
    <t>Centro Municipal de Mayores Periferia – El Higuerón</t>
  </si>
  <si>
    <t>V49W+R8 Córdoba</t>
  </si>
  <si>
    <t>Avda. Principal esquina c/ Pintor Antonio Bujalance, 14710 Córdoba</t>
  </si>
  <si>
    <t>957 32 94 87</t>
  </si>
  <si>
    <t>37.869526</t>
  </si>
  <si>
    <t>-4.8891711</t>
  </si>
  <si>
    <t>https://goo.gl/maps/vVHLKv27RppRJ3jc9</t>
  </si>
  <si>
    <t>https://streetviewpixels-pa.googleapis.com/v1/thumbnail?panoid=gBABlmkDJo4-2VwsdClxcg&amp;cb_client=search.gws-prod.gps&amp;w=408&amp;h=240&amp;yaw=203.24927&amp;pitch=0&amp;thumbfov=100</t>
  </si>
  <si>
    <t>Religiosas Adoratrices</t>
  </si>
  <si>
    <t>V6WW+RH Córdoba</t>
  </si>
  <si>
    <t>Av. Carlos III, 59, 14014 Córdoba</t>
  </si>
  <si>
    <t>37.8970134</t>
  </si>
  <si>
    <t>-4.7886102</t>
  </si>
  <si>
    <t>https://goo.gl/maps/8sL5Us1jv1LSFM3cA</t>
  </si>
  <si>
    <t>https://streetviewpixels-pa.googleapis.com/v1/thumbnail?panoid=zMJvxNc-IMtCDA-sgD3Njg&amp;cb_client=search.gws-prod.gps&amp;w=408&amp;h=240&amp;yaw=10.050391&amp;pitch=0&amp;thumbfov=100</t>
  </si>
  <si>
    <t>Fundación Cruz Blanca</t>
  </si>
  <si>
    <t>V6WF+JQ Córdoba</t>
  </si>
  <si>
    <t>Av de los Almogávares, s/n, 14007 Córdoba</t>
  </si>
  <si>
    <t>fundacioncruzblanca.org</t>
  </si>
  <si>
    <t>857 89 12 00</t>
  </si>
  <si>
    <t>37.8767211</t>
  </si>
  <si>
    <t>-4.8198694</t>
  </si>
  <si>
    <t>https://goo.gl/maps/bXtZCjJzGacXR67s9</t>
  </si>
  <si>
    <t>http://maps.gstatic.com/tactile/pane/default_geocode-1x.png</t>
  </si>
  <si>
    <t>Comedor Social Trinitario San Juan Bautista de la Concepción</t>
  </si>
  <si>
    <t>V6RM+P9 Córdoba</t>
  </si>
  <si>
    <t>Calle Ronda del Marrubial, s/n, 14007 Córdoba</t>
  </si>
  <si>
    <t>957 49 19 82</t>
  </si>
  <si>
    <t>37.8842839</t>
  </si>
  <si>
    <t>-4.8257294</t>
  </si>
  <si>
    <t>https://goo.gl/maps/gAGoaRmx8YgkuDjX8</t>
  </si>
  <si>
    <t>https://streetviewpixels-pa.googleapis.com/v1/thumbnail?panoid=pN_cnDS58PzC9LHtqshomg&amp;cb_client=search.gws-prod.gps&amp;w=408&amp;h=240&amp;yaw=253.39064&amp;pitch=0&amp;thumbfov=100</t>
  </si>
  <si>
    <t>Centro Municipal de Mayores Periferia – Villarrubia</t>
  </si>
  <si>
    <t>R3XM+5M Villarrubia</t>
  </si>
  <si>
    <t>Antigua estación de RENFE, Plaza Dr. Gregorio Gracia, s/n, 14710 Villarrubia, Córdoba</t>
  </si>
  <si>
    <t>Villarrubia</t>
  </si>
  <si>
    <t>957 45 81 76</t>
  </si>
  <si>
    <t>37.8479768</t>
  </si>
  <si>
    <t>-4.9508716</t>
  </si>
  <si>
    <t>https://goo.gl/maps/ovfG79U7vs29zdXz6</t>
  </si>
  <si>
    <t>https://streetviewpixels-pa.googleapis.com/v1/thumbnail?panoid=q-NAkUTCTUSRTnqCHU-wVQ&amp;cb_client=search.gws-prod.gps&amp;w=408&amp;h=240&amp;yaw=130.35794&amp;pitch=0&amp;thumbfov=100</t>
  </si>
  <si>
    <t>M3F9+P6 Córdoba</t>
  </si>
  <si>
    <t>Calle Rafael Bernier Soldevilla, 0, 14011 Córdoba</t>
  </si>
  <si>
    <t>cordoba.es</t>
  </si>
  <si>
    <t>957 49 99 00</t>
  </si>
  <si>
    <t>37.6743221</t>
  </si>
  <si>
    <t>-4.9670101</t>
  </si>
  <si>
    <t>https://goo.gl/maps/qhbwSyGWcogfupv88</t>
  </si>
  <si>
    <t>https://streetviewpixels-pa.googleapis.com/v1/thumbnail?panoid=3bvsinkl_18Fu4yv8Pseig&amp;cb_client=search.gws-prod.gps&amp;w=408&amp;h=240&amp;yaw=25.921442&amp;pitch=0&amp;thumbfov=100</t>
  </si>
  <si>
    <t>Colegio Oficial de Trabajo Social de Granada</t>
  </si>
  <si>
    <t>59GQ+5R Granada</t>
  </si>
  <si>
    <t>Calle Arabial, nº68, Edificio Bolonia Bajo, 18003 Granada</t>
  </si>
  <si>
    <t>Granada</t>
  </si>
  <si>
    <t>cgtrabajosocial.es</t>
  </si>
  <si>
    <t>958 80 52 68</t>
  </si>
  <si>
    <t>consejo@cgtrabajosocial.es</t>
  </si>
  <si>
    <t>37.1753843</t>
  </si>
  <si>
    <t>-3.6454828</t>
  </si>
  <si>
    <t>https://goo.gl/maps/WB8AVVxwCTH3GivZ7</t>
  </si>
  <si>
    <t>https://streetviewpixels-pa.googleapis.com/v1/thumbnail?panoid=Vaodvi4wlb0dCiG-QCAdgA&amp;cb_client=search.gws-prod.gps&amp;w=408&amp;h=240&amp;yaw=68.53875&amp;pitch=0&amp;thumbfov=100</t>
  </si>
  <si>
    <t>23</t>
  </si>
  <si>
    <t>19</t>
  </si>
  <si>
    <t>Junta de Andalucía Delegación Territorial de Bienestar Social de Granada</t>
  </si>
  <si>
    <t>59CV+96 Granada</t>
  </si>
  <si>
    <t>Calle Buenos Aires, 1, 18004 Granada</t>
  </si>
  <si>
    <t>958 02 46 00</t>
  </si>
  <si>
    <t>37.1708814</t>
  </si>
  <si>
    <t>-3.6418993</t>
  </si>
  <si>
    <t>https://goo.gl/maps/CkqYXr7FPaQtA9DJ9</t>
  </si>
  <si>
    <t>https://streetviewpixels-pa.googleapis.com/v1/thumbnail?panoid=vFmeH7qcSjOrhe5y2UDMlA&amp;cb_client=search.gws-prod.gps&amp;w=408&amp;h=240&amp;yaw=232.59363&amp;pitch=0&amp;thumbfov=100</t>
  </si>
  <si>
    <t>3,1</t>
  </si>
  <si>
    <t>27</t>
  </si>
  <si>
    <t>Delegación Provincial de Salud y Bienestar Social - Junta de Andalucía</t>
  </si>
  <si>
    <t>30</t>
  </si>
  <si>
    <t>59PP+WQ Granada</t>
  </si>
  <si>
    <t>Av. del Sur, 13, 18014 Granada</t>
  </si>
  <si>
    <t>958 02 70 00</t>
  </si>
  <si>
    <t>https://goo.gl/maps/Fd2vik6tGB6GeMfn6</t>
  </si>
  <si>
    <t>https://streetviewpixels-pa.googleapis.com/v1/thumbnail?panoid=4tC4KeJsoqpsUz1ZJO9YrQ&amp;cb_client=search.gws-prod.gps&amp;w=408&amp;h=240&amp;yaw=84.47962&amp;pitch=0&amp;thumbfov=100</t>
  </si>
  <si>
    <t>37.1784757</t>
  </si>
  <si>
    <t>-3.6341552</t>
  </si>
  <si>
    <t>Junta De Andalucía</t>
  </si>
  <si>
    <t>Calle Orone, 18014 Granada</t>
  </si>
  <si>
    <t>Agrón</t>
  </si>
  <si>
    <t>958 16 44 14</t>
  </si>
  <si>
    <t>https://goo.gl/maps/ENkLqp25kdzzFvyq5</t>
  </si>
  <si>
    <t>https://streetviewpixels-pa.googleapis.com/v1/thumbnail?panoid=IsQD6EAg2SWeQFute0DCJw&amp;cb_client=search.gws-prod.gps&amp;w=408&amp;h=240&amp;yaw=230.50854&amp;pitch=0&amp;thumbfov=100</t>
  </si>
  <si>
    <t>psicofem.com</t>
  </si>
  <si>
    <t>5C64+GW Granada</t>
  </si>
  <si>
    <t>Calle Primavera, Calle Bruselas, 24, Entrada por, 18008 Granada</t>
  </si>
  <si>
    <t>630 13 44 36</t>
  </si>
  <si>
    <t>infopsicofem@gmail.com</t>
  </si>
  <si>
    <t>37.1612796</t>
  </si>
  <si>
    <t>-3.6276717</t>
  </si>
  <si>
    <t>https://goo.gl/maps/zDdjnW6F1Hi9qGpi6</t>
  </si>
  <si>
    <t>https://streetviewpixels-pa.googleapis.com/v1/thumbnail?panoid=jkLOM2USQk--N0cIUvP_6Q&amp;cb_client=search.gws-prod.gps&amp;w=408&amp;h=240&amp;yaw=129.70396&amp;pitch=0&amp;thumbfov=100</t>
  </si>
  <si>
    <t>Almanjayar En Familia (ALFA)</t>
  </si>
  <si>
    <t>51</t>
  </si>
  <si>
    <t>696Q+62 Granada</t>
  </si>
  <si>
    <t>Calle Arquitecto José Contreras, 3, 18013 Granada</t>
  </si>
  <si>
    <t>almanjayar.org</t>
  </si>
  <si>
    <t>958 16 28 31</t>
  </si>
  <si>
    <t>webmaster@almanjayar.org</t>
  </si>
  <si>
    <t>37.2106201</t>
  </si>
  <si>
    <t>-3.6474988</t>
  </si>
  <si>
    <t>https://g.page/ALMANJAYAR?share</t>
  </si>
  <si>
    <t>https://lh5.googleusercontent.com/p/AF1QipM7Q9W5D9U8yQwKzNchYefg-W8ST3wMJzcQyWJ2=w426-h240-k-no</t>
  </si>
  <si>
    <t>37.1813878</t>
  </si>
  <si>
    <t>-3.6222361</t>
  </si>
  <si>
    <t>Obra Social San Vicente de Paúl</t>
  </si>
  <si>
    <t>696V+32 Granada</t>
  </si>
  <si>
    <t>Calle Molino Nuevo, 7, 18011 Granada</t>
  </si>
  <si>
    <t>958 15 96 52</t>
  </si>
  <si>
    <t>https://goo.gl/maps/SxkzokwNpna33mTo6</t>
  </si>
  <si>
    <t>https://streetviewpixels-pa.googleapis.com/v1/thumbnail?panoid=cmpym-6pfW5S_YCMJoy8Nw&amp;cb_client=search.gws-prod.gps&amp;w=408&amp;h=240&amp;yaw=95.44844&amp;pitch=0&amp;thumbfov=100</t>
  </si>
  <si>
    <t>305</t>
  </si>
  <si>
    <t>5C96+H8 Granada</t>
  </si>
  <si>
    <t>Cuesta Escoriaza, 8, a, 18008 Granada</t>
  </si>
  <si>
    <t>958 22 14 20</t>
  </si>
  <si>
    <t>https://goo.gl/maps/MpcQSSM2Cdd9aivb9</t>
  </si>
  <si>
    <t>https://lh5.googleusercontent.com/p/AF1QipOlGP1k9nsb38Y_RgJZ-XH578O2Kmg0yJOdHKCd=w426-h240-k-no</t>
  </si>
  <si>
    <t>Escuela Hogar Ciudad De Los Niños</t>
  </si>
  <si>
    <t>59R5+GC Granada</t>
  </si>
  <si>
    <t>Ctra. de Málaga, 193, 18015 Granada</t>
  </si>
  <si>
    <t>ciudaddelosninos.es</t>
  </si>
  <si>
    <t>958 27 59 36</t>
  </si>
  <si>
    <t>comunicacion@ciudaddelosninos.es</t>
  </si>
  <si>
    <t>37.1913109</t>
  </si>
  <si>
    <t>-3.6764245</t>
  </si>
  <si>
    <t>https://goo.gl/maps/qJATmHsb9pvrSmQw9</t>
  </si>
  <si>
    <t>https://streetviewpixels-pa.googleapis.com/v1/thumbnail?panoid=zZlzdHHw0gBUSQ1DB3IG9A&amp;cb_client=search.gws-prod.gps&amp;w=408&amp;h=240&amp;yaw=221.11462&amp;pitch=0&amp;thumbfov=100</t>
  </si>
  <si>
    <t>VICFAM</t>
  </si>
  <si>
    <t>37.0148339</t>
  </si>
  <si>
    <t>-3.0662807</t>
  </si>
  <si>
    <t>https://goo.gl/maps/KLUFaGup5JFF46zQ9</t>
  </si>
  <si>
    <t>Macrosad</t>
  </si>
  <si>
    <t>4CX2+43 Granada</t>
  </si>
  <si>
    <t>Parque Tecnológico de la Salud, Av. del Conocimiento, 41, 18016 Granada</t>
  </si>
  <si>
    <t>macrosad.es</t>
  </si>
  <si>
    <t>958 49 08 30</t>
  </si>
  <si>
    <t>grupomacrosad@gmail.com</t>
  </si>
  <si>
    <t>37.1478547</t>
  </si>
  <si>
    <t>-3.6348384</t>
  </si>
  <si>
    <t>https://goo.gl/maps/eJiaaETRMZew9t3t5</t>
  </si>
  <si>
    <t>https://streetviewpixels-pa.googleapis.com/v1/thumbnail?panoid=P188-oQ0h5SZkfj4WeCInQ&amp;cb_client=search.gws-prod.gps&amp;w=408&amp;h=240&amp;yaw=329.3041&amp;pitch=0&amp;thumbfov=100</t>
  </si>
  <si>
    <t>Fundación Esess</t>
  </si>
  <si>
    <t>59VM+JC Granada</t>
  </si>
  <si>
    <t>Av. Luis Miranda Dávalos, 9, 18014 Granada</t>
  </si>
  <si>
    <t>958 17 19 52</t>
  </si>
  <si>
    <t>37.2039047</t>
  </si>
  <si>
    <t>-3.6539971</t>
  </si>
  <si>
    <t>https://goo.gl/maps/L2BcySgznAYEBfXZ6</t>
  </si>
  <si>
    <t>https://streetviewpixels-pa.googleapis.com/v1/thumbnail?panoid=UiWTL6yBKRhfkrH_x9Ir0w&amp;cb_client=search.gws-prod.gps&amp;w=408&amp;h=240&amp;yaw=135.09253&amp;pitch=0&amp;thumbfov=100</t>
  </si>
  <si>
    <t>Centro Municipal de Servicios Sociales</t>
  </si>
  <si>
    <t>49XH+6W Armilla</t>
  </si>
  <si>
    <t>C/ Fernando Martín s/n, 18100 Armilla, Granada</t>
  </si>
  <si>
    <t>Armilla</t>
  </si>
  <si>
    <t>armilladigital.com</t>
  </si>
  <si>
    <t>958 57 89 05</t>
  </si>
  <si>
    <t>informacion@armilla.es</t>
  </si>
  <si>
    <t>37.148104</t>
  </si>
  <si>
    <t>-3.6551812</t>
  </si>
  <si>
    <t>https://goo.gl/maps/nZqtndECMr2SUXHK6</t>
  </si>
  <si>
    <t>Tunstall Televida - Granada</t>
  </si>
  <si>
    <t>59CW+8W Granada</t>
  </si>
  <si>
    <t>Calle Tejeiro, 6, 18005 Granada</t>
  </si>
  <si>
    <t>958 80 69 80</t>
  </si>
  <si>
    <t>https://goo.gl/maps/4pJ3xJfX5ekYJbpL8</t>
  </si>
  <si>
    <t>https://lh5.googleusercontent.com/p/AF1QipMb_laALJWIVaJG9EWn-uQimpvGL80w-s5sHWa2=w475-h240-k-no</t>
  </si>
  <si>
    <t>Fmyv Fundación Margenes Y Vinculos</t>
  </si>
  <si>
    <t>59FV+FC Granada</t>
  </si>
  <si>
    <t>Calle Obispo Hurtado, 21, 1ºF, 18002 Granada</t>
  </si>
  <si>
    <t>958 22 15 22</t>
  </si>
  <si>
    <t>37.1576146</t>
  </si>
  <si>
    <t>-3.6210921</t>
  </si>
  <si>
    <t>https://goo.gl/maps/s7Azzzu3KLk8fN487</t>
  </si>
  <si>
    <t>https://streetviewpixels-pa.googleapis.com/v1/thumbnail?panoid=ZvxsygbmmKI70OVr4e-gCg&amp;cb_client=search.gws-prod.gps&amp;w=408&amp;h=240&amp;yaw=154.3&amp;pitch=0&amp;thumbfov=100</t>
  </si>
  <si>
    <t>La Alfaguara Servicio Ayuda a Domicilio</t>
  </si>
  <si>
    <t>59QP+5X Granada</t>
  </si>
  <si>
    <t>Av. del Sur, 2, 18014 Granada</t>
  </si>
  <si>
    <t>laalfaguara.com</t>
  </si>
  <si>
    <t>958 98 02 48</t>
  </si>
  <si>
    <t>info@laalfaguara.com</t>
  </si>
  <si>
    <t>https://goo.gl/maps/vp1xzXhH4bxar8J39</t>
  </si>
  <si>
    <t>https://lh5.googleusercontent.com/p/AF1QipNMrmf1vuJGw7-G6A-65jFpOAWIWajAV41jjFtb=w408-h272-k-no</t>
  </si>
  <si>
    <t>Hotel de Asociaciones Gloria Mas</t>
  </si>
  <si>
    <t>5C52+79 Granada</t>
  </si>
  <si>
    <t>C/ Margarita Xirgú, s/n, 18005 Granada</t>
  </si>
  <si>
    <t>958 12 93 92</t>
  </si>
  <si>
    <t>https://goo.gl/maps/msmEWbCJbbx9pJgW9</t>
  </si>
  <si>
    <t>https://streetviewpixels-pa.googleapis.com/v1/thumbnail?panoid=b60kESUHvOAd6cZK18ba0w&amp;cb_client=search.gws-prod.gps&amp;w=408&amp;h=240&amp;yaw=24.48961&amp;pitch=0&amp;thumbfov=100</t>
  </si>
  <si>
    <t>CENTRO DE DIA DOCTOR ALEJANDRO OTERO</t>
  </si>
  <si>
    <t>69CV+J3 Pulianas</t>
  </si>
  <si>
    <t>Calle Alcazaba, 2, 18197 Pulianas, Granada</t>
  </si>
  <si>
    <t>Pulianas</t>
  </si>
  <si>
    <t>centrodiagranada.com</t>
  </si>
  <si>
    <t>958 42 69 06</t>
  </si>
  <si>
    <t>ipacil@gmail.com</t>
  </si>
  <si>
    <t>37.2215909</t>
  </si>
  <si>
    <t>-3.6423282</t>
  </si>
  <si>
    <t>https://g.page/Centrodediapulianas?share</t>
  </si>
  <si>
    <t>https://lh5.googleusercontent.com/p/AF1QipPFO4UIiLBt9HShJMYM7rT6yY4x5WJgT9WWGUfy=w408-h286-k-no</t>
  </si>
  <si>
    <t>Teleasistencia Sevilla</t>
  </si>
  <si>
    <t>5CF5+85 Granada</t>
  </si>
  <si>
    <t>Calle Callejuela, 0 S/N, 18009 Granada</t>
  </si>
  <si>
    <t>900 200 165</t>
  </si>
  <si>
    <t>37.169475</t>
  </si>
  <si>
    <t>-3.6377229</t>
  </si>
  <si>
    <t>https://goo.gl/maps/uU5y93HoqFJhWTgn9</t>
  </si>
  <si>
    <t>https://streetviewpixels-pa.googleapis.com/v1/thumbnail?panoid=QI9FczBo1Re74YhiSRHwGg&amp;cb_client=search.gws-prod.gps&amp;w=408&amp;h=240&amp;yaw=51.695007&amp;pitch=0&amp;thumbfov=100</t>
  </si>
  <si>
    <t>Ayuntamiento de Huétor Vega</t>
  </si>
  <si>
    <t>4CWJ+46 Huétor Vega</t>
  </si>
  <si>
    <t>Callejón de la Feria, 0, 18198 Huétor Vega, Granada</t>
  </si>
  <si>
    <t>Huétor Vega</t>
  </si>
  <si>
    <t>958 30 19 83</t>
  </si>
  <si>
    <t>37.1453612</t>
  </si>
  <si>
    <t>-3.6045055</t>
  </si>
  <si>
    <t>https://goo.gl/maps/tSGo8zBoQweGUDKD7</t>
  </si>
  <si>
    <t>https://lh5.googleusercontent.com/p/AF1QipPRw8ombwXwvDQkDMXmx4c1f09v1lkFwJ4C709u=w408-h306-k-no</t>
  </si>
  <si>
    <t>P E D A G O G Í A E S E N C I A L ® Hacia una educación consciente</t>
  </si>
  <si>
    <t>Calle José Luis Pérez Pujadas 14 - Edificio Forum de Negocios, 18006 Granada</t>
  </si>
  <si>
    <t>666 97 89 79</t>
  </si>
  <si>
    <t>37.1609425</t>
  </si>
  <si>
    <t>-3.6425033</t>
  </si>
  <si>
    <t>https://goo.gl/maps/6QaFNrqHBtrBFYo69</t>
  </si>
  <si>
    <t>https://lh5.googleusercontent.com/p/AF1QipO4a5ihDm8Zl4nToatHuaEgHtTUd6U-riNZOQhV=w427-h240-k-no</t>
  </si>
  <si>
    <t>Abuela Solidaria</t>
  </si>
  <si>
    <t>59JM+9H Granada</t>
  </si>
  <si>
    <t>Calle Escritor Perrault, 14, 18004 Granada</t>
  </si>
  <si>
    <t>abuelasolidaria.org</t>
  </si>
  <si>
    <t>abuelasolidaria@gmail.com</t>
  </si>
  <si>
    <t>37.183816</t>
  </si>
  <si>
    <t>-3.635729</t>
  </si>
  <si>
    <t>https://goo.gl/maps/C4h13c6XjrBgsbLg9</t>
  </si>
  <si>
    <t>https://streetviewpixels-pa.googleapis.com/v1/thumbnail?panoid=f3vyI5umZHsZShoIJM0Law&amp;cb_client=search.gws-prod.gps&amp;w=408&amp;h=240&amp;yaw=116.64461&amp;pitch=0&amp;thumbfov=100</t>
  </si>
  <si>
    <t>Oficina SAE SEPE Armilla y Escuela Taller</t>
  </si>
  <si>
    <t>3,5</t>
  </si>
  <si>
    <t>96</t>
  </si>
  <si>
    <t>49RH+5X Armilla</t>
  </si>
  <si>
    <t>Camino del Jueves s/n, centro reina sofia, 18100 Armilla, Granada</t>
  </si>
  <si>
    <t>958 94 30 50</t>
  </si>
  <si>
    <t>37.1404015</t>
  </si>
  <si>
    <t>-3.6550703</t>
  </si>
  <si>
    <t>https://goo.gl/maps/Cuj88sWMo7rhC7eV7</t>
  </si>
  <si>
    <t>https://streetviewpixels-pa.googleapis.com/v1/thumbnail?panoid=cR3Cy-pMINgRpHQcZp-LGA&amp;cb_client=search.gws-prod.gps&amp;w=408&amp;h=240&amp;yaw=45.056248&amp;pitch=0&amp;thumbfov=100</t>
  </si>
  <si>
    <t>Centro de Servicios Sociales Comunitarios</t>
  </si>
  <si>
    <t>583J+6F Cúllar Vega</t>
  </si>
  <si>
    <t>C/Granada 29 esquina, Av. Andalucía, 18195 Cúllar Vega, Granada</t>
  </si>
  <si>
    <t>Cúllar Vega</t>
  </si>
  <si>
    <t>958 57 41 33</t>
  </si>
  <si>
    <t>37.1531216</t>
  </si>
  <si>
    <t>-3.7038216</t>
  </si>
  <si>
    <t>https://goo.gl/maps/3KFF5XtmRUeUZdJ88</t>
  </si>
  <si>
    <t>https://streetviewpixels-pa.googleapis.com/v1/thumbnail?panoid=dt3IrqJ_mh2Or9ge0lh8Iw&amp;cb_client=search.gws-prod.gps&amp;w=408&amp;h=240&amp;yaw=278.50165&amp;pitch=0&amp;thumbfov=100</t>
  </si>
  <si>
    <t>Lógica Social</t>
  </si>
  <si>
    <t>68GW+V5 Albolote</t>
  </si>
  <si>
    <t>Plaza Juan Carlos I, 8B, 18220 Albolote, Granada</t>
  </si>
  <si>
    <t>Albolote</t>
  </si>
  <si>
    <t>logica-social.ueniweb.com</t>
  </si>
  <si>
    <t>699 09 97 16</t>
  </si>
  <si>
    <t>tsas.asesor@gmail.com</t>
  </si>
  <si>
    <t>37.2272296</t>
  </si>
  <si>
    <t>-3.6895305</t>
  </si>
  <si>
    <t>https://goo.gl/maps/e61W6dcWbWdm7fTu7</t>
  </si>
  <si>
    <t>https://lh5.googleusercontent.com/p/AF1QipPsiDSJX8h1uk76kemsHU0OtPv7KN4n8_Ck2lxP=w408-h424-k-no</t>
  </si>
  <si>
    <t>Servicios Sociales Comunitarios de Atarfe</t>
  </si>
  <si>
    <t>68F7+96 Atarfe</t>
  </si>
  <si>
    <t>Plaza Abastos, S/N, 18230 Atarfe, Granada</t>
  </si>
  <si>
    <t>Atarfe</t>
  </si>
  <si>
    <t>958 43 99 60</t>
  </si>
  <si>
    <t>37.223408</t>
  </si>
  <si>
    <t>-3.7219219</t>
  </si>
  <si>
    <t>https://goo.gl/maps/hjpaK62vhDjzWs8WA</t>
  </si>
  <si>
    <t>https://streetviewpixels-pa.googleapis.com/v1/thumbnail?panoid=e4LOsXoo7TykvJG6NBZwtA&amp;cb_client=search.gws-prod.gps&amp;w=408&amp;h=240&amp;yaw=168.37494&amp;pitch=0&amp;thumbfov=100</t>
  </si>
  <si>
    <t>Guadalinfo Viznar</t>
  </si>
  <si>
    <t>6CMV+7M Viznar</t>
  </si>
  <si>
    <t>Centro Civico, Calle Cerrillo, 1º Planta, 18179 Viznar, Granada</t>
  </si>
  <si>
    <t>Viznar</t>
  </si>
  <si>
    <t>periodicoaynadamar.blogspot.com.es</t>
  </si>
  <si>
    <t>615 28 89 67</t>
  </si>
  <si>
    <t>dinaviznar@gmail.com</t>
  </si>
  <si>
    <t>37.2332352</t>
  </si>
  <si>
    <t>-3.5908607</t>
  </si>
  <si>
    <t>https://goo.gl/maps/FutuNRRgegWCjitY7</t>
  </si>
  <si>
    <t>https://lh5.googleusercontent.com/p/AF1QipO4rGTdW68Y-X9yMC2kHvhzy5gBKyNhp3YbUp47=w426-h240-k-no</t>
  </si>
  <si>
    <t>Servicios Sociales Medio Ambiente</t>
  </si>
  <si>
    <t>68JV+35 Albolote</t>
  </si>
  <si>
    <t>Calle Ramón y Cajal, 1, 18220 Albolote, Granada</t>
  </si>
  <si>
    <t>958 46 65 65</t>
  </si>
  <si>
    <t>37.2253903</t>
  </si>
  <si>
    <t>-3.6890586</t>
  </si>
  <si>
    <t>https://goo.gl/maps/jLVSCammKQiUJwZv9</t>
  </si>
  <si>
    <t>https://streetviewpixels-pa.googleapis.com/v1/thumbnail?panoid=E1mHotjzGic9vFtLqJUOFA&amp;cb_client=search.gws-prod.gps&amp;w=408&amp;h=240&amp;yaw=108.413055&amp;pitch=0&amp;thumbfov=100</t>
  </si>
  <si>
    <t>Asociación de Mujeres “La Huerta” de Cúllar Vega</t>
  </si>
  <si>
    <t>583G+QQ Cúllar Vega</t>
  </si>
  <si>
    <t>Calle San Isidro, 18195 Cúllar Vega, Granada</t>
  </si>
  <si>
    <t>asociacion-de-mujeres-la-huerta.blogspot.com</t>
  </si>
  <si>
    <t>658 01 03 22</t>
  </si>
  <si>
    <t>mujereslahuertacv@hotmail.com</t>
  </si>
  <si>
    <t>37.1544453</t>
  </si>
  <si>
    <t>-3.7081074</t>
  </si>
  <si>
    <t>https://goo.gl/maps/Qts3ift8YGEwM3118</t>
  </si>
  <si>
    <t>https://streetviewpixels-pa.googleapis.com/v1/thumbnail?panoid=iCijXyYIaWf49kiYO8ad3g&amp;cb_client=search.gws-prod.gps&amp;w=408&amp;h=240&amp;yaw=359.55344&amp;pitch=0&amp;thumbfov=100</t>
  </si>
  <si>
    <t>68JX+4C Albolote</t>
  </si>
  <si>
    <t>Calle San Juan de Dios, 5, Local 3, 18220 Albolote, Granada</t>
  </si>
  <si>
    <t>958 46 66 93</t>
  </si>
  <si>
    <t>37.2303361</t>
  </si>
  <si>
    <t>-3.6864505</t>
  </si>
  <si>
    <t>https://goo.gl/maps/w9k61nkanQKyRXgd9</t>
  </si>
  <si>
    <t>https://lh5.googleusercontent.com/p/AF1QipOjWnPtqSy8Y3hpC9kc5iNzNeNmvEgbEhwAVgI8=w408-h544-k-no</t>
  </si>
  <si>
    <t>ASOCIACIÓN AMIGOS MIRA ESPAÑA</t>
  </si>
  <si>
    <t>49QC+2W Armilla</t>
  </si>
  <si>
    <t>Poligono San Miguel, Calle los Pinos, 11, 18100 Armilla, Granada</t>
  </si>
  <si>
    <t>37.13758</t>
  </si>
  <si>
    <t>-3.6627562</t>
  </si>
  <si>
    <t>https://goo.gl/maps/bVPoYdKLgfHTPNKB8</t>
  </si>
  <si>
    <t>https://streetviewpixels-pa.googleapis.com/v1/thumbnail?panoid=yASFdKEeNm50LsxSyZvxxg&amp;cb_client=search.gws-prod.gps&amp;w=408&amp;h=240&amp;yaw=350.89944&amp;pitch=0&amp;thumbfov=100</t>
  </si>
  <si>
    <t>Servicios Sociales</t>
  </si>
  <si>
    <t>6F9M+94 Huétor Santillán</t>
  </si>
  <si>
    <t>18183 Huétor Santillán, Granada</t>
  </si>
  <si>
    <t>Huétor Santillán</t>
  </si>
  <si>
    <t>958 54 64 46</t>
  </si>
  <si>
    <t>37.2183785</t>
  </si>
  <si>
    <t>-3.5522309</t>
  </si>
  <si>
    <t>https://goo.gl/maps/qWLRc4NNuiU7R3Et7</t>
  </si>
  <si>
    <t>https://streetviewpixels-pa.googleapis.com/v1/thumbnail?panoid=JeXYAWKllMHkC0iEujHtyA&amp;cb_client=search.gws-prod.gps&amp;w=408&amp;h=240&amp;yaw=323.45645&amp;pitch=0&amp;thumbfov=100</t>
  </si>
  <si>
    <t>Huelva</t>
  </si>
  <si>
    <t>Juzgado Social Nº 1</t>
  </si>
  <si>
    <t>724X+67 Huelva</t>
  </si>
  <si>
    <t>Calle Vázquez López, 19, 21003 Huelva</t>
  </si>
  <si>
    <t>mjusticia.gob.es</t>
  </si>
  <si>
    <t>959 07 09 23</t>
  </si>
  <si>
    <t>37.2555852</t>
  </si>
  <si>
    <t>-6.9693097</t>
  </si>
  <si>
    <t>https://goo.gl/maps/gb3i5g4E7zjyH439A</t>
  </si>
  <si>
    <t>https://lh5.googleusercontent.com/p/AF1QipPBQaR3ovXi4hZgb82SREFCTpwHsT3RQ6CshEIP=w408-h544-k-no</t>
  </si>
  <si>
    <t>726X+GX Huelva</t>
  </si>
  <si>
    <t>Calle Dr. Plácido Bañuelos, 17, 21004 Huelva</t>
  </si>
  <si>
    <t>959 25 16 65</t>
  </si>
  <si>
    <t>https://goo.gl/maps/EapmEScC39JfjXUZ7</t>
  </si>
  <si>
    <t>https://streetviewpixels-pa.googleapis.com/v1/thumbnail?panoid=y-TmNbv2Jr64aOi-ru6rHA&amp;cb_client=search.gws-prod.gps&amp;w=408&amp;h=240&amp;yaw=253.08562&amp;pitch=0&amp;thumbfov=100</t>
  </si>
  <si>
    <t>Asociación Huelva Acoge</t>
  </si>
  <si>
    <t>726W+JH Huelva</t>
  </si>
  <si>
    <t>Av. Alemania, 94, 21002 Huelva</t>
  </si>
  <si>
    <t>acoge.org</t>
  </si>
  <si>
    <t>959 26 33 71</t>
  </si>
  <si>
    <t>acoge@acoge.org</t>
  </si>
  <si>
    <t>https://goo.gl/maps/aCmhrwkaiFP4yUPJ7</t>
  </si>
  <si>
    <t>https://streetviewpixels-pa.googleapis.com/v1/thumbnail?panoid=Bpi5n6FxlMABnuDNrpMzcg&amp;cb_client=search.gws-prod.gps&amp;w=408&amp;h=240&amp;yaw=100.3635&amp;pitch=0&amp;thumbfov=100</t>
  </si>
  <si>
    <t>Inspección de Servicios Sociales</t>
  </si>
  <si>
    <t>725W+CF Huelva</t>
  </si>
  <si>
    <t>Calle Alcalde Mora Claros, 13, 21001 Huelva</t>
  </si>
  <si>
    <t>959 52 61 24</t>
  </si>
  <si>
    <t>https://goo.gl/maps/42L7vPAt2WU9LJpu6</t>
  </si>
  <si>
    <t>https://streetviewpixels-pa.googleapis.com/v1/thumbnail?panoid=3BlFESvffHC5b5RVlG0AGQ&amp;cb_client=search.gws-prod.gps&amp;w=408&amp;h=240&amp;yaw=253.20279&amp;pitch=0&amp;thumbfov=100</t>
  </si>
  <si>
    <t>Asociación Benefico Social Virgen de la Cinta de Huelva</t>
  </si>
  <si>
    <t>726R+WX Huelva</t>
  </si>
  <si>
    <t>Calle Bollullos del Condado, 13, 21002 Huelva</t>
  </si>
  <si>
    <t>959 24 23 20</t>
  </si>
  <si>
    <t>https://goo.gl/maps/bDomUvFupaCPWGhLA</t>
  </si>
  <si>
    <t>https://streetviewpixels-pa.googleapis.com/v1/thumbnail?panoid=LKe0lid_sUZXVMV70GRBTg&amp;cb_client=search.gws-prod.gps&amp;w=408&amp;h=240&amp;yaw=201.59172&amp;pitch=0&amp;thumbfov=100</t>
  </si>
  <si>
    <t>Instituto Andaluz De La Juventud</t>
  </si>
  <si>
    <t>724W+8W Huelva</t>
  </si>
  <si>
    <t>Calle Rico, 26, 21001 Huelva</t>
  </si>
  <si>
    <t>959 01 19 50</t>
  </si>
  <si>
    <t>37.2557563</t>
  </si>
  <si>
    <t>-6.9702555</t>
  </si>
  <si>
    <t>https://goo.gl/maps/m6At2rCqSdw9DBcC9</t>
  </si>
  <si>
    <t>https://lh5.googleusercontent.com/p/AF1QipP2bZuyAXQ4pIJsIGAYQKlVsBFmoxv1Xy-IMjkE=w408-h544-k-no</t>
  </si>
  <si>
    <t>7342+3P Huelva</t>
  </si>
  <si>
    <t>Calle Berdigón, 29, 21003 Huelva</t>
  </si>
  <si>
    <t>959 24 22 11</t>
  </si>
  <si>
    <t>https://goo.gl/maps/ZHyNnj1zHA6T4FKp8</t>
  </si>
  <si>
    <t>https://streetviewpixels-pa.googleapis.com/v1/thumbnail?panoid=PyoBv-XLc7sRjcYDVkAY8g&amp;cb_client=search.gws-prod.gps&amp;w=408&amp;h=240&amp;yaw=163.95828&amp;pitch=0&amp;thumbfov=100</t>
  </si>
  <si>
    <t>Asociación Autismo Huelva Ánsares</t>
  </si>
  <si>
    <t>45</t>
  </si>
  <si>
    <t>73J4+J7 Huelva</t>
  </si>
  <si>
    <t>Calle Condado, 12, 21005 Huelva</t>
  </si>
  <si>
    <t>autismohuelva.org</t>
  </si>
  <si>
    <t>959 15 56 02</t>
  </si>
  <si>
    <t>info@autismohuelva.org</t>
  </si>
  <si>
    <t>37.2815988</t>
  </si>
  <si>
    <t>-6.9618235</t>
  </si>
  <si>
    <t>https://goo.gl/maps/kpYHzeL7uzRBchBG6</t>
  </si>
  <si>
    <t>https://lh5.googleusercontent.com/p/AF1QipMTLN4Pk88Vt9_4G59DcgkOPrVR2KRuPBjRaraY=w426-h240-k-no</t>
  </si>
  <si>
    <t>ONCE Organización Nacional De Ciegos Españoles</t>
  </si>
  <si>
    <t>7334+X4 Huelva</t>
  </si>
  <si>
    <t>Alameda Sundheim, 5, 21003 Huelva</t>
  </si>
  <si>
    <t>959 28 17 11</t>
  </si>
  <si>
    <t>37.2548974</t>
  </si>
  <si>
    <t>-6.9621588</t>
  </si>
  <si>
    <t>https://goo.gl/maps/URsaBBeQTqd2bcPq9</t>
  </si>
  <si>
    <t>https://lh5.googleusercontent.com/p/AF1QipMBWLOUg2-VmXOFw5401rS0Pn0u5HgFXyWGAzB6=w515-h240-k-no</t>
  </si>
  <si>
    <t>Cáritas Diocesana de Huelva</t>
  </si>
  <si>
    <t>50</t>
  </si>
  <si>
    <t>7354+CF Huelva</t>
  </si>
  <si>
    <t>Calle Dr. Cantero Cuadrado, 1, 21004 Huelva</t>
  </si>
  <si>
    <t>caritashuelva.org</t>
  </si>
  <si>
    <t>959 24 52 26</t>
  </si>
  <si>
    <t>pmonje.comunicacion@caritashuelva.org</t>
  </si>
  <si>
    <t>37.2586031</t>
  </si>
  <si>
    <t>-6.9613199</t>
  </si>
  <si>
    <t>https://goo.gl/maps/HpKojRJcfAhWKX71A</t>
  </si>
  <si>
    <t>https://lh5.googleusercontent.com/p/AF1QipNtx6bIdD6fes8JQYqSZsNT-B-Ih4SJgrTpAh0=w408-h725-k-no</t>
  </si>
  <si>
    <t>Clece S A</t>
  </si>
  <si>
    <t>723V+69 Huelva</t>
  </si>
  <si>
    <t>Avenida Tomás Domínguez Ortiz, 8, 21001 Huelva</t>
  </si>
  <si>
    <t>clece.es</t>
  </si>
  <si>
    <t>959 15 44 53</t>
  </si>
  <si>
    <t>37.2530817</t>
  </si>
  <si>
    <t>-6.9740696</t>
  </si>
  <si>
    <t>https://goo.gl/maps/yRyftfrm2j1KzVaC7</t>
  </si>
  <si>
    <t>https://streetviewpixels-pa.googleapis.com/v1/thumbnail?panoid=YJGXEPPuwqje9UJTPsesFg&amp;cb_client=search.gws-prod.gps&amp;w=408&amp;h=240&amp;yaw=287.7635&amp;pitch=0&amp;thumbfov=100</t>
  </si>
  <si>
    <t>Delegacion De Agricultura,Educacion Y Hacienda</t>
  </si>
  <si>
    <t>726V+44 Huelva</t>
  </si>
  <si>
    <t>Calle los Mozárabes, 4, 21002 Huelva</t>
  </si>
  <si>
    <t>37.2556978</t>
  </si>
  <si>
    <t>-6.9715273</t>
  </si>
  <si>
    <t>https://goo.gl/maps/gKDyj2zFSqFjjoVU9</t>
  </si>
  <si>
    <t>https://streetviewpixels-pa.googleapis.com/v1/thumbnail?panoid=qfSHhylwXJj7e173Eo5-7g&amp;cb_client=search.gws-prod.gps&amp;w=408&amp;h=240&amp;yaw=3.979883&amp;pitch=0&amp;thumbfov=100</t>
  </si>
  <si>
    <t>Asociación Tierra Nueva</t>
  </si>
  <si>
    <t>73H9+4Q Huelva</t>
  </si>
  <si>
    <t>Calle Jazmín, 1, 21005 Huelva</t>
  </si>
  <si>
    <t>959 54 52 59</t>
  </si>
  <si>
    <t>37.2777978</t>
  </si>
  <si>
    <t>-6.9480769</t>
  </si>
  <si>
    <t>https://goo.gl/maps/oLZXJvxL9p9grXj89</t>
  </si>
  <si>
    <t>https://streetviewpixels-pa.googleapis.com/v1/thumbnail?panoid=TqqknHxshOdA3GiC6dWAQg&amp;cb_client=search.gws-prod.gps&amp;w=408&amp;h=240&amp;yaw=344.84146&amp;pitch=0&amp;thumbfov=100</t>
  </si>
  <si>
    <t>Cear Comisión Española de Ayuda Al Refugiado</t>
  </si>
  <si>
    <t>7349+4R Huelva</t>
  </si>
  <si>
    <t>Calle Carmen Conde, 4, 21001 Huelva</t>
  </si>
  <si>
    <t>cear.es</t>
  </si>
  <si>
    <t>37.2553401</t>
  </si>
  <si>
    <t>-6.9479523</t>
  </si>
  <si>
    <t>https://goo.gl/maps/UKHXJf3ZfQVESoMf7</t>
  </si>
  <si>
    <t>Hermandad de la Fe</t>
  </si>
  <si>
    <t>14</t>
  </si>
  <si>
    <t>7358+V9 Huelva</t>
  </si>
  <si>
    <t>Calle Cristo de la Fe, 5, 21006 Huelva</t>
  </si>
  <si>
    <t>ueniweb.com</t>
  </si>
  <si>
    <t>37.2596616</t>
  </si>
  <si>
    <t>-6.9516004</t>
  </si>
  <si>
    <t>https://goo.gl/maps/YddrXihyuWoBWomS8</t>
  </si>
  <si>
    <t>https://streetviewpixels-pa.googleapis.com/v1/thumbnail?panoid=QTh53fg9zTxUS0WY6PZXkw&amp;cb_client=search.gws-prod.gps&amp;w=408&amp;h=240&amp;yaw=149.54826&amp;pitch=0&amp;thumbfov=100</t>
  </si>
  <si>
    <t>Diputación Provincial de Huelva</t>
  </si>
  <si>
    <t>8575+5F San Juan del Puerto</t>
  </si>
  <si>
    <t>Plaza la Soleá, 1, 21610 San Juan del Puerto, Huelva</t>
  </si>
  <si>
    <t>San Juan del Puerto</t>
  </si>
  <si>
    <t>diphuelva.es</t>
  </si>
  <si>
    <t>959 65 73 15</t>
  </si>
  <si>
    <t>37.3129427</t>
  </si>
  <si>
    <t>-6.8588391</t>
  </si>
  <si>
    <t>https://goo.gl/maps/VViSBhLo7GCTuRHh8</t>
  </si>
  <si>
    <t>https://streetviewpixels-pa.googleapis.com/v1/thumbnail?panoid=3lKTPkGoi8HMucXC9aF1MQ&amp;cb_client=search.gws-prod.gps&amp;w=408&amp;h=240&amp;yaw=175.84764&amp;pitch=0&amp;thumbfov=100</t>
  </si>
  <si>
    <t>Misioneras Doctrina Cristiana Curia Gener</t>
  </si>
  <si>
    <t>723X+GQ Huelva</t>
  </si>
  <si>
    <t>Calle Sta. María, 2, 21003 Huelva</t>
  </si>
  <si>
    <t>959 42 11 10</t>
  </si>
  <si>
    <t>37.2591504</t>
  </si>
  <si>
    <t>-6.9685579</t>
  </si>
  <si>
    <t>https://goo.gl/maps/bVDMQuhxP5N9nzWT8</t>
  </si>
  <si>
    <t>https://streetviewpixels-pa.googleapis.com/v1/thumbnail?panoid=8kwKjo5E6vYre25Y20eNaw&amp;cb_client=search.gws-prod.gps&amp;w=408&amp;h=240&amp;yaw=248.16235&amp;pitch=0&amp;thumbfov=100</t>
  </si>
  <si>
    <t>7383+CQ Huelva</t>
  </si>
  <si>
    <t>Calle Campofrío, 18, 21004 Huelva</t>
  </si>
  <si>
    <t>37.2660675</t>
  </si>
  <si>
    <t>-6.9630938</t>
  </si>
  <si>
    <t>https://goo.gl/maps/cnGyEM6H5vuHNL5b6</t>
  </si>
  <si>
    <t>https://streetviewpixels-pa.googleapis.com/v1/thumbnail?panoid=yFvrqnMbMcDokIwOqzMX9w&amp;cb_client=search.gws-prod.gps&amp;w=408&amp;h=240&amp;yaw=152.84846&amp;pitch=0&amp;thumbfov=100</t>
  </si>
  <si>
    <t>Asociación Huelva Solidaria Husol</t>
  </si>
  <si>
    <t>72H2+76 Bellavista</t>
  </si>
  <si>
    <t>Calle Salvador Dalí, 45, 21122 Bellavista, Huelva</t>
  </si>
  <si>
    <t>Bellavista</t>
  </si>
  <si>
    <t>37.2782395</t>
  </si>
  <si>
    <t>-7.0169121</t>
  </si>
  <si>
    <t>https://goo.gl/maps/W8YWdebVEEJPncKe7</t>
  </si>
  <si>
    <t>https://lh5.googleusercontent.com/p/AF1QipMq0sG_9gaschTvNSb27txpem6IFBehIRcK10qb=w408-h306-k-no</t>
  </si>
  <si>
    <t>92HJ+6M Gibraleón</t>
  </si>
  <si>
    <t>Av. Reyes Católicos, 37, 21500 Gibraleón, Huelva</t>
  </si>
  <si>
    <t>Gibraleón</t>
  </si>
  <si>
    <t>959 30 11 65</t>
  </si>
  <si>
    <t>37.3780023</t>
  </si>
  <si>
    <t>-6.9858159</t>
  </si>
  <si>
    <t>https://goo.gl/maps/dJPissk1t2u8KU7y6</t>
  </si>
  <si>
    <t>https://streetviewpixels-pa.googleapis.com/v1/thumbnail?panoid=H4CMoJL3ANRt-uVi3xnlFg&amp;cb_client=search.gws-prod.gps&amp;w=408&amp;h=240&amp;yaw=8.613983&amp;pitch=0&amp;thumbfov=100</t>
  </si>
  <si>
    <t>Grupo ADL. Servicio de Ayuda a Domicilio a personas dependientes</t>
  </si>
  <si>
    <t>6H8R+4F Ayamonte</t>
  </si>
  <si>
    <t>Plaza Sta. Angela de la Cruz, 2, 21400 Ayamonte, Huelva</t>
  </si>
  <si>
    <t>Ayamonte</t>
  </si>
  <si>
    <t>grupoadl.es</t>
  </si>
  <si>
    <t>722 31 68 52</t>
  </si>
  <si>
    <t>info@grupoadl.es</t>
  </si>
  <si>
    <t>37.2153245</t>
  </si>
  <si>
    <t>-7.4262755</t>
  </si>
  <si>
    <t>https://goo.gl/maps/EN8x2JNcQ7oWJ6s89</t>
  </si>
  <si>
    <t>https://lh5.googleusercontent.com/p/AF1QipNPVYeHqXqjGQMyVuEs55BzsRDAA5thibN5lLlk=w426-h240-k-no</t>
  </si>
  <si>
    <t>Organización Nacional de Ciegos Españoles (O.N.C.E.)</t>
  </si>
  <si>
    <t>9CQV+QJ La Palma del Condado</t>
  </si>
  <si>
    <t>Calle Real, 82, 21700 La Palma del Condado, Huelva</t>
  </si>
  <si>
    <t>La Palma del Condado</t>
  </si>
  <si>
    <t>959 40 06 47</t>
  </si>
  <si>
    <t>37.3893962</t>
  </si>
  <si>
    <t>-6.5734904</t>
  </si>
  <si>
    <t>https://goo.gl/maps/uGXbcrc5bQ94dPeV7</t>
  </si>
  <si>
    <t>https://streetviewpixels-pa.googleapis.com/v1/thumbnail?panoid=mwSV90H8gjj8RTzw2f9oTA&amp;cb_client=search.gws-prod.gps&amp;w=408&amp;h=240&amp;yaw=5.5778103&amp;pitch=0&amp;thumbfov=100</t>
  </si>
  <si>
    <t>Jaén</t>
  </si>
  <si>
    <t>Colegio Oficial Graduados Sociales</t>
  </si>
  <si>
    <t>Q6G8+P9 Jaén</t>
  </si>
  <si>
    <t>Calle la Luna, 21, 23009 Jaén</t>
  </si>
  <si>
    <t>953 24 27 86</t>
  </si>
  <si>
    <t>37.7768463</t>
  </si>
  <si>
    <t>-3.801522</t>
  </si>
  <si>
    <t>https://goo.gl/maps/QpJPbMzxWX6vguu4A</t>
  </si>
  <si>
    <t>https://lh5.googleusercontent.com/p/AF1QipMgZxGkt7SwIBO6O0lClyrLc-hO91NgDMqKGvE8=w408-h272-k-no</t>
  </si>
  <si>
    <t>37.7683103</t>
  </si>
  <si>
    <t>-3.8083985</t>
  </si>
  <si>
    <t>Juzgado de lo Social N 2</t>
  </si>
  <si>
    <t>Q6H7+6W Jaén</t>
  </si>
  <si>
    <t>Av. de Madrid, 70, 23008 Jaén</t>
  </si>
  <si>
    <t>953 96 43 76</t>
  </si>
  <si>
    <t>https://goo.gl/maps/2rPM6sRSbc28LnMU6</t>
  </si>
  <si>
    <t>https://streetviewpixels-pa.googleapis.com/v1/thumbnail?panoid=R_hgVZ7UGMZVtfv_nTu91Q&amp;cb_client=search.gws-prod.gps&amp;w=408&amp;h=240&amp;yaw=74.230156&amp;pitch=0&amp;thumbfov=100</t>
  </si>
  <si>
    <t>Centro Municipal de Servicios Sociales Bulevar</t>
  </si>
  <si>
    <t>Q6Q4+RF Jaén</t>
  </si>
  <si>
    <t>23009 Jaén</t>
  </si>
  <si>
    <t>aytojaen.es</t>
  </si>
  <si>
    <t>953 10 01 99</t>
  </si>
  <si>
    <t>37.789579</t>
  </si>
  <si>
    <t>-3.8112691</t>
  </si>
  <si>
    <t>https://goo.gl/maps/XQRc2WdDfDmPwJueA</t>
  </si>
  <si>
    <t>https://lh5.googleusercontent.com/p/AF1QipN5pujpajG0ebuGB4woKFTKv37AfrAsoDcX6ctB=w408-h544-k-no</t>
  </si>
  <si>
    <t>Centro Municipal de Servicios Sociales de las Fuentes</t>
  </si>
  <si>
    <t>Q5JQ+HP Jaén</t>
  </si>
  <si>
    <t>Calle Fuente del Alamillo, 10, 23006 Jaén</t>
  </si>
  <si>
    <t>953 29 11 01</t>
  </si>
  <si>
    <t>37.7814405</t>
  </si>
  <si>
    <t>-3.8281785</t>
  </si>
  <si>
    <t>https://goo.gl/maps/tJwdDirqpTCJuJyP6</t>
  </si>
  <si>
    <t>https://streetviewpixels-pa.googleapis.com/v1/thumbnail?panoid=KWrTJ6SDxuL8DauMdH1D5w&amp;cb_client=search.gws-prod.gps&amp;w=408&amp;h=240&amp;yaw=50.709538&amp;pitch=0&amp;thumbfov=100</t>
  </si>
  <si>
    <t>37.7717343</t>
  </si>
  <si>
    <t>-3.8063849</t>
  </si>
  <si>
    <t>Asociación Jaén Acoge</t>
  </si>
  <si>
    <t>Q695+FQ Jaén</t>
  </si>
  <si>
    <t>Calle Magdalena del Prado, 2, 23004 Jaén</t>
  </si>
  <si>
    <t>953 96 24 76</t>
  </si>
  <si>
    <t>https://goo.gl/maps/Z1D3Kbk9VU7MezaM8</t>
  </si>
  <si>
    <t>https://streetviewpixels-pa.googleapis.com/v1/thumbnail?panoid=AsWJMu3B0Ya_GKFQVK2vLA&amp;cb_client=search.gws-prod.gps&amp;w=408&amp;h=240&amp;yaw=80.61831&amp;pitch=0&amp;thumbfov=100</t>
  </si>
  <si>
    <t>Cáritas Interparroquial</t>
  </si>
  <si>
    <t>Q6C5+FJ Jaén</t>
  </si>
  <si>
    <t>Calle Maestro Bartolomé, 7, 23007 Jaén</t>
  </si>
  <si>
    <t>953 27 15 70</t>
  </si>
  <si>
    <t>https://goo.gl/maps/dRbrM1Vidmq4i84y9</t>
  </si>
  <si>
    <t>https://streetviewpixels-pa.googleapis.com/v1/thumbnail?panoid=U551hePNXFWPGPMwvS0Yww&amp;cb_client=search.gws-prod.gps&amp;w=408&amp;h=240&amp;yaw=250.50755&amp;pitch=0&amp;thumbfov=100</t>
  </si>
  <si>
    <t>Fundación Andaluza Para la Integración Social del Enfermo Mental</t>
  </si>
  <si>
    <t>Q6PC+V3 Jaén</t>
  </si>
  <si>
    <t>Calle Alcalde Pancorbo Ortuño, 11, 23009 Jaén</t>
  </si>
  <si>
    <t>953 31 34 90</t>
  </si>
  <si>
    <t>https://goo.gl/maps/GSR5d8Z3VVCJLskk7</t>
  </si>
  <si>
    <t>https://streetviewpixels-pa.googleapis.com/v1/thumbnail?panoid=FuuAKU3-_eSBJoJyPAlsCg&amp;cb_client=search.gws-prod.gps&amp;w=408&amp;h=240&amp;yaw=298.03873&amp;pitch=0&amp;thumbfov=100</t>
  </si>
  <si>
    <t>APRAF- A Asociación para la Promoción del Acogimiento Familiar en Andalucía</t>
  </si>
  <si>
    <t>Q6G5+WG Jaén</t>
  </si>
  <si>
    <t>Av. Eduardo García Maroto, nº 5, Entreplanta A, 23007 Jaén</t>
  </si>
  <si>
    <t>apraf.com</t>
  </si>
  <si>
    <t>953 08 76 85</t>
  </si>
  <si>
    <t>37.7773315</t>
  </si>
  <si>
    <t>-3.8086806</t>
  </si>
  <si>
    <t>https://g.page/APRAF-A?share</t>
  </si>
  <si>
    <t>https://streetviewpixels-pa.googleapis.com/v1/thumbnail?panoid=q8ZCBc9RCR18x7vS8W7nvA&amp;cb_client=search.gws-prod.gps&amp;w=408&amp;h=240&amp;yaw=301.6228&amp;pitch=0&amp;thumbfov=100</t>
  </si>
  <si>
    <t>www.intercementerio.com</t>
  </si>
  <si>
    <t>Q5JQ+QP Jaén</t>
  </si>
  <si>
    <t>Calle Fuente del Peral, 6, 23006 Jaén</t>
  </si>
  <si>
    <t>intercementerio.com</t>
  </si>
  <si>
    <t>953 22 78 43</t>
  </si>
  <si>
    <t>info@intercementerio.com</t>
  </si>
  <si>
    <t>37.781876</t>
  </si>
  <si>
    <t>-3.8281645</t>
  </si>
  <si>
    <t>https://goo.gl/maps/GR8bA8RCRzqcZSRb6</t>
  </si>
  <si>
    <t>https://lh5.googleusercontent.com/p/AF1QipOFtLOq3urVkCWdhmvsgGxGl2UhaDS50-Ifm-Sr=w408-h408-k-no</t>
  </si>
  <si>
    <t>Asoc De Atención Social Siloe</t>
  </si>
  <si>
    <t>Q5GX+6J Jaén</t>
  </si>
  <si>
    <t>Calle San Lucas, 6, 23005 Jaén</t>
  </si>
  <si>
    <t>953 26 22 40</t>
  </si>
  <si>
    <t>37.7756209</t>
  </si>
  <si>
    <t>-3.8184881</t>
  </si>
  <si>
    <t>https://goo.gl/maps/HesS1dxX6QGmYJMo7</t>
  </si>
  <si>
    <t>https://streetviewpixels-pa.googleapis.com/v1/thumbnail?panoid=cU8xUpt-8HnZKEGNpkfnyQ&amp;cb_client=search.gws-prod.gps&amp;w=408&amp;h=240&amp;yaw=46.785576&amp;pitch=0&amp;thumbfov=100</t>
  </si>
  <si>
    <t>Comité de Participación Ciudadana Cpcj</t>
  </si>
  <si>
    <t>Q673+2V Jaén</t>
  </si>
  <si>
    <t>Calle Carrera de Jesús, 32, 1º, 23002 Jaén</t>
  </si>
  <si>
    <t>656 81 39 42</t>
  </si>
  <si>
    <t>37.7625378</t>
  </si>
  <si>
    <t>-3.8128575</t>
  </si>
  <si>
    <t>https://goo.gl/maps/KMS8R65CbFHSw2Qt8</t>
  </si>
  <si>
    <t>https://streetviewpixels-pa.googleapis.com/v1/thumbnail?panoid=X_Nu8H8VQPPDcssM858URg&amp;cb_client=search.gws-prod.gps&amp;w=408&amp;h=240&amp;yaw=314.48953&amp;pitch=0&amp;thumbfov=100</t>
  </si>
  <si>
    <t>Once Organización Nacional De Ciegos Españoles</t>
  </si>
  <si>
    <t>Q686+4V Jaén</t>
  </si>
  <si>
    <t>Calle Mesa, 16, 23001 Jaén</t>
  </si>
  <si>
    <t>953 23 50 88</t>
  </si>
  <si>
    <t>https://goo.gl/maps/Kn8kuRwgMVZbHsQQA</t>
  </si>
  <si>
    <t>https://streetviewpixels-pa.googleapis.com/v1/thumbnail?panoid=rUfDrQv8sn8xVYVdqx51JA&amp;cb_client=search.gws-prod.gps&amp;w=408&amp;h=240&amp;yaw=113.743675&amp;pitch=0&amp;thumbfov=100</t>
  </si>
  <si>
    <t>Guadalinfo CAPI Polígono el Valle</t>
  </si>
  <si>
    <t>Q6MC+V8 Jaén</t>
  </si>
  <si>
    <t>Edificio Antonio Liebanas, Paseo Virgen del Rocío, s/n, 23009 Jaén</t>
  </si>
  <si>
    <t>670 84 28 18</t>
  </si>
  <si>
    <t>37.7846688</t>
  </si>
  <si>
    <t>-3.796703</t>
  </si>
  <si>
    <t>https://goo.gl/maps/2X2QU6hybrFYcv6w6</t>
  </si>
  <si>
    <t>https://streetviewpixels-pa.googleapis.com/v1/thumbnail?panoid=wOk0cjJuZI0PuvgmTDyzOw&amp;cb_client=search.gws-prod.gps&amp;w=408&amp;h=240&amp;yaw=6.440238&amp;pitch=0&amp;thumbfov=100</t>
  </si>
  <si>
    <t>Rastro Betel Obra Benéfica</t>
  </si>
  <si>
    <t>Q6H2+FC Jaén</t>
  </si>
  <si>
    <t>Calle del Dr. Gomez Duran, 23006 Jaén</t>
  </si>
  <si>
    <t>37.7786466</t>
  </si>
  <si>
    <t>-3.8163963</t>
  </si>
  <si>
    <t>https://goo.gl/maps/LxwkYQDq537foBf97</t>
  </si>
  <si>
    <t>https://streetviewpixels-pa.googleapis.com/v1/thumbnail?panoid=xh5mqTrmKG6bNe60Ck6kQA&amp;cb_client=search.gws-prod.gps&amp;w=408&amp;h=240&amp;yaw=286.27682&amp;pitch=0&amp;thumbfov=100</t>
  </si>
  <si>
    <t>Jabalcuz - Dependencia &amp;amp; Formación S.L.</t>
  </si>
  <si>
    <t>Q5JQ+R8 Jaén</t>
  </si>
  <si>
    <t>Calle Fuente del Alamillo, 7, 23006 Jaén</t>
  </si>
  <si>
    <t>jabalcuzdependencia.es</t>
  </si>
  <si>
    <t>953 29 48 09</t>
  </si>
  <si>
    <t>hola@multiserviciosjabalcuz.es</t>
  </si>
  <si>
    <t>37.7820201</t>
  </si>
  <si>
    <t>-3.8292474</t>
  </si>
  <si>
    <t>https://goo.gl/maps/wC8igigtLMBZsNdB8</t>
  </si>
  <si>
    <t>Asociación Jienense De Atención A Personas Con Parálisis Cerebral</t>
  </si>
  <si>
    <t>Q6MF+RC Jaén</t>
  </si>
  <si>
    <t>Paraje Lagunillas, 0 S N, 23009 Jaén</t>
  </si>
  <si>
    <t>953 27 11 33</t>
  </si>
  <si>
    <t>37.78452</t>
  </si>
  <si>
    <t>-3.7939595</t>
  </si>
  <si>
    <t>https://goo.gl/maps/n9wc7dHXutsH2dsj8</t>
  </si>
  <si>
    <t>https://streetviewpixels-pa.googleapis.com/v1/thumbnail?panoid=KTm3xmUj3C0I8ZQw6QoKVw&amp;cb_client=search.gws-prod.gps&amp;w=408&amp;h=240&amp;yaw=160.01959&amp;pitch=0&amp;thumbfov=100</t>
  </si>
  <si>
    <t>Fundación Angaro Proyecto Hombre</t>
  </si>
  <si>
    <t>Q6F8+H5 Jaén</t>
  </si>
  <si>
    <t>Calle Ángel María Arregui, 10, 23003 Jaén</t>
  </si>
  <si>
    <t>953 27 66 22</t>
  </si>
  <si>
    <t>37.7665286</t>
  </si>
  <si>
    <t>-3.8020349</t>
  </si>
  <si>
    <t>https://goo.gl/maps/SiWFZkmEv2TTTS4x6</t>
  </si>
  <si>
    <t>https://streetviewpixels-pa.googleapis.com/v1/thumbnail?panoid=bGdBY2TD8-s5YSCbngoH4g&amp;cb_client=search.gws-prod.gps&amp;w=408&amp;h=240&amp;yaw=54.74822&amp;pitch=0&amp;thumbfov=100</t>
  </si>
  <si>
    <t>HWR7+77 Alcaudete</t>
  </si>
  <si>
    <t>Cl. Gral. Baena, 5, 23660 Alcaudete, Jaén</t>
  </si>
  <si>
    <t>Alcaudete</t>
  </si>
  <si>
    <t>alcaudete.es</t>
  </si>
  <si>
    <t>953 56 22 09</t>
  </si>
  <si>
    <t>ayuntamiento@alcaudete.es</t>
  </si>
  <si>
    <t>37.5907116</t>
  </si>
  <si>
    <t>-4.1043235</t>
  </si>
  <si>
    <t>https://goo.gl/maps/6wjJERT3UTgW6uw57</t>
  </si>
  <si>
    <t>https://streetviewpixels-pa.googleapis.com/v1/thumbnail?panoid=rKcZun7iulmEtRHAHO-aTQ&amp;cb_client=search.gws-prod.gps&amp;w=408&amp;h=240&amp;yaw=69.55707&amp;pitch=0&amp;thumbfov=100</t>
  </si>
  <si>
    <t>Oficina de Servicios Sociales de Alcaudete</t>
  </si>
  <si>
    <t>37.5907032</t>
  </si>
  <si>
    <t>-4.1042952</t>
  </si>
  <si>
    <t>https://goo.gl/maps/tnZhWy8w58xqUBBj9</t>
  </si>
  <si>
    <t>https://streetviewpixels-pa.googleapis.com/v1/thumbnail?panoid=rKcZun7iulmEtRHAHO-aTQ&amp;cb_client=search.gws-prod.gps&amp;w=408&amp;h=240&amp;yaw=82.817215&amp;pitch=0&amp;thumbfov=100</t>
  </si>
  <si>
    <t>Centro de Servicios Sociales</t>
  </si>
  <si>
    <t>2J7G+7H Úbeda</t>
  </si>
  <si>
    <t>Calle Explanada, 4, 23400 Úbeda, Jaén</t>
  </si>
  <si>
    <t>Úbeda</t>
  </si>
  <si>
    <t>953 76 94 00</t>
  </si>
  <si>
    <t>38.0132237</t>
  </si>
  <si>
    <t>-3.3910834</t>
  </si>
  <si>
    <t>https://goo.gl/maps/MAyL5RvWoWhBLues9</t>
  </si>
  <si>
    <t>https://lh5.googleusercontent.com/p/AF1QipNpiYq1LED01DvfRN8AlX2lpvRNNsGJZU59N45n=w426-h240-k-no</t>
  </si>
  <si>
    <t>Málaga</t>
  </si>
  <si>
    <t>36.718181</t>
  </si>
  <si>
    <t>-4.449267</t>
  </si>
  <si>
    <t>Jábega Social</t>
  </si>
  <si>
    <t>Alameda</t>
  </si>
  <si>
    <t>jabegasocial.com</t>
  </si>
  <si>
    <t>639 24 90 47</t>
  </si>
  <si>
    <t>javier@jabegasocial.com</t>
  </si>
  <si>
    <t>37.333351</t>
  </si>
  <si>
    <t>-4.6465385</t>
  </si>
  <si>
    <t>https://g.page/jabegasocial?share</t>
  </si>
  <si>
    <t>https://lh5.googleusercontent.com/p/AF1QipOY7J8oGqWmqxc48jJUrWhm-ETZokFTTSAKylyJ=w408-h306-k-no</t>
  </si>
  <si>
    <t>36.7168361</t>
  </si>
  <si>
    <t>-4.492377</t>
  </si>
  <si>
    <t>PHVC+3R Málaga</t>
  </si>
  <si>
    <t>Calle Alonso Cruzado, 6, 29011 Málaga</t>
  </si>
  <si>
    <t>malaga.eu</t>
  </si>
  <si>
    <t>951 92 62 35</t>
  </si>
  <si>
    <t>info@malaga.eu</t>
  </si>
  <si>
    <t>https://goo.gl/maps/7kVZnoBJXUTD2FnaA</t>
  </si>
  <si>
    <t>https://streetviewpixels-pa.googleapis.com/v1/thumbnail?panoid=IU8q1oUyCzIdcRTL_njG1A&amp;cb_client=search.gws-prod.gps&amp;w=408&amp;h=240&amp;yaw=140.51427&amp;pitch=0&amp;thumbfov=100</t>
  </si>
  <si>
    <t>empleo.gob.es</t>
  </si>
  <si>
    <t>Provincial de Igualdad y Bienestar Social</t>
  </si>
  <si>
    <t>47</t>
  </si>
  <si>
    <t>PH7G+FF Málaga</t>
  </si>
  <si>
    <t>Avenida de Manuel Agustín Heredia, 26, 29001 Málaga</t>
  </si>
  <si>
    <t>951 03 64 00</t>
  </si>
  <si>
    <t>https://goo.gl/maps/PoaZYBMLCsW1jf176</t>
  </si>
  <si>
    <t>https://streetviewpixels-pa.googleapis.com/v1/thumbnail?panoid=UjglAGZMbCOvUOkXcx3jjA&amp;cb_client=search.gws-prod.gps&amp;w=408&amp;h=240&amp;yaw=291.79745&amp;pitch=0&amp;thumbfov=100</t>
  </si>
  <si>
    <t>Colegio Profesional de Trabajo Social de Málaga</t>
  </si>
  <si>
    <t>PHCG+84 Málaga</t>
  </si>
  <si>
    <t>Calle Muro de Puerta Nueva, 9, 29005 Málaga</t>
  </si>
  <si>
    <t>trabajosocialmalaga.org</t>
  </si>
  <si>
    <t>680 15 40 50</t>
  </si>
  <si>
    <t>secretaria@trabajosocialmalaga.org</t>
  </si>
  <si>
    <t>https://goo.gl/maps/uFQijuG5t6QRG4D78</t>
  </si>
  <si>
    <t>44</t>
  </si>
  <si>
    <t>Vélez-Málaga</t>
  </si>
  <si>
    <t>Benalmádena</t>
  </si>
  <si>
    <t>Centro Social Churriana</t>
  </si>
  <si>
    <t>MF9W+MF Málaga</t>
  </si>
  <si>
    <t>Plaza Cruz, 9, 29140 Málaga</t>
  </si>
  <si>
    <t>36.6692375</t>
  </si>
  <si>
    <t>-4.5738057</t>
  </si>
  <si>
    <t>https://goo.gl/maps/jMHoW7h5ZnKBzKzr5</t>
  </si>
  <si>
    <t>https://streetviewpixels-pa.googleapis.com/v1/thumbnail?panoid=FjrfVcgVaNiv6jOPM2Rnew&amp;cb_client=search.gws-prod.gps&amp;w=408&amp;h=240&amp;yaw=328.7144&amp;pitch=0&amp;thumbfov=100</t>
  </si>
  <si>
    <t>36.7043452</t>
  </si>
  <si>
    <t>-4.5102765</t>
  </si>
  <si>
    <t>Centro de Servicios Sociales Puerto de la Torre</t>
  </si>
  <si>
    <t>43</t>
  </si>
  <si>
    <t>PGM8+8M Málaga</t>
  </si>
  <si>
    <t>Calle Lara Castañeda, 61, 29190 Málaga</t>
  </si>
  <si>
    <t>951 92 60 70</t>
  </si>
  <si>
    <t>https://goo.gl/maps/xhrkrh4bs74uEFoh8</t>
  </si>
  <si>
    <t>https://lh5.googleusercontent.com/p/AF1QipOnc4vZpbo8Zqfx1zUTFdGxjuqe8uibYgbkekZe=w426-h240-k-no</t>
  </si>
  <si>
    <t>Comedor Social Yo Soy Tu</t>
  </si>
  <si>
    <t>60</t>
  </si>
  <si>
    <t>PHJ6+3R Málaga</t>
  </si>
  <si>
    <t>Calle Moreno Nieto, 18, 29011 Málaga</t>
  </si>
  <si>
    <t>comedorsocialyosoytu.com</t>
  </si>
  <si>
    <t>603 74 94 29</t>
  </si>
  <si>
    <t>info@comedorsocialyosoytu.com</t>
  </si>
  <si>
    <t>https://goo.gl/maps/2fpkXxcukqqR8Tba7</t>
  </si>
  <si>
    <t>https://lh5.googleusercontent.com/p/AF1QipM9auwwVHHmTFtWt1lwili38u6wdPTr-OY2Dbkj=w408-h544-k-no</t>
  </si>
  <si>
    <t>Málaga Acoge</t>
  </si>
  <si>
    <t>PHCC+6X Málaga</t>
  </si>
  <si>
    <t>Calle Bustamante, s/n, 29007 Málaga</t>
  </si>
  <si>
    <t>malaga.acoge.org</t>
  </si>
  <si>
    <t>952 39 32 00</t>
  </si>
  <si>
    <t>malaga@acoge.org</t>
  </si>
  <si>
    <t>https://goo.gl/maps/j2fN4B3oDyXhyqtS7</t>
  </si>
  <si>
    <t>https://lh5.googleusercontent.com/p/AF1QipNbL2IMsY9cqpXmgc8PfdB8GqrVp3RizLVvo4cE=w408-h306-k-no</t>
  </si>
  <si>
    <t>Centro Quinta Alegre</t>
  </si>
  <si>
    <t>PGGM+QW Málaga</t>
  </si>
  <si>
    <t>Calle Juan Francés Bosca, 11, 29010 Málaga</t>
  </si>
  <si>
    <t>autismomalaga.org</t>
  </si>
  <si>
    <t>952 28 90 37</t>
  </si>
  <si>
    <t>sedesocialautismomalaga@gmail.com</t>
  </si>
  <si>
    <t>36.7269681</t>
  </si>
  <si>
    <t>-4.5352444</t>
  </si>
  <si>
    <t>https://goo.gl/maps/dYEqsLqVWoAAQ84Z7</t>
  </si>
  <si>
    <t>https://lh5.googleusercontent.com/p/AF1QipMAuAMlDHkEmlsoHYpJ3JAaYxHMgiDJFwVjTeWu=w408-h306-k-no</t>
  </si>
  <si>
    <t>Asociación de Discapacitados de Málaga &amp;apos;Adisma&amp;apos;</t>
  </si>
  <si>
    <t>PH56+2P Málaga</t>
  </si>
  <si>
    <t>Calle Río Alcarrache, 6, 29002 Málaga</t>
  </si>
  <si>
    <t>952 31 03 46</t>
  </si>
  <si>
    <t>https://goo.gl/maps/mNbp4MnViAhVUcFEA</t>
  </si>
  <si>
    <t>https://lh5.googleusercontent.com/p/AF1QipNqW0J6VVvxmOT1wfk5V45wANtbP0Wu0D44fhcr=w427-h240-k-no</t>
  </si>
  <si>
    <t>32</t>
  </si>
  <si>
    <t>PH7F+W4 Málaga</t>
  </si>
  <si>
    <t>Calle Cuarteles, 8, 29002 Málaga</t>
  </si>
  <si>
    <t>952 34 11 11</t>
  </si>
  <si>
    <t>https://goo.gl/maps/Syu4kmMSmc8ZZrnz9</t>
  </si>
  <si>
    <t>https://lh5.googleusercontent.com/p/AF1QipPnRi03tcKmlb9hMbylMi5FdaKT3u4ggkD5_9X9=w408-h272-k-no</t>
  </si>
  <si>
    <t>Centro Social Puerta Blanca</t>
  </si>
  <si>
    <t>MGRW+7G Málaga</t>
  </si>
  <si>
    <t>Calle Palma del Río, 7, 29004 Málaga</t>
  </si>
  <si>
    <t>952 24 38 21</t>
  </si>
  <si>
    <t>36.6907092</t>
  </si>
  <si>
    <t>-4.5237024</t>
  </si>
  <si>
    <t>https://goo.gl/maps/QKwLjcjxBSq4eEiA7</t>
  </si>
  <si>
    <t>https://lh5.googleusercontent.com/p/AF1QipPAXLzQ94En5YZbeXCvG5t9kMgqbh8xwj-51Jey=w426-h240-k-no</t>
  </si>
  <si>
    <t>Afim Ayuda Formación Integración Al Minusvalido</t>
  </si>
  <si>
    <t>PHGJ+9R Málaga</t>
  </si>
  <si>
    <t>Calle los Negros, 0, 29013 Málaga</t>
  </si>
  <si>
    <t>952 65 79 46</t>
  </si>
  <si>
    <t>https://goo.gl/maps/cRSin6Ns6CPYSAZWA</t>
  </si>
  <si>
    <t>https://streetviewpixels-pa.googleapis.com/v1/thumbnail?panoid=OUmDB41q7ZfbgMPFI49MiA&amp;cb_client=search.gws-prod.gps&amp;w=408&amp;h=240&amp;yaw=49.11363&amp;pitch=0&amp;thumbfov=100</t>
  </si>
  <si>
    <t>Más Cerca - Plan de Intervención Social en las Barriadas de García Grana y Palomares</t>
  </si>
  <si>
    <t>PH73+8R Málaga</t>
  </si>
  <si>
    <t>Plaza de la Biznaga, 8, 29006 Málaga</t>
  </si>
  <si>
    <t>951 92 73 45</t>
  </si>
  <si>
    <t>https://goo.gl/maps/YSV3wviKJeYJyeRf9</t>
  </si>
  <si>
    <t>https://lh5.googleusercontent.com/p/AF1QipM7EqH633sK3MUhq4e-swt_eLe__OHZmR6pAK4c=w408-h544-k-no</t>
  </si>
  <si>
    <t>PHGH+24 Málaga</t>
  </si>
  <si>
    <t>Calle Ollerías, 31, 29012 Málaga</t>
  </si>
  <si>
    <t>951 56 10 70</t>
  </si>
  <si>
    <t>https://goo.gl/maps/6nA6d453mUwMRzC86</t>
  </si>
  <si>
    <t>https://lh5.googleusercontent.com/p/AF1QipO1vmHlQMgkI58weszK27hrFYMLUlLupdVNZNEd=w408-h306-k-no</t>
  </si>
  <si>
    <t>Asociación de Jubilados y Pensionista la Raíz</t>
  </si>
  <si>
    <t>MGWV+3C Málaga</t>
  </si>
  <si>
    <t>Av. de Isaac Peral, 23, 29004 Málaga</t>
  </si>
  <si>
    <t>952 24 32 71</t>
  </si>
  <si>
    <t>36.6952422</t>
  </si>
  <si>
    <t>-4.5264446</t>
  </si>
  <si>
    <t>https://goo.gl/maps/SWDaqB9STRvK6nBy8</t>
  </si>
  <si>
    <t>https://streetviewpixels-pa.googleapis.com/v1/thumbnail?panoid=PymMdlCIzl4bXRbMJy_hIg&amp;cb_client=search.gws-prod.gps&amp;w=408&amp;h=240&amp;yaw=129.32646&amp;pitch=0&amp;thumbfov=100</t>
  </si>
  <si>
    <t>Asociación la Traiña de El Palo</t>
  </si>
  <si>
    <t>21</t>
  </si>
  <si>
    <t>PJHJ+8P Málaga</t>
  </si>
  <si>
    <t>Av. Hernán Núñez de Toledo, 3, 29018 Málaga</t>
  </si>
  <si>
    <t>latraiña.com</t>
  </si>
  <si>
    <t>952 29 89 01</t>
  </si>
  <si>
    <t>36.7283005</t>
  </si>
  <si>
    <t>-4.438212</t>
  </si>
  <si>
    <t>https://goo.gl/maps/RjEt8UZTxXaeXQVN7</t>
  </si>
  <si>
    <t>https://lh5.googleusercontent.com/p/AF1QipPtw-WIs3-bpQJKSU7m0xMM_j3YBXbVPUrc3L6M=w408-h306-k-no</t>
  </si>
  <si>
    <t>Cruz Roja Española Asamblea Local</t>
  </si>
  <si>
    <t>PHH9+5X Málaga</t>
  </si>
  <si>
    <t>Calle Dr. Fleming, 56, 29400 Ronda, Málaga</t>
  </si>
  <si>
    <t>36.7155636</t>
  </si>
  <si>
    <t>-4.5076764</t>
  </si>
  <si>
    <t>https://goo.gl/maps/V3XZRfoHY2nJZh8h6</t>
  </si>
  <si>
    <t>https://streetviewpixels-pa.googleapis.com/v1/thumbnail?panoid=AyDm1FiUo_W656I2G4blOg&amp;cb_client=search.gws-prod.gps&amp;w=408&amp;h=240&amp;yaw=93.39903&amp;pitch=0&amp;thumbfov=100</t>
  </si>
  <si>
    <t>Y</t>
  </si>
  <si>
    <t>PH9H+Q9 Málaga</t>
  </si>
  <si>
    <t>Calle Marqués de Larios, 29005 Málaga</t>
  </si>
  <si>
    <t>36.6982757</t>
  </si>
  <si>
    <t>-4.5096612</t>
  </si>
  <si>
    <t>https://goo.gl/maps/wL39CsDpyH3AAsWq6</t>
  </si>
  <si>
    <t>https://lh5.googleusercontent.com/p/AF1QipOEj75izL4fzYNp8T9NVFPb6jZ1_Oq0XwvyylN6=w408-h399-k-no</t>
  </si>
  <si>
    <t>37</t>
  </si>
  <si>
    <t>PP94+MP Rincón de la Victoria</t>
  </si>
  <si>
    <t>Calle Limonero, 6, 29730 Rincón de la Victoria, Málaga</t>
  </si>
  <si>
    <t>Rincón de la Victoria</t>
  </si>
  <si>
    <t>952 97 23 99</t>
  </si>
  <si>
    <t>36.7191357</t>
  </si>
  <si>
    <t>-4.3632783</t>
  </si>
  <si>
    <t>https://goo.gl/maps/N514jzBCQkYKiK9d9</t>
  </si>
  <si>
    <t>https://lh5.googleusercontent.com/p/AF1QipMj4Jy1Gg_nnY5xsEzCr1XrBaKI1w34jhNKsPw=w408-h306-k-no</t>
  </si>
  <si>
    <t>Flisa Málaga_Fundosa Lavanderías Industriales</t>
  </si>
  <si>
    <t>MGR9+M6 Málaga</t>
  </si>
  <si>
    <t>C/ Concepción Arenal, S/N, 29004 Málaga</t>
  </si>
  <si>
    <t>flisa.es</t>
  </si>
  <si>
    <t>952 17 31 47</t>
  </si>
  <si>
    <t>36.6917027</t>
  </si>
  <si>
    <t>-4.5519991</t>
  </si>
  <si>
    <t>https://goo.gl/maps/cPwTvdBxq2WGXkEC8</t>
  </si>
  <si>
    <t>https://lh5.googleusercontent.com/p/AF1QipOfYpfb5xZkuyKCxiQImpJvdRF7vAMUmpCtWIZ_=w427-h240-k-no</t>
  </si>
  <si>
    <t>Torremolinos</t>
  </si>
  <si>
    <t>negocio.site</t>
  </si>
  <si>
    <t>JFGX+5M Torremolinos</t>
  </si>
  <si>
    <t>Av. de los Manantiales, 8, 29620 Torremolinos, Málaga</t>
  </si>
  <si>
    <t>952 37 00 07</t>
  </si>
  <si>
    <t>36.6254049</t>
  </si>
  <si>
    <t>-4.5707946</t>
  </si>
  <si>
    <t>https://goo.gl/maps/HPqGna56Y9t9T3Fy7</t>
  </si>
  <si>
    <t>https://lh5.googleusercontent.com/p/AF1QipNpVuqBv4AGmKMoHVyXJ_na1S2-5SPeApvLSoq0=w408-h544-k-no</t>
  </si>
  <si>
    <t>Comedor Social Emaús de Torremolinos</t>
  </si>
  <si>
    <t>JGG2+7C Torremolinos</t>
  </si>
  <si>
    <t>Calle de la Cruz, 5, 29620 Torremolinos, Málaga</t>
  </si>
  <si>
    <t>952 37 00 12</t>
  </si>
  <si>
    <t>36.6257078</t>
  </si>
  <si>
    <t>-4.5689807</t>
  </si>
  <si>
    <t>https://goo.gl/maps/JvHZ9RMWoPBteoEr5</t>
  </si>
  <si>
    <t>https://streetviewpixels-pa.googleapis.com/v1/thumbnail?panoid=hZ5kTqtOf-hFkMFjZJa61Q&amp;cb_client=search.gws-prod.gps&amp;w=408&amp;h=240&amp;yaw=303.3896&amp;pitch=0&amp;thumbfov=100</t>
  </si>
  <si>
    <t>Asociacion ASIS</t>
  </si>
  <si>
    <t>JF29+QG Benalmádena</t>
  </si>
  <si>
    <t>29631, Paseo del Generalife, s/n, 29631, Málaga</t>
  </si>
  <si>
    <t>asisfundacion.org</t>
  </si>
  <si>
    <t>620 16 70 16</t>
  </si>
  <si>
    <t>info@asisfundacion.org</t>
  </si>
  <si>
    <t>36.601889</t>
  </si>
  <si>
    <t>-4.6011824</t>
  </si>
  <si>
    <t>https://goo.gl/maps/awbj21YCwdz6Pq5PA</t>
  </si>
  <si>
    <t>https://streetviewpixels-pa.googleapis.com/v1/thumbnail?panoid=8rXsdxuwqEpWab6lmYI5ow&amp;cb_client=search.gws-prod.gps&amp;w=408&amp;h=240&amp;yaw=117.60452&amp;pitch=0&amp;thumbfov=100</t>
  </si>
  <si>
    <t>HFRF+QW Benalmádena</t>
  </si>
  <si>
    <t>Carretera N-340, Km. 221, 29630 Benalmadena, Cádiz</t>
  </si>
  <si>
    <t>952 44 44 99</t>
  </si>
  <si>
    <t>36.5919867</t>
  </si>
  <si>
    <t>-4.5952561</t>
  </si>
  <si>
    <t>https://goo.gl/maps/sa8e3q3hJZonAvn3A</t>
  </si>
  <si>
    <t>https://lh5.googleusercontent.com/p/AF1QipNQTd0EnCN5nrrm2O1Fp6lJM2mfFSOQd0jaMIsc=w408-h271-k-no</t>
  </si>
  <si>
    <t>QVMR+4W Vélez-Málaga</t>
  </si>
  <si>
    <t>Calle Pintores Hermanos Clavero, 7, 29700 Vélez-Málaga, Málaga</t>
  </si>
  <si>
    <t>952 50 15 99</t>
  </si>
  <si>
    <t>36.7827685</t>
  </si>
  <si>
    <t>-4.1777254</t>
  </si>
  <si>
    <t>https://goo.gl/maps/4ZwEyU3AivgebdXPA</t>
  </si>
  <si>
    <t>https://streetviewpixels-pa.googleapis.com/v1/thumbnail?panoid=k903r51a4gLaNN-OsUq_2A&amp;cb_client=search.gws-prod.gps&amp;w=408&amp;h=240&amp;yaw=127.30092&amp;pitch=0&amp;thumbfov=100</t>
  </si>
  <si>
    <t>Huerto Lazo</t>
  </si>
  <si>
    <t>QR4C+45 Cajiz</t>
  </si>
  <si>
    <t>Huerto Lazo, 29792 Cajiz, Málaga</t>
  </si>
  <si>
    <t>Cajiz</t>
  </si>
  <si>
    <t>huertolazo.eu</t>
  </si>
  <si>
    <t>654 40 95 04</t>
  </si>
  <si>
    <t>info@huertolazo.eu</t>
  </si>
  <si>
    <t>36.7553321</t>
  </si>
  <si>
    <t>-4.2495736</t>
  </si>
  <si>
    <t>https://goo.gl/maps/j3yYdW4zpV4HBGBq6</t>
  </si>
  <si>
    <t>https://lh5.googleusercontent.com/p/AF1QipPOmJCVgnavb5mTn4mw1_Ptg4zQO03qHkbnuZyc=w408-h306-k-no</t>
  </si>
  <si>
    <t>2C9Q+28 Antequera</t>
  </si>
  <si>
    <t>Calle Carreteros, 5, 29200 Antequera, Málaga</t>
  </si>
  <si>
    <t>Antequera</t>
  </si>
  <si>
    <t>952 70 19 91</t>
  </si>
  <si>
    <t>37.01762</t>
  </si>
  <si>
    <t>-4.6317541</t>
  </si>
  <si>
    <t>https://goo.gl/maps/sAgWVK9o3Vpe6N1k6</t>
  </si>
  <si>
    <t>https://streetviewpixels-pa.googleapis.com/v1/thumbnail?panoid=6RbOjHZEjic02Ov4rLsaqg&amp;cb_client=search.gws-prod.gps&amp;w=408&amp;h=240&amp;yaw=153.27084&amp;pitch=0&amp;thumbfov=100</t>
  </si>
  <si>
    <t>Centro de Servicios Sociales Comunitarios Sevilla Este</t>
  </si>
  <si>
    <t>15</t>
  </si>
  <si>
    <t>93XF+VC Sevilla</t>
  </si>
  <si>
    <t>Av. de las Ciencias, 43B, 41020 Sevilla</t>
  </si>
  <si>
    <t>Sevilla</t>
  </si>
  <si>
    <t>sevilla.org</t>
  </si>
  <si>
    <t>955 47 16 00</t>
  </si>
  <si>
    <t>37.3753294</t>
  </si>
  <si>
    <t>-5.9550584</t>
  </si>
  <si>
    <t>https://goo.gl/maps/kMMqLBUixSzqCGGT8</t>
  </si>
  <si>
    <t>https://streetviewpixels-pa.googleapis.com/v1/thumbnail?panoid=JDzeLFGEJ4Ute62S7NiKjA&amp;cb_client=search.gws-prod.gps&amp;w=408&amp;h=240&amp;yaw=36.044857&amp;pitch=0&amp;thumbfov=100</t>
  </si>
  <si>
    <t>16</t>
  </si>
  <si>
    <t>37.400894</t>
  </si>
  <si>
    <t>-6.0582866</t>
  </si>
  <si>
    <t>34</t>
  </si>
  <si>
    <t>Unidad De Trabajo Social</t>
  </si>
  <si>
    <t>92RM+J8 Sevilla</t>
  </si>
  <si>
    <t>Calle el Fandango, 3, 41007 Sevilla</t>
  </si>
  <si>
    <t>955 47 27 70</t>
  </si>
  <si>
    <t>https://goo.gl/maps/un2nZVayoq28P7cG6</t>
  </si>
  <si>
    <t>https://streetviewpixels-pa.googleapis.com/v1/thumbnail?panoid=uxmZJY8dLV3xy9bp4zboiA&amp;cb_client=search.gws-prod.gps&amp;w=408&amp;h=240&amp;yaw=240.39418&amp;pitch=0&amp;thumbfov=100</t>
  </si>
  <si>
    <t>Despacho de Atención Servicios Especializados de Ciudad</t>
  </si>
  <si>
    <t>C237+RW Sevilla</t>
  </si>
  <si>
    <t>Calle Fray Isidoro de Sevilla, 1, 41009 Sevilla</t>
  </si>
  <si>
    <t>955 47 22 22</t>
  </si>
  <si>
    <t>https://goo.gl/maps/UcnKkpHj97kwYvfu6</t>
  </si>
  <si>
    <t>Centro de Servicios Sociales Comunitarios Casco Antiguo</t>
  </si>
  <si>
    <t>92X5+PH Sevilla</t>
  </si>
  <si>
    <t>Calle Arrayán, 1, 41003 Sevilla</t>
  </si>
  <si>
    <t>955 47 21 70</t>
  </si>
  <si>
    <t>https://goo.gl/maps/T7frBEicYtqeq11i8</t>
  </si>
  <si>
    <t>https://lh5.googleusercontent.com/p/AF1QipMXqJaS7u5F8EqXuTjFEe7iE6FCcF3jV2i4HgjW=w408-h544-k-no</t>
  </si>
  <si>
    <t>2,2</t>
  </si>
  <si>
    <t>31</t>
  </si>
  <si>
    <t>Iese Intervención Social</t>
  </si>
  <si>
    <t>92GG+2H Sevilla</t>
  </si>
  <si>
    <t>Calle Peñalara, 15, 41005 Sevilla</t>
  </si>
  <si>
    <t>intervencionsocial.es</t>
  </si>
  <si>
    <t>954 93 33 80</t>
  </si>
  <si>
    <t>is@intervencionsocial.com</t>
  </si>
  <si>
    <t>https://goo.gl/maps/Gj7PCQUWpvdJdYNGA</t>
  </si>
  <si>
    <t>https://streetviewpixels-pa.googleapis.com/v1/thumbnail?panoid=cDU4nAtXXb3rpg_f0H774g&amp;cb_client=search.gws-prod.gps&amp;w=408&amp;h=240&amp;yaw=18.128214&amp;pitch=0&amp;thumbfov=100</t>
  </si>
  <si>
    <t>Centro de Servicios Sociales Poligono Sur</t>
  </si>
  <si>
    <t>928P+35 Sevilla</t>
  </si>
  <si>
    <t>Av. de la Paz, 41013 Sevilla</t>
  </si>
  <si>
    <t>955 47 34 60</t>
  </si>
  <si>
    <t>37.3651786</t>
  </si>
  <si>
    <t>-6.034586</t>
  </si>
  <si>
    <t>https://goo.gl/maps/Xef4iMyxVUS8BmH79</t>
  </si>
  <si>
    <t>https://streetviewpixels-pa.googleapis.com/v1/thumbnail?panoid=gRow0-gXI6nAmFcmVdcdJA&amp;cb_client=search.gws-prod.gps&amp;w=408&amp;h=240&amp;yaw=230.92323&amp;pitch=0&amp;thumbfov=100</t>
  </si>
  <si>
    <t>Centro de Servicios Sociales Comunitarios Bermejales</t>
  </si>
  <si>
    <t>82XF+R2 Sevilla</t>
  </si>
  <si>
    <t>Av. del Reino Unido, 6, 41012 Sevilla</t>
  </si>
  <si>
    <t>955 47 26 50</t>
  </si>
  <si>
    <t>https://goo.gl/maps/25HjDbjCovJWkVHS9</t>
  </si>
  <si>
    <t>https://streetviewpixels-pa.googleapis.com/v1/thumbnail?panoid=_baGIs1RizdLycLASB13iA&amp;cb_client=search.gws-prod.gps&amp;w=408&amp;h=240&amp;yaw=249.07819&amp;pitch=0&amp;thumbfov=100</t>
  </si>
  <si>
    <t>UTS Cerro - Su Eminencia</t>
  </si>
  <si>
    <t>92FV+V8 Sevilla</t>
  </si>
  <si>
    <t>Calle Tarragona, 3, 41006 Sevilla</t>
  </si>
  <si>
    <t>955 47 25 55</t>
  </si>
  <si>
    <t>https://goo.gl/maps/BuJyFB57pCLBCHf67</t>
  </si>
  <si>
    <t>https://streetviewpixels-pa.googleapis.com/v1/thumbnail?panoid=dgub3Mhdy12O9wA69t3xKA&amp;cb_client=search.gws-prod.gps&amp;w=408&amp;h=240&amp;yaw=8.37262&amp;pitch=0&amp;thumbfov=100</t>
  </si>
  <si>
    <t>Asociación Sevilla</t>
  </si>
  <si>
    <t>92JM+H7 Sevilla</t>
  </si>
  <si>
    <t>Av. Eduardo Dato, 54, 41005 Sevilla</t>
  </si>
  <si>
    <t>695 61 43 97</t>
  </si>
  <si>
    <t>37.3485576</t>
  </si>
  <si>
    <t>-6.0469054</t>
  </si>
  <si>
    <t>https://goo.gl/maps/wLkDXAbQJW47D4ZN8</t>
  </si>
  <si>
    <t>https://streetviewpixels-pa.googleapis.com/v1/thumbnail?panoid=bEU-RlvBe9tCOqMkkFtmJA&amp;cb_client=search.gws-prod.gps&amp;w=408&amp;h=240&amp;yaw=167.94525&amp;pitch=0&amp;thumbfov=100</t>
  </si>
  <si>
    <t>Unidad de Trabajo Social San Jerónimo</t>
  </si>
  <si>
    <t>C2J9+48 Sevilla</t>
  </si>
  <si>
    <t>C/ Mejillón, 65, 41015 Sevilla</t>
  </si>
  <si>
    <t>955 47 05 54</t>
  </si>
  <si>
    <t>37.430336</t>
  </si>
  <si>
    <t>-6.0517448</t>
  </si>
  <si>
    <t>https://goo.gl/maps/5rYPE7xup28fGXBb7</t>
  </si>
  <si>
    <t>https://lh5.googleusercontent.com/p/AF1QipONspSPk7boQC4KGfEW9qc5HjUhoc65-_QY8tdi=w408-h543-k-no</t>
  </si>
  <si>
    <t>Centros Sociales de Miraflores</t>
  </si>
  <si>
    <t>80</t>
  </si>
  <si>
    <t>C2FW+75 Sevilla</t>
  </si>
  <si>
    <t>41020 Sevilla</t>
  </si>
  <si>
    <t>https://goo.gl/maps/bjui7ruuZt1v3bs38</t>
  </si>
  <si>
    <t>https://lh5.googleusercontent.com/p/AF1QipOyLhIH3bJg3gkzysFhvXoA8HpDvy2IaLOn3O4a=w408-h306-k-no</t>
  </si>
  <si>
    <t>37.377738</t>
  </si>
  <si>
    <t>-6.0700467</t>
  </si>
  <si>
    <t>Centor de Servicios Sociales Comunitarios Los Carteros</t>
  </si>
  <si>
    <t>C29F+FQ Sevilla</t>
  </si>
  <si>
    <t>Calle Parque Sierra de Castril, 41009 Sevilla</t>
  </si>
  <si>
    <t>955 47 16 70</t>
  </si>
  <si>
    <t>webmaster@sevilla.org</t>
  </si>
  <si>
    <t>https://goo.gl/maps/K3JJi89YgfPHCkwPA</t>
  </si>
  <si>
    <t>https://streetviewpixels-pa.googleapis.com/v1/thumbnail?panoid=axNlVPl9buXKKC7fgxI8Bg&amp;cb_client=search.gws-prod.gps&amp;w=408&amp;h=240&amp;yaw=61.259995&amp;pitch=0&amp;thumbfov=100</t>
  </si>
  <si>
    <t>FIRMA QUATTRO TRABAJOS SOCIALES SEVILLA</t>
  </si>
  <si>
    <t>92HF+4R Sevilla</t>
  </si>
  <si>
    <t>Av. San Francisco Javier, 24, 41018 Sevilla</t>
  </si>
  <si>
    <t>firmaquattro.com</t>
  </si>
  <si>
    <t>954 62 65 62</t>
  </si>
  <si>
    <t>info@firmaquattro.com</t>
  </si>
  <si>
    <t>https://goo.gl/maps/MDYbgSwbuwEFiMHg8</t>
  </si>
  <si>
    <t>https://lh5.googleusercontent.com/p/AF1QipOX6Y2Uc3P6Ex0UpxzHe_GRDLv_tv65hKoLfdxV=w408-h252-k-no</t>
  </si>
  <si>
    <t>37.3896351</t>
  </si>
  <si>
    <t>-6.0458608</t>
  </si>
  <si>
    <t>Consejeria de Salud</t>
  </si>
  <si>
    <t>C349+VH Sevilla</t>
  </si>
  <si>
    <t>Edificio Arena, Av. de la Innovación, 1, 41020 Sevilla</t>
  </si>
  <si>
    <t>955 00 63 00</t>
  </si>
  <si>
    <t>https://goo.gl/maps/WkhAxkk9rVCGmaxZ6</t>
  </si>
  <si>
    <t>https://streetviewpixels-pa.googleapis.com/v1/thumbnail?panoid=qALI9V0gownsJboDqWD6Eg&amp;cb_client=search.gws-prod.gps&amp;w=408&amp;h=240&amp;yaw=12.110837&amp;pitch=0&amp;thumbfov=100</t>
  </si>
  <si>
    <t>37.3366411</t>
  </si>
  <si>
    <t>-6.0396455</t>
  </si>
  <si>
    <t>Centro de Servicios Sociales Comunitarios Torreblanca</t>
  </si>
  <si>
    <t>93MP+QW Sevilla</t>
  </si>
  <si>
    <t>Calle Mitra, 41016 Sevilla</t>
  </si>
  <si>
    <t>955 47 13 40</t>
  </si>
  <si>
    <t>https://goo.gl/maps/cYijRtbGykh4JpHfA</t>
  </si>
  <si>
    <t>https://streetviewpixels-pa.googleapis.com/v1/thumbnail?panoid=PBmcMiZQEDKipTwB3b_GTA&amp;cb_client=search.gws-prod.gps&amp;w=408&amp;h=240&amp;yaw=44.99119&amp;pitch=0&amp;thumbfov=100</t>
  </si>
  <si>
    <t>Unidad Trabajo Social Triana - Los Remedios</t>
  </si>
  <si>
    <t>1,4</t>
  </si>
  <si>
    <t>9XMW+P8 Sevilla</t>
  </si>
  <si>
    <t>Calle San Jacinto, 27, 41010 Sevilla</t>
  </si>
  <si>
    <t>954 59 07 18</t>
  </si>
  <si>
    <t>https://goo.gl/maps/zzM57xYBTv5i8tnb9</t>
  </si>
  <si>
    <t>https://lh5.googleusercontent.com/p/AF1QipPgNSr850SWYkYrizeoyEBQTekXw6GAgsPpNDTp=w408-h272-k-no</t>
  </si>
  <si>
    <t>37.431194</t>
  </si>
  <si>
    <t>-6.0504984</t>
  </si>
  <si>
    <t>Asociación Estudios Sociales Yde la Mujer</t>
  </si>
  <si>
    <t>C238+PM Sevilla</t>
  </si>
  <si>
    <t>C/ León XIII, 35, 41009 Sevilla</t>
  </si>
  <si>
    <t>954 43 41 00</t>
  </si>
  <si>
    <t>https://goo.gl/maps/GNBDGPsyuGBCh3vs9</t>
  </si>
  <si>
    <t>https://streetviewpixels-pa.googleapis.com/v1/thumbnail?panoid=CWIWR0LELc37dZlJUvjpKA&amp;cb_client=search.gws-prod.gps&amp;w=408&amp;h=240&amp;yaw=245.00293&amp;pitch=0&amp;thumbfov=100</t>
  </si>
  <si>
    <t>37.3766335</t>
  </si>
  <si>
    <t>-6.0226118</t>
  </si>
  <si>
    <t>127</t>
  </si>
  <si>
    <t>C235+99 Sevilla</t>
  </si>
  <si>
    <t>Calle Resolana, 30, 41009 Sevilla</t>
  </si>
  <si>
    <t>954 90 16 16</t>
  </si>
  <si>
    <t>https://goo.gl/maps/XFbRAi7GuJGm8fZn9</t>
  </si>
  <si>
    <t>https://lh5.googleusercontent.com/p/AF1QipP6q0D9GAcdKcPer1SkF42te6f4afjnGTdj9_jr=w424-h240-k-no</t>
  </si>
  <si>
    <t>Fundación Iniciativa Social</t>
  </si>
  <si>
    <t>92J9+CC Sevilla</t>
  </si>
  <si>
    <t>Calle Campamento, 21, 41018 Sevilla</t>
  </si>
  <si>
    <t>fundacioniniciativasocial.es</t>
  </si>
  <si>
    <t>623 04 09 09</t>
  </si>
  <si>
    <t>37.38111</t>
  </si>
  <si>
    <t>-6.0515377</t>
  </si>
  <si>
    <t>https://g.page/Fundacion_IS?share</t>
  </si>
  <si>
    <t>https://streetviewpixels-pa.googleapis.com/v1/thumbnail?panoid=8nErwLE2ia4WQZx3oWSS5Q&amp;cb_client=search.gws-prod.gps&amp;w=408&amp;h=240&amp;yaw=34.519924&amp;pitch=0&amp;thumbfov=100</t>
  </si>
  <si>
    <t>Comedor Social - San Juan de Acre - Orden de Malta España</t>
  </si>
  <si>
    <t>C223+83 Sevilla</t>
  </si>
  <si>
    <t>Calle Mendigorría, 7, 41003 Sevilla</t>
  </si>
  <si>
    <t>ordendemalta.es</t>
  </si>
  <si>
    <t>955 12 37 78</t>
  </si>
  <si>
    <t>info@ordendemalta.es</t>
  </si>
  <si>
    <t>https://goo.gl/maps/ya6AyUDuRVwFDd849</t>
  </si>
  <si>
    <t>https://streetviewpixels-pa.googleapis.com/v1/thumbnail?panoid=W3P6NyxktjkavfpASWZztA&amp;cb_client=search.gws-prod.gps&amp;w=408&amp;h=240&amp;yaw=107.557&amp;pitch=0&amp;thumbfov=100</t>
  </si>
  <si>
    <t>Andaluza de Trabajo Social S.C.A</t>
  </si>
  <si>
    <t>92VG+7F Sevilla</t>
  </si>
  <si>
    <t>Sevilla Santa Justa, Calle Urquiza, 41008 Sevilla</t>
  </si>
  <si>
    <t>955 05 96 82</t>
  </si>
  <si>
    <t>https://g.page/andaluza-de-trabajo-social-s-c-a?share</t>
  </si>
  <si>
    <t>https://lh5.googleusercontent.com/p/AF1QipMFjkX8SZ3pjlvVjdThEDKIqvOhKsJTt5uBesyT=w426-h240-k-no</t>
  </si>
  <si>
    <t>Asoc Reinsercion Social</t>
  </si>
  <si>
    <t>92CR+97 Sevilla</t>
  </si>
  <si>
    <t>Calle José María de Pereda, 8, 41006 Sevilla</t>
  </si>
  <si>
    <t>954 66 00 80</t>
  </si>
  <si>
    <t>https://goo.gl/maps/WVSdpHtcN4HsPWQ3A</t>
  </si>
  <si>
    <t>https://streetviewpixels-pa.googleapis.com/v1/thumbnail?panoid=FcD2Piq9sVkGcVNMC22GiA&amp;cb_client=search.gws-prod.gps&amp;w=408&amp;h=240&amp;yaw=125.553055&amp;pitch=0&amp;thumbfov=100</t>
  </si>
  <si>
    <t>Av Astronomía, 41015 Sevilla</t>
  </si>
  <si>
    <t>Aguadulce</t>
  </si>
  <si>
    <t>955 40 78 30</t>
  </si>
  <si>
    <t>37.439299</t>
  </si>
  <si>
    <t>-6.0585834</t>
  </si>
  <si>
    <t>https://goo.gl/maps/WUuidr3N6cEbFbxr9</t>
  </si>
  <si>
    <t>77</t>
  </si>
  <si>
    <t>Asociación Alternativa Abierta</t>
  </si>
  <si>
    <t>C279+CM Sevilla</t>
  </si>
  <si>
    <t>Calle Poeta Fernando de los Ríos, 13, 41009 Sevilla</t>
  </si>
  <si>
    <t>alternativa-abierta.org</t>
  </si>
  <si>
    <t>954 98 73 13</t>
  </si>
  <si>
    <t>simple-line-icons@2.4.1</t>
  </si>
  <si>
    <t>37.413532</t>
  </si>
  <si>
    <t>-6.0508248</t>
  </si>
  <si>
    <t>https://goo.gl/maps/qssV5MjGkyewpTbn7</t>
  </si>
  <si>
    <t>https://streetviewpixels-pa.googleapis.com/v1/thumbnail?panoid=TQMpeUeNQeQTnjrRHTpkQQ&amp;cb_client=search.gws-prod.gps&amp;w=408&amp;h=240&amp;yaw=138.8335&amp;pitch=0&amp;thumbfov=100</t>
  </si>
  <si>
    <t>Atención Social En Emergencias Grupo 5 Sl.</t>
  </si>
  <si>
    <t>C245+Q4 Sevilla</t>
  </si>
  <si>
    <t>Calle Perafán de Rivera, s/n, 41009 Sevilla</t>
  </si>
  <si>
    <t>grupo5.net</t>
  </si>
  <si>
    <t>954 90 49 32</t>
  </si>
  <si>
    <t>contacto@grupo5.net</t>
  </si>
  <si>
    <t>https://goo.gl/maps/6pxAp9dbEzBvwXXB9</t>
  </si>
  <si>
    <t>https://streetviewpixels-pa.googleapis.com/v1/thumbnail?panoid=52E0dFpSP1HgOPK-M11GCA&amp;cb_client=search.gws-prod.gps&amp;w=408&amp;h=240&amp;yaw=112.17698&amp;pitch=0&amp;thumbfov=100</t>
  </si>
  <si>
    <t>37.374727</t>
  </si>
  <si>
    <t>-6.02665</t>
  </si>
  <si>
    <t>Cáritas Arciprestal Amate Cerro</t>
  </si>
  <si>
    <t>92JV+5C Sevilla</t>
  </si>
  <si>
    <t>Calle Dra. Vieira Fuentes, 5, 41006 Sevilla</t>
  </si>
  <si>
    <t>954 63 26 13</t>
  </si>
  <si>
    <t>https://goo.gl/maps/BTtK2c2ssHYpMfNM9</t>
  </si>
  <si>
    <t>https://streetviewpixels-pa.googleapis.com/v1/thumbnail?panoid=uBUPq9dakdBgTxM_eMBYWw&amp;cb_client=search.gws-prod.gps&amp;w=408&amp;h=240&amp;yaw=320.35812&amp;pitch=0&amp;thumbfov=100</t>
  </si>
  <si>
    <t>173</t>
  </si>
  <si>
    <t>C229+C3 Sevilla</t>
  </si>
  <si>
    <t>Av. la Cruz Roja, 1 duplicado, 41009 Sevilla</t>
  </si>
  <si>
    <t>616 50 35 63</t>
  </si>
  <si>
    <t>https://goo.gl/maps/3NqoccG9atmEQg227</t>
  </si>
  <si>
    <t>https://lh5.googleusercontent.com/p/AF1QipNpWQSzhXyPh2q6jJ-kuG9XIaBtpwqPRsfYiGo=w426-h240-k-no</t>
  </si>
  <si>
    <t>92QC+W9 Sevilla</t>
  </si>
  <si>
    <t>Calle Campo de los Mártires, 10, 41018 Sevilla</t>
  </si>
  <si>
    <t>954 98 93 11</t>
  </si>
  <si>
    <t>https://goo.gl/maps/UCKMxvaf37iAnpi87</t>
  </si>
  <si>
    <t>https://streetviewpixels-pa.googleapis.com/v1/thumbnail?panoid=DoTyQBfngljcQxnHS5rxIg&amp;cb_client=search.gws-prod.gps&amp;w=408&amp;h=240&amp;yaw=103.292435&amp;pitch=0&amp;thumbfov=100</t>
  </si>
  <si>
    <t>Centro Municipal De Servicios Sociales</t>
  </si>
  <si>
    <t>CX28+VC Camas</t>
  </si>
  <si>
    <t>Calle Juan Agustín Palomar, 16, 41900 Camas, Sevilla</t>
  </si>
  <si>
    <t>Camas</t>
  </si>
  <si>
    <t>37.4021838</t>
  </si>
  <si>
    <t>-6.1039628</t>
  </si>
  <si>
    <t>https://goo.gl/maps/7CF9dxdktSo2agDKA</t>
  </si>
  <si>
    <t>https://streetviewpixels-pa.googleapis.com/v1/thumbnail?panoid=Zb6NTvAt7hZBK7vHejAtGQ&amp;cb_client=search.gws-prod.gps&amp;w=408&amp;h=240&amp;yaw=65.62829&amp;pitch=0&amp;thumbfov=100</t>
  </si>
  <si>
    <t>Asociación Sevillana de Espina Bífida</t>
  </si>
  <si>
    <t>92RC+26 Sevilla</t>
  </si>
  <si>
    <t>Calle Enrique Marco Dorta, 7, 41018 Sevilla</t>
  </si>
  <si>
    <t>espinabifidasevilla.es</t>
  </si>
  <si>
    <t>954 98 98 58</t>
  </si>
  <si>
    <t>asphebh@yahoo.es</t>
  </si>
  <si>
    <t>37.390034</t>
  </si>
  <si>
    <t>-6.0495042</t>
  </si>
  <si>
    <t>https://goo.gl/maps/SKHjVF1yvaETUBHV6</t>
  </si>
  <si>
    <t>https://streetviewpixels-pa.googleapis.com/v1/thumbnail?panoid=jph_JtNIqKobwgdSET4T6Q&amp;cb_client=search.gws-prod.gps&amp;w=408&amp;h=240&amp;yaw=210.38226&amp;pitch=0&amp;thumbfov=100</t>
  </si>
  <si>
    <t>Comedor Social San Juan de Dios</t>
  </si>
  <si>
    <t>92V4+JW Sevilla</t>
  </si>
  <si>
    <t>Calle Misericordia, 8, 41003 Sevilla</t>
  </si>
  <si>
    <t>626 50 35 63</t>
  </si>
  <si>
    <t>https://goo.gl/maps/udoG21S169RrGUny6</t>
  </si>
  <si>
    <t>https://lh5.googleusercontent.com/p/AF1QipPB3145zhnElEKjmMgJWN7B4TAR4dNHPt4i_6DL=w408-h544-k-no</t>
  </si>
  <si>
    <t>Cruz Roja - Oficina Autonomica</t>
  </si>
  <si>
    <t>C229+74 Sevilla</t>
  </si>
  <si>
    <t>Av. la Cruz Roja, 20, 41008 Sevilla</t>
  </si>
  <si>
    <t>954 22 44 07</t>
  </si>
  <si>
    <t>https://goo.gl/maps/mBduTA8s25QeC6x78</t>
  </si>
  <si>
    <t>https://streetviewpixels-pa.googleapis.com/v1/thumbnail?panoid=tTbOzfx1qOlOc9Z4mNoLwQ&amp;cb_client=search.gws-prod.gps&amp;w=408&amp;h=240&amp;yaw=78.53475&amp;pitch=0&amp;thumbfov=100</t>
  </si>
  <si>
    <t>Asociación Sevillana de Jugadores En Rehabilitación</t>
  </si>
  <si>
    <t>C355+M5 Sevilla</t>
  </si>
  <si>
    <t>Esc. 1 Edificio Henares, Calle José Jesús García Díaz, 4, 41020 Sevilla</t>
  </si>
  <si>
    <t>asejer.es</t>
  </si>
  <si>
    <t>954 90 83 00</t>
  </si>
  <si>
    <t>rgpd@asejer.es</t>
  </si>
  <si>
    <t>https://goo.gl/maps/41hmTc1N9gHNtsN89</t>
  </si>
  <si>
    <t>https://streetviewpixels-pa.googleapis.com/v1/thumbnail?panoid=eYtrelfLHYj_-m6n9sQf0w&amp;cb_client=search.gws-prod.gps&amp;w=408&amp;h=240&amp;yaw=146.6795&amp;pitch=0&amp;thumbfov=100</t>
  </si>
  <si>
    <t>Cáritas Parroquial de San Sebastíán</t>
  </si>
  <si>
    <t>92F8+XR Sevilla</t>
  </si>
  <si>
    <t>Calle San Salvador, 1, 41013 Sevilla</t>
  </si>
  <si>
    <t>parroquiasansebastian.org</t>
  </si>
  <si>
    <t>954 62 89 04</t>
  </si>
  <si>
    <t>pss@parroquiasansebastian.org</t>
  </si>
  <si>
    <t>https://goo.gl/maps/gn4HD3ATX3KqhtBk7</t>
  </si>
  <si>
    <t>https://streetviewpixels-pa.googleapis.com/v1/thumbnail?panoid=ixOrdASGrqtWH0jyuzFh1w&amp;cb_client=search.gws-prod.gps&amp;w=408&amp;h=240&amp;yaw=13.890919&amp;pitch=0&amp;thumbfov=100</t>
  </si>
  <si>
    <t>Adima</t>
  </si>
  <si>
    <t>929V+5P Sevilla</t>
  </si>
  <si>
    <t>EDIFICIO TOLEDO II, Av. de Hytasa, 36, Planta 4ª módulos 2,3,4, 41006 Sevilla</t>
  </si>
  <si>
    <t>adima.com.es</t>
  </si>
  <si>
    <t>954 63 63 58</t>
  </si>
  <si>
    <t>comisionhhrr@adima.com.es</t>
  </si>
  <si>
    <t>https://goo.gl/maps/BiHAdmwKW1kTueh89</t>
  </si>
  <si>
    <t>https://lh5.googleusercontent.com/p/AF1QipNMGiCx8oHG0aHBagx40dYy0EY7gsRTp0bGedON=w408-h544-k-no</t>
  </si>
  <si>
    <t>37.3289773</t>
  </si>
  <si>
    <t>-6.0369656</t>
  </si>
  <si>
    <t>Comedor Social Nuestra Señora del Rosario</t>
  </si>
  <si>
    <t>53</t>
  </si>
  <si>
    <t>9XPV+45 Sevilla</t>
  </si>
  <si>
    <t>Calle Pagés del Corro, 34, 41010 Sevilla</t>
  </si>
  <si>
    <t>comedortriana.org</t>
  </si>
  <si>
    <t>954 34 70 87</t>
  </si>
  <si>
    <t>voluntariocomedor@comedortriana.org</t>
  </si>
  <si>
    <t>https://goo.gl/maps/5nLCp7U7d4j8nQG17</t>
  </si>
  <si>
    <t>https://streetviewpixels-pa.googleapis.com/v1/thumbnail?panoid=x1BkZ3U7trsSccCC9qx5jQ&amp;cb_client=search.gws-prod.gps&amp;w=408&amp;h=240&amp;yaw=214.95583&amp;pitch=0&amp;thumbfov=100</t>
  </si>
  <si>
    <t>Asociación Paz y Bien</t>
  </si>
  <si>
    <t>C2GM+Q4 Sevilla</t>
  </si>
  <si>
    <t>Calle Estrella Altair, 8, 41015 Sevilla</t>
  </si>
  <si>
    <t>pazbien.org</t>
  </si>
  <si>
    <t>954 94 05 62</t>
  </si>
  <si>
    <t>info@pazbien.org</t>
  </si>
  <si>
    <t>37.4269094</t>
  </si>
  <si>
    <t>-6.0372077</t>
  </si>
  <si>
    <t>https://goo.gl/maps/fzSZuKt6LXdA5Ptr6</t>
  </si>
  <si>
    <t>https://streetviewpixels-pa.googleapis.com/v1/thumbnail?panoid=nJd34DIfR7Mnnr29wtTOyg&amp;cb_client=search.gws-prod.gps&amp;w=408&amp;h=240&amp;yaw=53.237156&amp;pitch=0&amp;thumbfov=100</t>
  </si>
  <si>
    <t>Centro de Servicios Sociales Comunitario de Santiponce</t>
  </si>
  <si>
    <t>CXP6+GM Santiponce</t>
  </si>
  <si>
    <t>Calle Arroyo, s/n, 41970 Santiponce, Sevilla</t>
  </si>
  <si>
    <t>Santiponce</t>
  </si>
  <si>
    <t>955 99 97 56</t>
  </si>
  <si>
    <t>37.4085775</t>
  </si>
  <si>
    <t>-6.0449942</t>
  </si>
  <si>
    <t>https://goo.gl/maps/8DxRwH62U2GhnJu68</t>
  </si>
  <si>
    <t>https://streetviewpixels-pa.googleapis.com/v1/thumbnail?panoid=5HRVmezzFos5TijOHRQKlQ&amp;cb_client=search.gws-prod.gps&amp;w=408&amp;h=240&amp;yaw=155.00084&amp;pitch=0&amp;thumbfov=100</t>
  </si>
  <si>
    <t>San Juan de Aznalfarache</t>
  </si>
  <si>
    <t>Ayuntamiento de San Juan de Aznalfarache</t>
  </si>
  <si>
    <t>9X57+WW San Juan de Aznalfarache</t>
  </si>
  <si>
    <t>Calle Conde de Barcelona, 75, 41920 San Juan de Aznalfarache, Sevilla</t>
  </si>
  <si>
    <t>954 17 88 10</t>
  </si>
  <si>
    <t>37.3598718</t>
  </si>
  <si>
    <t>-6.105265</t>
  </si>
  <si>
    <t>https://goo.gl/maps/83G71meZTCmiQwms8</t>
  </si>
  <si>
    <t>https://streetviewpixels-pa.googleapis.com/v1/thumbnail?panoid=6ljam92_lq-WoPQLTXAIUg&amp;cb_client=search.gws-prod.gps&amp;w=408&amp;h=240&amp;yaw=213.08563&amp;pitch=0&amp;thumbfov=100</t>
  </si>
  <si>
    <t>OHANA, Gabinete de trabajo Social</t>
  </si>
  <si>
    <t>9WM8+CX Gines</t>
  </si>
  <si>
    <t>Vera Cruz,16 .Edificio Colon. Módulo 8, 41960 Gines, Sevilla</t>
  </si>
  <si>
    <t>Gines</t>
  </si>
  <si>
    <t>yolopfer.wixsite.com</t>
  </si>
  <si>
    <t>627 58 60 11</t>
  </si>
  <si>
    <t>https://goo.gl/maps/ojKeuUJVCjZ5MSTG9</t>
  </si>
  <si>
    <t>https://streetviewpixels-pa.googleapis.com/v1/thumbnail?panoid=0G6SX3ywyvv_9xU2CG2Wxw&amp;cb_client=search.gws-prod.gps&amp;w=408&amp;h=240&amp;yaw=213.41635&amp;pitch=0&amp;thumbfov=100</t>
  </si>
  <si>
    <t>Sociedad San Vicente de Paúl En España</t>
  </si>
  <si>
    <t>CX27+4F Camas</t>
  </si>
  <si>
    <t>Alcalde Manuel Marín, 37, 41900 Camas, Sevilla</t>
  </si>
  <si>
    <t>ssvp.es</t>
  </si>
  <si>
    <t>955 98 19 46</t>
  </si>
  <si>
    <t>ssvp@ssvp.es</t>
  </si>
  <si>
    <t>37.4002721</t>
  </si>
  <si>
    <t>-6.1064043</t>
  </si>
  <si>
    <t>https://goo.gl/maps/9Shc2mZhVuHogs8i6</t>
  </si>
  <si>
    <t>https://streetviewpixels-pa.googleapis.com/v1/thumbnail?panoid=LSEWn7dnwMuTkwnqtQIfaQ&amp;cb_client=search.gws-prod.gps&amp;w=408&amp;h=240&amp;yaw=187.3258&amp;pitch=0&amp;thumbfov=100</t>
  </si>
  <si>
    <t>85R4+58 Alcalá de Guadaíra</t>
  </si>
  <si>
    <t>Plaza del Huerto, 18, 41500 Alcalá de Guadaíra, Sevilla</t>
  </si>
  <si>
    <t>Alcalá de Guadaíra</t>
  </si>
  <si>
    <t>954 18 80 55</t>
  </si>
  <si>
    <t>37.3404169</t>
  </si>
  <si>
    <t>-5.9142209</t>
  </si>
  <si>
    <t>https://goo.gl/maps/TdwP4KhZVxPy1PtNA</t>
  </si>
  <si>
    <t>https://streetviewpixels-pa.googleapis.com/v1/thumbnail?panoid=Y1fJmp0LcsRE4UgYIGRViA&amp;cb_client=search.gws-prod.gps&amp;w=408&amp;h=240&amp;yaw=285.39764&amp;pitch=0&amp;thumbfov=100</t>
  </si>
  <si>
    <t>33</t>
  </si>
  <si>
    <t>Mairena del Aljarafe</t>
  </si>
  <si>
    <t>37.330007</t>
  </si>
  <si>
    <t>-6.098659</t>
  </si>
  <si>
    <t>Asuntos Sociales</t>
  </si>
  <si>
    <t>9W4R+29 Mairena del Aljarafe</t>
  </si>
  <si>
    <t>Calle Brújula, 19, 41927 Mairena del Aljarafe, Sevilla</t>
  </si>
  <si>
    <t>https://goo.gl/maps/hoonrKCZT4yP9cFP8</t>
  </si>
  <si>
    <t>https://streetviewpixels-pa.googleapis.com/v1/thumbnail?panoid=Fvp4-FEOhs8f1JVay7eEMg&amp;cb_client=search.gws-prod.gps&amp;w=408&amp;h=240&amp;yaw=0.5364583&amp;pitch=0&amp;thumbfov=100</t>
  </si>
  <si>
    <t>Peritaje y gestion social</t>
  </si>
  <si>
    <t>8XX6+2W Mairena del Aljarafe</t>
  </si>
  <si>
    <t>Calle Océano Índico, 25, 41927 Mairena del Aljarafe, Sevilla</t>
  </si>
  <si>
    <t>610 81 03 72</t>
  </si>
  <si>
    <t>37.3475197</t>
  </si>
  <si>
    <t>-6.107663</t>
  </si>
  <si>
    <t>https://goo.gl/maps/iFFCrm9qZLDfAnHn8</t>
  </si>
  <si>
    <t>https://streetviewpixels-pa.googleapis.com/v1/thumbnail?panoid=YB1Ijn3G-LZxe7ttqxoPNw&amp;cb_client=search.gws-prod.gps&amp;w=408&amp;h=240&amp;yaw=301.18884&amp;pitch=0&amp;thumbfov=100</t>
  </si>
  <si>
    <t>Dos Hermanas</t>
  </si>
  <si>
    <t>Comedor Social San Antonio de Padua</t>
  </si>
  <si>
    <t>94M2+GF Sevilla</t>
  </si>
  <si>
    <t>Calle Alberchigo, 41017 Sevilla</t>
  </si>
  <si>
    <t>37.3837931</t>
  </si>
  <si>
    <t>-5.9688172</t>
  </si>
  <si>
    <t>https://goo.gl/maps/5zrrFitUHqMaAFb69</t>
  </si>
  <si>
    <t>https://lh5.googleusercontent.com/p/AF1QipMFL4QFD1T_2j_lveo5fo47N30s1MUAKdoaD1sy=w408-h244-k-no</t>
  </si>
  <si>
    <t>75</t>
  </si>
  <si>
    <t>955 67 51 04</t>
  </si>
  <si>
    <t>Faapas Federación Andaluza de Asociaciones de Padres y Amigos del Sordo</t>
  </si>
  <si>
    <t>83V8+H2 Montequinto</t>
  </si>
  <si>
    <t>Calle Bolonia, 9, 41089 Montequinto, Sevilla</t>
  </si>
  <si>
    <t>Montequinto</t>
  </si>
  <si>
    <t>955 69 09 51</t>
  </si>
  <si>
    <t>37.3702414</t>
  </si>
  <si>
    <t>-6.029555</t>
  </si>
  <si>
    <t>https://goo.gl/maps/rAKUNA5Y7qMP24687</t>
  </si>
  <si>
    <t>https://streetviewpixels-pa.googleapis.com/v1/thumbnail?panoid=6_Xn2KFICvvuPn3HA1isWA&amp;cb_client=search.gws-prod.gps&amp;w=408&amp;h=240&amp;yaw=179.50555&amp;pitch=0&amp;thumbfov=100</t>
  </si>
  <si>
    <t>Instituto Nacional De Seguridad Social</t>
  </si>
  <si>
    <t>73JG+XH Dos Hermanas</t>
  </si>
  <si>
    <t>Calle Antonia Díaz, 17, 41701 Dos Hermanas, Sevilla</t>
  </si>
  <si>
    <t>37.3096913</t>
  </si>
  <si>
    <t>-6.0080368</t>
  </si>
  <si>
    <t>https://goo.gl/maps/ipX7FBmeRhxocNAY9</t>
  </si>
  <si>
    <t>https://streetviewpixels-pa.googleapis.com/v1/thumbnail?panoid=EuSOF-b5HhvpoPOZoSpe-Q&amp;cb_client=search.gws-prod.gps&amp;w=408&amp;h=240&amp;yaw=7.870091&amp;pitch=0&amp;thumbfov=100</t>
  </si>
  <si>
    <t>Once Organización Nacional de Ciegos de España</t>
  </si>
  <si>
    <t>73HH+XX Dos Hermanas</t>
  </si>
  <si>
    <t>Calle Churruca, 1, 41701 Dos Hermanas, Sevilla</t>
  </si>
  <si>
    <t>954 72 03 18</t>
  </si>
  <si>
    <t>37.2798982</t>
  </si>
  <si>
    <t>-5.9901456</t>
  </si>
  <si>
    <t>https://goo.gl/maps/8qeXzVhsutek7Uvd8</t>
  </si>
  <si>
    <t>https://lh5.googleusercontent.com/p/AF1QipNomUEEJayi6KjsZqbhVQrivSD0HbEGu3IO6wGA=w425-h240-k-no</t>
  </si>
  <si>
    <t>Alcoholicos Anónimos Sevilla Grupo Salvador</t>
  </si>
  <si>
    <t>73FF+V3 Dos Hermanas</t>
  </si>
  <si>
    <t>Calle Al-Andalus, 29, 41702 Dos Hermanas, Sevilla</t>
  </si>
  <si>
    <t>686 86 39 97</t>
  </si>
  <si>
    <t>37.2746794</t>
  </si>
  <si>
    <t>-5.9973091</t>
  </si>
  <si>
    <t>https://goo.gl/maps/Z1gMpA8RFvkw3SyP6</t>
  </si>
  <si>
    <t>https://streetviewpixels-pa.googleapis.com/v1/thumbnail?panoid=F5b4OwDJe7ksDcpm0xPybA&amp;cb_client=search.gws-prod.gps&amp;w=408&amp;h=240&amp;yaw=192.55453&amp;pitch=0&amp;thumbfov=100</t>
  </si>
  <si>
    <t>Centro Servicios Sociales Generales y CPD</t>
  </si>
  <si>
    <t>85R4+66 Alcalá de Guadaíra</t>
  </si>
  <si>
    <t>Plaza del Huerto, 17, 16, 41500 Alcalá de Guadaíra, Sevilla</t>
  </si>
  <si>
    <t>955 79 62 80</t>
  </si>
  <si>
    <t>37.3405525</t>
  </si>
  <si>
    <t>-5.9144204</t>
  </si>
  <si>
    <t>https://goo.gl/maps/mMPy53MyimYoniMW8</t>
  </si>
  <si>
    <t>https://lh5.googleusercontent.com/p/AF1QipPB2PNQ8rxBhb5n5fsDLTBDhr1ScBNLvV9Tem7S=w426-h240-k-no</t>
  </si>
  <si>
    <t>85P2+RR Alcalá de Guadaíra</t>
  </si>
  <si>
    <t>Calle San José, 2, 41500 Alcalá de Guadaíra, Sevilla</t>
  </si>
  <si>
    <t>955 69 87 89</t>
  </si>
  <si>
    <t>37.3371085</t>
  </si>
  <si>
    <t>-5.9179667</t>
  </si>
  <si>
    <t>https://goo.gl/maps/eqa3UP4HqVdd84vW8</t>
  </si>
  <si>
    <t>https://streetviewpixels-pa.googleapis.com/v1/thumbnail?panoid=RrEI0MJI-u9cZS3uhPzWkQ&amp;cb_client=search.gws-prod.gps&amp;w=408&amp;h=240&amp;yaw=285.6042&amp;pitch=0&amp;thumbfov=100</t>
  </si>
  <si>
    <t>Planges Social S.L</t>
  </si>
  <si>
    <t>CV9R+F7 Salteras</t>
  </si>
  <si>
    <t>Calle las Moreras, 10, 41909 Salteras, Sevilla</t>
  </si>
  <si>
    <t>Salteras</t>
  </si>
  <si>
    <t>planges-social-sl.negocio.site</t>
  </si>
  <si>
    <t>37.41872</t>
  </si>
  <si>
    <t>-6.1793478</t>
  </si>
  <si>
    <t>https://goo.gl/maps/5MUfsTvVcz2uNHWWA</t>
  </si>
  <si>
    <t>https://lh5.googleusercontent.com/p/AF1QipM4KcJWjgphcPlU1cysWK1amIl9a5ciWdpR0vbD=w408-h272-k-no</t>
  </si>
  <si>
    <t>Cruz Roja Utrera</t>
  </si>
  <si>
    <t>56HG+8G Utrera</t>
  </si>
  <si>
    <t>Calle Molares, 52, 41710 Utrera, Sevilla</t>
  </si>
  <si>
    <t>Utrera</t>
  </si>
  <si>
    <t>954 37 64 54</t>
  </si>
  <si>
    <t>37.1782996</t>
  </si>
  <si>
    <t>-5.8437245</t>
  </si>
  <si>
    <t>https://goo.gl/maps/6dqGrMKBMyAqTumQ7</t>
  </si>
  <si>
    <t>https://lh5.googleusercontent.com/p/AF1QipMQQ3rYvNQTMc3avql6ukf7OJHTVmHWVWsw-mIV=w426-h240-k-no</t>
  </si>
  <si>
    <t>4HGR+P2 Huesca</t>
  </si>
  <si>
    <t>Calle Irene Izarbez, 2, 22005 Huesca</t>
  </si>
  <si>
    <t>Huesca</t>
  </si>
  <si>
    <t>974 22 14 35</t>
  </si>
  <si>
    <t>42.1267797</t>
  </si>
  <si>
    <t>-0.4186589</t>
  </si>
  <si>
    <t>https://goo.gl/maps/NReJDrvhugaxSh7v8</t>
  </si>
  <si>
    <t>https://streetviewpixels-pa.googleapis.com/v1/thumbnail?panoid=AH-YxPLK5_A5NAQwa4PraQ&amp;cb_client=search.gws-prod.gps&amp;w=408&amp;h=240&amp;yaw=261.96204&amp;pitch=0&amp;thumbfov=100</t>
  </si>
  <si>
    <t>Centro de Acogida - Cáritas Diocesana de Huesca</t>
  </si>
  <si>
    <t>4HQR+H7 Huesca</t>
  </si>
  <si>
    <t>Calle Sancho Abarca, 18, 22002 Huesca</t>
  </si>
  <si>
    <t>caritashuesca.org</t>
  </si>
  <si>
    <t>974 24 49 50</t>
  </si>
  <si>
    <t>42.1389537</t>
  </si>
  <si>
    <t>-0.4181138</t>
  </si>
  <si>
    <t>https://goo.gl/maps/LXSzHpivJohkkzLbA</t>
  </si>
  <si>
    <t>https://streetviewpixels-pa.googleapis.com/v1/thumbnail?panoid=WI96Qz6FzgbSLjqdlKYONQ&amp;cb_client=search.gws-prod.gps&amp;w=408&amp;h=240&amp;yaw=51.831535&amp;pitch=0&amp;thumbfov=100</t>
  </si>
  <si>
    <t>Instituto Aragonés de Servicios Sociales</t>
  </si>
  <si>
    <t>4HQQ+FQ Huesca</t>
  </si>
  <si>
    <t>Plaza la Inmaculada, 2, 22003 Huesca</t>
  </si>
  <si>
    <t>901 11 11 10</t>
  </si>
  <si>
    <t>42.138664</t>
  </si>
  <si>
    <t>-0.4193693</t>
  </si>
  <si>
    <t>https://goo.gl/maps/qXoqBnEquwDwGZtJ6</t>
  </si>
  <si>
    <t>https://streetviewpixels-pa.googleapis.com/v1/thumbnail?panoid=gzvsd7Tl-684UQYEoGq7Hg&amp;cb_client=search.gws-prod.gps&amp;w=408&amp;h=240&amp;yaw=241.41953&amp;pitch=0&amp;thumbfov=100</t>
  </si>
  <si>
    <t>Hogares Y Oportunidades</t>
  </si>
  <si>
    <t>4HMW+8V Huesca</t>
  </si>
  <si>
    <t>Calle Obispo Pintado, 8, 22005 Huesca</t>
  </si>
  <si>
    <t>974 24 55 82</t>
  </si>
  <si>
    <t>42.1333294</t>
  </si>
  <si>
    <t>-0.4116279</t>
  </si>
  <si>
    <t>https://goo.gl/maps/HDrwN6Xz2MGRtYcr6</t>
  </si>
  <si>
    <t>https://streetviewpixels-pa.googleapis.com/v1/thumbnail?panoid=UglaSF98gjzKAQvvAlDs2w&amp;cb_client=search.gws-prod.gps&amp;w=408&amp;h=240&amp;yaw=163.08054&amp;pitch=0&amp;thumbfov=100</t>
  </si>
  <si>
    <t>Cruz Blanca - Huesca (Del. Aragón Fundación Cruz Blanca - Casa Familiar San Lorenzo)</t>
  </si>
  <si>
    <t>4HGW+XH Huesca</t>
  </si>
  <si>
    <t>Calle Calatayud, 24, 22005 Huesca</t>
  </si>
  <si>
    <t>cruzblancahuesca.org</t>
  </si>
  <si>
    <t>974 24 30 42</t>
  </si>
  <si>
    <t>42.1274824</t>
  </si>
  <si>
    <t>-0.412361</t>
  </si>
  <si>
    <t>https://goo.gl/maps/8HteSQGf8Ct1pu5R6</t>
  </si>
  <si>
    <t>https://lh5.googleusercontent.com/p/AF1QipOCSNBRymbt0d0UB5INmNBGoPivMh0PeMXji4R8=w408-h272-k-no</t>
  </si>
  <si>
    <t>YMCA</t>
  </si>
  <si>
    <t>4HPX+W9 Huesca</t>
  </si>
  <si>
    <t>Travesía Ballesteros, 21, 22001 Huesca</t>
  </si>
  <si>
    <t>ymca.es</t>
  </si>
  <si>
    <t>974 22 58 84</t>
  </si>
  <si>
    <t>barcelona@ymca.es</t>
  </si>
  <si>
    <t>42.1372789</t>
  </si>
  <si>
    <t>-0.4102867</t>
  </si>
  <si>
    <t>https://goo.gl/maps/stKtizRwXQ6DBiBaA</t>
  </si>
  <si>
    <t>https://streetviewpixels-pa.googleapis.com/v1/thumbnail?panoid=AmbRwSZRX7i03IdS9j4U8Q&amp;cb_client=search.gws-prod.gps&amp;w=408&amp;h=240&amp;yaw=306.6599&amp;pitch=0&amp;thumbfov=100</t>
  </si>
  <si>
    <t>4HMV+VX Huesca</t>
  </si>
  <si>
    <t>Calle San Lorenzo, 56, 22002 Huesca</t>
  </si>
  <si>
    <t>974 24 07 73</t>
  </si>
  <si>
    <t>42.1347099</t>
  </si>
  <si>
    <t>-0.4138514</t>
  </si>
  <si>
    <t>https://goo.gl/maps/te4qXTRK7kkq6q5x8</t>
  </si>
  <si>
    <t>https://streetviewpixels-pa.googleapis.com/v1/thumbnail?panoid=VXor80iISCcKQw3gwzTiKA&amp;cb_client=search.gws-prod.gps&amp;w=408&amp;h=240&amp;yaw=191.49763&amp;pitch=0&amp;thumbfov=100</t>
  </si>
  <si>
    <t>4HPR+7P Huesca</t>
  </si>
  <si>
    <t>Plaza Concepción Arenal, 6, 22002 Huesca</t>
  </si>
  <si>
    <t>974 22 12 95</t>
  </si>
  <si>
    <t>https://goo.gl/maps/5wnGPr8Js5wJifWJ7</t>
  </si>
  <si>
    <t>https://streetviewpixels-pa.googleapis.com/v1/thumbnail?panoid=1jIavwXYavkdgV9aUzPbXQ&amp;cb_client=search.gws-prod.gps&amp;w=408&amp;h=240&amp;yaw=129.53156&amp;pitch=0&amp;thumbfov=100</t>
  </si>
  <si>
    <t>Instituto Aragonés De Servicios Sociales</t>
  </si>
  <si>
    <t>4GPJ+FV Banariés</t>
  </si>
  <si>
    <t>Calle de Huesca, 0, 22194 Banariés, Huesca</t>
  </si>
  <si>
    <t>Banariés</t>
  </si>
  <si>
    <t>974 23 88 45</t>
  </si>
  <si>
    <t>42.1362404</t>
  </si>
  <si>
    <t>-0.4765536</t>
  </si>
  <si>
    <t>https://goo.gl/maps/KxkjrsmLQbgFmEky8</t>
  </si>
  <si>
    <t>https://streetviewpixels-pa.googleapis.com/v1/thumbnail?panoid=89hUIOk1HRUxKraxRGiCnQ&amp;cb_client=search.gws-prod.gps&amp;w=408&amp;h=240&amp;yaw=186.64407&amp;pitch=0&amp;thumbfov=100</t>
  </si>
  <si>
    <t>HFC3+97 Jaca</t>
  </si>
  <si>
    <t>Calle de Levante, 0, 22700 Jaca, Huesca</t>
  </si>
  <si>
    <t>Jaca</t>
  </si>
  <si>
    <t>974 36 11 95</t>
  </si>
  <si>
    <t>42.570897</t>
  </si>
  <si>
    <t>-0.5643623</t>
  </si>
  <si>
    <t>https://goo.gl/maps/k3tb6g2Xmu6qMBet7</t>
  </si>
  <si>
    <t>https://streetviewpixels-pa.googleapis.com/v1/thumbnail?panoid=zZYpshCUTBtYssfs5cwdeg&amp;cb_client=search.gws-prod.gps&amp;w=408&amp;h=240&amp;yaw=229.46103&amp;pitch=0&amp;thumbfov=100</t>
  </si>
  <si>
    <t>W55Q+J9 Monzón</t>
  </si>
  <si>
    <t>Plaza de San Juan, 30, 22400 Monzón, Huesca</t>
  </si>
  <si>
    <t>Monzón</t>
  </si>
  <si>
    <t>974 40 15 30</t>
  </si>
  <si>
    <t>41.9090036</t>
  </si>
  <si>
    <t>0.1708693</t>
  </si>
  <si>
    <t>https://goo.gl/maps/qWs7onMrFhvUCTbn6</t>
  </si>
  <si>
    <t>https://streetviewpixels-pa.googleapis.com/v1/thumbnail?panoid=fIa25yroCTE9jdBgHcPnKA&amp;cb_client=search.gws-prod.gps&amp;w=408&amp;h=240&amp;yaw=236.35162&amp;pitch=0&amp;thumbfov=100</t>
  </si>
  <si>
    <t>M426+H7 Zaragoza</t>
  </si>
  <si>
    <t>Paseo María Agustín, 16, 50008 Zaragoza</t>
  </si>
  <si>
    <t>Zaragoza</t>
  </si>
  <si>
    <t>976 71 56 00</t>
  </si>
  <si>
    <t>41.6513823</t>
  </si>
  <si>
    <t>-0.9068712</t>
  </si>
  <si>
    <t>https://goo.gl/maps/Bw7Eg6twhFgMGzvB7</t>
  </si>
  <si>
    <t>https://lh5.googleusercontent.com/p/AF1QipMtKhKrLV13k1fipbstlEOVFI1yh8NUvE0J9IGT=w408-h306-k-no</t>
  </si>
  <si>
    <t>Cruz Roja Espanola</t>
  </si>
  <si>
    <t>78C8+JQ Ayerbe</t>
  </si>
  <si>
    <t>A-132, 22800 Ayerbe, Huesca</t>
  </si>
  <si>
    <t>Ayerbe</t>
  </si>
  <si>
    <t>42.2715893</t>
  </si>
  <si>
    <t>-0.7006146</t>
  </si>
  <si>
    <t>https://goo.gl/maps/4ErPnGUp5SFmscjw8</t>
  </si>
  <si>
    <t>https://streetviewpixels-pa.googleapis.com/v1/thumbnail?panoid=k494Zd9vqD875cn6n5m5iw&amp;cb_client=search.gws-prod.gps&amp;w=408&amp;h=240&amp;yaw=108.21641&amp;pitch=0&amp;thumbfov=100</t>
  </si>
  <si>
    <t>8VVR+9H Teruel</t>
  </si>
  <si>
    <t>Calle Yagüe de Salas, 16, 44001 Teruel</t>
  </si>
  <si>
    <t>Teruel</t>
  </si>
  <si>
    <t>teruel.es</t>
  </si>
  <si>
    <t>978 61 99 00</t>
  </si>
  <si>
    <t>40.343388</t>
  </si>
  <si>
    <t>-1.1260965</t>
  </si>
  <si>
    <t>https://goo.gl/maps/HEjB55aKY1YyG41CA</t>
  </si>
  <si>
    <t>https://lh5.googleusercontent.com/p/AF1QipNDNWWtXJ6M8z5Ap651iZpM4rdeQ1t2_8z2CdH-=w408-h306-k-no</t>
  </si>
  <si>
    <t>40.3322833</t>
  </si>
  <si>
    <t>-1.1123788</t>
  </si>
  <si>
    <t>8VJX+MG Teruel</t>
  </si>
  <si>
    <t>Cño. Castralvo, 11, 44002 Teruel</t>
  </si>
  <si>
    <t>978 60 99 48</t>
  </si>
  <si>
    <t>https://goo.gl/maps/PXhh7kTidoBKn5A18</t>
  </si>
  <si>
    <t>https://streetviewpixels-pa.googleapis.com/v1/thumbnail?panoid=O0YMozQiJKNoBTsM-mbC5A&amp;cb_client=search.gws-prod.gps&amp;w=408&amp;h=240&amp;yaw=329.8368&amp;pitch=0&amp;thumbfov=100</t>
  </si>
  <si>
    <t>8VRV+74 Teruel</t>
  </si>
  <si>
    <t>Plaza San Juan, 6, 44001 Teruel</t>
  </si>
  <si>
    <t>978 64 75 60</t>
  </si>
  <si>
    <t>https://goo.gl/maps/4R8RX3DhSD2C4x9F7</t>
  </si>
  <si>
    <t>https://streetviewpixels-pa.googleapis.com/v1/thumbnail?panoid=PFBdabHnxrbueB93Mm9Mmg&amp;cb_client=search.gws-prod.gps&amp;w=408&amp;h=240&amp;yaw=44.85109&amp;pitch=0&amp;thumbfov=100</t>
  </si>
  <si>
    <t>Cáritas Diocesanas De Teruel</t>
  </si>
  <si>
    <t>8VXV+69 Teruel</t>
  </si>
  <si>
    <t>Calle Dolores Romero, 39, 44003 Teruel</t>
  </si>
  <si>
    <t>https://goo.gl/maps/SFMSdkGR3a96NUwq5</t>
  </si>
  <si>
    <t>https://lh5.googleusercontent.com/p/AF1QipMfyyABxOZYysP2-tQyK8iL2Yj_1JsdbPwJBCI8=w408-h544-k-no</t>
  </si>
  <si>
    <t>8VJR+2V Teruel</t>
  </si>
  <si>
    <t>Av. Sanz Gadea, 11, 44002 Teruel</t>
  </si>
  <si>
    <t>978 64 13 13</t>
  </si>
  <si>
    <t>https://goo.gl/maps/tjxpwj3uTVhY1daz7</t>
  </si>
  <si>
    <t>https://streetviewpixels-pa.googleapis.com/v1/thumbnail?panoid=Pe8C3nb-q1cxIXpfF-cJvA&amp;cb_client=search.gws-prod.gps&amp;w=408&amp;h=240&amp;yaw=75.22867&amp;pitch=0&amp;thumbfov=100</t>
  </si>
  <si>
    <t>Instituto Aragonés De Servicios Sociales Dirección Provincial Servicios Comunitarios Y Programas So</t>
  </si>
  <si>
    <t>8VJR+HM Teruel</t>
  </si>
  <si>
    <t>Av. Sanz Gadea, 0, 44001 Teruel</t>
  </si>
  <si>
    <t>978 64 11 32</t>
  </si>
  <si>
    <t>https://goo.gl/maps/rchNsq5QyPaAetNcA</t>
  </si>
  <si>
    <t>https://streetviewpixels-pa.googleapis.com/v1/thumbnail?panoid=rluytAIZFwrOu3Z92o3Tbg&amp;cb_client=search.gws-prod.gps&amp;w=408&amp;h=240&amp;yaw=32.99224&amp;pitch=0&amp;thumbfov=100</t>
  </si>
  <si>
    <t>Hogar de Personas Mayores &amp;quot;TURIA&amp;quot;- IASS</t>
  </si>
  <si>
    <t>8VVR+6M Teruel</t>
  </si>
  <si>
    <t>Calle Yagüe de Salas, 17, 44001 Teruel</t>
  </si>
  <si>
    <t>978 60 48 13</t>
  </si>
  <si>
    <t>https://goo.gl/maps/18NiawDhbniuPvWU8</t>
  </si>
  <si>
    <t>https://lh5.googleusercontent.com/p/AF1QipN0H2IIBybrjSDJMVqr2sLZEAERaLi7vHE0t_HL=w408-h306-k-no</t>
  </si>
  <si>
    <t>Eduardo y Sylvia (Miembros Independientes de HERBALIFE NUTRICION en Teruel)</t>
  </si>
  <si>
    <t>8VJX+25 Teruel</t>
  </si>
  <si>
    <t>Calle Jerónimo Soriano, 3, bl 7 2 B, 44002 Teruel</t>
  </si>
  <si>
    <t>cambioenequipo.com</t>
  </si>
  <si>
    <t>627 97 93 93</t>
  </si>
  <si>
    <t>https://g.page/cambioenequipo?share</t>
  </si>
  <si>
    <t>https://lh5.googleusercontent.com/p/AF1QipOzArCT8REaJpHix1nhkHkumcyLbH4xJ2WC2LDe=w408-h271-k-no</t>
  </si>
  <si>
    <t>Agencia de la ONCE</t>
  </si>
  <si>
    <t>8VJR+J6 Teruel</t>
  </si>
  <si>
    <t>Calle Argentina, nº 1, 44002 Teruel</t>
  </si>
  <si>
    <t>978 22 45 97</t>
  </si>
  <si>
    <t>https://goo.gl/maps/jwTWLzP7SR9NZP8b8</t>
  </si>
  <si>
    <t>https://streetviewpixels-pa.googleapis.com/v1/thumbnail?panoid=uk0wiDgheHGF3Li-o2lqmQ&amp;cb_client=search.gws-prod.gps&amp;w=408&amp;h=240&amp;yaw=196.39928&amp;pitch=0&amp;thumbfov=100</t>
  </si>
  <si>
    <t>Instituto Aragonés De Servicios Sociales Protec Menor Reforma Y Centros Colaboradores</t>
  </si>
  <si>
    <t>8VMX+4G Teruel</t>
  </si>
  <si>
    <t>Cño. Castralvo, 0, 44001 Teruel</t>
  </si>
  <si>
    <t>978 62 44 98</t>
  </si>
  <si>
    <t>https://goo.gl/maps/FVZGrrNAxCPBbPox9</t>
  </si>
  <si>
    <t>https://streetviewpixels-pa.googleapis.com/v1/thumbnail?panoid=a-nU1ym7hQKpDoCTZk9RrA&amp;cb_client=search.gws-prod.gps&amp;w=408&amp;h=240&amp;yaw=290.6978&amp;pitch=0&amp;thumbfov=100</t>
  </si>
  <si>
    <t>Instituto Aragonés de la Juventud</t>
  </si>
  <si>
    <t>8VRR+QG Teruel</t>
  </si>
  <si>
    <t>Calle San Francisco, 1, 44001 Teruel</t>
  </si>
  <si>
    <t>978 64 12 70</t>
  </si>
  <si>
    <t>40.3419198</t>
  </si>
  <si>
    <t>-1.1261409</t>
  </si>
  <si>
    <t>https://goo.gl/maps/RzdABKBcz7XfPfU56</t>
  </si>
  <si>
    <t>https://streetviewpixels-pa.googleapis.com/v1/thumbnail?panoid=f6J5RFiLaCZSskVu_GXKrA&amp;cb_client=search.gws-prod.gps&amp;w=408&amp;h=240&amp;yaw=89.686195&amp;pitch=0&amp;thumbfov=100</t>
  </si>
  <si>
    <t>Servicios De Teleasistencia S A</t>
  </si>
  <si>
    <t>8VVV+29 Teruel</t>
  </si>
  <si>
    <t>Plaza Amantes, 15, 44001 Teruel</t>
  </si>
  <si>
    <t>978 60 79 12</t>
  </si>
  <si>
    <t>https://goo.gl/maps/sBHnudYzweBzZ2p98</t>
  </si>
  <si>
    <t>https://streetviewpixels-pa.googleapis.com/v1/thumbnail?panoid=rV-sBD9V_0DPMVsg197Lbw&amp;cb_client=search.gws-prod.gps&amp;w=408&amp;h=240&amp;yaw=219.0577&amp;pitch=0&amp;thumbfov=100</t>
  </si>
  <si>
    <t>Cambio en Equipo</t>
  </si>
  <si>
    <t>8VJW+3X Teruel</t>
  </si>
  <si>
    <t>Calle Jerónimo Soriano, 44002 Teruel</t>
  </si>
  <si>
    <t>40.3301751</t>
  </si>
  <si>
    <t>-1.1200791</t>
  </si>
  <si>
    <t>https://goo.gl/maps/zxdFVtfqXT8Vvc528</t>
  </si>
  <si>
    <t>https://lh5.googleusercontent.com/p/AF1QipMQmLH_iyBh5AW3btXA4hzEDdO8KqJVi8wBDqJK=w408-h544-k-no</t>
  </si>
  <si>
    <t>Clarós S C A</t>
  </si>
  <si>
    <t>8VJR+2H Teruel</t>
  </si>
  <si>
    <t>Av. Sanz Gadea, 8, 44002 Teruel</t>
  </si>
  <si>
    <t>978 62 22 02</t>
  </si>
  <si>
    <t>40.3300089</t>
  </si>
  <si>
    <t>-1.1260194</t>
  </si>
  <si>
    <t>https://goo.gl/maps/frwz7MTE4Ad3Pk7k6</t>
  </si>
  <si>
    <t>https://lh5.googleusercontent.com/p/AF1QipN9wzVN3tgT6n0NTGnqfVhthMk-VXGZxPfA6cxp=w426-h240-k-no</t>
  </si>
  <si>
    <t>Unicef Comité Español</t>
  </si>
  <si>
    <t>978 61 21 01</t>
  </si>
  <si>
    <t>40.348075</t>
  </si>
  <si>
    <t>-1.1270144</t>
  </si>
  <si>
    <t>https://goo.gl/maps/iPMiJAek6FwGmSXG6</t>
  </si>
  <si>
    <t>https://streetviewpixels-pa.googleapis.com/v1/thumbnail?panoid=HVM5rxRyqG4KwZg24hiaFg&amp;cb_client=search.gws-prod.gps&amp;w=408&amp;h=240&amp;yaw=47.960777&amp;pitch=0&amp;thumbfov=100</t>
  </si>
  <si>
    <t>Centro Social</t>
  </si>
  <si>
    <t>7VXH+2P Villaspesa</t>
  </si>
  <si>
    <t>Calle el Paso, 3, 44190 Villaspesa, Teruel</t>
  </si>
  <si>
    <t>Villaspesa</t>
  </si>
  <si>
    <t>40.2976009</t>
  </si>
  <si>
    <t>-1.1381706</t>
  </si>
  <si>
    <t>https://goo.gl/maps/TsX6upBWrTVBrLgN9</t>
  </si>
  <si>
    <t>https://streetviewpixels-pa.googleapis.com/v1/thumbnail?panoid=PDgiBGXs17auyk6UtFOIfA&amp;cb_client=search.gws-prod.gps&amp;w=408&amp;h=240&amp;yaw=21.385643&amp;pitch=0&amp;thumbfov=100</t>
  </si>
  <si>
    <t>Comarca Del Jiloca</t>
  </si>
  <si>
    <t>QJRW+6R Monreal del Campo</t>
  </si>
  <si>
    <t>Plaza Mayor, 1, 44300 Monreal del Campo, Teruel</t>
  </si>
  <si>
    <t>Monreal del Campo</t>
  </si>
  <si>
    <t>978 86 33 80</t>
  </si>
  <si>
    <t>40.7905362</t>
  </si>
  <si>
    <t>-1.3704707</t>
  </si>
  <si>
    <t>https://goo.gl/maps/SWHHbUsY5rZm2WZu7</t>
  </si>
  <si>
    <t>https://streetviewpixels-pa.googleapis.com/v1/thumbnail?panoid=7M7cQK19JzZ31ImqHxxP9A&amp;cb_client=search.gws-prod.gps&amp;w=408&amp;h=240&amp;yaw=282.0512&amp;pitch=0&amp;thumbfov=100</t>
  </si>
  <si>
    <t>Calamocha</t>
  </si>
  <si>
    <t>WPC2+JR Calamocha</t>
  </si>
  <si>
    <t>Av. Valencia, 3, 44200 Calamocha, Teruel</t>
  </si>
  <si>
    <t>978 73 00 63</t>
  </si>
  <si>
    <t>40.9215841</t>
  </si>
  <si>
    <t>-1.3680151</t>
  </si>
  <si>
    <t>https://goo.gl/maps/SkZ7T5nM5sjsTHu57</t>
  </si>
  <si>
    <t>https://streetviewpixels-pa.googleapis.com/v1/thumbnail?panoid=VEpWcj7a5mz56YOfAyzymA&amp;cb_client=search.gws-prod.gps&amp;w=408&amp;h=240&amp;yaw=312.6116&amp;pitch=0&amp;thumbfov=100</t>
  </si>
  <si>
    <t>Ayuntamiento De Aliaga</t>
  </si>
  <si>
    <t>M7CW+W6 Aliaga</t>
  </si>
  <si>
    <t>Calle San Antonio, 18, 44150 Aliaga, Teruel</t>
  </si>
  <si>
    <t>Aliaga</t>
  </si>
  <si>
    <t>978 77 11 00</t>
  </si>
  <si>
    <t>40.6723682</t>
  </si>
  <si>
    <t>-0.7745212</t>
  </si>
  <si>
    <t>https://goo.gl/maps/2imqDtsk1D1WwAJd7</t>
  </si>
  <si>
    <t>https://streetviewpixels-pa.googleapis.com/v1/thumbnail?panoid=fTw-7_gTx1I_JUnQqe9Mhg&amp;cb_client=search.gws-prod.gps&amp;w=408&amp;h=240&amp;yaw=73.53082&amp;pitch=0&amp;thumbfov=100</t>
  </si>
  <si>
    <t>Lauserint S L</t>
  </si>
  <si>
    <t>R574+J7 Utrillas</t>
  </si>
  <si>
    <t>Polígono Industrial Llanos, 0, 44760 Utrillas, Teruel</t>
  </si>
  <si>
    <t>Utrillas</t>
  </si>
  <si>
    <t>978 75 66 79</t>
  </si>
  <si>
    <t>40.81406</t>
  </si>
  <si>
    <t>-0.9142978</t>
  </si>
  <si>
    <t>https://goo.gl/maps/ou4gZimsbPzqMJs39</t>
  </si>
  <si>
    <t>https://streetviewpixels-pa.googleapis.com/v1/thumbnail?panoid=eJtrSUQMuIOzmQquRcJzAw&amp;cb_client=search.gws-prod.gps&amp;w=408&amp;h=240&amp;yaw=99.14665&amp;pitch=0&amp;thumbfov=100</t>
  </si>
  <si>
    <t>Hermanas Hijas de la Caridad</t>
  </si>
  <si>
    <t>XGHW+87 Andorra</t>
  </si>
  <si>
    <t>Calle Belmonte, 49, 44500 Andorra, Teruel</t>
  </si>
  <si>
    <t>Andorra</t>
  </si>
  <si>
    <t>40.9783272</t>
  </si>
  <si>
    <t>-0.5243455</t>
  </si>
  <si>
    <t>https://goo.gl/maps/4HW9iESHBLDHqQBw8</t>
  </si>
  <si>
    <t>https://streetviewpixels-pa.googleapis.com/v1/thumbnail?panoid=30Kr7huQlchJbE8edXprDw&amp;cb_client=search.gws-prod.gps&amp;w=408&amp;h=240&amp;yaw=247.10953&amp;pitch=0&amp;thumbfov=100</t>
  </si>
  <si>
    <t>41.6516806</t>
  </si>
  <si>
    <t>-0.8949809</t>
  </si>
  <si>
    <t>41.654901</t>
  </si>
  <si>
    <t>-0.9350345</t>
  </si>
  <si>
    <t>Centro Municipal de Servicios Sociales San Pablo</t>
  </si>
  <si>
    <t>M447+MR Zaragoza</t>
  </si>
  <si>
    <t>Plaza Mariano de Cavia, 61, 50003 Zaragoza</t>
  </si>
  <si>
    <t>zaragoza.es</t>
  </si>
  <si>
    <t>976 72 60 15</t>
  </si>
  <si>
    <t>sedeelectronica@zaragoza.es</t>
  </si>
  <si>
    <t>https://goo.gl/maps/aUCxTVzNdhdoXQRd6</t>
  </si>
  <si>
    <t>https://streetviewpixels-pa.googleapis.com/v1/thumbnail?panoid=D1sF3DPh-T9erqeKUSSFmA&amp;cb_client=search.gws-prod.gps&amp;w=408&amp;h=240&amp;yaw=259.83694&amp;pitch=0&amp;thumbfov=100</t>
  </si>
  <si>
    <t>CENTRO MUNICIPAL DE SERVICIOS SOCIALES SAN JOSÉ</t>
  </si>
  <si>
    <t>38</t>
  </si>
  <si>
    <t>J4QG+4V Zaragoza</t>
  </si>
  <si>
    <t>Plaza Mayor, 2, 50008 Zaragoza</t>
  </si>
  <si>
    <t>976 72 60 64</t>
  </si>
  <si>
    <t>41.6348381</t>
  </si>
  <si>
    <t>-0.9218631</t>
  </si>
  <si>
    <t>https://goo.gl/maps/nFPMwtBhy1od5AKz9</t>
  </si>
  <si>
    <t>https://streetviewpixels-pa.googleapis.com/v1/thumbnail?panoid=0ANZIS3fqbYT9aV-ncXOqg&amp;cb_client=search.gws-prod.gps&amp;w=408&amp;h=240&amp;yaw=347.59464&amp;pitch=0&amp;thumbfov=100</t>
  </si>
  <si>
    <t>41.6478919</t>
  </si>
  <si>
    <t>-0.9223466</t>
  </si>
  <si>
    <t>Instituto Aragonés de Servicios Sociales - Salduba</t>
  </si>
  <si>
    <t>J4Q6+9Q Zaragoza</t>
  </si>
  <si>
    <t>Calle del Porvenir, 14, 50006 Zaragoza</t>
  </si>
  <si>
    <t>aragon.es</t>
  </si>
  <si>
    <t>976 37 30 81</t>
  </si>
  <si>
    <t>info.gestionlicitaciones@listas.aragon.es</t>
  </si>
  <si>
    <t>https://goo.gl/maps/PXsc8oXB14S5A4Kn9</t>
  </si>
  <si>
    <t>https://lh5.googleusercontent.com/p/AF1QipMBU7zOfYzRGZZ2P61BggMQlePCjp8JhQrfp-gk=w408-h544-k-no</t>
  </si>
  <si>
    <t>Servicios Sociales. Voluntariado</t>
  </si>
  <si>
    <t>M43F+3W Zaragoza</t>
  </si>
  <si>
    <t>Calle de San Lorenzo, 9, 50001 Zaragoza</t>
  </si>
  <si>
    <t>900 202 024</t>
  </si>
  <si>
    <t>https://goo.gl/maps/1F516SXrxmtzGjor7</t>
  </si>
  <si>
    <t>https://streetviewpixels-pa.googleapis.com/v1/thumbnail?panoid=rJZiLzcRhNnHx3LfuOKUxw&amp;cb_client=search.gws-prod.gps&amp;w=408&amp;h=240&amp;yaw=24.998024&amp;pitch=0&amp;thumbfov=100</t>
  </si>
  <si>
    <t>Trazgo Servicios Sociales</t>
  </si>
  <si>
    <t>J4W7+HF Zaragoza</t>
  </si>
  <si>
    <t>Paseo de la Gran Vía, 5, 50006 Zaragoza</t>
  </si>
  <si>
    <t>trazgo.com</t>
  </si>
  <si>
    <t>trazgo@trazgo.com</t>
  </si>
  <si>
    <t>https://goo.gl/maps/DKcwj1C7GyTQkNFE8</t>
  </si>
  <si>
    <t>https://streetviewpixels-pa.googleapis.com/v1/thumbnail?panoid=HRtrH5HR6_ZVYxERXoWsdg&amp;cb_client=search.gws-prod.gps&amp;w=408&amp;h=240&amp;yaw=156.95415&amp;pitch=0&amp;thumbfov=100</t>
  </si>
  <si>
    <t>Centro Municipal de Servicios Sociales Oliver</t>
  </si>
  <si>
    <t>J3XF+XR Zaragoza</t>
  </si>
  <si>
    <t>Calle de Séneca, 78, 50011 Zaragoza</t>
  </si>
  <si>
    <t>976 72 34 10</t>
  </si>
  <si>
    <t>41.6499876</t>
  </si>
  <si>
    <t>-0.9605058</t>
  </si>
  <si>
    <t>https://goo.gl/maps/nqZTHqUe1zLYvSo46</t>
  </si>
  <si>
    <t>https://streetviewpixels-pa.googleapis.com/v1/thumbnail?panoid=38NnvVkJiyGQbzw907Flhw&amp;cb_client=search.gws-prod.gps&amp;w=408&amp;h=240&amp;yaw=5.2473316&amp;pitch=0&amp;thumbfov=100</t>
  </si>
  <si>
    <t>Casa de la Mujer. Ayuntamiento de Zaragoza</t>
  </si>
  <si>
    <t>M43F+HH Zaragoza</t>
  </si>
  <si>
    <t>Calle de Don Juan de Aragón, 2, 50001 Zaragoza</t>
  </si>
  <si>
    <t>976 72 60 40</t>
  </si>
  <si>
    <t>41.6506587</t>
  </si>
  <si>
    <t>-0.9118512</t>
  </si>
  <si>
    <t>https://goo.gl/maps/D1L2bo1DDMEFSQ469</t>
  </si>
  <si>
    <t>https://lh5.googleusercontent.com/p/AF1QipPtR-ybAFvVmEso_fDdyjQqbBMl4k-FM0DAUlQz=w408-h306-k-no</t>
  </si>
  <si>
    <t>ACTÚA Zaragoza</t>
  </si>
  <si>
    <t>J3FG+9R Zaragoza</t>
  </si>
  <si>
    <t>sn, Calle Ciudadano Kane,, 50019 Zaragoza</t>
  </si>
  <si>
    <t>actuazaragoza.org</t>
  </si>
  <si>
    <t>607 16 51 27</t>
  </si>
  <si>
    <t>41.623437</t>
  </si>
  <si>
    <t>-0.9579459</t>
  </si>
  <si>
    <t>https://goo.gl/maps/eDF3HZEakpC11Enf6</t>
  </si>
  <si>
    <t>https://streetviewpixels-pa.googleapis.com/v1/thumbnail?panoid=i-gYoJuwtzRjxNW5QcP2tw&amp;cb_client=search.gws-prod.gps&amp;w=408&amp;h=240&amp;yaw=45.238846&amp;pitch=0&amp;thumbfov=100</t>
  </si>
  <si>
    <t>41.6449198</t>
  </si>
  <si>
    <t>-0.9056583</t>
  </si>
  <si>
    <t>Fundación Desarrollo Social</t>
  </si>
  <si>
    <t>M43C+G8 Zaragoza</t>
  </si>
  <si>
    <t>Calle Sta. Cruz, 7, 1º D, 50003 Zaragoza</t>
  </si>
  <si>
    <t>fundaciondesarrollosocial.blogspot.com.es</t>
  </si>
  <si>
    <t>976 39 55 42</t>
  </si>
  <si>
    <t>info@fundaciondesarrollosocial.com</t>
  </si>
  <si>
    <t>https://g.page/fdsaragon?share</t>
  </si>
  <si>
    <t>https://lh5.googleusercontent.com/p/AF1QipPrhWJDr25qaeT65BMl2v-2m4B6S5WsQNmR157r=w408-h542-k-no</t>
  </si>
  <si>
    <t>Delegación Territorial ONCE</t>
  </si>
  <si>
    <t>108</t>
  </si>
  <si>
    <t>M458+4G Zaragoza</t>
  </si>
  <si>
    <t>Paseo Echegaray y Caballero, 76, 50003 Zaragoza</t>
  </si>
  <si>
    <t>976 28 24 77</t>
  </si>
  <si>
    <t>https://goo.gl/maps/mMk4r2a46gF67KTRA</t>
  </si>
  <si>
    <t>https://lh5.googleusercontent.com/p/AF1QipP7FgqZ2d4v7AUnKcpobUsFCZSC8DEx-Nk5iuQR=w408-h306-k-no</t>
  </si>
  <si>
    <t>IASS</t>
  </si>
  <si>
    <t>M4MH+PF Zaragoza</t>
  </si>
  <si>
    <t>Calle del Lazarillo de Tormes, 53, 50015 Zaragoza</t>
  </si>
  <si>
    <t>41.684283</t>
  </si>
  <si>
    <t>-0.9062916</t>
  </si>
  <si>
    <t>https://goo.gl/maps/MXTcF1wg6UYYmrTGA</t>
  </si>
  <si>
    <t>https://lh5.googleusercontent.com/p/AF1QipOyT_4uz3SL17IFMEfiMic9-fBfnqcJKm51n6NI=w408-h461-k-no</t>
  </si>
  <si>
    <t>CMSS La Jota</t>
  </si>
  <si>
    <t>M47R+2X Zaragoza</t>
  </si>
  <si>
    <t>Calle María Virto, s/n, 50014 Zaragoza</t>
  </si>
  <si>
    <t>976 72 62 16</t>
  </si>
  <si>
    <t>41.6625451</t>
  </si>
  <si>
    <t>-0.8925874</t>
  </si>
  <si>
    <t>https://goo.gl/maps/smUpNiKYxjteHC849</t>
  </si>
  <si>
    <t>https://streetviewpixels-pa.googleapis.com/v1/thumbnail?panoid=RcBw_aXbx852oTIEKe2JPg&amp;cb_client=search.gws-prod.gps&amp;w=408&amp;h=240&amp;yaw=107.8054&amp;pitch=0&amp;thumbfov=100</t>
  </si>
  <si>
    <t>Coordinadora Aragonesa del Voluntariado En la Acción Social</t>
  </si>
  <si>
    <t>J4WC+P2 Zaragoza</t>
  </si>
  <si>
    <t>Av. Cesáreo Alierta, 4, 50008 Zaragoza</t>
  </si>
  <si>
    <t>aragonvoluntario.net</t>
  </si>
  <si>
    <t>976 21 49 38</t>
  </si>
  <si>
    <t>coordinadora@aragonvoluntario.net</t>
  </si>
  <si>
    <t>41.6452727</t>
  </si>
  <si>
    <t>-0.9347906</t>
  </si>
  <si>
    <t>https://goo.gl/maps/tBHG7rexR3FSxouU6</t>
  </si>
  <si>
    <t>https://lh5.googleusercontent.com/p/AF1QipNoub7roDJIKkjyhmAY5gBo0THsNRrv3wA5CyuF=w408-h306-k-no</t>
  </si>
  <si>
    <t>M43C+W4 Zaragoza</t>
  </si>
  <si>
    <t>Calle Miguel Molino, 5, Entresuelo, 50003 Zaragoza</t>
  </si>
  <si>
    <t>fillescaritatfundacio.org</t>
  </si>
  <si>
    <t>976 20 73 55</t>
  </si>
  <si>
    <t>info@fillescaritatfundacio.org</t>
  </si>
  <si>
    <t>https://goo.gl/maps/p7z1mPgWhPnY1eon7</t>
  </si>
  <si>
    <t>https://streetviewpixels-pa.googleapis.com/v1/thumbnail?panoid=pgLVAYIrm8uWuEL5J9c1Eg&amp;cb_client=search.gws-prod.gps&amp;w=408&amp;h=240&amp;yaw=0.5058162&amp;pitch=0&amp;thumbfov=100</t>
  </si>
  <si>
    <t>Arquisocial S.L.</t>
  </si>
  <si>
    <t>J4J5+PX Zaragoza</t>
  </si>
  <si>
    <t>Calle del Cabezo Buenavista, 7, 50007 Zaragoza</t>
  </si>
  <si>
    <t>arquisocial.es</t>
  </si>
  <si>
    <t>976 46 84 00</t>
  </si>
  <si>
    <t>info@arquisocial.es</t>
  </si>
  <si>
    <t>https://g.page/Arquisocial?share</t>
  </si>
  <si>
    <t>https://streetviewpixels-pa.googleapis.com/v1/thumbnail?panoid=-bOEyD6_MD1bqhjx1Jy7ug&amp;cb_client=search.gws-prod.gps&amp;w=408&amp;h=240&amp;yaw=245.91841&amp;pitch=0&amp;thumbfov=100</t>
  </si>
  <si>
    <t>Fundación Federico Ozanam de Zaragoza</t>
  </si>
  <si>
    <t>M437+X5 Zaragoza</t>
  </si>
  <si>
    <t>Calle del Conde de Aranda, 32, 50003 Zaragoza</t>
  </si>
  <si>
    <t>ozanam.es</t>
  </si>
  <si>
    <t>fundacion@ozanam.com</t>
  </si>
  <si>
    <t>https://goo.gl/maps/S9jrNuDXuuMAAQNs9</t>
  </si>
  <si>
    <t>https://streetviewpixels-pa.googleapis.com/v1/thumbnail?panoid=AUyd1_Q7ME9DJldcgT1hrA&amp;cb_client=search.gws-prod.gps&amp;w=408&amp;h=240&amp;yaw=30.993204&amp;pitch=0&amp;thumbfov=100</t>
  </si>
  <si>
    <t>41.6368513</t>
  </si>
  <si>
    <t>-0.9280869</t>
  </si>
  <si>
    <t>Teleasistencia en Zaragoza</t>
  </si>
  <si>
    <t>J4X7+M7 Zaragoza</t>
  </si>
  <si>
    <t>P.º Pamplona, 12-14, Bajo, 50004 Zaragoza</t>
  </si>
  <si>
    <t>teleasistencia.es</t>
  </si>
  <si>
    <t>976 25 55 44</t>
  </si>
  <si>
    <t>https://g.page/teleasistencia-en-zaragoza?share</t>
  </si>
  <si>
    <t>https://lh5.googleusercontent.com/p/AF1QipP52O-BEdq5RvpChZ3TdsuQIloDy4qlk4Qlb-uM=w408-h408-k-no</t>
  </si>
  <si>
    <t>Residencia Cai La Inmaculada</t>
  </si>
  <si>
    <t>J4M7+CJ Zaragoza</t>
  </si>
  <si>
    <t>Paseo Colón, 2, 50006 Zaragoza</t>
  </si>
  <si>
    <t>https://goo.gl/maps/NkovAh9Mu64PvyK29</t>
  </si>
  <si>
    <t>https://streetviewpixels-pa.googleapis.com/v1/thumbnail?panoid=h331g7gEm_AFvP9d5Kdn_g&amp;cb_client=search.gws-prod.gps&amp;w=408&amp;h=240&amp;yaw=348.84552&amp;pitch=0&amp;thumbfov=100</t>
  </si>
  <si>
    <t>M42C+JV Zaragoza</t>
  </si>
  <si>
    <t>Calle Verónica, 16, 50001 Zaragoza</t>
  </si>
  <si>
    <t>https://goo.gl/maps/Y1myMPiwy7bL9rrm8</t>
  </si>
  <si>
    <t>https://streetviewpixels-pa.googleapis.com/v1/thumbnail?panoid=yKt5Y-1yfU2vtng96gxCCA&amp;cb_client=search.gws-prod.gps&amp;w=408&amp;h=240&amp;yaw=202.81697&amp;pitch=0&amp;thumbfov=100</t>
  </si>
  <si>
    <t>Social&amp;amp;Care</t>
  </si>
  <si>
    <t>M437+26 Zaragoza</t>
  </si>
  <si>
    <t>C/ Madre Rafols 2, Edificio Aida, Planta 5 Oficina 8, 50004 Zaragoza</t>
  </si>
  <si>
    <t>socialandcare.negocio.site</t>
  </si>
  <si>
    <t>876 09 77 14</t>
  </si>
  <si>
    <t>https://goo.gl/maps/6tXrCgoPeT2TQYhz8</t>
  </si>
  <si>
    <t>https://lh5.googleusercontent.com/p/AF1QipPamp2haK4icPKBj6xtd7p-Dt6gz8ZAfwPD1pUJ=w408-h270-k-no</t>
  </si>
  <si>
    <t>Centro San Nicolás de Cáritas Zaragoza</t>
  </si>
  <si>
    <t>M43G+5Q Zaragoza</t>
  </si>
  <si>
    <t>Calle Universidad, 11, 50001 Zaragoza</t>
  </si>
  <si>
    <t>976 39 92 27</t>
  </si>
  <si>
    <t>https://goo.gl/maps/mh7SMg1KRXMuUDH16</t>
  </si>
  <si>
    <t>https://streetviewpixels-pa.googleapis.com/v1/thumbnail?panoid=sgbsr7yfizZz3jDtCaM43g&amp;cb_client=search.gws-prod.gps&amp;w=408&amp;h=240&amp;yaw=315.16348&amp;pitch=0&amp;thumbfov=100</t>
  </si>
  <si>
    <t>Clece Delegacion en Aragón</t>
  </si>
  <si>
    <t>M43R+G4 Zaragoza</t>
  </si>
  <si>
    <t>Calle Balbino Orensanz, 55, 50014 Zaragoza</t>
  </si>
  <si>
    <t>976 39 39 58</t>
  </si>
  <si>
    <t>https://goo.gl/maps/LAE7DUMggs9DYJWRA</t>
  </si>
  <si>
    <t>https://streetviewpixels-pa.googleapis.com/v1/thumbnail?panoid=nHmlUxVedLgQRcFf6ao83Q&amp;cb_client=search.gws-prod.gps&amp;w=408&amp;h=240&amp;yaw=122.92945&amp;pitch=0&amp;thumbfov=100</t>
  </si>
  <si>
    <t>M338+FM Zaragoza</t>
  </si>
  <si>
    <t>Calle Ibón de Escalar, 2, 50011 Zaragoza</t>
  </si>
  <si>
    <t>41.6536653</t>
  </si>
  <si>
    <t>-0.9683457</t>
  </si>
  <si>
    <t>https://goo.gl/maps/BENvm96akyJVnwrT7</t>
  </si>
  <si>
    <t>https://streetviewpixels-pa.googleapis.com/v1/thumbnail?panoid=IjYD1RaMUWUevjH_Oib7mg&amp;cb_client=search.gws-prod.gps&amp;w=408&amp;h=240&amp;yaw=266.60617&amp;pitch=0&amp;thumbfov=100</t>
  </si>
  <si>
    <t>Cermi Aragón - Comité de Entidades Representantes de Personas con Discapacidad</t>
  </si>
  <si>
    <t>M4C5+54 Zaragoza</t>
  </si>
  <si>
    <t>Calle de Concepción Saiz de Otero, 10, 50018 Zaragoza</t>
  </si>
  <si>
    <t>cermiaragon.es</t>
  </si>
  <si>
    <t>976 10 62 65</t>
  </si>
  <si>
    <t>41.6704656</t>
  </si>
  <si>
    <t>-0.9272394</t>
  </si>
  <si>
    <t>https://goo.gl/maps/sTz7dHowniMf7qxT6</t>
  </si>
  <si>
    <t>https://lh5.googleusercontent.com/p/AF1QipM2glA31NQRWhgKTI3eeRKuBIkDmoMVnDCX9LZp=w534-h240-k-no</t>
  </si>
  <si>
    <t>Trabajadores sociales San Vicente de Paul</t>
  </si>
  <si>
    <t>M4F3+9C Zaragoza</t>
  </si>
  <si>
    <t>50018 Zaragoza</t>
  </si>
  <si>
    <t>41.6734548</t>
  </si>
  <si>
    <t>-0.9314582</t>
  </si>
  <si>
    <t>https://goo.gl/maps/9JCE6XgavrTTPxAR7</t>
  </si>
  <si>
    <t>https://streetviewpixels-pa.googleapis.com/v1/thumbnail?panoid=QUSttPaVoETS_EFBwYjqIw&amp;cb_client=search.gws-prod.gps&amp;w=408&amp;h=240&amp;yaw=184.97237&amp;pitch=0&amp;thumbfov=100</t>
  </si>
  <si>
    <t>Centro Socio Laboral La Jota</t>
  </si>
  <si>
    <t>M46P+W6 Zaragoza</t>
  </si>
  <si>
    <t>Av. de Cataluña, 88, 50014 Zaragoza</t>
  </si>
  <si>
    <t>976 39 74 89</t>
  </si>
  <si>
    <t>41.6478373</t>
  </si>
  <si>
    <t>-0.9253737</t>
  </si>
  <si>
    <t>https://goo.gl/maps/W6u7ix59VUVFiF2g7</t>
  </si>
  <si>
    <t>https://streetviewpixels-pa.googleapis.com/v1/thumbnail?panoid=jLwVCWQgcUtZXCdelmABRw&amp;cb_client=search.gws-prod.gps&amp;w=408&amp;h=240&amp;yaw=184.1221&amp;pitch=0&amp;thumbfov=100</t>
  </si>
  <si>
    <t>Anaquel Social</t>
  </si>
  <si>
    <t>J4V4+2Q Zaragoza</t>
  </si>
  <si>
    <t>Paseo Fernando el Católico, 19, 3º Izq, 50006 Zaragoza</t>
  </si>
  <si>
    <t>616 09 67 57</t>
  </si>
  <si>
    <t>https://goo.gl/maps/eqH2Cw3DpLxjLAUb6</t>
  </si>
  <si>
    <t>https://streetviewpixels-pa.googleapis.com/v1/thumbnail?panoid=NYAJ8jhhKiCwh_BITd77RQ&amp;cb_client=search.gws-prod.gps&amp;w=408&amp;h=240&amp;yaw=151.20813&amp;pitch=0&amp;thumbfov=100</t>
  </si>
  <si>
    <t>Fundación APIP</t>
  </si>
  <si>
    <t>M448+9G Zaragoza</t>
  </si>
  <si>
    <t>Calle San Blas, 4, 50003 Zaragoza</t>
  </si>
  <si>
    <t>https://goo.gl/maps/1V285HXzWgDZD7qP9</t>
  </si>
  <si>
    <t>https://lh5.googleusercontent.com/p/AF1QipMfZhSBbQkdUSuCY2-ioLf94eooRP0EaFfAHfZ4=w408-h306-k-no</t>
  </si>
  <si>
    <t>CRP San Carlos</t>
  </si>
  <si>
    <t>M42H+2P Zaragoza</t>
  </si>
  <si>
    <t>Calle de Cantín y Gamboa, 33, 50002 Zaragoza</t>
  </si>
  <si>
    <t>976 29 25 89</t>
  </si>
  <si>
    <t>https://goo.gl/maps/44XNKFhncdd6GUio6</t>
  </si>
  <si>
    <t>https://streetviewpixels-pa.googleapis.com/v1/thumbnail?panoid=Fot12zOEHnGptpbztGlI6Q&amp;cb_client=search.gws-prod.gps&amp;w=408&amp;h=240&amp;yaw=28.551924&amp;pitch=0&amp;thumbfov=100</t>
  </si>
  <si>
    <t>41.6499398</t>
  </si>
  <si>
    <t>-0.9127244</t>
  </si>
  <si>
    <t>Fundación Juan Bonal</t>
  </si>
  <si>
    <t>M436+38 Zaragoza</t>
  </si>
  <si>
    <t>Calle Dr. Fleming, 15, 50004 Zaragoza</t>
  </si>
  <si>
    <t>fundacionjuanbonal.org</t>
  </si>
  <si>
    <t>976 44 31 02</t>
  </si>
  <si>
    <t>info@fundacionjuanbonal.org</t>
  </si>
  <si>
    <t>https://goo.gl/maps/7yzTS7QircssQsmc9</t>
  </si>
  <si>
    <t>https://lh5.googleusercontent.com/p/AF1QipOsHn1WgefaLmmV-idW7pPOno_wahtkzE2tnIQl=w408-h306-k-no</t>
  </si>
  <si>
    <t>J3XV+WJ Zaragoza</t>
  </si>
  <si>
    <t>Calle Borja, 25, 50017 Zaragoza</t>
  </si>
  <si>
    <t>976 46 77 69</t>
  </si>
  <si>
    <t>41.6498137</t>
  </si>
  <si>
    <t>-0.9409361</t>
  </si>
  <si>
    <t>https://goo.gl/maps/m7uaq1NuoJrJiDgYA</t>
  </si>
  <si>
    <t>https://lh5.googleusercontent.com/p/AF1QipPbCe32mpqQfp4jVLoZrYOhKtOS_R-i-AX2bvxu=w408-h306-k-no</t>
  </si>
  <si>
    <t>Kairós Cooperativa de Iniciativa Social</t>
  </si>
  <si>
    <t>M4MG+GV Zaragoza</t>
  </si>
  <si>
    <t>Calle el Globo, 14, 50015 Zaragoza</t>
  </si>
  <si>
    <t>kairos.coop</t>
  </si>
  <si>
    <t>976 27 91 75</t>
  </si>
  <si>
    <t>https://goo.gl/maps/xe93hy7MzxVxb8Bt8</t>
  </si>
  <si>
    <t>https://lh5.googleusercontent.com/p/AF1QipNDHcnr35by9Ru_C-4CTTbQdJ4s9rnelDCJptEz=w408-h272-k-no</t>
  </si>
  <si>
    <t>ADRA Arrabal</t>
  </si>
  <si>
    <t>M45H+HW Zaragoza</t>
  </si>
  <si>
    <t>Calle San Lázaro, 11, 50014 Zaragoza</t>
  </si>
  <si>
    <t>976 59 14 91</t>
  </si>
  <si>
    <t>41.6589031</t>
  </si>
  <si>
    <t>-0.9051577</t>
  </si>
  <si>
    <t>https://goo.gl/maps/VgnTb5BxxxkEMTZd6</t>
  </si>
  <si>
    <t>https://streetviewpixels-pa.googleapis.com/v1/thumbnail?panoid=JAmLDU4VfZpf3osofs-2nw&amp;cb_client=search.gws-prod.gps&amp;w=408&amp;h=240&amp;yaw=157.61584&amp;pitch=0&amp;thumbfov=100</t>
  </si>
  <si>
    <t>J4M9+JJ Zaragoza</t>
  </si>
  <si>
    <t>Av. de San José, 209, 50007 Zaragoza</t>
  </si>
  <si>
    <t>976 20 75 94</t>
  </si>
  <si>
    <t>41.6340353</t>
  </si>
  <si>
    <t>-0.9159462</t>
  </si>
  <si>
    <t>https://goo.gl/maps/V5uH3pMNBBAZ6tVs8</t>
  </si>
  <si>
    <t>https://streetviewpixels-pa.googleapis.com/v1/thumbnail?panoid=dnGNrIkSTREHAfmi7VCq3A&amp;cb_client=search.gws-prod.gps&amp;w=408&amp;h=240&amp;yaw=119.70281&amp;pitch=0&amp;thumbfov=100</t>
  </si>
  <si>
    <t>Patronato NSD- Patronato Católico Benefico Social de Nuestra Señora de los Dolores</t>
  </si>
  <si>
    <t>29</t>
  </si>
  <si>
    <t>J4RH+PP Zaragoza</t>
  </si>
  <si>
    <t>Calle del Privilegio de la Unión, 39, 50013 Zaragoza</t>
  </si>
  <si>
    <t>patronatolosdolores.es</t>
  </si>
  <si>
    <t>976 49 97 03</t>
  </si>
  <si>
    <t>patronato@albadanet.com</t>
  </si>
  <si>
    <t>41.6491076</t>
  </si>
  <si>
    <t>-0.9169577</t>
  </si>
  <si>
    <t>https://g.page/patronato_nsd?share</t>
  </si>
  <si>
    <t>https://lh5.googleusercontent.com/p/AF1QipM72uYTQER2dEC-zUwC0HsQ7Y2RHfwkKPRh6uEe=w960-h240-k-no</t>
  </si>
  <si>
    <t>Herbalife Distribuidor Independiente Zaragoza</t>
  </si>
  <si>
    <t>J4G7+M9 Zaragoza</t>
  </si>
  <si>
    <t>Calle Oviedo, 1, 3A, 50007 Zaragoza</t>
  </si>
  <si>
    <t>herbalife.es</t>
  </si>
  <si>
    <t>627 80 68 96</t>
  </si>
  <si>
    <t>41.6267173</t>
  </si>
  <si>
    <t>-0.9215464</t>
  </si>
  <si>
    <t>https://goo.gl/maps/DR3meA9HcfzEvutj9</t>
  </si>
  <si>
    <t>https://streetviewpixels-pa.googleapis.com/v1/thumbnail?panoid=ushb7qZxjX5pZDKiH8DiXw&amp;cb_client=search.gws-prod.gps&amp;w=408&amp;h=240&amp;yaw=30.73998&amp;pitch=0&amp;thumbfov=100</t>
  </si>
  <si>
    <t>La Bezindalla</t>
  </si>
  <si>
    <t>M32H+F5 Zaragoza</t>
  </si>
  <si>
    <t>Calle Pilar Aranda, 24, 50011 Zaragoza</t>
  </si>
  <si>
    <t>labezindalla.es</t>
  </si>
  <si>
    <t>976 00 47 77</t>
  </si>
  <si>
    <t>cooperativa@labezindalla.es</t>
  </si>
  <si>
    <t>41.651172</t>
  </si>
  <si>
    <t>-0.9571095</t>
  </si>
  <si>
    <t>https://goo.gl/maps/BD9MmghGqAqN3Uvg8</t>
  </si>
  <si>
    <t>https://streetviewpixels-pa.googleapis.com/v1/thumbnail?panoid=VeZLn_NvNottof7c3tYXVA&amp;cb_client=search.gws-prod.gps&amp;w=408&amp;h=240&amp;yaw=325.46774&amp;pitch=0&amp;thumbfov=100</t>
  </si>
  <si>
    <t>Kairós</t>
  </si>
  <si>
    <t>M4MH+9G Zaragoza</t>
  </si>
  <si>
    <t>Av. Academia Gral. Militar, 43, 45, 50015 Zaragoza</t>
  </si>
  <si>
    <t>agenciacolocacion.es</t>
  </si>
  <si>
    <t>41.6834943</t>
  </si>
  <si>
    <t>-0.9062155</t>
  </si>
  <si>
    <t>https://goo.gl/maps/dRnwhhSUNuHrVLb26</t>
  </si>
  <si>
    <t>https://lh5.googleusercontent.com/p/AF1QipO5L7xYD3PvLiCZu_fH3LSG5913q3ZHCZ9s89Ft=w408-h306-k-no</t>
  </si>
  <si>
    <t>Visión Extra Ocular</t>
  </si>
  <si>
    <t>M447+WR Zaragoza</t>
  </si>
  <si>
    <t>Calle de los Predicadores, 61, 50003 Zaragoza</t>
  </si>
  <si>
    <t>visionextraocular.es</t>
  </si>
  <si>
    <t>976 43 66 35</t>
  </si>
  <si>
    <t>contacto@visionextraocular.es</t>
  </si>
  <si>
    <t>41.6573653</t>
  </si>
  <si>
    <t>-0.9204473</t>
  </si>
  <si>
    <t>https://goo.gl/maps/jH1WpXQjj8SP4CmK9</t>
  </si>
  <si>
    <t>https://streetviewpixels-pa.googleapis.com/v1/thumbnail?panoid=Mz5IVLeJs7rAp0Xi_lmPyQ&amp;cb_client=search.gws-prod.gps&amp;w=408&amp;h=240&amp;yaw=192.96773&amp;pitch=0&amp;thumbfov=100</t>
  </si>
  <si>
    <t>Medicus Mundi Aragón</t>
  </si>
  <si>
    <t>J53H+VC Cartuja Baja</t>
  </si>
  <si>
    <t>Calle Mayor, 34, 50720 Cartuja Baja, Zaragoza</t>
  </si>
  <si>
    <t>Cartuja Baja</t>
  </si>
  <si>
    <t>976 20 11 68</t>
  </si>
  <si>
    <t>41.6046425</t>
  </si>
  <si>
    <t>-0.8564822</t>
  </si>
  <si>
    <t>https://goo.gl/maps/LjvmUyu7unphfrHx8</t>
  </si>
  <si>
    <t>https://streetviewpixels-pa.googleapis.com/v1/thumbnail?panoid=1z7l5OS9m0RPCGCJISk4Nw&amp;cb_client=search.gws-prod.gps&amp;w=408&amp;h=240&amp;yaw=266.63907&amp;pitch=0&amp;thumbfov=100</t>
  </si>
  <si>
    <t>Médicos Del Mundo</t>
  </si>
  <si>
    <t>P23J+M6 Monzalbarba</t>
  </si>
  <si>
    <t>Calle San Blas, 60, 50120 Monzalbarba, Zaragoza</t>
  </si>
  <si>
    <t>Monzalbarba</t>
  </si>
  <si>
    <t>medicosdelmundo.org</t>
  </si>
  <si>
    <t>976 40 44 94</t>
  </si>
  <si>
    <t>alba.villen@medicosdelmundo.org</t>
  </si>
  <si>
    <t>41.7041304</t>
  </si>
  <si>
    <t>-1.0044083</t>
  </si>
  <si>
    <t>https://goo.gl/maps/M9DZbygxpbx7pZEBA</t>
  </si>
  <si>
    <t>https://streetviewpixels-pa.googleapis.com/v1/thumbnail?panoid=1oS_27U5NQKQY2dcYDfH7w&amp;cb_client=search.gws-prod.gps&amp;w=408&amp;h=240&amp;yaw=69.43908&amp;pitch=0&amp;thumbfov=100</t>
  </si>
  <si>
    <t>Oviedo</t>
  </si>
  <si>
    <t>Asturias</t>
  </si>
  <si>
    <t>Gijón</t>
  </si>
  <si>
    <t>46</t>
  </si>
  <si>
    <t>43.3799693</t>
  </si>
  <si>
    <t>-6.434732</t>
  </si>
  <si>
    <t>Empujoncito. Consultoría de Innovación Social en Asturias</t>
  </si>
  <si>
    <t>Allande</t>
  </si>
  <si>
    <t>empujoncito.es</t>
  </si>
  <si>
    <t>620 36 98 76</t>
  </si>
  <si>
    <t>hola@empujoncito.es</t>
  </si>
  <si>
    <t>https://goo.gl/maps/hwRUMM2TGQj1uvuG7</t>
  </si>
  <si>
    <t>https://lh5.googleusercontent.com/p/AF1QipMdDgDlFPv-gXYtYOienk9uYV6zX9miv5_TexVW=w408-h485-k-no</t>
  </si>
  <si>
    <t>Mieres</t>
  </si>
  <si>
    <t>43.2718017</t>
  </si>
  <si>
    <t>-5.8465483</t>
  </si>
  <si>
    <t>Langreo</t>
  </si>
  <si>
    <t>Servicios Sociales Ayuntamiento de Avilés</t>
  </si>
  <si>
    <t>H33G+H4 Avilés</t>
  </si>
  <si>
    <t>Calle Galiana, 11, 33402 Avilés, Asturias</t>
  </si>
  <si>
    <t>Avilés</t>
  </si>
  <si>
    <t>985 55 16 20</t>
  </si>
  <si>
    <t>43.5538821</t>
  </si>
  <si>
    <t>-6.4849343</t>
  </si>
  <si>
    <t>https://goo.gl/maps/FaxTFCeC6Jz8Zt9Z7</t>
  </si>
  <si>
    <t>https://streetviewpixels-pa.googleapis.com/v1/thumbnail?panoid=2acJbr56a5sxduZMq_f5-w&amp;cb_client=search.gws-prod.gps&amp;w=408&amp;h=240&amp;yaw=109.10782&amp;pitch=0&amp;thumbfov=100</t>
  </si>
  <si>
    <t>Luarca</t>
  </si>
  <si>
    <t>554F+F2 Pola de Lena</t>
  </si>
  <si>
    <t>Calle el Llerón, 8, 33630 Pola de Lena, Asturias</t>
  </si>
  <si>
    <t>Pola de Lena</t>
  </si>
  <si>
    <t>985 49 28 60</t>
  </si>
  <si>
    <t>43.1561836</t>
  </si>
  <si>
    <t>-6.387723</t>
  </si>
  <si>
    <t>https://goo.gl/maps/kJWxuL5hunS1pQoy5</t>
  </si>
  <si>
    <t>https://streetviewpixels-pa.googleapis.com/v1/thumbnail?panoid=XQJRP_iYAmbifv-d3-e8xA&amp;cb_client=search.gws-prod.gps&amp;w=408&amp;h=240&amp;yaw=89.09908&amp;pitch=0&amp;thumbfov=100</t>
  </si>
  <si>
    <t>Cuidamos de Ti Servicios Sociales</t>
  </si>
  <si>
    <t>8835+XR Langreo</t>
  </si>
  <si>
    <t>Calle Marino Gutiérrez, 1, 33930 Langreo, Asturias</t>
  </si>
  <si>
    <t>cuidamosdeti.es</t>
  </si>
  <si>
    <t>984 28 26 33</t>
  </si>
  <si>
    <t>43.3583456</t>
  </si>
  <si>
    <t>-6.4097687</t>
  </si>
  <si>
    <t>https://goo.gl/maps/VXs4qJTVSiHghFin8</t>
  </si>
  <si>
    <t>https://lh5.googleusercontent.com/p/AF1QipPkGCRIzUeqgcjEAox3YDaOuQGmYVPVF-J4f8pl=w408-h432-k-no</t>
  </si>
  <si>
    <t>Grado</t>
  </si>
  <si>
    <t>43.3882998</t>
  </si>
  <si>
    <t>-6.633296</t>
  </si>
  <si>
    <t>Centro Socio Cultural La Mudrera</t>
  </si>
  <si>
    <t>89G7+F6 La Mudrera</t>
  </si>
  <si>
    <t>33935 La Mudrera, Asturias</t>
  </si>
  <si>
    <t>La Mudrera</t>
  </si>
  <si>
    <t>langreo.as</t>
  </si>
  <si>
    <t>informacion@ayto-langreo.es</t>
  </si>
  <si>
    <t>https://goo.gl/maps/mFYRt1dQPmunyMqJ7</t>
  </si>
  <si>
    <t>https://lh5.googleusercontent.com/p/AF1QipPCgamtQhNY5J06WeyjqEFkrwlKXWPb4vyv9KuE=w408-h306-k-no</t>
  </si>
  <si>
    <t>Ascivitas Asociación Cinco Villas Territorial de Asturias</t>
  </si>
  <si>
    <t>FVQQ+JH Pravia</t>
  </si>
  <si>
    <t>9, Plaza de la Marquesa de Casa Valdés, 8, 33120 Pravia, Asturias</t>
  </si>
  <si>
    <t>Pravia</t>
  </si>
  <si>
    <t>ascivitas.org</t>
  </si>
  <si>
    <t>985 82 14 59</t>
  </si>
  <si>
    <t>asociacion@ascivitas.org</t>
  </si>
  <si>
    <t>https://goo.gl/maps/Z6rHNHn8fkKz3qKX7</t>
  </si>
  <si>
    <t>https://lh5.googleusercontent.com/p/AF1QipNHtpEBWD25aB2TqUacQ1XitmH7Fx6Eml-KRPPg=w408-h272-k-no</t>
  </si>
  <si>
    <t>49</t>
  </si>
  <si>
    <t>9553+9J Oviedo</t>
  </si>
  <si>
    <t>Calle de Campomanes, 9, 33008 Oviedo, Asturias</t>
  </si>
  <si>
    <t>985 20 81 41</t>
  </si>
  <si>
    <t>https://goo.gl/maps/3jERhDtkmaXCSQFE8</t>
  </si>
  <si>
    <t>https://lh5.googleusercontent.com/p/AF1QipPbe2udBFEK01rqMFj4fD8v0E0qzq_BUWs9Vqk-=w408-h725-k-no</t>
  </si>
  <si>
    <t>Mancomunidad De Los Concejos Del Oriente De Asturias</t>
  </si>
  <si>
    <t>9V29+CV Cangas de Onís</t>
  </si>
  <si>
    <t>Av. D.Constantino Glez Y González, 5, 33550 Cangas de Onís, Asturias</t>
  </si>
  <si>
    <t>Cangas de Onís</t>
  </si>
  <si>
    <t>985 84 94 10</t>
  </si>
  <si>
    <t>https://goo.gl/maps/55EWt9Vk4rCeHjdE8</t>
  </si>
  <si>
    <t>https://streetviewpixels-pa.googleapis.com/v1/thumbnail?panoid=KDQPtns2rSf_3Z8DVsJDGg&amp;cb_client=search.gws-prod.gps&amp;w=408&amp;h=240&amp;yaw=271.8539&amp;pitch=0&amp;thumbfov=100</t>
  </si>
  <si>
    <t>Equipo Territorial del Área III Avilés</t>
  </si>
  <si>
    <t>H34H+PC Avilés</t>
  </si>
  <si>
    <t>Calle la Ferrería, 25, 33402 Avilés, Asturias</t>
  </si>
  <si>
    <t>985 12 97 98</t>
  </si>
  <si>
    <t>43.5567831</t>
  </si>
  <si>
    <t>-6.4817266</t>
  </si>
  <si>
    <t>https://goo.gl/maps/aHyb8SGw43e79dkX8</t>
  </si>
  <si>
    <t>https://streetviewpixels-pa.googleapis.com/v1/thumbnail?panoid=QT6UjCQc4eWYMNXaYjZwGQ&amp;cb_client=search.gws-prod.gps&amp;w=408&amp;h=240&amp;yaw=188.28793&amp;pitch=0&amp;thumbfov=100</t>
  </si>
  <si>
    <t>5796+X8 Moreda</t>
  </si>
  <si>
    <t>Av. Constitución, 37, 33670 Moreda, Asturias</t>
  </si>
  <si>
    <t>Moreda</t>
  </si>
  <si>
    <t>aller.es</t>
  </si>
  <si>
    <t>985 48 01 11</t>
  </si>
  <si>
    <t>43.1699175</t>
  </si>
  <si>
    <t>-6.2995414</t>
  </si>
  <si>
    <t>https://goo.gl/maps/yixt4Ckjxbun82Vo9</t>
  </si>
  <si>
    <t>https://streetviewpixels-pa.googleapis.com/v1/thumbnail?panoid=Q9CS3VizBPcmkKUslMGMLg&amp;cb_client=search.gws-prod.gps&amp;w=408&amp;h=240&amp;yaw=224.00253&amp;pitch=0&amp;thumbfov=100</t>
  </si>
  <si>
    <t>43.551892</t>
  </si>
  <si>
    <t>-6.4806779</t>
  </si>
  <si>
    <t>Fampa Federación De Asociación De Mayores Del Principado De Asturias</t>
  </si>
  <si>
    <t>9563+8F Oviedo</t>
  </si>
  <si>
    <t>Calle Fruela, 2, 1ºA, 33007 Oviedo, Asturias</t>
  </si>
  <si>
    <t>fampa.es</t>
  </si>
  <si>
    <t>985 23 64 03</t>
  </si>
  <si>
    <t>fampasturias@hotmail.com</t>
  </si>
  <si>
    <t>https://goo.gl/maps/wiKhC5S8piU9fdEM7</t>
  </si>
  <si>
    <t>https://streetviewpixels-pa.googleapis.com/v1/thumbnail?panoid=26o8zsERW29P2hyKEX9LhQ&amp;cb_client=search.gws-prod.gps&amp;w=408&amp;h=240&amp;yaw=355.1295&amp;pitch=0&amp;thumbfov=100</t>
  </si>
  <si>
    <t>Centro Social De Personas Mayores De Cabrales</t>
  </si>
  <si>
    <t>853P+4H Las Arenas</t>
  </si>
  <si>
    <t>Lugar Arenas, 125B, 33554 Las Arenas, Asturias</t>
  </si>
  <si>
    <t>Las Arenas</t>
  </si>
  <si>
    <t>43.3027759</t>
  </si>
  <si>
    <t>-5.3738634</t>
  </si>
  <si>
    <t>https://goo.gl/maps/2wNooSoN7MQaRNsA9</t>
  </si>
  <si>
    <t>https://lh5.googleusercontent.com/p/AF1QipNLLJYp5B2jzGSuFHTMCc_Ie0gohYL5uTNTksYI=w426-h240-k-no</t>
  </si>
  <si>
    <t>Concejalia de Asuntos Sociales, Igualdad y Consumo. Ayuntamiento de Valdés</t>
  </si>
  <si>
    <t>GFR7+9G Luarca</t>
  </si>
  <si>
    <t>Barrío Nuevo, 33700 Luarca, Asturias</t>
  </si>
  <si>
    <t>985 47 01 76</t>
  </si>
  <si>
    <t>43.5408913</t>
  </si>
  <si>
    <t>-7.0965514</t>
  </si>
  <si>
    <t>https://goo.gl/maps/4zqHZ9uT1cgAkHD18</t>
  </si>
  <si>
    <t>https://streetviewpixels-pa.googleapis.com/v1/thumbnail?panoid=hI_AO-JF_JzsdxR8i13CFg&amp;cb_client=search.gws-prod.gps&amp;w=408&amp;h=240&amp;yaw=21.830465&amp;pitch=0&amp;thumbfov=100</t>
  </si>
  <si>
    <t>Servcios Sociales</t>
  </si>
  <si>
    <t>7X2M+C8 Proaza</t>
  </si>
  <si>
    <t>Ctra. General, 0, 33118 Proaza, Asturias</t>
  </si>
  <si>
    <t>Proaza</t>
  </si>
  <si>
    <t>985 76 88 23</t>
  </si>
  <si>
    <t>43.4079583</t>
  </si>
  <si>
    <t>-6.4055936</t>
  </si>
  <si>
    <t>https://goo.gl/maps/79TEGAdz65sEA1rx7</t>
  </si>
  <si>
    <t>https://streetviewpixels-pa.googleapis.com/v1/thumbnail?panoid=hr8Tui6MoYPqYFGY4oRqyQ&amp;cb_client=search.gws-prod.gps&amp;w=408&amp;h=240&amp;yaw=294.6376&amp;pitch=0&amp;thumbfov=100</t>
  </si>
  <si>
    <t>Servicios Sociales UTS 1</t>
  </si>
  <si>
    <t>G3WV+96 Avilés</t>
  </si>
  <si>
    <t>Calle Sta. Rita, 28, 33403 Avilés, Asturias</t>
  </si>
  <si>
    <t>43.2485478</t>
  </si>
  <si>
    <t>-6.3334247</t>
  </si>
  <si>
    <t>https://goo.gl/maps/29iBjcXjshMv8J9b6</t>
  </si>
  <si>
    <t>https://lh5.googleusercontent.com/p/AF1QipMp7MMrPxI5jMv9JAUbqBpwWJnwx9p6d4KWt3G0=w426-h240-k-no</t>
  </si>
  <si>
    <t>G8QV+GF Gijón</t>
  </si>
  <si>
    <t>Calle Uría, 16, 33202 Gijón, Asturias</t>
  </si>
  <si>
    <t>985 36 27 33</t>
  </si>
  <si>
    <t>https://goo.gl/maps/T8Tyd96fQw2QnJxh9</t>
  </si>
  <si>
    <t>https://lh5.googleusercontent.com/p/AF1QipNVkun9OF10rDe3vnsmvmdcrlSz7SRyy-lb7IoM=w408-h306-k-no</t>
  </si>
  <si>
    <t>Ayuntamiento De Mieres- Asuntos Sociales</t>
  </si>
  <si>
    <t>763F+JP Mieres</t>
  </si>
  <si>
    <t>Calle Numa Guilhou, 36, 33600 Mieres, Asturias</t>
  </si>
  <si>
    <t>mieres.es</t>
  </si>
  <si>
    <t>985 46 49 74</t>
  </si>
  <si>
    <t>43.3588502</t>
  </si>
  <si>
    <t>-6.4059483</t>
  </si>
  <si>
    <t>https://goo.gl/maps/BDexPCi3xqevBpXB8</t>
  </si>
  <si>
    <t>https://streetviewpixels-pa.googleapis.com/v1/thumbnail?panoid=6xQUV4nm7zr01QODXLdfYQ&amp;cb_client=search.gws-prod.gps&amp;w=408&amp;h=240&amp;yaw=52.19576&amp;pitch=0&amp;thumbfov=100</t>
  </si>
  <si>
    <t>Fundación San Martín</t>
  </si>
  <si>
    <t>H37C+J6 Avilés</t>
  </si>
  <si>
    <t>Calle de el Balandro, 16, 33401 Avilés, Asturias</t>
  </si>
  <si>
    <t>fsmaviles.es</t>
  </si>
  <si>
    <t>985 52 07 95</t>
  </si>
  <si>
    <t>https://goo.gl/maps/AHQuGEghrBW3AC9Y8</t>
  </si>
  <si>
    <t>https://streetviewpixels-pa.googleapis.com/v1/thumbnail?panoid=18y-RWRkTjBZPHYCA3jV2g&amp;cb_client=search.gws-prod.gps&amp;w=408&amp;h=240&amp;yaw=25.47293&amp;pitch=0&amp;thumbfov=100</t>
  </si>
  <si>
    <t>Colegio Oficial de Farmaceuticos de Asturias</t>
  </si>
  <si>
    <t>9553+63 Oviedo</t>
  </si>
  <si>
    <t>Calle de Campomanes, 24, 33008 Oviedo, Asturias</t>
  </si>
  <si>
    <t>farmasturias.org</t>
  </si>
  <si>
    <t>985 21 29 43</t>
  </si>
  <si>
    <t>https://goo.gl/maps/Fre5GUqZq2aRHNLN8</t>
  </si>
  <si>
    <t>https://streetviewpixels-pa.googleapis.com/v1/thumbnail?panoid=c79eB0eze_rXUIc3J9MxJw&amp;cb_client=search.gws-prod.gps&amp;w=408&amp;h=240&amp;yaw=326.85016&amp;pitch=0&amp;thumbfov=100</t>
  </si>
  <si>
    <t>Servicios sociales Avilés II</t>
  </si>
  <si>
    <t>H32C+GH Avilés</t>
  </si>
  <si>
    <t>Calle Hermanos Espolita, 10, 33402 Avilés, Asturias</t>
  </si>
  <si>
    <t>aviles.es</t>
  </si>
  <si>
    <t>985 51 03 23</t>
  </si>
  <si>
    <t>https://goo.gl/maps/CuC2BhfwqLcHUoxn7</t>
  </si>
  <si>
    <t>https://streetviewpixels-pa.googleapis.com/v1/thumbnail?panoid=KSjhmQJLHSS30JFD6AA2Gg&amp;cb_client=search.gws-prod.gps&amp;w=408&amp;h=240&amp;yaw=359.83594&amp;pitch=0&amp;thumbfov=100</t>
  </si>
  <si>
    <t>6678+J9 Figaredo</t>
  </si>
  <si>
    <t>Carretera General, 0, 33683 Figaredo, Asturias</t>
  </si>
  <si>
    <t>Figaredo</t>
  </si>
  <si>
    <t>985 42 77 72</t>
  </si>
  <si>
    <t>https://goo.gl/maps/hJuSoAssnZTLqHac8</t>
  </si>
  <si>
    <t>https://streetviewpixels-pa.googleapis.com/v1/thumbnail?panoid=CyBwECII2FWJDQPb2JLtEw&amp;cb_client=search.gws-prod.gps&amp;w=408&amp;h=240&amp;yaw=269.7188&amp;pitch=0&amp;thumbfov=100</t>
  </si>
  <si>
    <t>171</t>
  </si>
  <si>
    <t>G8CC+3P Gijón</t>
  </si>
  <si>
    <t>Calle de les Cigarreres, 38, 33211 Gijón, Asturias</t>
  </si>
  <si>
    <t>985 31 93 13</t>
  </si>
  <si>
    <t>https://goo.gl/maps/vv9HQWryzYGj34WF6</t>
  </si>
  <si>
    <t>https://lh5.googleusercontent.com/p/AF1QipOZuFvSaMc-KHi3bqJ6FinlDPDaV8milmNbULjY=w426-h240-k-no</t>
  </si>
  <si>
    <t>U T S Vallobin</t>
  </si>
  <si>
    <t>948H+RX Oviedo</t>
  </si>
  <si>
    <t>Calle José María Fernández Buelta, 7, 33012 Oviedo, Asturias</t>
  </si>
  <si>
    <t>985 27 74 06</t>
  </si>
  <si>
    <t>43.3339825</t>
  </si>
  <si>
    <t>-6.4475515</t>
  </si>
  <si>
    <t>https://goo.gl/maps/JUBDnoJDAmfjBSFs9</t>
  </si>
  <si>
    <t>https://lh5.googleusercontent.com/p/AF1QipMoVpDi03y-gThWd9H1y8lH13diWGr6v5DsSgoE=w408-h306-k-no</t>
  </si>
  <si>
    <t>Fundación Cauce</t>
  </si>
  <si>
    <t>9543+P6 Oviedo</t>
  </si>
  <si>
    <t>Calle Cardenal Inguanzo, 2, 33008 Oviedo, Asturias</t>
  </si>
  <si>
    <t>fundacioncauce.org</t>
  </si>
  <si>
    <t>985 22 64 01</t>
  </si>
  <si>
    <t>info@fundacioncauce.org</t>
  </si>
  <si>
    <t>https://goo.gl/maps/NUniEnLCqY5eH71n6</t>
  </si>
  <si>
    <t>https://lh5.googleusercontent.com/p/AF1QipNGNQ-90kvk8rWKE5JOeBbOip4YWn_ZWbXr11Dd=w408-h306-k-no</t>
  </si>
  <si>
    <t>Centro de Dia de Moreda</t>
  </si>
  <si>
    <t>5796+H7 Moreda</t>
  </si>
  <si>
    <t>33670 Moreda, Asturias</t>
  </si>
  <si>
    <t>https://goo.gl/maps/vYdTD3K2pnsPaPc28</t>
  </si>
  <si>
    <t>https://streetviewpixels-pa.googleapis.com/v1/thumbnail?panoid=ECLgS-g-AcPjS5BQcpdxRg&amp;cb_client=search.gws-prod.gps&amp;w=408&amp;h=240&amp;yaw=234.1066&amp;pitch=0&amp;thumbfov=100</t>
  </si>
  <si>
    <t>Comedor Social de Oviedo / Uviéu (Cocina Económica)</t>
  </si>
  <si>
    <t>73</t>
  </si>
  <si>
    <t>9575+24 Oviedo</t>
  </si>
  <si>
    <t>Calle San Vicente, 6, 33003 Oviedo, Asturias</t>
  </si>
  <si>
    <t>cocinaeconomicaoviedo.es</t>
  </si>
  <si>
    <t>985 21 28 25</t>
  </si>
  <si>
    <t>cocinaoviedo@telecable.es</t>
  </si>
  <si>
    <t>https://goo.gl/maps/jrgtz5zXCyF465i49</t>
  </si>
  <si>
    <t>https://lh5.googleusercontent.com/p/AF1QipOfPret-zZ9k4cHt9i7OK0fGwMh7CiJYy6oaChD=w408-h305-k-no</t>
  </si>
  <si>
    <t>6CXP+WF Pola de Laviana</t>
  </si>
  <si>
    <t>Calle de la Libertad, 2A, 33989 Pola de Laviana, Asturias</t>
  </si>
  <si>
    <t>Pola de Laviana</t>
  </si>
  <si>
    <t>985 60 10 44</t>
  </si>
  <si>
    <t>https://goo.gl/maps/mSWSjBXvfeTSLuxf8</t>
  </si>
  <si>
    <t>https://lh5.googleusercontent.com/p/AF1QipMDjUve80LuQked6kF8WyooaLIASxuEfkl_6HAH=w426-h240-k-no</t>
  </si>
  <si>
    <t>H34H+FQ Avilés</t>
  </si>
  <si>
    <t>Calle Jovellanos, 1, 33402 Avilés, Asturias</t>
  </si>
  <si>
    <t>985 51 00 67</t>
  </si>
  <si>
    <t>https://goo.gl/maps/V2sNtpugYPHLBn7y5</t>
  </si>
  <si>
    <t>https://streetviewpixels-pa.googleapis.com/v1/thumbnail?panoid=WuqWdvMblZThYEbKoLD5SA&amp;cb_client=search.gws-prod.gps&amp;w=408&amp;h=240&amp;yaw=50.64711&amp;pitch=0&amp;thumbfov=100</t>
  </si>
  <si>
    <t>9WMJ+WR Grado</t>
  </si>
  <si>
    <t>Calle las Calles Nuevas, 53, 33820 Grado, Asturias</t>
  </si>
  <si>
    <t>985 75 00 30</t>
  </si>
  <si>
    <t>https://goo.gl/maps/JU3VUzyyXgqEhATQ6</t>
  </si>
  <si>
    <t>https://streetviewpixels-pa.googleapis.com/v1/thumbnail?panoid=ok2XuBrgjgxOQqGJc8XHgg&amp;cb_client=search.gws-prod.gps&amp;w=408&amp;h=240&amp;yaw=247.31767&amp;pitch=0&amp;thumbfov=100</t>
  </si>
  <si>
    <t>Fundación Cruz de los Ángeles</t>
  </si>
  <si>
    <t>9542+GP Oviedo</t>
  </si>
  <si>
    <t>Calle Sacramento, 20, Bajo, 33008 Oviedo, Asturias</t>
  </si>
  <si>
    <t>cruzdelosangeles.org</t>
  </si>
  <si>
    <t>985 21 13 99</t>
  </si>
  <si>
    <t>info@cruzdelosangeles.org</t>
  </si>
  <si>
    <t>https://g.page/cruzdelosangeles?share</t>
  </si>
  <si>
    <t>https://streetviewpixels-pa.googleapis.com/v1/thumbnail?panoid=gGNJjtGBTvsG76pdYI5fVQ&amp;cb_client=search.gws-prod.gps&amp;w=408&amp;h=240&amp;yaw=294.71494&amp;pitch=0&amp;thumbfov=100</t>
  </si>
  <si>
    <t>Fucomi, Fundación Comarcas Mineras</t>
  </si>
  <si>
    <t>58</t>
  </si>
  <si>
    <t>6756+HP Villapendi</t>
  </si>
  <si>
    <t>Pozo San José, s/n, 33600 Turón, Mieres,Asturias, Asturias</t>
  </si>
  <si>
    <t>Villapendi</t>
  </si>
  <si>
    <t>fucomi.com</t>
  </si>
  <si>
    <t>985 42 00 25</t>
  </si>
  <si>
    <t>fucomi@fucomi.com</t>
  </si>
  <si>
    <t>https://goo.gl/maps/Rtj4VFKJw5nGHT797</t>
  </si>
  <si>
    <t>https://lh5.googleusercontent.com/p/AF1QipPyYJN58erHNRa1ZTVIcCOS8tvt9SAYDSpL2bDs=w426-h240-k-no</t>
  </si>
  <si>
    <t>43.3604759</t>
  </si>
  <si>
    <t>-6.4171394</t>
  </si>
  <si>
    <t>Cáritas Arciprestal de Avilés</t>
  </si>
  <si>
    <t>H359+QV Avilés</t>
  </si>
  <si>
    <t>Calle del Quirinal, 14, 33401 Avilés, Asturias</t>
  </si>
  <si>
    <t>985 56 27 04</t>
  </si>
  <si>
    <t>https://goo.gl/maps/YS7jBeaCi8TzU1gHA</t>
  </si>
  <si>
    <t>https://streetviewpixels-pa.googleapis.com/v1/thumbnail?panoid=fPdYEW7tMG47UDD9sJTgkg&amp;cb_client=search.gws-prod.gps&amp;w=408&amp;h=240&amp;yaw=331.7912&amp;pitch=0&amp;thumbfov=100</t>
  </si>
  <si>
    <t>Cáritas Diocesiana</t>
  </si>
  <si>
    <t>G8PM+P3 Gijón</t>
  </si>
  <si>
    <t>Calle Álvaro de Albornoz, 19, 33207 Gijón, Asturias</t>
  </si>
  <si>
    <t>985 17 58 67</t>
  </si>
  <si>
    <t>https://goo.gl/maps/ERhNCfopp6ao6XVt9</t>
  </si>
  <si>
    <t>https://streetviewpixels-pa.googleapis.com/v1/thumbnail?panoid=XQjFnMdPvMQhshVB2aoj8A&amp;cb_client=search.gws-prod.gps&amp;w=408&amp;h=240&amp;yaw=47.041378&amp;pitch=0&amp;thumbfov=100</t>
  </si>
  <si>
    <t>Emaús Fundación Social EkoShop</t>
  </si>
  <si>
    <t>G8JQ+29 Gijón</t>
  </si>
  <si>
    <t>Av. del Llano, 51, 33209 Gijón, Asturias</t>
  </si>
  <si>
    <t>emaus.com</t>
  </si>
  <si>
    <t>985 16 46 12</t>
  </si>
  <si>
    <t>43.534039</t>
  </si>
  <si>
    <t>-6.4584084</t>
  </si>
  <si>
    <t>https://goo.gl/maps/ybYLAjoKhkeX2GA9A</t>
  </si>
  <si>
    <t>https://lh5.googleusercontent.com/p/AF1QipN2urWvvVEHjf6bA8sIoOkN3oTBwgaXAjRstPoa=w408-h272-k-no</t>
  </si>
  <si>
    <t>GP8J+3M Colunga</t>
  </si>
  <si>
    <t>Barrio Bajada al Puerto, 33320 Colunga, Asturias</t>
  </si>
  <si>
    <t>Colunga</t>
  </si>
  <si>
    <t>985 85 05 11</t>
  </si>
  <si>
    <t>43.1013954</t>
  </si>
  <si>
    <t>-6.0583095</t>
  </si>
  <si>
    <t>https://goo.gl/maps/Jkrga2GSqzNV6BW38</t>
  </si>
  <si>
    <t>https://streetviewpixels-pa.googleapis.com/v1/thumbnail?panoid=yTR7pC_Bfw-SXK-yA4ylcg&amp;cb_client=search.gws-prod.gps&amp;w=408&amp;h=240&amp;yaw=315.17636&amp;pitch=0&amp;thumbfov=100</t>
  </si>
  <si>
    <t>Col·legi Oficial Treball Social Illes Balears</t>
  </si>
  <si>
    <t>HJFR+VM Palma</t>
  </si>
  <si>
    <t>Carrer de Simó Ballester, 5, 07011 Palma, Illes Balears</t>
  </si>
  <si>
    <t>Palma</t>
  </si>
  <si>
    <t>Illes Balears</t>
  </si>
  <si>
    <t>treballsocialib.com</t>
  </si>
  <si>
    <t>971 22 26 20</t>
  </si>
  <si>
    <t>39.6025732</t>
  </si>
  <si>
    <t>2.6323953</t>
  </si>
  <si>
    <t>https://goo.gl/maps/1DNbU7nrS4PNucmV8</t>
  </si>
  <si>
    <t>https://lh5.googleusercontent.com/p/AF1QipPWtDOKaOtWlJ-LSCJ-RQ7v23DOHNY8e6MWSTRt=w408-h408-k-no</t>
  </si>
  <si>
    <t>Balearic Islands</t>
  </si>
  <si>
    <t>91</t>
  </si>
  <si>
    <t>Institut De Treball Social I Serveis Socials</t>
  </si>
  <si>
    <t>FVP3+72 Lluchmayor</t>
  </si>
  <si>
    <t>Poligono Son Noguera, 20, 07620 Llucmajor, Illes Balears</t>
  </si>
  <si>
    <t>Lluchmayor</t>
  </si>
  <si>
    <t>971 66 00 83</t>
  </si>
  <si>
    <t>39.4856996</t>
  </si>
  <si>
    <t>2.7124854</t>
  </si>
  <si>
    <t>https://goo.gl/maps/cGLFUkLw4LGLXzjz5</t>
  </si>
  <si>
    <t>https://streetviewpixels-pa.googleapis.com/v1/thumbnail?panoid=E8TdCXgM-yqO29XWHuVmUQ&amp;cb_client=search.gws-prod.gps&amp;w=408&amp;h=240&amp;yaw=101.126945&amp;pitch=0&amp;thumbfov=100</t>
  </si>
  <si>
    <t>39.5880103</t>
  </si>
  <si>
    <t>2.5160814</t>
  </si>
  <si>
    <t>Institut Mallorquí d&amp;apos;Afers Socials</t>
  </si>
  <si>
    <t>HJPW+P7 Palma</t>
  </si>
  <si>
    <t>C/ del General Riera, 67, 07010 Palma, Illes Balears</t>
  </si>
  <si>
    <t>imasmallorca.net</t>
  </si>
  <si>
    <t>900 100 444</t>
  </si>
  <si>
    <t>comunicacio@imas.conselldemallorca.net</t>
  </si>
  <si>
    <t>https://goo.gl/maps/xZWqM97DWuhzN4H1A</t>
  </si>
  <si>
    <t>https://lh5.googleusercontent.com/p/AF1QipMcjCtJuim6GMh0Bi7kMwNVYKnar6KP5bIvRyEh=w426-h240-k-no</t>
  </si>
  <si>
    <t>Intress</t>
  </si>
  <si>
    <t>HJFX+7R Palma</t>
  </si>
  <si>
    <t>La Rambla, 15, 2º1ª, 07003 Palma, Balearic Islands</t>
  </si>
  <si>
    <t>intress.org</t>
  </si>
  <si>
    <t>971 71 50 29</t>
  </si>
  <si>
    <t>intress@intress.org</t>
  </si>
  <si>
    <t>https://goo.gl/maps/sMghwcfXNECtb41L6</t>
  </si>
  <si>
    <t>https://streetviewpixels-pa.googleapis.com/v1/thumbnail?panoid=nCAgTSTnEG1u1aJehN493g&amp;cb_client=search.gws-prod.gps&amp;w=408&amp;h=240&amp;yaw=198.67015&amp;pitch=0&amp;thumbfov=100</t>
  </si>
  <si>
    <t>Nuevo Futuro Mallorca</t>
  </si>
  <si>
    <t>HJ9W+G2 Palma</t>
  </si>
  <si>
    <t>Carrer de Sant Joan, 3, 07012 Palma, Illes Balears</t>
  </si>
  <si>
    <t>nuevofuturo.org</t>
  </si>
  <si>
    <t>971 72 83 27</t>
  </si>
  <si>
    <t>madrid@nuevofuturo.org</t>
  </si>
  <si>
    <t>https://goo.gl/maps/LKoG7rvFRpcAMeXx5</t>
  </si>
  <si>
    <t>https://streetviewpixels-pa.googleapis.com/v1/thumbnail?panoid=31SfiDxuaz_pnoVLF1s-rA&amp;cb_client=search.gws-prod.gps&amp;w=408&amp;h=240&amp;yaw=105.210594&amp;pitch=0&amp;thumbfov=100</t>
  </si>
  <si>
    <t>Centro Municipal de Servicios Sociales Litoral de Llevant</t>
  </si>
  <si>
    <t>HM3V+HP Palma</t>
  </si>
  <si>
    <t>Carrer de José Vargas Ponce, 24, 07007 Palma, Illes Balears</t>
  </si>
  <si>
    <t>971 26 86 90</t>
  </si>
  <si>
    <t>39.5643684</t>
  </si>
  <si>
    <t>1.5180616</t>
  </si>
  <si>
    <t>https://goo.gl/maps/VA56QSSGfuKGJpoQA</t>
  </si>
  <si>
    <t>https://lh5.googleusercontent.com/p/AF1QipP3oHuvazGkAobl_ma78T1D0cLZMDfADlGKBxY=w426-h240-k-no</t>
  </si>
  <si>
    <t>39.7714076</t>
  </si>
  <si>
    <t>1.9264075</t>
  </si>
  <si>
    <t>Apotecaris Solidaris</t>
  </si>
  <si>
    <t>HMX7+3V Palma</t>
  </si>
  <si>
    <t>Avinguda Setze de Juliol, 21, 07009 Palma, Illes Balears</t>
  </si>
  <si>
    <t>apotecarissolidaris.org</t>
  </si>
  <si>
    <t>971 43 28 73</t>
  </si>
  <si>
    <t>info@apotecarissolidaris.org</t>
  </si>
  <si>
    <t>https://goo.gl/maps/cV6wVJgEbHM8obLX7</t>
  </si>
  <si>
    <t>https://streetviewpixels-pa.googleapis.com/v1/thumbnail?panoid=iDNuOCGSx_rDmWuyDQ9WdA&amp;cb_client=search.gws-prod.gps&amp;w=408&amp;h=240&amp;yaw=243.30122&amp;pitch=0&amp;thumbfov=100</t>
  </si>
  <si>
    <t>W4MP+CV Alayor</t>
  </si>
  <si>
    <t>Carrer de Baixamar, 43, 07730 Alaior, Illes Balears</t>
  </si>
  <si>
    <t>Alayor</t>
  </si>
  <si>
    <t>971 37 10 38</t>
  </si>
  <si>
    <t>https://goo.gl/maps/MiLsoyhZVt6KNFyu8</t>
  </si>
  <si>
    <t>https://streetviewpixels-pa.googleapis.com/v1/thumbnail?panoid=GgS6W4C44isPco-k1bmMaw&amp;cb_client=search.gws-prod.gps&amp;w=408&amp;h=240&amp;yaw=85.31182&amp;pitch=0&amp;thumbfov=100</t>
  </si>
  <si>
    <t>Espai Joana Barceló - Cáritas Diocesana de Mallorca</t>
  </si>
  <si>
    <t>HM93+8X Palma</t>
  </si>
  <si>
    <t>Carrer del Socors, 20, 07002 Palma, Illes Balears</t>
  </si>
  <si>
    <t>caritasmallorca.org</t>
  </si>
  <si>
    <t>971 21 49 99</t>
  </si>
  <si>
    <t>https://goo.gl/maps/zBTzdeYWHur4D7Vd6</t>
  </si>
  <si>
    <t>https://streetviewpixels-pa.googleapis.com/v1/thumbnail?panoid=hG9RebjWKuGv9haRDyJn8g&amp;cb_client=search.gws-prod.gps&amp;w=408&amp;h=240&amp;yaw=134.61337&amp;pitch=0&amp;thumbfov=100</t>
  </si>
  <si>
    <t>Jutjat Social Nº1</t>
  </si>
  <si>
    <t>2R2P+5Q Ciudadela de Menorca</t>
  </si>
  <si>
    <t>Plaça des Born, 9, 07760 Ciutadella de Menorca, Illes Balears</t>
  </si>
  <si>
    <t>Ciudadela de Menorca</t>
  </si>
  <si>
    <t>971 38 63 62</t>
  </si>
  <si>
    <t>https://goo.gl/maps/dnEgNTqrfAtZmyYm6</t>
  </si>
  <si>
    <t>https://streetviewpixels-pa.googleapis.com/v1/thumbnail?panoid=fNTaI2A8keIj3OjpWc5loQ&amp;cb_client=search.gws-prod.gps&amp;w=408&amp;h=240&amp;yaw=132.64233&amp;pitch=0&amp;thumbfov=100</t>
  </si>
  <si>
    <t>Maó-Mahón</t>
  </si>
  <si>
    <t>39.8793301</t>
  </si>
  <si>
    <t>3.1351163</t>
  </si>
  <si>
    <t>R7X5+25 San Luis</t>
  </si>
  <si>
    <t>Carrer de Sant Lluís, 114, 07710 Sant Lluís, Illes Balears</t>
  </si>
  <si>
    <t>San Luis</t>
  </si>
  <si>
    <t>ajsantlluis.org</t>
  </si>
  <si>
    <t>971 15 67 91</t>
  </si>
  <si>
    <t>sac@ajsantlluis.org</t>
  </si>
  <si>
    <t>https://goo.gl/maps/znMeFTx4GeKVaF4v8</t>
  </si>
  <si>
    <t>https://streetviewpixels-pa.googleapis.com/v1/thumbnail?panoid=nLk_eb2FF_3krg8r42HRog&amp;cb_client=search.gws-prod.gps&amp;w=408&amp;h=240&amp;yaw=287.14087&amp;pitch=0&amp;thumbfov=100</t>
  </si>
  <si>
    <t>Menors I Familia</t>
  </si>
  <si>
    <t>WC37+8Q Ibiza</t>
  </si>
  <si>
    <t>Carrer de Cosme Vidal Llàser, 0, 07800 Eivissa, Illes Balears</t>
  </si>
  <si>
    <t>Ibiza</t>
  </si>
  <si>
    <t>971 19 56 12</t>
  </si>
  <si>
    <t>38.9032802</t>
  </si>
  <si>
    <t>0.2938583</t>
  </si>
  <si>
    <t>https://goo.gl/maps/aQFNbpqQrKHHtzA27</t>
  </si>
  <si>
    <t>https://streetviewpixels-pa.googleapis.com/v1/thumbnail?panoid=IRocAvseZurBuZrKc3beIw&amp;cb_client=search.gws-prod.gps&amp;w=408&amp;h=240&amp;yaw=346.66647&amp;pitch=0&amp;thumbfov=100</t>
  </si>
  <si>
    <t>Obra Cultural Balear</t>
  </si>
  <si>
    <t>HM83+M3 Palma</t>
  </si>
  <si>
    <t>Carrer de Sant Alonso, 24, 07001 Palma, Illes Balears</t>
  </si>
  <si>
    <t>ocb.cat</t>
  </si>
  <si>
    <t>971 72 32 99</t>
  </si>
  <si>
    <t>39.5666398</t>
  </si>
  <si>
    <t>1.5320556</t>
  </si>
  <si>
    <t>https://goo.gl/maps/CUUx7CqRmjnQKLsk6</t>
  </si>
  <si>
    <t>https://lh5.googleusercontent.com/p/AF1QipPyPB_-GFVyxseUDmXz30rABS8Kbh-7yUvOPG-i=w408-h306-k-no</t>
  </si>
  <si>
    <t>Manacor</t>
  </si>
  <si>
    <t>XGMM+H5 Santa Eulalia del Río</t>
  </si>
  <si>
    <t>Edificio Polivalente, Carrer de Marià Riquer Wallis, 4, 4ª Planta, 07840 Santa Eulalia Des Ríu,Islas Baleares, Balearic Islands</t>
  </si>
  <si>
    <t>Santa Eulalia del Río</t>
  </si>
  <si>
    <t>santaeulariadesriu.com</t>
  </si>
  <si>
    <t>971 33 29 00</t>
  </si>
  <si>
    <t>webmaster@santaeulalia.net</t>
  </si>
  <si>
    <t>38.9839604</t>
  </si>
  <si>
    <t>0.4123245</t>
  </si>
  <si>
    <t>https://goo.gl/maps/AnVSTfJwyR6kVCR48</t>
  </si>
  <si>
    <t>https://streetviewpixels-pa.googleapis.com/v1/thumbnail?panoid=cGyHVrDdwJ0qQeqmSO8ecg&amp;cb_client=search.gws-prod.gps&amp;w=408&amp;h=240&amp;yaw=256.64597&amp;pitch=0&amp;thumbfov=100</t>
  </si>
  <si>
    <t>Servicios Sociales De Inca</t>
  </si>
  <si>
    <t>PW84+FQ Inca</t>
  </si>
  <si>
    <t>Avinguda del General Luque, 233, 07300 Inca, Illes Balears</t>
  </si>
  <si>
    <t>Inca</t>
  </si>
  <si>
    <t>incaciutat.com</t>
  </si>
  <si>
    <t>871 91 23 71</t>
  </si>
  <si>
    <t>39.5690926</t>
  </si>
  <si>
    <t>1.5227612</t>
  </si>
  <si>
    <t>https://goo.gl/maps/pftPw5XS4PmvW77V8</t>
  </si>
  <si>
    <t>https://lh5.googleusercontent.com/p/AF1QipOuF8x6ZbPbgVuMWpAkGlgv-oMheLZC4IB2Q2Na=w408-h545-k-no</t>
  </si>
  <si>
    <t>39.5656583</t>
  </si>
  <si>
    <t>1.5414131</t>
  </si>
  <si>
    <t>Asociación De Madres De Discapacitados De Baleares</t>
  </si>
  <si>
    <t>HMR5+W4 Palma</t>
  </si>
  <si>
    <t>Travessia Comandante Gibert, 9, 07008 Palma, Illes Balears</t>
  </si>
  <si>
    <t>971 47 33 47</t>
  </si>
  <si>
    <t>https://goo.gl/maps/XbtUvZRQsxY1d7kf8</t>
  </si>
  <si>
    <t>https://streetviewpixels-pa.googleapis.com/v1/thumbnail?panoid=D-EKdiWBopuF9bgBgZmTIA&amp;cb_client=search.gws-prod.gps&amp;w=408&amp;h=240&amp;yaw=163.96765&amp;pitch=0&amp;thumbfov=100</t>
  </si>
  <si>
    <t>Teleasistencia en Palma de Mallorca</t>
  </si>
  <si>
    <t>HJGW+HQ Palma</t>
  </si>
  <si>
    <t>Av. d&amp;apos;Alemanya, 17, Bajo, 07003 Palma, Balearic Islands</t>
  </si>
  <si>
    <t>971 71 15 10</t>
  </si>
  <si>
    <t>https://g.page/teleasistencia-palma-de-mallorca?share</t>
  </si>
  <si>
    <t>https://lh5.googleusercontent.com/p/AF1QipMZgag5yf6bv6dqVcdGfjH2O0NpbHjA1QH0chpW=w408-h271-k-no</t>
  </si>
  <si>
    <t>Alcudia</t>
  </si>
  <si>
    <t>Ajuntament de Palma de Mallorca</t>
  </si>
  <si>
    <t>HMCC+77 Palma</t>
  </si>
  <si>
    <t>Carrer de les Ànimes, 2, 07007 Palma, Illes Balears</t>
  </si>
  <si>
    <t>971 24 12 96</t>
  </si>
  <si>
    <t>39.5706277</t>
  </si>
  <si>
    <t>1.5501342</t>
  </si>
  <si>
    <t>https://goo.gl/maps/FRM2NJgNPAFZqmrT9</t>
  </si>
  <si>
    <t>https://streetviewpixels-pa.googleapis.com/v1/thumbnail?panoid=F9d4X1cMgiRetfMxikKaYQ&amp;cb_client=search.gws-prod.gps&amp;w=408&amp;h=240&amp;yaw=168.57562&amp;pitch=0&amp;thumbfov=100</t>
  </si>
  <si>
    <t>Centre Social Municipal Ses Rotes Velles Santa Ponça</t>
  </si>
  <si>
    <t>GF9M+CC Rotes Velles</t>
  </si>
  <si>
    <t>Carrer del Riu Síl, 4, 07183 Rotes Velles, Illes Balears</t>
  </si>
  <si>
    <t>Rotes Velles</t>
  </si>
  <si>
    <t>calvia.com</t>
  </si>
  <si>
    <t>971 69 33 51</t>
  </si>
  <si>
    <t>calvia@calvia.com</t>
  </si>
  <si>
    <t>39.5185056</t>
  </si>
  <si>
    <t>1.3629965</t>
  </si>
  <si>
    <t>https://goo.gl/maps/RbMPjY5Lf1uN14m47</t>
  </si>
  <si>
    <t>https://streetviewpixels-pa.googleapis.com/v1/thumbnail?panoid=SzUg2ep_wyYPKPia473ibg&amp;cb_client=search.gws-prod.gps&amp;w=408&amp;h=240&amp;yaw=173.97606&amp;pitch=0&amp;thumbfov=100</t>
  </si>
  <si>
    <t>Centre Serveis Socials Comunitaris Bàsics</t>
  </si>
  <si>
    <t>HM85+7P Palma</t>
  </si>
  <si>
    <t>Carrer de Joan Alcover, 59, 07006 Palma, Illes Balears</t>
  </si>
  <si>
    <t>https://goo.gl/maps/ia412MTn2akJXK5e8</t>
  </si>
  <si>
    <t>https://lh5.googleusercontent.com/p/AF1QipOU-XC1t-rE_qYvEIxQwjMZfxkZ36Ltrn7iabcf=w408-h544-k-no</t>
  </si>
  <si>
    <t>Vivienda Tutelada</t>
  </si>
  <si>
    <t>PQ4R+9R Alaró</t>
  </si>
  <si>
    <t>Plaça del Rosari, 1, 07340 Alaró, Illes Balears</t>
  </si>
  <si>
    <t>Alaró</t>
  </si>
  <si>
    <t>971 51 00 52</t>
  </si>
  <si>
    <t>https://goo.gl/maps/phWJu9tFjHhZRKUx7</t>
  </si>
  <si>
    <t>https://streetviewpixels-pa.googleapis.com/v1/thumbnail?panoid=1zXRqfnd-_2JxkzSCeF5zQ&amp;cb_client=search.gws-prod.gps&amp;w=408&amp;h=240&amp;yaw=331.88168&amp;pitch=0&amp;thumbfov=100</t>
  </si>
  <si>
    <t>39.7743639</t>
  </si>
  <si>
    <t>1.8435034</t>
  </si>
  <si>
    <t>Asociación Mallorquina Para Personas Con Disminucion Psiquica</t>
  </si>
  <si>
    <t>GGH2+MH Palmanova</t>
  </si>
  <si>
    <t>Ctra. Santa Ponça-Calvià, 0, 07181 Palmanova, Illes Balears</t>
  </si>
  <si>
    <t>Palmanova</t>
  </si>
  <si>
    <t>971 68 22 05</t>
  </si>
  <si>
    <t>https://goo.gl/maps/mXbTwuGhYNtG8k1X6</t>
  </si>
  <si>
    <t>https://streetviewpixels-pa.googleapis.com/v1/thumbnail?panoid=XYPb3_v1Ey5LZ2LKPPhK7w&amp;cb_client=search.gws-prod.gps&amp;w=408&amp;h=240&amp;yaw=129.37299&amp;pitch=0&amp;thumbfov=100</t>
  </si>
  <si>
    <t>T&amp;apos;ajuda</t>
  </si>
  <si>
    <t>HJHX+88 Palma</t>
  </si>
  <si>
    <t>Avinguda d’Alemanya 4, C/ del General Riera, Esquina, 2ºdcha, 07003 Palma, Balearic Islands</t>
  </si>
  <si>
    <t>tajuda.es</t>
  </si>
  <si>
    <t>871 03 58 15</t>
  </si>
  <si>
    <t>info@tajuda.es</t>
  </si>
  <si>
    <t>https://g.page/tajuda?share</t>
  </si>
  <si>
    <t>https://lh5.googleusercontent.com/p/AF1QipPvOaY-BizaU35zY5ZiZ97shgvOI6NnZVtBNMzT=w426-h240-k-no</t>
  </si>
  <si>
    <t>UNAC</t>
  </si>
  <si>
    <t>HMXG+2J Palma</t>
  </si>
  <si>
    <t>Carrer de Cala Blanca, 2, 07009 Palma, Illes Balears</t>
  </si>
  <si>
    <t>unacbaleares.org</t>
  </si>
  <si>
    <t>672 60 09 69</t>
  </si>
  <si>
    <t>informacion@unacbaleares.org</t>
  </si>
  <si>
    <t>https://goo.gl/maps/JkF4zZyEp5vwtTc68</t>
  </si>
  <si>
    <t>https://lh5.googleusercontent.com/p/AF1QipN3H-ngHcwRJrE_1cegg0-oGskduw2ZW7QBhGx3=w409-h240-k-no</t>
  </si>
  <si>
    <t>39.5903944</t>
  </si>
  <si>
    <t>1.5304524</t>
  </si>
  <si>
    <t>ALAS (Mallorca) - Associació de Lluita Antisida de les Illes Balears</t>
  </si>
  <si>
    <t>HJHX+H8 Palma</t>
  </si>
  <si>
    <t>C/ del General Riera, 3, 07003 Palma, Illes Balears</t>
  </si>
  <si>
    <t>alas-baleares.com</t>
  </si>
  <si>
    <t>680 73 03 03</t>
  </si>
  <si>
    <t>atpsicologica@alas-baleares.com</t>
  </si>
  <si>
    <t>https://goo.gl/maps/SMr8vExfEL3qmUvW6</t>
  </si>
  <si>
    <t>https://lh5.googleusercontent.com/p/AF1QipMT6yAP7Sm1fLmUCC5SPyJVEHUasicPQURkI2JE=w408-h544-k-no</t>
  </si>
  <si>
    <t>Cmss Mestral</t>
  </si>
  <si>
    <t>HJCP+3M Palma</t>
  </si>
  <si>
    <t>Carrer Soltes, 4, 07013 Palma, Illes Balears</t>
  </si>
  <si>
    <t>caib.es</t>
  </si>
  <si>
    <t>971 22 10 23</t>
  </si>
  <si>
    <t>39.5702289</t>
  </si>
  <si>
    <t>1.5161123</t>
  </si>
  <si>
    <t>https://goo.gl/maps/TvpgP8K6SSeDuMiN9</t>
  </si>
  <si>
    <t>https://lh5.googleusercontent.com/p/AF1QipOvR7yhTxI_D_bFPVymwixe1VlSqiqKXfyYKMAI=w408-h544-k-no</t>
  </si>
  <si>
    <t>CUIDAR SERVEIS SOCIALS DE MALLORCA S.L.</t>
  </si>
  <si>
    <t>HJHX+32 Palma</t>
  </si>
  <si>
    <t>Av. d&amp;apos;Alemanya, 10, 07003 Palma, Illes Balears</t>
  </si>
  <si>
    <t>971 20 51 11</t>
  </si>
  <si>
    <t>https://goo.gl/maps/a6suX2k6bqbm1EF6A</t>
  </si>
  <si>
    <t>https://streetviewpixels-pa.googleapis.com/v1/thumbnail?panoid=cND4uIlOsTg0vEOyLZuB7A&amp;cb_client=search.gws-prod.gps&amp;w=408&amp;h=240&amp;yaw=325.90347&amp;pitch=0&amp;thumbfov=100</t>
  </si>
  <si>
    <t>Creu Roja Alcudia</t>
  </si>
  <si>
    <t>V43C+2X Alcudia</t>
  </si>
  <si>
    <t>Carrer de l&amp;apos;Hostal, 6a, 07400 Alcúdia, Illes Balears</t>
  </si>
  <si>
    <t>971 54 76 12</t>
  </si>
  <si>
    <t>https://goo.gl/maps/qXvuT8fmnYFFcD4SA</t>
  </si>
  <si>
    <t>https://lh5.googleusercontent.com/p/AF1QipOhHqvpaKhWfeDldv6NfAftpr6F5U5s6K4t2_dS=w408-h544-k-no</t>
  </si>
  <si>
    <t>A.A. Baleares Alcoholicos Anónimos de Baleares</t>
  </si>
  <si>
    <t>HMJG+95 Palma</t>
  </si>
  <si>
    <t>Carrer Mare de Déu de Montserrat, 54, 07008 Palma, Illes Balears</t>
  </si>
  <si>
    <t>616 08 88 83</t>
  </si>
  <si>
    <t>39.5795328</t>
  </si>
  <si>
    <t>1.5530937</t>
  </si>
  <si>
    <t>https://goo.gl/maps/T68g43hTyh8AaNr88</t>
  </si>
  <si>
    <t>https://streetviewpixels-pa.googleapis.com/v1/thumbnail?panoid=eSMHibcsD24nimuHIisfcw&amp;cb_client=search.gws-prod.gps&amp;w=408&amp;h=240&amp;yaw=204.61696&amp;pitch=0&amp;thumbfov=100</t>
  </si>
  <si>
    <t>Casa de Familia</t>
  </si>
  <si>
    <t>HJFW+FG Palma</t>
  </si>
  <si>
    <t>Carrer de la Pietat, 5, 07012 Palma, Illes Balears</t>
  </si>
  <si>
    <t>sapiencia.org</t>
  </si>
  <si>
    <t>971 71 11 42</t>
  </si>
  <si>
    <t>https://goo.gl/maps/tNKCv5CYiC13D7AB9</t>
  </si>
  <si>
    <t>https://lh5.googleusercontent.com/p/AF1QipPFXiK_dFzxnD6582azLtmZm7F_L8ePo-AHPGUP=w408-h306-k-no</t>
  </si>
  <si>
    <t>V7Q4+7W Maó-Mahón</t>
  </si>
  <si>
    <t>Carrer del Bisbe Sever, 11, 07703 Maó, Illes Balears</t>
  </si>
  <si>
    <t>971 35 72 74</t>
  </si>
  <si>
    <t>39.8881405</t>
  </si>
  <si>
    <t>3.136706</t>
  </si>
  <si>
    <t>https://goo.gl/maps/AbdqdDU35AYQ2zke8</t>
  </si>
  <si>
    <t>https://streetviewpixels-pa.googleapis.com/v1/thumbnail?panoid=4iWA-FKOdWNwuX1YVbQ-ng&amp;cb_client=search.gws-prod.gps&amp;w=408&amp;h=240&amp;yaw=211.2054&amp;pitch=0&amp;thumbfov=100</t>
  </si>
  <si>
    <t>125</t>
  </si>
  <si>
    <t>HMC5+FJ Palma</t>
  </si>
  <si>
    <t>Ctra. de Manacor, 8, 07006 Palma, Illes Balears</t>
  </si>
  <si>
    <t>971 77 55 22</t>
  </si>
  <si>
    <t>39.5712807</t>
  </si>
  <si>
    <t>1.538474</t>
  </si>
  <si>
    <t>https://goo.gl/maps/1RkPv1BEHFq12ypJ6</t>
  </si>
  <si>
    <t>https://lh5.googleusercontent.com/p/AF1QipNQ11eXQulXrySersDtQCbbMsO85z1EXVc8lFv9=w408-h306-k-no</t>
  </si>
  <si>
    <t>Fundació Minyones</t>
  </si>
  <si>
    <t>HJW8+MM Palma</t>
  </si>
  <si>
    <t>Carrer Maria Antònia Salvà, 29, 07011 Palma, Illes Balears</t>
  </si>
  <si>
    <t>fundaciominyones.com</t>
  </si>
  <si>
    <t>971 79 11 73</t>
  </si>
  <si>
    <t>39.5967246</t>
  </si>
  <si>
    <t>1.496068</t>
  </si>
  <si>
    <t>https://goo.gl/maps/yVgxpqLCj83Kvt6p6</t>
  </si>
  <si>
    <t>https://streetviewpixels-pa.googleapis.com/v1/thumbnail?panoid=9JfIl7Eca5tZ3yFTs-kYAw&amp;cb_client=search.gws-prod.gps&amp;w=408&amp;h=240&amp;yaw=238.39102&amp;pitch=0&amp;thumbfov=100</t>
  </si>
  <si>
    <t>WCHM+Q3 Puig d&amp;apos;en Valls</t>
  </si>
  <si>
    <t>Carrer Ciudad Jardín, 6, 07800 Puig d&amp;apos;en Valls, Illes Balears</t>
  </si>
  <si>
    <t>Puig d&amp;apos;en Valls</t>
  </si>
  <si>
    <t>38.9108067</t>
  </si>
  <si>
    <t>0.3117028</t>
  </si>
  <si>
    <t>https://goo.gl/maps/oXDb2hDYxLqvMzBy6</t>
  </si>
  <si>
    <t>https://streetviewpixels-pa.googleapis.com/v1/thumbnail?panoid=mNdOE6SR_8z6LQWQ3_wr3w&amp;cb_client=search.gws-prod.gps&amp;w=408&amp;h=240&amp;yaw=179.04993&amp;pitch=0&amp;thumbfov=100</t>
  </si>
  <si>
    <t>Centro Asesor de la Mujer</t>
  </si>
  <si>
    <t>V7R3+4G Maó-Mahón</t>
  </si>
  <si>
    <t>Av. de Vives Llull, 154, 07703 Maó, Illes Balears</t>
  </si>
  <si>
    <t>971 35 70 24</t>
  </si>
  <si>
    <t>39.5690884</t>
  </si>
  <si>
    <t>2.0919924</t>
  </si>
  <si>
    <t>https://goo.gl/maps/fpZkL3utfiHU7FJm8</t>
  </si>
  <si>
    <t>https://streetviewpixels-pa.googleapis.com/v1/thumbnail?panoid=Q0hL71WsOiAcIMuPNquIHw&amp;cb_client=search.gws-prod.gps&amp;w=408&amp;h=240&amp;yaw=80.839745&amp;pitch=0&amp;thumbfov=100</t>
  </si>
  <si>
    <t>Espiral</t>
  </si>
  <si>
    <t>HM4P+J7 Palma</t>
  </si>
  <si>
    <t>Carrer del Golf de Biscaia, 5, 07007 Palma, Illes Balears</t>
  </si>
  <si>
    <t>espiralonline.org</t>
  </si>
  <si>
    <t>971 49 44 94</t>
  </si>
  <si>
    <t>espiral@espiralonline.org</t>
  </si>
  <si>
    <t>https://goo.gl/maps/LP7SnwdqR5Q8zCT96</t>
  </si>
  <si>
    <t>https://lh5.googleusercontent.com/p/AF1QipP2mnpqsOr9-_dpbjQM3jyM8KVpRIbiiG2z6m85=w408-h306-k-no</t>
  </si>
  <si>
    <t>ILSBA</t>
  </si>
  <si>
    <t>HM85+9H Palma</t>
  </si>
  <si>
    <t>Carrer de Josep Rover Motta, 14, 07006 Palma, Illes Balears</t>
  </si>
  <si>
    <t>ilsba.es</t>
  </si>
  <si>
    <t>871 51 47 85</t>
  </si>
  <si>
    <t>info@ilsba.es</t>
  </si>
  <si>
    <t>https://goo.gl/maps/aFnJMQGm2LCPDcfn7</t>
  </si>
  <si>
    <t>https://streetviewpixels-pa.googleapis.com/v1/thumbnail?panoid=j8YJ_bPi3HI3jGcWE5IBmw&amp;cb_client=search.gws-prod.gps&amp;w=408&amp;h=240&amp;yaw=219.73552&amp;pitch=0&amp;thumbfov=100</t>
  </si>
  <si>
    <t>CMSS Gregal</t>
  </si>
  <si>
    <t>HMHF+RH Palma</t>
  </si>
  <si>
    <t>Carrer de José de Diego, S/N, 07008 Palma, Illes Balears</t>
  </si>
  <si>
    <t>palma.cat</t>
  </si>
  <si>
    <t>971 72 20 93</t>
  </si>
  <si>
    <t>CitapreviaPMHtest@palma.cat</t>
  </si>
  <si>
    <t>https://goo.gl/maps/UP57FBCa4Vzgxe2m8</t>
  </si>
  <si>
    <t>https://lh5.googleusercontent.com/p/AF1QipPEOM7kgjfBjCBcX7j7w2-TZs-iaVA8ix9seULY=w408-h306-k-no</t>
  </si>
  <si>
    <t>Associació De Persones Majors Esiurell</t>
  </si>
  <si>
    <t>JPGH+CJ Marratxí</t>
  </si>
  <si>
    <t>Carrer Marquès de Villamayor, 24, 07141 Marratxí, Illes Balears</t>
  </si>
  <si>
    <t>Marratxí</t>
  </si>
  <si>
    <t>971 22 66 96</t>
  </si>
  <si>
    <t>39.5811064</t>
  </si>
  <si>
    <t>1.5849425</t>
  </si>
  <si>
    <t>https://goo.gl/maps/sqqNGiKk5ZqQ8Le68</t>
  </si>
  <si>
    <t>https://lh5.googleusercontent.com/p/AF1QipMmxPJzFQFYPnRgN2oOEeZZEaNmP1QLLvosNVSn=w426-h240-k-no</t>
  </si>
  <si>
    <t>Consell Insular de Formentera</t>
  </si>
  <si>
    <t>PC5J+M3 San Francisco Javier</t>
  </si>
  <si>
    <t>Venda Des Brolls 53, 07860, Sant Francesc Xavier, Balearic Islands</t>
  </si>
  <si>
    <t>San Francisco Javier</t>
  </si>
  <si>
    <t>971 32 80 16</t>
  </si>
  <si>
    <t>38.7092193</t>
  </si>
  <si>
    <t>0.3095797</t>
  </si>
  <si>
    <t>https://goo.gl/maps/2h1YrwmMF2zjegVq7</t>
  </si>
  <si>
    <t>https://lh5.googleusercontent.com/p/AF1QipMy88B_9BqAVB7Bb1oGdltrprrrJiLZUHkRvLbQ=w408-h306-k-no</t>
  </si>
  <si>
    <t>Asamblea Local de la Cruz Roja En Eivissa</t>
  </si>
  <si>
    <t>WC5G+2J Ibiza</t>
  </si>
  <si>
    <t>Av. d&amp;apos;Espanya, 53, 07800 Eivissa, Illes Balears</t>
  </si>
  <si>
    <t>971 39 03 03</t>
  </si>
  <si>
    <t>38.907553</t>
  </si>
  <si>
    <t>0.3059502</t>
  </si>
  <si>
    <t>https://goo.gl/maps/T6eSdAcVWpe4LGR79</t>
  </si>
  <si>
    <t>https://lh5.googleusercontent.com/p/AF1QipOFr24ZGYip5D_AzYweaNm7trNnMxFlg_TvtyOK=w408-h306-k-no</t>
  </si>
  <si>
    <t>Ni Figa Ni Raïm S.c.</t>
  </si>
  <si>
    <t>P3Q3+87 Muro</t>
  </si>
  <si>
    <t>Carrer Ruiz Zorrilla, 6, 07440 Muro, Illes Balears</t>
  </si>
  <si>
    <t>Muro</t>
  </si>
  <si>
    <t>971 53 84 59</t>
  </si>
  <si>
    <t>39.5467704</t>
  </si>
  <si>
    <t>1.5783403</t>
  </si>
  <si>
    <t>https://goo.gl/maps/vVNW1xbUkMmRukBw9</t>
  </si>
  <si>
    <t>https://streetviewpixels-pa.googleapis.com/v1/thumbnail?panoid=vj8Ye1PsxgmN3H800SdqTA&amp;cb_client=search.gws-prod.gps&amp;w=408&amp;h=240&amp;yaw=86.46609&amp;pitch=0&amp;thumbfov=100</t>
  </si>
  <si>
    <t>Once Agencia Administrativa de Ibiza</t>
  </si>
  <si>
    <t>WC4H+Q3 Ibiza</t>
  </si>
  <si>
    <t>Via Romana, 51, 07800 Eivissa, Illes Balears</t>
  </si>
  <si>
    <t>971 30 13 07</t>
  </si>
  <si>
    <t>38.9069776</t>
  </si>
  <si>
    <t>0.3071439</t>
  </si>
  <si>
    <t>https://goo.gl/maps/DUcjdkE9jUPzfycW6</t>
  </si>
  <si>
    <t>https://lh5.googleusercontent.com/p/AF1QipMUhNnl0IFOs3iz1cxzwAFFII6orbPn0aWgN5am=w408-h306-k-no</t>
  </si>
  <si>
    <t>Fundación Rafa Nadal</t>
  </si>
  <si>
    <t>H658+H9 Manacor</t>
  </si>
  <si>
    <t>Rafa Nadal Sports Centre, Ctra. Calas de Mallorca, s/n, Km 1,2, 07500 Manacor, Illes Balears</t>
  </si>
  <si>
    <t>fundacionrafanadal.org</t>
  </si>
  <si>
    <t>971 17 16 79</t>
  </si>
  <si>
    <t>info@fundacionrafanadal.org</t>
  </si>
  <si>
    <t>39.578239</t>
  </si>
  <si>
    <t>1.5300543</t>
  </si>
  <si>
    <t>https://goo.gl/maps/SvgYgB1wZBPVJrXY8</t>
  </si>
  <si>
    <t>https://lh5.googleusercontent.com/p/AF1QipPiO65r0EoYsYt2_xyHrtkeA-SzZsSak3IjH7Aw=w408-h272-k-no</t>
  </si>
  <si>
    <t>92</t>
  </si>
  <si>
    <t>Las Palmas</t>
  </si>
  <si>
    <t>28.501331</t>
  </si>
  <si>
    <t>-15.6581226</t>
  </si>
  <si>
    <t>Las Palmas de Gran Canaria</t>
  </si>
  <si>
    <t>UNICEF Comité de Canarias</t>
  </si>
  <si>
    <t>4H6H+PR Las Palmas de Gran Canaria</t>
  </si>
  <si>
    <t>Calle Tomás Iriarte, 9, 35003 Las Palmas de Gran Canaria, Las Palmas</t>
  </si>
  <si>
    <t>unicef.es</t>
  </si>
  <si>
    <t>928 26 92 93</t>
  </si>
  <si>
    <t>hola@unicef.es</t>
  </si>
  <si>
    <t>https://goo.gl/maps/CQxe5QxS3nHhhMdc8</t>
  </si>
  <si>
    <t>https://streetviewpixels-pa.googleapis.com/v1/thumbnail?panoid=dQOwAHgP4uwDS3hvMhudtg&amp;cb_client=search.gws-prod.gps&amp;w=408&amp;h=240&amp;yaw=172.10986&amp;pitch=0&amp;thumbfov=100</t>
  </si>
  <si>
    <t>Asidma Servicios Sociales</t>
  </si>
  <si>
    <t>4H3J+MG Las Palmas de Gran Canaria</t>
  </si>
  <si>
    <t>Oficina central, Av. Primero de Mayo, 20, 35002 Las Palmas de Gran Canaria, Las Palmas</t>
  </si>
  <si>
    <t>asidma.com</t>
  </si>
  <si>
    <t>900 102 508</t>
  </si>
  <si>
    <t>info@asidma.com</t>
  </si>
  <si>
    <t>https://g.page/Asidma?share</t>
  </si>
  <si>
    <t>https://lh5.googleusercontent.com/p/AF1QipOGXw41EK1XZIlM9cF1k3zyTBSB6cNgpFW6eXhf=w408-h272-k-no</t>
  </si>
  <si>
    <t>Instituto de Atención Social y Sociosanitaria del Cabildo de Gran Canaria</t>
  </si>
  <si>
    <t>4H5H+6P Las Palmas de Gran Canaria</t>
  </si>
  <si>
    <t>Paseo de Tomás Morales, 3, 35003 Las Palmas de Gran Canaria, Las Palmas</t>
  </si>
  <si>
    <t>instituto-as.es</t>
  </si>
  <si>
    <t>928 21 93 50</t>
  </si>
  <si>
    <t>info@instituto-as.es</t>
  </si>
  <si>
    <t>https://goo.gl/maps/UryiK5BFpiUmtLx87</t>
  </si>
  <si>
    <t>https://streetviewpixels-pa.googleapis.com/v1/thumbnail?panoid=ceLeUWx-VnErzITSRkpdsw&amp;cb_client=search.gws-prod.gps&amp;w=408&amp;h=240&amp;yaw=239.40977&amp;pitch=0&amp;thumbfov=100</t>
  </si>
  <si>
    <t>Cáritas Diocesana de las Palmas</t>
  </si>
  <si>
    <t>4H8H+62 Las Palmas de Gran Canaria</t>
  </si>
  <si>
    <t>Calle Molino de Viento, 27, 35004 Palmas de Gran Canaria (las), Las Palmas</t>
  </si>
  <si>
    <t>928 24 67 61</t>
  </si>
  <si>
    <t>https://goo.gl/maps/1Bo1hH6YFUfZ1Gio7</t>
  </si>
  <si>
    <t>https://streetviewpixels-pa.googleapis.com/v1/thumbnail?panoid=JeDSFrvCe5IQu9FgMtBORg&amp;cb_client=search.gws-prod.gps&amp;w=408&amp;h=240&amp;yaw=61.44249&amp;pitch=0&amp;thumbfov=100</t>
  </si>
  <si>
    <t>Fundación ADRA Las Palmas</t>
  </si>
  <si>
    <t>4H5J+RH Las Palmas de Gran Canaria</t>
  </si>
  <si>
    <t>Calle Pedro de Vera, 11, 35003 Las Palmas de Gran Canaria, Las Palmas</t>
  </si>
  <si>
    <t>28.4037454</t>
  </si>
  <si>
    <t>-15.7232802</t>
  </si>
  <si>
    <t>https://goo.gl/maps/u2bcJJA8ha2jadvQ8</t>
  </si>
  <si>
    <t>https://streetviewpixels-pa.googleapis.com/v1/thumbnail?panoid=vxdtbU3wIqsFERsgcQ_ALQ&amp;cb_client=search.gws-prod.gps&amp;w=408&amp;h=240&amp;yaw=262.19708&amp;pitch=0&amp;thumbfov=100</t>
  </si>
  <si>
    <t>WH6W+WC Ingenio</t>
  </si>
  <si>
    <t>Av. de Carlos V, 79, 35240 Ingenio, Las Palmas</t>
  </si>
  <si>
    <t>Ingenio</t>
  </si>
  <si>
    <t>928 78 54 78</t>
  </si>
  <si>
    <t>https://goo.gl/maps/6bQxDpYYWJW81RNdA</t>
  </si>
  <si>
    <t>https://lh5.googleusercontent.com/p/AF1QipNFrBq0bRlDzFP-M7565uvWZ47Dlr6hyKXA6rOE=w408-h544-k-no</t>
  </si>
  <si>
    <t>Dirección General de Servicios Sociales</t>
  </si>
  <si>
    <t>1,1</t>
  </si>
  <si>
    <t>4H6M+H3 Las Palmas de Gran Canaria</t>
  </si>
  <si>
    <t>Calle Prof. Agustín Millares Carlo, 18, 35003 Las Palmas de Gran Canaria, Las Palmas</t>
  </si>
  <si>
    <t>678 33 12 64</t>
  </si>
  <si>
    <t>https://goo.gl/maps/c18YNBzN1auZDuV56</t>
  </si>
  <si>
    <t>https://lh5.googleusercontent.com/p/AF1QipOn31IP-ZrBC-89M_8C--ONI0rsKJpsVYDMEX8c=w408-h306-k-no</t>
  </si>
  <si>
    <t>Gobierno de Canarias</t>
  </si>
  <si>
    <t>5Q9F+2M Costa Calma</t>
  </si>
  <si>
    <t>Calle Montaña Hendida, 0, 35627 Urbanización Cañada del Río, Las Palmas</t>
  </si>
  <si>
    <t>Costa Calma</t>
  </si>
  <si>
    <t>gobiernodecanarias.org</t>
  </si>
  <si>
    <t>928 87 53 73</t>
  </si>
  <si>
    <t>https://goo.gl/maps/7wK535H2WADZTx1o7</t>
  </si>
  <si>
    <t>https://streetviewpixels-pa.googleapis.com/v1/thumbnail?panoid=f6TvM6DNE75CjITvO0TcTQ&amp;cb_client=search.gws-prod.gps&amp;w=408&amp;h=240&amp;yaw=141.31972&amp;pitch=0&amp;thumbfov=100</t>
  </si>
  <si>
    <t>CEAR CANARIAS</t>
  </si>
  <si>
    <t>185</t>
  </si>
  <si>
    <t>4H97+C2 Las Palmas de Gran Canaria</t>
  </si>
  <si>
    <t>Av. Escaleritas, 66, 35011 Las Palmas de Gran Canaria, Las Palmas</t>
  </si>
  <si>
    <t>928 29 72 71</t>
  </si>
  <si>
    <t>https://goo.gl/maps/HpaqBoGEDrpwYNka7</t>
  </si>
  <si>
    <t>https://lh5.googleusercontent.com/p/AF1QipP0DxSaRSnxoIY28nJNPa9zCcWkPzAGd1wEJ5gL=w426-h240-k-no</t>
  </si>
  <si>
    <t>VH47+V3 Vecindario</t>
  </si>
  <si>
    <t>Av. de Canarias, 110, 35110 Unión ( La ), Las Palmas</t>
  </si>
  <si>
    <t>Vecindario</t>
  </si>
  <si>
    <t>928 75 22 22</t>
  </si>
  <si>
    <t>27.8571873</t>
  </si>
  <si>
    <t>-16.557973</t>
  </si>
  <si>
    <t>https://goo.gl/maps/F3kgoxqNqb4GwMoa6</t>
  </si>
  <si>
    <t>https://lh5.googleusercontent.com/p/AF1QipP80jW1rnX8mCbFYFk77uRHm1GHh5jfPE8OX346=w408-h306-k-no</t>
  </si>
  <si>
    <t>Clece S.a.</t>
  </si>
  <si>
    <t>XJX5+58 Playa del Hombre</t>
  </si>
  <si>
    <t>Calle Ignacio Ellacuría Beascoechea, 23, 35214 Playa del Hombre, Las Palmas</t>
  </si>
  <si>
    <t>Playa del Hombre</t>
  </si>
  <si>
    <t>928 70 75 56</t>
  </si>
  <si>
    <t>https://goo.gl/maps/8TWz5rakADRm1xaM7</t>
  </si>
  <si>
    <t>https://streetviewpixels-pa.googleapis.com/v1/thumbnail?panoid=4mSjVpA2KEDWqiVd_vgLtw&amp;cb_client=search.gws-prod.gps&amp;w=408&amp;h=240&amp;yaw=146.4925&amp;pitch=0&amp;thumbfov=100</t>
  </si>
  <si>
    <t>Santa Cruz de Tenerife</t>
  </si>
  <si>
    <t>28.4578114</t>
  </si>
  <si>
    <t>-16.2863346</t>
  </si>
  <si>
    <t>Colegio Oficial de Trabajo Social de Santa Cruz de Tenerife</t>
  </si>
  <si>
    <t>FPFX+36 Santa Cruz de Tenerife</t>
  </si>
  <si>
    <t>Calle Méndez Núñez, 31, 38001 Santa Cruz de Tenerife</t>
  </si>
  <si>
    <t>colegiotstenerife.org</t>
  </si>
  <si>
    <t>922 28 93 57</t>
  </si>
  <si>
    <t>administracion@colegiotstenerife.org</t>
  </si>
  <si>
    <t>https://goo.gl/maps/dj5gQBUyqrw9gDD38</t>
  </si>
  <si>
    <t>https://streetviewpixels-pa.googleapis.com/v1/thumbnail?panoid=CxbI2MIeD5yWj4qKmDv9SA&amp;cb_client=search.gws-prod.gps&amp;w=408&amp;h=240&amp;yaw=288.66006&amp;pitch=0&amp;thumbfov=100</t>
  </si>
  <si>
    <t>Juzgado de lo Social</t>
  </si>
  <si>
    <t>FP5V+QF Santa Cruz de Tenerife</t>
  </si>
  <si>
    <t>Av. Tres de Mayo, 24, 38005 Santa Cruz de Tenerife</t>
  </si>
  <si>
    <t>922 20 87 41</t>
  </si>
  <si>
    <t>28.4576894</t>
  </si>
  <si>
    <t>-16.3214549</t>
  </si>
  <si>
    <t>https://goo.gl/maps/LhguHGqPnqq8Mddx7</t>
  </si>
  <si>
    <t>https://lh5.googleusercontent.com/p/AF1QipOnKGkr_cUl08WjxTFdAtvZ3b3T4PYf_8FzRYfz=w408-h544-k-no</t>
  </si>
  <si>
    <t>Av de José Manuel Guimera, 8, 38003 Santa Cruz de Tenerife</t>
  </si>
  <si>
    <t>Adeje</t>
  </si>
  <si>
    <t>902 11 10 12</t>
  </si>
  <si>
    <t>28.462329</t>
  </si>
  <si>
    <t>-16.2860916</t>
  </si>
  <si>
    <t>https://goo.gl/maps/jK3MvpQcAVnN3GSP6</t>
  </si>
  <si>
    <t>https://streetviewpixels-pa.googleapis.com/v1/thumbnail?panoid=JEtQKCDu7jlLPwvbWhQaOA&amp;cb_client=search.gws-prod.gps&amp;w=408&amp;h=240&amp;yaw=335.0246&amp;pitch=0&amp;thumbfov=100</t>
  </si>
  <si>
    <t>Gobierno de Canarias Scs</t>
  </si>
  <si>
    <t>FQ92+7P Santa Cruz de Tenerife</t>
  </si>
  <si>
    <t>Paseo Milicias de Garachico, 1, 38002 Santa Cruz de Tenerife</t>
  </si>
  <si>
    <t>922 53 37 80</t>
  </si>
  <si>
    <t>https://goo.gl/maps/CdEThpKCV4RENoBT7</t>
  </si>
  <si>
    <t>https://streetviewpixels-pa.googleapis.com/v1/thumbnail?panoid=2HzMEUjzqvgynUT6wudLFg&amp;cb_client=search.gws-prod.gps&amp;w=408&amp;h=240&amp;yaw=194.12175&amp;pitch=0&amp;thumbfov=100</t>
  </si>
  <si>
    <t>Cáritas Diocesana de Tenerife</t>
  </si>
  <si>
    <t>FQ92+63 Santa Cruz de Tenerife</t>
  </si>
  <si>
    <t>Calle José Murphy, 10, 38002 Santa Cruz de Tenerife</t>
  </si>
  <si>
    <t>922 24 37 72</t>
  </si>
  <si>
    <t>https://goo.gl/maps/5X5ZKzU1MAC6qc8MA</t>
  </si>
  <si>
    <t>https://streetviewpixels-pa.googleapis.com/v1/thumbnail?panoid=flOG6sgdBvoXqk911VpNRg&amp;cb_client=search.gws-prod.gps&amp;w=408&amp;h=240&amp;yaw=112.52881&amp;pitch=0&amp;thumbfov=100</t>
  </si>
  <si>
    <t>28.472389</t>
  </si>
  <si>
    <t>-16.2822917</t>
  </si>
  <si>
    <t>FP8G+9H Santa Cruz de Tenerife</t>
  </si>
  <si>
    <t>Calle Rafael Arocha Guillama, 18, 38008 Santa Cruz de Tenerife</t>
  </si>
  <si>
    <t>caritastenerife.org</t>
  </si>
  <si>
    <t>info@caritastenerife.org</t>
  </si>
  <si>
    <t>https://goo.gl/maps/YtpijE4maCUTd6fi6</t>
  </si>
  <si>
    <t>https://streetviewpixels-pa.googleapis.com/v1/thumbnail?panoid=2lJee9sVzvi-x0KblTzgSw&amp;cb_client=search.gws-prod.gps&amp;w=408&amp;h=240&amp;yaw=45.96619&amp;pitch=0&amp;thumbfov=100</t>
  </si>
  <si>
    <t>28.4509178</t>
  </si>
  <si>
    <t>-16.3086095</t>
  </si>
  <si>
    <t>FP28+9J Santa Cruz de Tenerife</t>
  </si>
  <si>
    <t>Calle Fray Junipero Serra, 6, 38010 Santa Cruz de Tenerife</t>
  </si>
  <si>
    <t>922 64 68 80</t>
  </si>
  <si>
    <t>https://goo.gl/maps/Z7jZnsepqYZfdv4R8</t>
  </si>
  <si>
    <t>https://streetviewpixels-pa.googleapis.com/v1/thumbnail?panoid=LKjn_cyclFaKnrmhnABvTQ&amp;cb_client=search.gws-prod.gps&amp;w=408&amp;h=240&amp;yaw=56.989372&amp;pitch=0&amp;thumbfov=100</t>
  </si>
  <si>
    <t>Asfa21 Tenerife</t>
  </si>
  <si>
    <t>CMVX+6C Santa Cruz de Tenerife</t>
  </si>
  <si>
    <t>Crta. Gral. Santa Cruz – La Laguna, 184, 38320 Santa Cruz de Tenerife</t>
  </si>
  <si>
    <t>902 36 41 55</t>
  </si>
  <si>
    <t>https://goo.gl/maps/Jmb2RhAtd8Q4G4yZ6</t>
  </si>
  <si>
    <t>https://streetviewpixels-pa.googleapis.com/v1/thumbnail?panoid=iDk-DeSt65KlSshNJbteqg&amp;cb_client=search.gws-prod.gps&amp;w=408&amp;h=240&amp;yaw=32.429363&amp;pitch=0&amp;thumbfov=100</t>
  </si>
  <si>
    <t>Asociación Solidaria Mundo Nuevo</t>
  </si>
  <si>
    <t>FP8J+79 Santa Cruz de Tenerife</t>
  </si>
  <si>
    <t>Plaza Veintinueve De Mayo, 2, 38007 Santa Cruz de Tenerife</t>
  </si>
  <si>
    <t>922 20 44 13</t>
  </si>
  <si>
    <t>https://goo.gl/maps/KBDn928NXKhmhjGc6</t>
  </si>
  <si>
    <t>https://streetviewpixels-pa.googleapis.com/v1/thumbnail?panoid=iXUArO_XKy3vYDjO7A7IHw&amp;cb_client=search.gws-prod.gps&amp;w=408&amp;h=240&amp;yaw=339.5147&amp;pitch=0&amp;thumbfov=100</t>
  </si>
  <si>
    <t>AFAMOCAN</t>
  </si>
  <si>
    <t>CMFX+49 Añaza</t>
  </si>
  <si>
    <t>Rambla Añaza, 4, local 2, 38111 Añaza, Santa Cruz de Tenerife</t>
  </si>
  <si>
    <t>Añaza</t>
  </si>
  <si>
    <t>afamocancanarias.wordpress.com</t>
  </si>
  <si>
    <t>922 68 63 62</t>
  </si>
  <si>
    <t>afamocan@gmail.com</t>
  </si>
  <si>
    <t>28.4228647</t>
  </si>
  <si>
    <t>-16.3365309</t>
  </si>
  <si>
    <t>https://goo.gl/maps/FAdxjzLiv63unyH89</t>
  </si>
  <si>
    <t>https://lh5.googleusercontent.com/p/AF1QipP2eiWdjo-cMsRhpXSQOSF_vTKV8pg8y3aT6PuU=w408-h306-k-no</t>
  </si>
  <si>
    <t>SINPROMI - Sociedad Insular para la Promoción de las personas con discapacidad</t>
  </si>
  <si>
    <t>FP6R+Q7 Santa Cruz de Tenerife</t>
  </si>
  <si>
    <t>Calle Góngora, 13, 38005 Santa Cruz de Tenerife</t>
  </si>
  <si>
    <t>sinpromi.es</t>
  </si>
  <si>
    <t>922 24 91 99</t>
  </si>
  <si>
    <t>sur@sinpromi.es</t>
  </si>
  <si>
    <t>28.469068</t>
  </si>
  <si>
    <t>-16.2865092</t>
  </si>
  <si>
    <t>https://goo.gl/maps/cjvAx2Ehcam1MCqWA</t>
  </si>
  <si>
    <t>https://lh5.googleusercontent.com/p/AF1QipPLYA6peiXt4tcZo3m6OAxAJba1lns-QntpLrUE=w408-h306-k-no</t>
  </si>
  <si>
    <t>Fundación ADRA Santa Cruz de Tenerife</t>
  </si>
  <si>
    <t>FP7P+3R Santa Cruz de Tenerife</t>
  </si>
  <si>
    <t>Av. Reyes Catolicos, 23, 38005 Santa Cruz de Tenerife</t>
  </si>
  <si>
    <t>https://goo.gl/maps/wyakJEQcuSbkVx9w9</t>
  </si>
  <si>
    <t>https://streetviewpixels-pa.googleapis.com/v1/thumbnail?panoid=6N0c9Ad9nunLsUjMjnVy9g&amp;cb_client=search.gws-prod.gps&amp;w=408&amp;h=240&amp;yaw=110.039185&amp;pitch=0&amp;thumbfov=100</t>
  </si>
  <si>
    <t>Asociación Kairós Tenerife</t>
  </si>
  <si>
    <t>FP6H+79 Santa Cruz de Tenerife</t>
  </si>
  <si>
    <t>Calle Alcalde Mandillo Tejera, 17, 1, 38007 Santa Cruz de Tenerife</t>
  </si>
  <si>
    <t>asociacionkairostenerife.org</t>
  </si>
  <si>
    <t>638 37 84 04</t>
  </si>
  <si>
    <t>info@asociacionkairostenerife.org</t>
  </si>
  <si>
    <t>28.4540298</t>
  </si>
  <si>
    <t>-16.3373677</t>
  </si>
  <si>
    <t>https://goo.gl/maps/Xf9vZ7CRjV9DLZ8w9</t>
  </si>
  <si>
    <t>https://streetviewpixels-pa.googleapis.com/v1/thumbnail?panoid=jl-Nbi4gRiwAdzXuCc30bQ&amp;cb_client=search.gws-prod.gps&amp;w=408&amp;h=240&amp;yaw=199.8773&amp;pitch=0&amp;thumbfov=100</t>
  </si>
  <si>
    <t>28.4670446</t>
  </si>
  <si>
    <t>-16.2870034</t>
  </si>
  <si>
    <t>SINPROMI</t>
  </si>
  <si>
    <t>FP6R+C4 Santa Cruz de Tenerife</t>
  </si>
  <si>
    <t>Calle Pepita Serrador, 6, 38005 Santa Cruz de Tenerife</t>
  </si>
  <si>
    <t>https://goo.gl/maps/DrqUd5JgCFPQ3Vcr8</t>
  </si>
  <si>
    <t>https://streetviewpixels-pa.googleapis.com/v1/thumbnail?panoid=BU7wbv1EMwrg6WJKwBRUBA&amp;cb_client=search.gws-prod.gps&amp;w=408&amp;h=240&amp;yaw=234.09981&amp;pitch=0&amp;thumbfov=100</t>
  </si>
  <si>
    <t>Calle de la Resbala, 39, 38389 Resbala (la), Santa Cruz de Tenerife</t>
  </si>
  <si>
    <t>922 58 16 14</t>
  </si>
  <si>
    <t>https://goo.gl/maps/ZTXJdtjEzpwXE9ox9</t>
  </si>
  <si>
    <t>https://streetviewpixels-pa.googleapis.com/v1/thumbnail?panoid=FRyHHLeDsBszpmpr8Yj9aA&amp;cb_client=search.gws-prod.gps&amp;w=408&amp;h=240&amp;yaw=196.40067&amp;pitch=0&amp;thumbfov=100</t>
  </si>
  <si>
    <t>Av de La Inmaculada Concepción, 19, 38360 Sauzal (El), Santa Cruz de Tenerife</t>
  </si>
  <si>
    <t>922 56 16 80</t>
  </si>
  <si>
    <t>https://goo.gl/maps/wXdeeJjeVA6cjL1P6</t>
  </si>
  <si>
    <t>FP38+V3 Santa Cruz de Tenerife</t>
  </si>
  <si>
    <t>Calle Dacil Vilar Borges, 1, 38010 Santa Cruz de Tenerife</t>
  </si>
  <si>
    <t>922 64 66 87</t>
  </si>
  <si>
    <t>https://goo.gl/maps/jTuNwdVrMW1Yqpm1A</t>
  </si>
  <si>
    <t>https://streetviewpixels-pa.googleapis.com/v1/thumbnail?panoid=53GCKk6uTRJMXR8GOgprcg&amp;cb_client=search.gws-prod.gps&amp;w=408&amp;h=240&amp;yaw=107.322075&amp;pitch=0&amp;thumbfov=100</t>
  </si>
  <si>
    <t>Fundación Ataretaco</t>
  </si>
  <si>
    <t>52</t>
  </si>
  <si>
    <t>CPW8+F8 Santa Cruz de Tenerife</t>
  </si>
  <si>
    <t>1ª transversal, nave A, Calle Subida al Mayorazgo, 38110 Santa Cruz de Tenerife</t>
  </si>
  <si>
    <t>ataretaco.org</t>
  </si>
  <si>
    <t>922 23 51 72</t>
  </si>
  <si>
    <t>info@ataretaco.org</t>
  </si>
  <si>
    <t>28.4461658</t>
  </si>
  <si>
    <t>-16.3191904</t>
  </si>
  <si>
    <t>https://goo.gl/maps/8dn8mpSBba2kTgNfA</t>
  </si>
  <si>
    <t>Asociación Nuevo Futuro de Tenerife</t>
  </si>
  <si>
    <t>FP9X+JG Santa Cruz de Tenerife</t>
  </si>
  <si>
    <t>3º, Puerto Escondido, 1, 38002 Santa Cruz de Tenerife</t>
  </si>
  <si>
    <t>nuevofuturotenerife.org</t>
  </si>
  <si>
    <t>922 20 02 11</t>
  </si>
  <si>
    <t>info@nuevofuturotenerife.es</t>
  </si>
  <si>
    <t>28.4691101</t>
  </si>
  <si>
    <t>-16.2861645</t>
  </si>
  <si>
    <t>https://goo.gl/maps/PeW37EYFH3sUGPfq5</t>
  </si>
  <si>
    <t>https://lh5.googleusercontent.com/p/AF1QipPvv_2B2zSTnIVTlgEPhPB52MeYD_pNMPWm0KoZ=w462-h240-k-no</t>
  </si>
  <si>
    <t>Ocide Asesores S L</t>
  </si>
  <si>
    <t>FQ92+VH Santa Cruz de Tenerife</t>
  </si>
  <si>
    <t>Calle de S. Francisco, 43, 38002 Santa Cruz de Tenerife</t>
  </si>
  <si>
    <t>ocide.net</t>
  </si>
  <si>
    <t>922 27 81 76</t>
  </si>
  <si>
    <t>grupo@ocide.net</t>
  </si>
  <si>
    <t>https://goo.gl/maps/nHQYsM9QtEUvQKat8</t>
  </si>
  <si>
    <t>https://streetviewpixels-pa.googleapis.com/v1/thumbnail?panoid=kK7luk-JgbT68-9hOeD-IQ&amp;cb_client=search.gws-prod.gps&amp;w=408&amp;h=240&amp;yaw=223.36467&amp;pitch=0&amp;thumbfov=100</t>
  </si>
  <si>
    <t>Aldeas Infantiles S.O.S. de España</t>
  </si>
  <si>
    <t>CMH5+38 El Tablero</t>
  </si>
  <si>
    <t>Calle Anemona, 1, 38107 El Tablero, Santa Cruz de Tenerife</t>
  </si>
  <si>
    <t>El Tablero</t>
  </si>
  <si>
    <t>922 62 45 16</t>
  </si>
  <si>
    <t>28.4277308</t>
  </si>
  <si>
    <t>-16.3767345</t>
  </si>
  <si>
    <t>https://goo.gl/maps/RRPXp6pctbyh3Ag86</t>
  </si>
  <si>
    <t>https://lh5.googleusercontent.com/p/AF1QipPKwDEkIrImWOabPZ5l6rmX97YU316bpErZAEbZ=w408-h306-k-no</t>
  </si>
  <si>
    <t>Asociación Para El Ocio y la Cultura de la Tercera Edad</t>
  </si>
  <si>
    <t>FQC2+27 Santa Cruz de Tenerife</t>
  </si>
  <si>
    <t>Calle S. Vicente Ferrer, 20, 38002 Santa Cruz de Tenerife</t>
  </si>
  <si>
    <t>922 27 16 11</t>
  </si>
  <si>
    <t>28.4701202</t>
  </si>
  <si>
    <t>-16.2842716</t>
  </si>
  <si>
    <t>https://goo.gl/maps/zzivvCFcPGm5QxBA8</t>
  </si>
  <si>
    <t>https://streetviewpixels-pa.googleapis.com/v1/thumbnail?panoid=YbXchxVlfoWClTAwSAvl0g&amp;cb_client=search.gws-prod.gps&amp;w=408&amp;h=240&amp;yaw=355.05933&amp;pitch=0&amp;thumbfov=100</t>
  </si>
  <si>
    <t>FP8W+XQ Santa Cruz de Tenerife</t>
  </si>
  <si>
    <t>Calle del Castillo, 62, 38003 Santa Cruz de Tenerife</t>
  </si>
  <si>
    <t>922 24 89 36</t>
  </si>
  <si>
    <t>https://goo.gl/maps/ZfoDrEHtK4QtxKkw5</t>
  </si>
  <si>
    <t>https://streetviewpixels-pa.googleapis.com/v1/thumbnail?panoid=3uPvfUK9jUMM6-aXmds2BQ&amp;cb_client=search.gws-prod.gps&amp;w=408&amp;h=240&amp;yaw=351.1876&amp;pitch=0&amp;thumbfov=100</t>
  </si>
  <si>
    <t>Cáritas Interparroquial De La Laguna</t>
  </si>
  <si>
    <t>FP9R+8J Santa Cruz de Tenerife</t>
  </si>
  <si>
    <t>Calle Juan Pablo II, 26, 38004 Santa Cruz de Tenerife</t>
  </si>
  <si>
    <t>922 27 22 86</t>
  </si>
  <si>
    <t>https://goo.gl/maps/hMnaGKBkaRNWRhhN9</t>
  </si>
  <si>
    <t>https://streetviewpixels-pa.googleapis.com/v1/thumbnail?panoid=h6CApdErPekbhM9Jv7vyNQ&amp;cb_client=search.gws-prod.gps&amp;w=408&amp;h=240&amp;yaw=294.6369&amp;pitch=0&amp;thumbfov=100</t>
  </si>
  <si>
    <t>ALDEAS INFANTILES SOS TENERIFE</t>
  </si>
  <si>
    <t>CMH5+48 Santa Cruz de Tenerife</t>
  </si>
  <si>
    <t>Calle Anemona, 25, 38107 Santa Cruz de Tenerife</t>
  </si>
  <si>
    <t>aldeasinfantiles.es</t>
  </si>
  <si>
    <t>922 62 92 00</t>
  </si>
  <si>
    <t>aldeasinfantiles@aldeasinfantiles.es</t>
  </si>
  <si>
    <t>28.4277646</t>
  </si>
  <si>
    <t>-16.3767269</t>
  </si>
  <si>
    <t>https://goo.gl/maps/fSSYyic7MXTJAmye9</t>
  </si>
  <si>
    <t>Ansina</t>
  </si>
  <si>
    <t>FP8V+59 Santa Cruz de Tenerife</t>
  </si>
  <si>
    <t>Calle Iriarte, 38004 Santa Cruz de Tenerife</t>
  </si>
  <si>
    <t>922 53 26 51</t>
  </si>
  <si>
    <t>28.4646699</t>
  </si>
  <si>
    <t>-16.2844359</t>
  </si>
  <si>
    <t>https://goo.gl/maps/wuEB7b64RvdYgB5M8</t>
  </si>
  <si>
    <t>https://streetviewpixels-pa.googleapis.com/v1/thumbnail?panoid=JQCWhmbcGyvpJeiEXB5KXQ&amp;cb_client=search.gws-prod.gps&amp;w=408&amp;h=240&amp;yaw=105.14831&amp;pitch=0&amp;thumbfov=100</t>
  </si>
  <si>
    <t>Servicios Sociales de La Cuesta</t>
  </si>
  <si>
    <t>FPC5+4V San Cristóbal de La Laguna</t>
  </si>
  <si>
    <t>Calle Prolongacion José Antonio, 20, 38320 San Cristóbal de La Laguna, Santa Cruz de Tenerife</t>
  </si>
  <si>
    <t>San Cristóbal de La Laguna</t>
  </si>
  <si>
    <t>aytolalaguna.com</t>
  </si>
  <si>
    <t>922 67 02 83</t>
  </si>
  <si>
    <t>28.4703284</t>
  </si>
  <si>
    <t>-16.3253732</t>
  </si>
  <si>
    <t>https://goo.gl/maps/V8xX9TDmyMRwsHGN9</t>
  </si>
  <si>
    <t>https://streetviewpixels-pa.googleapis.com/v1/thumbnail?panoid=w1WdBDDV9Vngxm-4vIKSaw&amp;cb_client=search.gws-prod.gps&amp;w=408&amp;h=240&amp;yaw=193.55803&amp;pitch=0&amp;thumbfov=100</t>
  </si>
  <si>
    <t>Hogar N S de la Candelaria En Tenerife Hermanitas de los Ancianos Desamparados Provincia S Rafael</t>
  </si>
  <si>
    <t>FP9M+75 Santa Cruz de Tenerife</t>
  </si>
  <si>
    <t>Calle Gil Roldan, 3, 38006 Santa Cruz de Tenerife</t>
  </si>
  <si>
    <t>922 27 07 72</t>
  </si>
  <si>
    <t>28.4502107</t>
  </si>
  <si>
    <t>-16.3247237</t>
  </si>
  <si>
    <t>https://goo.gl/maps/3AbUhqpUNg6hwWFq6</t>
  </si>
  <si>
    <t>https://lh5.googleusercontent.com/p/AF1QipMTPQ8gRhMLb9ZcsqgiU5SN6BFRa9u_QOzyYRxQ=w408-h544-k-no</t>
  </si>
  <si>
    <t>100</t>
  </si>
  <si>
    <t>FQ72+65 Santa Cruz de Tenerife</t>
  </si>
  <si>
    <t>Av. de San Sebastián, 3, 38003 Santa Cruz de Tenerife</t>
  </si>
  <si>
    <t>922 21 00 00</t>
  </si>
  <si>
    <t>28.4631146</t>
  </si>
  <si>
    <t>-16.2845525</t>
  </si>
  <si>
    <t>https://goo.gl/maps/hfEs8LnTiDJZ7oNJ8</t>
  </si>
  <si>
    <t>https://lh5.googleusercontent.com/p/AF1QipPZLU_bEEBHKoTu-C_peCOsSnlH5_fYVVM-ItOS=w408-h306-k-no</t>
  </si>
  <si>
    <t>Aldis Asociacion</t>
  </si>
  <si>
    <t>FP48+36 Santa Cruz de Tenerife</t>
  </si>
  <si>
    <t>Av. Principes de España, 30, 38010 Santa Cruz de Tenerife</t>
  </si>
  <si>
    <t>aldisong.es</t>
  </si>
  <si>
    <t>922 45 44 66</t>
  </si>
  <si>
    <t>aldis@aldisong.es</t>
  </si>
  <si>
    <t>28.4551318</t>
  </si>
  <si>
    <t>-16.3194601</t>
  </si>
  <si>
    <t>https://goo.gl/maps/naBYUHzUszWW8zAq6</t>
  </si>
  <si>
    <t>https://streetviewpixels-pa.googleapis.com/v1/thumbnail?panoid=2JmVaU-gwPkyJWx5rI9DvQ&amp;cb_client=search.gws-prod.gps&amp;w=408&amp;h=240&amp;yaw=296.58762&amp;pitch=0&amp;thumbfov=100</t>
  </si>
  <si>
    <t>Asociación Opción 3</t>
  </si>
  <si>
    <t>FM6J+46 Santa Cruz de Tenerife</t>
  </si>
  <si>
    <t>Calle Camino del Hierro, 82, 38009 Santa Cruz de Tenerife</t>
  </si>
  <si>
    <t>opcion3canarias.org</t>
  </si>
  <si>
    <t>922 65 19 62</t>
  </si>
  <si>
    <t>info@opcion3canarias.org</t>
  </si>
  <si>
    <t>28.4603565</t>
  </si>
  <si>
    <t>-16.3544154</t>
  </si>
  <si>
    <t>https://goo.gl/maps/NAsxs2sUJm5wiuZi9</t>
  </si>
  <si>
    <t>https://streetviewpixels-pa.googleapis.com/v1/thumbnail?panoid=_HiZxDHKzsV7rASAEwAHsQ&amp;cb_client=search.gws-prod.gps&amp;w=408&amp;h=240&amp;yaw=37.532352&amp;pitch=0&amp;thumbfov=100</t>
  </si>
  <si>
    <t>Ong Sonrisas Canarias</t>
  </si>
  <si>
    <t>FQP7+J2 Valleseco</t>
  </si>
  <si>
    <t>Calle Jose Batan, 16, 38150 Valleseco, Santa Cruz de Tenerife</t>
  </si>
  <si>
    <t>Valleseco</t>
  </si>
  <si>
    <t>679 58 52 70</t>
  </si>
  <si>
    <t>28.486521</t>
  </si>
  <si>
    <t>-16.2724689</t>
  </si>
  <si>
    <t>https://goo.gl/maps/5Wrsip6Mfh2z8qPy5</t>
  </si>
  <si>
    <t>https://streetviewpixels-pa.googleapis.com/v1/thumbnail?panoid=JVqrMVhy9DjRgxuFEGQWcQ&amp;cb_client=search.gws-prod.gps&amp;w=408&amp;h=240&amp;yaw=268.97372&amp;pitch=0&amp;thumbfov=100</t>
  </si>
  <si>
    <t>Somos Migrantes</t>
  </si>
  <si>
    <t>FP7R+7F Santa Cruz de Tenerife</t>
  </si>
  <si>
    <t>Calle Gumersindo Robayna Galván, 4, 38005 Santa Cruz de Tenerife</t>
  </si>
  <si>
    <t>somosmigrantesexposicion.org</t>
  </si>
  <si>
    <t>652 90 18 31</t>
  </si>
  <si>
    <t>contacto@hospitalidad.es</t>
  </si>
  <si>
    <t>28.4689254</t>
  </si>
  <si>
    <t>-16.2872311</t>
  </si>
  <si>
    <t>https://goo.gl/maps/t11CXTx1fkMfjyAu9</t>
  </si>
  <si>
    <t>https://streetviewpixels-pa.googleapis.com/v1/thumbnail?panoid=yud6C8mzU-y_WEXy9_2TUA&amp;cb_client=search.gws-prod.gps&amp;w=408&amp;h=240&amp;yaw=162.7025&amp;pitch=0&amp;thumbfov=100</t>
  </si>
  <si>
    <t>Gabinete Sonia Padrón</t>
  </si>
  <si>
    <t>675 21 75 81</t>
  </si>
  <si>
    <t>https://goo.gl/maps/DonLktm1XD1iC5Vs9</t>
  </si>
  <si>
    <t>https://lh5.googleusercontent.com/p/AF1QipMrdbfsbySZLLjucAcT9uiUgZPw5Ga-imteZA8L=w408-h246-k-no</t>
  </si>
  <si>
    <t>Afate Asociación de Familiares de Enfermos de Alzheimer</t>
  </si>
  <si>
    <t>FP85+PR San Cristóbal de La Laguna</t>
  </si>
  <si>
    <t>Ctra Valle Tabares, 38320 San Cristóbal de La Laguna, Santa Cruz de Tenerife</t>
  </si>
  <si>
    <t>afate.es</t>
  </si>
  <si>
    <t>922 65 27 09</t>
  </si>
  <si>
    <t>28.4667939</t>
  </si>
  <si>
    <t>-16.3255054</t>
  </si>
  <si>
    <t>https://goo.gl/maps/EjWXtDLZjbMq8taJA</t>
  </si>
  <si>
    <t>https://streetviewpixels-pa.googleapis.com/v1/thumbnail?panoid=bJOaKTSt5_Fj_ZCaB3J4hA&amp;cb_client=search.gws-prod.gps&amp;w=408&amp;h=240&amp;yaw=113.01079&amp;pitch=0&amp;thumbfov=100</t>
  </si>
  <si>
    <t>FQQ5+XV Valleseco</t>
  </si>
  <si>
    <t>Calle el Pozo, 0, 38150 Valleseco, Santa Cruz de Tenerife</t>
  </si>
  <si>
    <t>922 50 66 35</t>
  </si>
  <si>
    <t>28.4621503</t>
  </si>
  <si>
    <t>-16.2852819</t>
  </si>
  <si>
    <t>https://goo.gl/maps/A5Zy2P7yKBHFRb1X9</t>
  </si>
  <si>
    <t>https://streetviewpixels-pa.googleapis.com/v1/thumbnail?panoid=FFeXW2yD0DWPCfi3jCYteQ&amp;cb_client=search.gws-prod.gps&amp;w=408&amp;h=240&amp;yaw=221.86108&amp;pitch=0&amp;thumbfov=100</t>
  </si>
  <si>
    <t>FMRH+Q4 San Cristóbal de La Laguna</t>
  </si>
  <si>
    <t>Calle de Luciano Ramos Díaz, 1, 38202 San Cristóbal de La Laguna, Santa Cruz de Tenerife</t>
  </si>
  <si>
    <t>922 25 10 26</t>
  </si>
  <si>
    <t>28.4919079</t>
  </si>
  <si>
    <t>-16.3571514</t>
  </si>
  <si>
    <t>https://goo.gl/maps/DFT6Kwq8RdA4a2yD7</t>
  </si>
  <si>
    <t>https://streetviewpixels-pa.googleapis.com/v1/thumbnail?panoid=UPmr2hU5jt6-a-FJJNG4lA&amp;cb_client=search.gws-prod.gps&amp;w=408&amp;h=240&amp;yaw=20.552465&amp;pitch=0&amp;thumbfov=100</t>
  </si>
  <si>
    <t>Servicios sociales tegueste</t>
  </si>
  <si>
    <t>GMCM+P6 Tegueste</t>
  </si>
  <si>
    <t>Camino el Monte, 1, 38292 Tegueste, Santa Cruz de Tenerife</t>
  </si>
  <si>
    <t>Tegueste</t>
  </si>
  <si>
    <t>https://goo.gl/maps/ydmdF2FopWYoRfXG9</t>
  </si>
  <si>
    <t>https://streetviewpixels-pa.googleapis.com/v1/thumbnail?panoid=hcHCzw5CMIhvwUuW0fiCbA&amp;cb_client=search.gws-prod.gps&amp;w=408&amp;h=240&amp;yaw=323.32874&amp;pitch=0&amp;thumbfov=100</t>
  </si>
  <si>
    <t>Comedor San Juan</t>
  </si>
  <si>
    <t>Avenida Pablo Iglesias, 7, 38203 San Cristóbal de La Laguna, Santa Cruz de Tenerife</t>
  </si>
  <si>
    <t>922 25 39 67</t>
  </si>
  <si>
    <t>28.4852737</t>
  </si>
  <si>
    <t>-16.3541258</t>
  </si>
  <si>
    <t>https://goo.gl/maps/6YyBU3tSpB8nFVef9</t>
  </si>
  <si>
    <t>https://streetviewpixels-pa.googleapis.com/v1/thumbnail?panoid=fW5YigwNhCnNe9RL4HQlpQ&amp;cb_client=search.gws-prod.gps&amp;w=408&amp;h=240&amp;yaw=82.21281&amp;pitch=0&amp;thumbfov=100</t>
  </si>
  <si>
    <t>Aldeas Infantiles SOS Centro Integral de Infancia y Familia</t>
  </si>
  <si>
    <t>FMRH+44 San Cristóbal de La Laguna</t>
  </si>
  <si>
    <t>Calle Marques de Celada, 27, 38202 San Cristóbal de La Laguna, Santa Cruz de Tenerife</t>
  </si>
  <si>
    <t>922 25 64 45</t>
  </si>
  <si>
    <t>28.4903193</t>
  </si>
  <si>
    <t>-16.3571541</t>
  </si>
  <si>
    <t>https://goo.gl/maps/5iELZKCGr9HAxFYx8</t>
  </si>
  <si>
    <t>https://lh5.googleusercontent.com/p/AF1QipO5cPo8KxP068g2ivPkYbnKmC2CLeYy7m_D1P8O=w408-h276-k-no</t>
  </si>
  <si>
    <t>FMQG+54 San Cristóbal de La Laguna</t>
  </si>
  <si>
    <t>Calle Benito Pérez Galdós, 137, 38203 San Cristóbal de La Laguna, Santa Cruz de Tenerife</t>
  </si>
  <si>
    <t>922 27 72 12</t>
  </si>
  <si>
    <t>28.4879292</t>
  </si>
  <si>
    <t>-16.3596691</t>
  </si>
  <si>
    <t>https://goo.gl/maps/AdR8NRsUSArSgwhb7</t>
  </si>
  <si>
    <t>https://streetviewpixels-pa.googleapis.com/v1/thumbnail?panoid=kFTEG7kbUj5YsF_NjnFokw&amp;cb_client=search.gws-prod.gps&amp;w=408&amp;h=240&amp;yaw=145.37209&amp;pitch=0&amp;thumbfov=100</t>
  </si>
  <si>
    <t>Asesoría Cristóbal Baez González</t>
  </si>
  <si>
    <t>FMFW+7W San Cristóbal de La Laguna</t>
  </si>
  <si>
    <t>Av. de los Menceyes, 114, LOC;2, 38205 San Cristóbal de La Laguna, Santa Cruz de Tenerife</t>
  </si>
  <si>
    <t>asesoriacristobalbaez.es</t>
  </si>
  <si>
    <t>922 25 69 64</t>
  </si>
  <si>
    <t>asesoriacristobalbaez@gmail.com</t>
  </si>
  <si>
    <t>28.4731651</t>
  </si>
  <si>
    <t>-16.3377023</t>
  </si>
  <si>
    <t>https://goo.gl/maps/yaAL1HQYhYYuFEVr6</t>
  </si>
  <si>
    <t>https://lh5.googleusercontent.com/p/AF1QipMKS2_Dz7g3NkLS05q6BFuFKNMt4IQGMMxFGrgz=w408-h240-k-no-pi-0-ya170-ro-0-fo100</t>
  </si>
  <si>
    <t>9J4H+5G Candelaria</t>
  </si>
  <si>
    <t>Calle Periodista Ernesto Salcedo, 38530 Candelaria, Santa Cruz de Tenerife</t>
  </si>
  <si>
    <t>Candelaria</t>
  </si>
  <si>
    <t>922 50 20 53</t>
  </si>
  <si>
    <t>28.355471</t>
  </si>
  <si>
    <t>-16.4062109</t>
  </si>
  <si>
    <t>https://goo.gl/maps/LMbtC3wTJqcP68bN9</t>
  </si>
  <si>
    <t>https://lh5.googleusercontent.com/p/AF1QipNOZ0WYtPp5fscPWTJGyi17PXHVidnPCGXVdZ5H=w426-h240-k-no</t>
  </si>
  <si>
    <t>Aldeas Infantiles S O S De España</t>
  </si>
  <si>
    <t>FMQH+P6 San Cristóbal de La Laguna</t>
  </si>
  <si>
    <t>Calle San Antonio, 38202 San Cristóbal de La Laguna, Santa Cruz de Tenerife</t>
  </si>
  <si>
    <t>922 25 99 98</t>
  </si>
  <si>
    <t>28.4892586</t>
  </si>
  <si>
    <t>-16.356927</t>
  </si>
  <si>
    <t>https://goo.gl/maps/xcHz9CNFbrC7EZcQ7</t>
  </si>
  <si>
    <t>https://streetviewpixels-pa.googleapis.com/v1/thumbnail?panoid=f-RTKagga57tu0NubTwxtg&amp;cb_client=search.gws-prod.gps&amp;w=408&amp;h=240&amp;yaw=47.430405&amp;pitch=0&amp;thumbfov=100</t>
  </si>
  <si>
    <t>Cáritas Diocesana de Tenerife-Arciprestal La Laguna</t>
  </si>
  <si>
    <t>FMRP+54 San Cristóbal de La Laguna</t>
  </si>
  <si>
    <t>Calle Anchieta, 30, 38201 San Cristóbal de La Laguna, Santa Cruz de Tenerife</t>
  </si>
  <si>
    <t>922 25 93 22</t>
  </si>
  <si>
    <t>28.4904426</t>
  </si>
  <si>
    <t>-16.3496655</t>
  </si>
  <si>
    <t>https://goo.gl/maps/h8zy2T1c1KfXr4CE8</t>
  </si>
  <si>
    <t>https://streetviewpixels-pa.googleapis.com/v1/thumbnail?panoid=bnYm1BRVEsW3Qf2QzQ6WMA&amp;cb_client=search.gws-prod.gps&amp;w=408&amp;h=240&amp;yaw=76.37177&amp;pitch=0&amp;thumbfov=100</t>
  </si>
  <si>
    <t>9FWJ+CX La Orotava</t>
  </si>
  <si>
    <t>Paseo de Domínguez Alfonso, 23, 25, 38300 La Orotava, Santa Cruz de Tenerife</t>
  </si>
  <si>
    <t>La Orotava</t>
  </si>
  <si>
    <t>922 33 06 13</t>
  </si>
  <si>
    <t>28.396052</t>
  </si>
  <si>
    <t>-16.5526201</t>
  </si>
  <si>
    <t>https://goo.gl/maps/3J6uZZfevmnCZgAD6</t>
  </si>
  <si>
    <t>https://streetviewpixels-pa.googleapis.com/v1/thumbnail?panoid=HvSVblq8JzShLY2d7h--kw&amp;cb_client=search.gws-prod.gps&amp;w=408&amp;h=240&amp;yaw=335.3512&amp;pitch=0&amp;thumbfov=100</t>
  </si>
  <si>
    <t>Santander</t>
  </si>
  <si>
    <t>Cantabria</t>
  </si>
  <si>
    <t>43.1331363</t>
  </si>
  <si>
    <t>-4.0007218</t>
  </si>
  <si>
    <t>Centro Social de Mayores de Suances</t>
  </si>
  <si>
    <t>CXF6+PM Suances</t>
  </si>
  <si>
    <t>Calle Cuba de Abajo, 4, 39340 Suances, Cantabria</t>
  </si>
  <si>
    <t>Suances</t>
  </si>
  <si>
    <t>serviciossocialescantabria.org</t>
  </si>
  <si>
    <t>942 84 43 84</t>
  </si>
  <si>
    <t>43.4243012</t>
  </si>
  <si>
    <t>-4.5985587</t>
  </si>
  <si>
    <t>https://goo.gl/maps/84Y3yfA4sx9n7n8i9</t>
  </si>
  <si>
    <t>https://lh5.googleusercontent.com/p/AF1QipPFXwT3va8qeC8-kOmouuDKhKvQBY3ppQxX-9kz=w426-h240-k-no</t>
  </si>
  <si>
    <t>Torrelavega</t>
  </si>
  <si>
    <t>43.1828396</t>
  </si>
  <si>
    <t>-4.5481454</t>
  </si>
  <si>
    <t>serviciossociales</t>
  </si>
  <si>
    <t>8Q57+4J Cabezón de la Sal</t>
  </si>
  <si>
    <t>Paseo Ambrosio Calzada, 1, 3, 39500 Cabezón de la Sal, Cantabria</t>
  </si>
  <si>
    <t>Cabezón de la Sal</t>
  </si>
  <si>
    <t>942 70 14 58</t>
  </si>
  <si>
    <t>https://goo.gl/maps/KdSzFnozYGZMx2NS7</t>
  </si>
  <si>
    <t>https://streetviewpixels-pa.googleapis.com/v1/thumbnail?panoid=xoZR6-m-OCik4FH8eu3ulw&amp;cb_client=search.gws-prod.gps&amp;w=408&amp;h=240&amp;yaw=200.1708&amp;pitch=0&amp;thumbfov=100</t>
  </si>
  <si>
    <t>Centro Social de Mayores de Torrelavega</t>
  </si>
  <si>
    <t>8XW2+78 Torrelavega</t>
  </si>
  <si>
    <t>Av. de la Constitución, 12, 39300 Torrelavega, Cantabria</t>
  </si>
  <si>
    <t>942 80 02 52</t>
  </si>
  <si>
    <t>https://goo.gl/maps/QTuaGikWwH9RhyKY6</t>
  </si>
  <si>
    <t>https://lh5.googleusercontent.com/p/AF1QipPwUBGhqS4OpwvccKerxFmUXe7a5JHoA_yijJ2e=w408-h272-k-no</t>
  </si>
  <si>
    <t>ASPACE CANTABRIA - Asociación Cántabra de Ayuda a la Parálisis Cerebral</t>
  </si>
  <si>
    <t>F44X+G8 Santander</t>
  </si>
  <si>
    <t>Av Herrera Oria, 102, 39011 Santander, Cantabria</t>
  </si>
  <si>
    <t>aspacecantabria.org</t>
  </si>
  <si>
    <t>942 34 69 98</t>
  </si>
  <si>
    <t>correo@aspacecantabria.org</t>
  </si>
  <si>
    <t>https://goo.gl/maps/pMSqfQr4kQ2oLCCB8</t>
  </si>
  <si>
    <t>https://streetviewpixels-pa.googleapis.com/v1/thumbnail?panoid=ZAnAvc7qpzxPMrsxEDQ1GA&amp;cb_client=search.gws-prod.gps&amp;w=408&amp;h=240&amp;yaw=352.2094&amp;pitch=0&amp;thumbfov=100</t>
  </si>
  <si>
    <t>F57W+6W Santander</t>
  </si>
  <si>
    <t>Calle Daoiz y Velarde, 9, 39003 Santander, Cantabria</t>
  </si>
  <si>
    <t>942 31 47 16</t>
  </si>
  <si>
    <t>43.346626</t>
  </si>
  <si>
    <t>-4.6227708</t>
  </si>
  <si>
    <t>https://goo.gl/maps/jZhate5Kfkt9nVhB6</t>
  </si>
  <si>
    <t>https://streetviewpixels-pa.googleapis.com/v1/thumbnail?panoid=j0yN8mTPxLj8z53y-kGsnA&amp;cb_client=search.gws-prod.gps&amp;w=408&amp;h=240&amp;yaw=11.018773&amp;pitch=0&amp;thumbfov=100</t>
  </si>
  <si>
    <t>Mancomunidad de Servicios Sociales Castañeda, Penagos, Sta María de Cayón y Saro</t>
  </si>
  <si>
    <t>952P+M7 Penagos</t>
  </si>
  <si>
    <t>Lugar Barrio la Helguera, 6, 39627 Penagos</t>
  </si>
  <si>
    <t>Penagos</t>
  </si>
  <si>
    <t>942 55 43 45</t>
  </si>
  <si>
    <t>https://goo.gl/maps/sahSE7xyuwcH4vDk7</t>
  </si>
  <si>
    <t>https://streetviewpixels-pa.googleapis.com/v1/thumbnail?panoid=DFA5VBYuOVk6_iWYxhHm7w&amp;cb_client=search.gws-prod.gps&amp;w=408&amp;h=240&amp;yaw=134.37479&amp;pitch=0&amp;thumbfov=100</t>
  </si>
  <si>
    <t>Edades</t>
  </si>
  <si>
    <t>F56J+87 Santander</t>
  </si>
  <si>
    <t>Calle San Fernando, 16, 1 bajo, 39010 Santander, Cantabria</t>
  </si>
  <si>
    <t>atencionweb.es</t>
  </si>
  <si>
    <t>942 32 25 55</t>
  </si>
  <si>
    <t>43.460766</t>
  </si>
  <si>
    <t>-4.3796037</t>
  </si>
  <si>
    <t>https://g.page/Edades_Servicio_Social_Santander?share</t>
  </si>
  <si>
    <t>https://streetviewpixels-pa.googleapis.com/v1/thumbnail?panoid=Lb-GfGpUnpPHByTt8O0TBg&amp;cb_client=search.gws-prod.gps&amp;w=408&amp;h=240&amp;yaw=342.1048&amp;pitch=0&amp;thumbfov=100</t>
  </si>
  <si>
    <t>Calidad En Dependencia Cantabria S.L.</t>
  </si>
  <si>
    <t>F477+49 Soto de la Marina</t>
  </si>
  <si>
    <t>Calle de Borrancho, Nº 1 G, 39110 Soto de la Marina, Cantabria</t>
  </si>
  <si>
    <t>Soto de la Marina</t>
  </si>
  <si>
    <t>qdcantabria.es</t>
  </si>
  <si>
    <t>942 57 48 05</t>
  </si>
  <si>
    <t>https://goo.gl/maps/byzga3kM8yoMFo759</t>
  </si>
  <si>
    <t>https://streetviewpixels-pa.googleapis.com/v1/thumbnail?panoid=KTMlsPvzWTuI-dHejFXypw&amp;cb_client=search.gws-prod.gps&amp;w=408&amp;h=240&amp;yaw=289.0699&amp;pitch=0&amp;thumbfov=100</t>
  </si>
  <si>
    <t>Reinosa</t>
  </si>
  <si>
    <t>Ampros Asociación Cántabra En Favor De Las Personas Con Discapacidad Intelectu</t>
  </si>
  <si>
    <t>F49H+QF Santander</t>
  </si>
  <si>
    <t>Calle Virgen del Mar, 21, 39012 Santander, Cantabria</t>
  </si>
  <si>
    <t>ampros.org</t>
  </si>
  <si>
    <t>942 33 85 99</t>
  </si>
  <si>
    <t>43.4558307</t>
  </si>
  <si>
    <t>-4.3731514</t>
  </si>
  <si>
    <t>https://goo.gl/maps/iU2wjYwe3XTprrRi7</t>
  </si>
  <si>
    <t>https://streetviewpixels-pa.googleapis.com/v1/thumbnail?panoid=3fQynb3vXnP6JiGz0gZu_g&amp;cb_client=search.gws-prod.gps&amp;w=408&amp;h=240&amp;yaw=342.36008&amp;pitch=0&amp;thumbfov=100</t>
  </si>
  <si>
    <t>Va De Solidariad</t>
  </si>
  <si>
    <t>FFJ4+3R Soano</t>
  </si>
  <si>
    <t>Lugar Barrio Riegos, 1, 39193 Soano</t>
  </si>
  <si>
    <t>Soano</t>
  </si>
  <si>
    <t>637 83 55 05</t>
  </si>
  <si>
    <t>https://goo.gl/maps/M6cgyvBZ5SmLhWfp9</t>
  </si>
  <si>
    <t>https://streetviewpixels-pa.googleapis.com/v1/thumbnail?panoid=kkOPmwbfV-LcemXsug1YZQ&amp;cb_client=search.gws-prod.gps&amp;w=408&amp;h=240&amp;yaw=241.10104&amp;pitch=0&amp;thumbfov=100</t>
  </si>
  <si>
    <t>Asociación Amica - Centro de Recursos y Sede Central</t>
  </si>
  <si>
    <t>8XV6+2F Torrelavega</t>
  </si>
  <si>
    <t>Calle Barrio Sierrapando, 508, 39300 Torrelavega, Cantabria</t>
  </si>
  <si>
    <t>amica.es</t>
  </si>
  <si>
    <t>942 89 52 09</t>
  </si>
  <si>
    <t>https://goo.gl/maps/S3DfAfBcbHcvsdD37</t>
  </si>
  <si>
    <t>https://lh5.googleusercontent.com/p/AF1QipPKDyrz6UiSLQhA5ESS6VSKRj2-7xGZy0kP_XUD=w408-h306-k-no</t>
  </si>
  <si>
    <t>Consejería de Empleo y Bienestar Social Centro Atención Primera Infancia</t>
  </si>
  <si>
    <t>F574+7P Santander</t>
  </si>
  <si>
    <t>Av. del Deporte, 0, 39011 Santander, Cantabria</t>
  </si>
  <si>
    <t>942 33 38 69</t>
  </si>
  <si>
    <t>https://goo.gl/maps/rPiJbJxqpmXfg338A</t>
  </si>
  <si>
    <t>Centro de Adultos la Barca</t>
  </si>
  <si>
    <t>2V35+GX Reinosa</t>
  </si>
  <si>
    <t>Calle El Ferial, 3, 39200 Reinosa, Cantabria</t>
  </si>
  <si>
    <t>43.0037697</t>
  </si>
  <si>
    <t>-4.7003654</t>
  </si>
  <si>
    <t>https://goo.gl/maps/XJPqfvL6BvwUpvqX8</t>
  </si>
  <si>
    <t>https://streetviewpixels-pa.googleapis.com/v1/thumbnail?panoid=lGPP4HD3E2O6ipLM4Bvg0g&amp;cb_client=search.gws-prod.gps&amp;w=408&amp;h=240&amp;yaw=340.7734&amp;pitch=0&amp;thumbfov=100</t>
  </si>
  <si>
    <t>Juzgado Social Nº 2</t>
  </si>
  <si>
    <t>F56Q+58 Santander</t>
  </si>
  <si>
    <t>Calle Alta, 18, 39008 Santander, Cantabria</t>
  </si>
  <si>
    <t>942 24 81 05</t>
  </si>
  <si>
    <t>https://goo.gl/maps/oHvt95PtBEzZCFWVA</t>
  </si>
  <si>
    <t>https://lh5.googleusercontent.com/p/AF1QipP32P_Dxi80ZFlfCUeGJP-QmEmFlIohxOxK6qV0=w408-h306-k-no</t>
  </si>
  <si>
    <t>43.4441431</t>
  </si>
  <si>
    <t>-4.0140027</t>
  </si>
  <si>
    <t>Asociación Pro Vida de Cantabria</t>
  </si>
  <si>
    <t>F6F7+8H Santander</t>
  </si>
  <si>
    <t>Calle las Cruces, 5, 39005 Santander, Cantabria</t>
  </si>
  <si>
    <t>providacantabria.es</t>
  </si>
  <si>
    <t>942 27 87 00</t>
  </si>
  <si>
    <t>providasdr@yahoo.es</t>
  </si>
  <si>
    <t>https://goo.gl/maps/kxVRxpQWFsBGPPiY8</t>
  </si>
  <si>
    <t>https://streetviewpixels-pa.googleapis.com/v1/thumbnail?panoid=wWeWxtET9F7n-EVGwS5JeQ&amp;cb_client=search.gws-prod.gps&amp;w=408&amp;h=240&amp;yaw=248.7212&amp;pitch=0&amp;thumbfov=100</t>
  </si>
  <si>
    <t>Azvase Torrelavega</t>
  </si>
  <si>
    <t>8XX2+F3 Torrelavega</t>
  </si>
  <si>
    <t>Calle Julián Ceballos, 14, 1B, 39300 Torrelavega, Cantabria</t>
  </si>
  <si>
    <t>azvase.com</t>
  </si>
  <si>
    <t>942 08 68 65</t>
  </si>
  <si>
    <t>43.3487081</t>
  </si>
  <si>
    <t>-4.6100836</t>
  </si>
  <si>
    <t>https://goo.gl/maps/qmfF7xX62wHp9aDa6</t>
  </si>
  <si>
    <t>https://lh5.googleusercontent.com/p/AF1QipNdBBYE52vY0Y7LgkorVCYPsfw7XPjZ-yeaCeIk=w494-h240-k-no</t>
  </si>
  <si>
    <t>F56Q+CF Santander</t>
  </si>
  <si>
    <t>Calle Garmendia, 12, 39008 Santander, Cantabria</t>
  </si>
  <si>
    <t>942 31 25 38</t>
  </si>
  <si>
    <t>https://goo.gl/maps/GxzZPRRJAiNcYh7C9</t>
  </si>
  <si>
    <t>https://lh5.googleusercontent.com/p/AF1QipOah94ckjzTgcLvbngmJ657QC7frXc1jTtHKPvc=w408-h612-k-no</t>
  </si>
  <si>
    <t>Patronato Municipal de Educación</t>
  </si>
  <si>
    <t>8WWX+2X Torrelavega</t>
  </si>
  <si>
    <t>Calle Maestro Mediavilla, 13, 39300 Torrelavega, Cantabria</t>
  </si>
  <si>
    <t>pmetorrelavega.es</t>
  </si>
  <si>
    <t>942 88 22 64</t>
  </si>
  <si>
    <t>info@lacabraenlaescalera.com</t>
  </si>
  <si>
    <t>43.3450303</t>
  </si>
  <si>
    <t>-4.610346</t>
  </si>
  <si>
    <t>https://goo.gl/maps/K1RUxS1SQ52n8UkD7</t>
  </si>
  <si>
    <t>https://lh5.googleusercontent.com/p/AF1QipNT4P5gLnpAhTntTNeKIq9BNx57xR60JuhpLOtn=w408-h306-k-no</t>
  </si>
  <si>
    <t>Teleasistencia en Santander</t>
  </si>
  <si>
    <t>F675+69 Santander</t>
  </si>
  <si>
    <t>Calle Castelar, 43, Bajo, 39004 Santander, Cantabria</t>
  </si>
  <si>
    <t>942 21 49 30</t>
  </si>
  <si>
    <t>https://g.page/teleasistencia-en-santander?share</t>
  </si>
  <si>
    <t>https://lh5.googleusercontent.com/p/AF1QipN4iqv0-CMO4CYJJhZZfOS-xTwyT-y9-yt-3yW3=w408-h408-k-no</t>
  </si>
  <si>
    <t>43.3829091</t>
  </si>
  <si>
    <t>-3.7796512</t>
  </si>
  <si>
    <t>Centro de Servicios Sociales Siete Villas</t>
  </si>
  <si>
    <t>FFJH+94 Noja</t>
  </si>
  <si>
    <t>Calle Marqués de Velasco, 6, 39180 Noja, Cantabria</t>
  </si>
  <si>
    <t>Noja</t>
  </si>
  <si>
    <t>sietevillas.org</t>
  </si>
  <si>
    <t>info@7villas.com</t>
  </si>
  <si>
    <t>https://goo.gl/maps/ChMEMZZSuhCbXqwf6</t>
  </si>
  <si>
    <t>https://streetviewpixels-pa.googleapis.com/v1/thumbnail?panoid=sU44l8YPc25yy3diMVy9Hw&amp;cb_client=search.gws-prod.gps&amp;w=408&amp;h=240&amp;yaw=263.04382&amp;pitch=0&amp;thumbfov=100</t>
  </si>
  <si>
    <t>86</t>
  </si>
  <si>
    <t>9X34+F8 Torrelavega</t>
  </si>
  <si>
    <t>Calle Pintor Salces, 39300 Torrelavega, Cantabria</t>
  </si>
  <si>
    <t>942 89 09 08</t>
  </si>
  <si>
    <t>43.3524756</t>
  </si>
  <si>
    <t>-4.6118374</t>
  </si>
  <si>
    <t>https://goo.gl/maps/EsVxp5BTmhyhGZTUA</t>
  </si>
  <si>
    <t>https://streetviewpixels-pa.googleapis.com/v1/thumbnail?panoid=6Xb5xa68qo671-rW--ayiA&amp;cb_client=search.gws-prod.gps&amp;w=408&amp;h=240&amp;yaw=54.16867&amp;pitch=0&amp;thumbfov=100</t>
  </si>
  <si>
    <t>Cáritas Parroquial</t>
  </si>
  <si>
    <t>8XX2+7G Torrelavega</t>
  </si>
  <si>
    <t>Plaza Baldomero Iglesias, 0, 39300 Torrelavega, Cantabria</t>
  </si>
  <si>
    <t>942 88 33 09</t>
  </si>
  <si>
    <t>https://goo.gl/maps/1YHAviReigJ3PiQo9</t>
  </si>
  <si>
    <t>https://streetviewpixels-pa.googleapis.com/v1/thumbnail?panoid=E5NXJ5wvziASQa9q2WVlAA&amp;cb_client=search.gws-prod.gps&amp;w=408&amp;h=240&amp;yaw=359.07806&amp;pitch=0&amp;thumbfov=100</t>
  </si>
  <si>
    <t>F588+W9 Santander</t>
  </si>
  <si>
    <t>Calle Josefina de la Maza, 4, 39006 Santander, Cantabria</t>
  </si>
  <si>
    <t>942 32 00 11</t>
  </si>
  <si>
    <t>43.257748</t>
  </si>
  <si>
    <t>-4.626165</t>
  </si>
  <si>
    <t>https://goo.gl/maps/zLZxCnkMjLriXZar8</t>
  </si>
  <si>
    <t>https://streetviewpixels-pa.googleapis.com/v1/thumbnail?panoid=yGLAIzO6KCqzyDmewyc9-Q&amp;cb_client=search.gws-prod.gps&amp;w=408&amp;h=240&amp;yaw=100.87631&amp;pitch=0&amp;thumbfov=100</t>
  </si>
  <si>
    <t>Asociación Cuin</t>
  </si>
  <si>
    <t>9779+JJ Hermosa</t>
  </si>
  <si>
    <t>Lugar Barrio El Ontañón, 93, 39724 Hermosa</t>
  </si>
  <si>
    <t>Hermosa</t>
  </si>
  <si>
    <t>fundacioncuin.org</t>
  </si>
  <si>
    <t>942 52 39 61</t>
  </si>
  <si>
    <t>indole@indole.es</t>
  </si>
  <si>
    <t>https://goo.gl/maps/tukLEzazFyEcCr9D6</t>
  </si>
  <si>
    <t>Alcoholicos Anónimos</t>
  </si>
  <si>
    <t>F56Q+FX Santander</t>
  </si>
  <si>
    <t>Calle Cuesta, 4, 39002 Santander, Cantabria</t>
  </si>
  <si>
    <t>alcoholicos-anonimos.org</t>
  </si>
  <si>
    <t>985 56 63 45</t>
  </si>
  <si>
    <t>info@alcoholicos-anonimos.org</t>
  </si>
  <si>
    <t>https://goo.gl/maps/Ju8KEwhKD3cmtBra6</t>
  </si>
  <si>
    <t>https://streetviewpixels-pa.googleapis.com/v1/thumbnail?panoid=ZQHcfnTu6w4po4fF01Arfw&amp;cb_client=search.gws-prod.gps&amp;w=408&amp;h=240&amp;yaw=286.00934&amp;pitch=0&amp;thumbfov=100</t>
  </si>
  <si>
    <t>F5GQ+V6 Santander</t>
  </si>
  <si>
    <t>Calle Arriba, 38, 39012 Santander, Cantabria</t>
  </si>
  <si>
    <t>942 39 12 68</t>
  </si>
  <si>
    <t>https://goo.gl/maps/urXm6S6M2DgiVnkr9</t>
  </si>
  <si>
    <t>https://streetviewpixels-pa.googleapis.com/v1/thumbnail?panoid=sLAoLHBCrpkReZb6PWOA2Q&amp;cb_client=search.gws-prod.gps&amp;w=408&amp;h=240&amp;yaw=156.16548&amp;pitch=0&amp;thumbfov=100</t>
  </si>
  <si>
    <t>CENTRO DE DIA MURIEDAS SL</t>
  </si>
  <si>
    <t>C592+GX Muriedas</t>
  </si>
  <si>
    <t>Av. de Bilbao, 40, 39600 Muriedas, Cantabria</t>
  </si>
  <si>
    <t>Muriedas</t>
  </si>
  <si>
    <t>942 07 98 88</t>
  </si>
  <si>
    <t>https://goo.gl/maps/Gh8PMLcgELQzhdGH8</t>
  </si>
  <si>
    <t>https://lh5.googleusercontent.com/p/AF1QipMXa47AuFaP1nou-igp6JCh0U3NcLK-UMhQ1Xk=w426-h240-k-no</t>
  </si>
  <si>
    <t>9X34+C8 Torrelavega</t>
  </si>
  <si>
    <t>Calle Julián Urbina, 10, 39300 Torrelavega, Cantabria</t>
  </si>
  <si>
    <t>43.353589</t>
  </si>
  <si>
    <t>-4.6045378</t>
  </si>
  <si>
    <t>https://goo.gl/maps/QhgWd9EA1EZYSCDH6</t>
  </si>
  <si>
    <t>https://streetviewpixels-pa.googleapis.com/v1/thumbnail?panoid=6Xb5xa68qo671-rW--ayiA&amp;cb_client=search.gws-prod.gps&amp;w=408&amp;h=240&amp;yaw=109.01423&amp;pitch=0&amp;thumbfov=100</t>
  </si>
  <si>
    <t>Praxair</t>
  </si>
  <si>
    <t>C5M9+53 Camargo</t>
  </si>
  <si>
    <t>8, Polígono de Raos, 2, 39600 Camargo, Cantabria</t>
  </si>
  <si>
    <t>Camargo</t>
  </si>
  <si>
    <t>900 212 333</t>
  </si>
  <si>
    <t>https://goo.gl/maps/msADb8E6epZUzqzU9</t>
  </si>
  <si>
    <t>https://lh5.googleusercontent.com/p/AF1QipNwWrI8wA45ECTu6qZvsCXnuI-PNiMl8EnlKPXa=w408-h302-k-no</t>
  </si>
  <si>
    <t>Cruz Roja Del Mar Base De Salvamentos</t>
  </si>
  <si>
    <t>F52F+CG Santander</t>
  </si>
  <si>
    <t>Calle Alfonso Pérez, S/N, 39009 Santander, Cantabria</t>
  </si>
  <si>
    <t>942 27 36 61</t>
  </si>
  <si>
    <t>43.1358713</t>
  </si>
  <si>
    <t>-4.5610178</t>
  </si>
  <si>
    <t>https://goo.gl/maps/dVfrocspnH8AGorh7</t>
  </si>
  <si>
    <t>https://streetviewpixels-pa.googleapis.com/v1/thumbnail?panoid=k7OPDoJ6rl655oyyjaK_dw&amp;cb_client=search.gws-prod.gps&amp;w=408&amp;h=240&amp;yaw=252.95522&amp;pitch=0&amp;thumbfov=100</t>
  </si>
  <si>
    <t>Calle San Roque, 1, 39570 Potes, Cantabria</t>
  </si>
  <si>
    <t>Alfoz de Lloredo</t>
  </si>
  <si>
    <t>942 73 01 02</t>
  </si>
  <si>
    <t>43.1558931</t>
  </si>
  <si>
    <t>-5.1798373</t>
  </si>
  <si>
    <t>https://goo.gl/maps/GepbT1jNCGy8Laqi7</t>
  </si>
  <si>
    <t>https://streetviewpixels-pa.googleapis.com/v1/thumbnail?panoid=s8DEEuDGWWQ3Ao81nWr26Q&amp;cb_client=search.gws-prod.gps&amp;w=408&amp;h=240&amp;yaw=356.44046&amp;pitch=0&amp;thumbfov=100</t>
  </si>
  <si>
    <t>Albacete</t>
  </si>
  <si>
    <t>38.9921966</t>
  </si>
  <si>
    <t>-1.8605894</t>
  </si>
  <si>
    <t>Consorcio de Servicios Sociales de la Diputación de Albacete</t>
  </si>
  <si>
    <t>X4PW+RC Albacete</t>
  </si>
  <si>
    <t>Plaza Benjamín Palencia, 1, Entreplanta, 02002 Albacete</t>
  </si>
  <si>
    <t>consorciodeserviciossocialesab.es</t>
  </si>
  <si>
    <t>967 52 43 60</t>
  </si>
  <si>
    <t>https://goo.gl/maps/Km1UevaadV55FQr69</t>
  </si>
  <si>
    <t>https://lh5.googleusercontent.com/p/AF1QipN55AJKVrJjR-fITt1gCkxRYtlyUcd1ij5oKmxL=w494-h240-k-no</t>
  </si>
  <si>
    <t>Centro de Atención Social</t>
  </si>
  <si>
    <t>X4VW+XW Albacete</t>
  </si>
  <si>
    <t>Calle Salamanca, 4, 02001 Albacete</t>
  </si>
  <si>
    <t>centrodeatencionsocial.com</t>
  </si>
  <si>
    <t>667 64 57 02</t>
  </si>
  <si>
    <t>info@centrodeatencionsocial.com</t>
  </si>
  <si>
    <t>https://goo.gl/maps/d9Dg4aGeNZUfc11U7</t>
  </si>
  <si>
    <t>https://lh5.googleusercontent.com/p/AF1QipN31kuIjBJbmtiQ2ULbjGKziqNEreFfT5ijt2Kc=w408-h544-k-no</t>
  </si>
  <si>
    <t>Diputación Provincial de Albacete</t>
  </si>
  <si>
    <t>Av. Cronista Mateos y Sotos, 02006 Albacete</t>
  </si>
  <si>
    <t>Abengibre</t>
  </si>
  <si>
    <t>967 19 31 36</t>
  </si>
  <si>
    <t>39.0046894</t>
  </si>
  <si>
    <t>-1.8784559</t>
  </si>
  <si>
    <t>https://goo.gl/maps/5DjyNNhFE8nxFWVj6</t>
  </si>
  <si>
    <t>https://streetviewpixels-pa.googleapis.com/v1/thumbnail?panoid=lhGPbBs3trJssJrQqJ8Muw&amp;cb_client=search.gws-prod.gps&amp;w=408&amp;h=240&amp;yaw=76.942665&amp;pitch=0&amp;thumbfov=100</t>
  </si>
  <si>
    <t>X4VV+78 Albacete</t>
  </si>
  <si>
    <t>Calle Del Tinte, 3, 02001 Albacete</t>
  </si>
  <si>
    <t>967 19 18 21</t>
  </si>
  <si>
    <t>38.9932477</t>
  </si>
  <si>
    <t>-1.8741705</t>
  </si>
  <si>
    <t>https://goo.gl/maps/BpEDQw6ND4v87R4u7</t>
  </si>
  <si>
    <t>https://streetviewpixels-pa.googleapis.com/v1/thumbnail?panoid=kkfFbdac0B6fv_4W-zrNLw&amp;cb_client=search.gws-prod.gps&amp;w=408&amp;h=240&amp;yaw=26.046072&amp;pitch=0&amp;thumbfov=100</t>
  </si>
  <si>
    <t>Cáritas Interparroquial De Albacete</t>
  </si>
  <si>
    <t>X4MP+8M Albacete</t>
  </si>
  <si>
    <t>Pl. de los Molinos, 3, 02006 Albacete</t>
  </si>
  <si>
    <t>967 22 22 60</t>
  </si>
  <si>
    <t>38.983367</t>
  </si>
  <si>
    <t>-1.8808217</t>
  </si>
  <si>
    <t>https://goo.gl/maps/XzoJ1QoBU8RcVmp39</t>
  </si>
  <si>
    <t>https://streetviewpixels-pa.googleapis.com/v1/thumbnail?panoid=mb0Ftc620ueNX1dh9BW-wA&amp;cb_client=search.gws-prod.gps&amp;w=408&amp;h=240&amp;yaw=149.79492&amp;pitch=0&amp;thumbfov=100</t>
  </si>
  <si>
    <t>Asprona Asociación Para la Atención A Personas Con Discapacidad Intelectual</t>
  </si>
  <si>
    <t>X4MM+7G Albacete</t>
  </si>
  <si>
    <t>Calle de Fernando Poo, 20, 02006 Albacete</t>
  </si>
  <si>
    <t>asprona.org</t>
  </si>
  <si>
    <t>967 22 72 07</t>
  </si>
  <si>
    <t>info@asprona.org</t>
  </si>
  <si>
    <t>https://goo.gl/maps/qFKBwqXiN2Yw7pu99</t>
  </si>
  <si>
    <t>https://streetviewpixels-pa.googleapis.com/v1/thumbnail?panoid=7LHivB50gAWVnUaohEdYoQ&amp;cb_client=search.gws-prod.gps&amp;w=408&amp;h=240&amp;yaw=187.03462&amp;pitch=0&amp;thumbfov=100</t>
  </si>
  <si>
    <t>Asociación Bayco</t>
  </si>
  <si>
    <t>X4PH+8F Albacete</t>
  </si>
  <si>
    <t>Calle Cuba, 26, 02006 Albacete</t>
  </si>
  <si>
    <t>967 23 68 81</t>
  </si>
  <si>
    <t>https://goo.gl/maps/ZRW1nKgLQrGE12MV9</t>
  </si>
  <si>
    <t>https://lh5.googleusercontent.com/p/AF1QipNWtayvBTeUY7DtMSQW6uwB5LBWDo97I4SuonGZ=w408-h244-k-no</t>
  </si>
  <si>
    <t>Asprona Asociación Para Atención A Personas Con Discapacidad Intelectual</t>
  </si>
  <si>
    <t>242Q+QW Albacete</t>
  </si>
  <si>
    <t>Calle Miguel López de Legazpi, 21, 02005 Albacete</t>
  </si>
  <si>
    <t>967 50 10 65</t>
  </si>
  <si>
    <t>39.0019912</t>
  </si>
  <si>
    <t>-1.8776764</t>
  </si>
  <si>
    <t>https://goo.gl/maps/rnwdXQzBc8EBxVzN8</t>
  </si>
  <si>
    <t>https://streetviewpixels-pa.googleapis.com/v1/thumbnail?panoid=4H2VL2fHEvvl6SzWAYV1eQ&amp;cb_client=search.gws-prod.gps&amp;w=408&amp;h=240&amp;yaw=8.869022&amp;pitch=0&amp;thumbfov=100</t>
  </si>
  <si>
    <t>Organización Nacional de Ciegos de España</t>
  </si>
  <si>
    <t>242W+GR Albacete</t>
  </si>
  <si>
    <t>Calle Guadalajara, 9, 02001 Albacete</t>
  </si>
  <si>
    <t>967 19 25 72</t>
  </si>
  <si>
    <t>https://goo.gl/maps/yuUoPpvP6SjNyBhV9</t>
  </si>
  <si>
    <t>https://streetviewpixels-pa.googleapis.com/v1/thumbnail?panoid=TDHu3OKaw8apqEJcOSeC3g&amp;cb_client=search.gws-prod.gps&amp;w=408&amp;h=240&amp;yaw=32.486137&amp;pitch=0&amp;thumbfov=100</t>
  </si>
  <si>
    <t>José María Aguilar</t>
  </si>
  <si>
    <t>X4QW+JV Albacete</t>
  </si>
  <si>
    <t>Calle Sol, 21, 02002 Albacete</t>
  </si>
  <si>
    <t>googlepages.com</t>
  </si>
  <si>
    <t>967 24 69 04</t>
  </si>
  <si>
    <t>https://goo.gl/maps/KYpH1yBpF4R5E5HE8</t>
  </si>
  <si>
    <t>https://streetviewpixels-pa.googleapis.com/v1/thumbnail?panoid=m_Bk6HlhygcQ2N9esbXIpQ&amp;cb_client=search.gws-prod.gps&amp;w=408&amp;h=240&amp;yaw=76.34314&amp;pitch=0&amp;thumbfov=100</t>
  </si>
  <si>
    <t>Asociación Jubilados Hermanos Falcó</t>
  </si>
  <si>
    <t>X5J2+RX Albacete</t>
  </si>
  <si>
    <t>Calle Ramón de Campoamor, 5, 02006 Albacete</t>
  </si>
  <si>
    <t>967 52 41 00</t>
  </si>
  <si>
    <t>38.9820022</t>
  </si>
  <si>
    <t>-1.8650747</t>
  </si>
  <si>
    <t>https://goo.gl/maps/C37TVw4oHTDV9PYSA</t>
  </si>
  <si>
    <t>https://streetviewpixels-pa.googleapis.com/v1/thumbnail?panoid=LG_g-flxwkm34IUfa1SleA&amp;cb_client=search.gws-prod.gps&amp;w=408&amp;h=240&amp;yaw=38.219513&amp;pitch=0&amp;thumbfov=100</t>
  </si>
  <si>
    <t>Administración De Justicia</t>
  </si>
  <si>
    <t>Calle Periodista del Campo Aguilar, 0, 02001 Albacete</t>
  </si>
  <si>
    <t>967 23 88 06</t>
  </si>
  <si>
    <t>https://goo.gl/maps/n377ah1744nNFfH9A</t>
  </si>
  <si>
    <t>https://streetviewpixels-pa.googleapis.com/v1/thumbnail?panoid=6oKRaJHc2dHJ12w6oIY33A&amp;cb_client=search.gws-prod.gps&amp;w=408&amp;h=240&amp;yaw=182.36842&amp;pitch=0&amp;thumbfov=100</t>
  </si>
  <si>
    <t>Asociación Para la Atención A Personas Con Discapacidad Intelectual y Sus Familias</t>
  </si>
  <si>
    <t>X4RV+2J Albacete</t>
  </si>
  <si>
    <t>Calle San José de Calasanz, 4, 02002 Albacete</t>
  </si>
  <si>
    <t>967 22 52 62</t>
  </si>
  <si>
    <t>https://goo.gl/maps/f4ByXzFGXoGqgouT7</t>
  </si>
  <si>
    <t>https://streetviewpixels-pa.googleapis.com/v1/thumbnail?panoid=M8x2DjXwqWy_1eFK32p4rw&amp;cb_client=search.gws-prod.gps&amp;w=408&amp;h=240&amp;yaw=191.31714&amp;pitch=0&amp;thumbfov=100</t>
  </si>
  <si>
    <t>X4JP+8X Albacete</t>
  </si>
  <si>
    <t>Calle Arboleda, 61, 02006 Albacete</t>
  </si>
  <si>
    <t>967 23 99 08</t>
  </si>
  <si>
    <t>https://goo.gl/maps/2hMsr5u7Bbzb1vfx9</t>
  </si>
  <si>
    <t>https://streetviewpixels-pa.googleapis.com/v1/thumbnail?panoid=ZXMBbaUCXJAn1I7pK0fnlg&amp;cb_client=search.gws-prod.gps&amp;w=408&amp;h=240&amp;yaw=54.055714&amp;pitch=0&amp;thumbfov=100</t>
  </si>
  <si>
    <t>Diana Ángel - Club de Fans</t>
  </si>
  <si>
    <t>X5Q5+P2 Albacete</t>
  </si>
  <si>
    <t>Plaza Tomás Navarro Tomás, s/n, 02008 Albacete</t>
  </si>
  <si>
    <t>628 62 88 32</t>
  </si>
  <si>
    <t>https://goo.gl/maps/jYxpeCSmfK76xEsa6</t>
  </si>
  <si>
    <t>https://streetviewpixels-pa.googleapis.com/v1/thumbnail?panoid=E3fMOEhL1FwGFU5mdrlGmw&amp;cb_client=search.gws-prod.gps&amp;w=408&amp;h=240&amp;yaw=159.44855&amp;pitch=0&amp;thumbfov=100</t>
  </si>
  <si>
    <t>Cuenca</t>
  </si>
  <si>
    <t>40.0619695</t>
  </si>
  <si>
    <t>-2.1480249</t>
  </si>
  <si>
    <t>Área de Intervención Social (A.I.S.)</t>
  </si>
  <si>
    <t>3VF7+QV Cuenca</t>
  </si>
  <si>
    <t>16001 Cuenca</t>
  </si>
  <si>
    <t>ais.cuenca.es</t>
  </si>
  <si>
    <t>900 707 170</t>
  </si>
  <si>
    <t>ais@cuenca.es</t>
  </si>
  <si>
    <t>https://goo.gl/maps/sJ17CEtJcgQxxRU8A</t>
  </si>
  <si>
    <t>https://streetviewpixels-pa.googleapis.com/v1/thumbnail?panoid=VjVggmKDg2B1fg7DzQ5AjQ&amp;cb_client=search.gws-prod.gps&amp;w=408&amp;h=240&amp;yaw=252.50978&amp;pitch=0&amp;thumbfov=100</t>
  </si>
  <si>
    <t>Organización Nacional de Ciegos Españoles Grupo</t>
  </si>
  <si>
    <t>3VG7+52 Cuenca</t>
  </si>
  <si>
    <t>Calle Mateo Miguel Ayllón, 0, 16002 Cuenca</t>
  </si>
  <si>
    <t>969 23 36 17</t>
  </si>
  <si>
    <t>https://goo.gl/maps/dPCgNap3cyR2yG6T6</t>
  </si>
  <si>
    <t>https://streetviewpixels-pa.googleapis.com/v1/thumbnail?panoid=0XamporwmUAKhm9D8pwhGA&amp;cb_client=search.gws-prod.gps&amp;w=408&amp;h=240&amp;yaw=123.76837&amp;pitch=0&amp;thumbfov=100</t>
  </si>
  <si>
    <t>Ayuntamiento de Cuenca - Oficina de Servicios</t>
  </si>
  <si>
    <t>3VF7+MV Cuenca</t>
  </si>
  <si>
    <t>Calle Pósito, 2, 16001 Cuenca</t>
  </si>
  <si>
    <t>969 23 45 88</t>
  </si>
  <si>
    <t>https://goo.gl/maps/mjNCWu6tvzeSq1su5</t>
  </si>
  <si>
    <t>https://lh5.googleusercontent.com/p/AF1QipN90KaQuvtmpxqZBQ9klkTCphq003G3c9UZlsvW=w408-h306-k-no</t>
  </si>
  <si>
    <t>Ayuntamiento de Cuenca</t>
  </si>
  <si>
    <t>3V67+5J Cuenca</t>
  </si>
  <si>
    <t>Calle Álvaro de Luna, 38, 16003 Cuenca</t>
  </si>
  <si>
    <t>969 21 49 07</t>
  </si>
  <si>
    <t>https://goo.gl/maps/8x3XL4q6yVn1MXrv5</t>
  </si>
  <si>
    <t>https://streetviewpixels-pa.googleapis.com/v1/thumbnail?panoid=R6FW3GRkY0p_5j7vYMzrWA&amp;cb_client=search.gws-prod.gps&amp;w=408&amp;h=240&amp;yaw=204.90625&amp;pitch=0&amp;thumbfov=100</t>
  </si>
  <si>
    <t>3VG7+24 Cuenca</t>
  </si>
  <si>
    <t>Calle Mateo Miguel Ayllón, 2, 16001 Cuenca</t>
  </si>
  <si>
    <t>https://goo.gl/maps/JVqeyrS1YTvRv5gc9</t>
  </si>
  <si>
    <t>https://streetviewpixels-pa.googleapis.com/v1/thumbnail?panoid=fLu1K1Ts0VHxxSrTFNPevg&amp;cb_client=search.gws-prod.gps&amp;w=408&amp;h=240&amp;yaw=103.18754&amp;pitch=0&amp;thumbfov=100</t>
  </si>
  <si>
    <t>Colegio Oficial de Trabajo Social de Castilla-La Mancha</t>
  </si>
  <si>
    <t>3VC5+PJ Cuenca</t>
  </si>
  <si>
    <t>Av. República Argentina, 25, 16002 Cuenca</t>
  </si>
  <si>
    <t>trabajosocialclm.com</t>
  </si>
  <si>
    <t>969 23 30 82</t>
  </si>
  <si>
    <t>https://goo.gl/maps/vVrBZuWYerYyNtAu6</t>
  </si>
  <si>
    <t>https://lh5.googleusercontent.com/p/AF1QipMOhJKsS65FTD63lP8gI4y7LHnUDesoC_iBzJu0=w408-h272-k-no</t>
  </si>
  <si>
    <t>3V87+CW Cuenca</t>
  </si>
  <si>
    <t>Calle la Salvia, 3, 16004 Cuenca</t>
  </si>
  <si>
    <t>969 23 69 29</t>
  </si>
  <si>
    <t>https://goo.gl/maps/PkJ1SDjqfsyA2dWk8</t>
  </si>
  <si>
    <t>https://streetviewpixels-pa.googleapis.com/v1/thumbnail?panoid=3T0WbE6SNCxV52rQeqFOXg&amp;cb_client=search.gws-prod.gps&amp;w=408&amp;h=240&amp;yaw=166.0375&amp;pitch=0&amp;thumbfov=100</t>
  </si>
  <si>
    <t>Apromips Asociación Pro Minusválidos Psiquicos De Cuenca</t>
  </si>
  <si>
    <t>3RH2+V4 Cuenca</t>
  </si>
  <si>
    <t>N-320, Km. 6, 6, 16002 Cuenca</t>
  </si>
  <si>
    <t>apromips.org</t>
  </si>
  <si>
    <t>969 23 50 43</t>
  </si>
  <si>
    <t>centro@apromips.org</t>
  </si>
  <si>
    <t>40.0797426</t>
  </si>
  <si>
    <t>-2.2172388</t>
  </si>
  <si>
    <t>https://goo.gl/maps/DkGSxPVPPnQDs5SN7</t>
  </si>
  <si>
    <t>https://lh5.googleusercontent.com/p/AF1QipPu5rdqbkz0G5jr-8PhuZF1rdxVkpXgfMgmrFoU=w408-h725-k-no</t>
  </si>
  <si>
    <t>Geacam</t>
  </si>
  <si>
    <t>3V69+FM Cuenca</t>
  </si>
  <si>
    <t>Calle de los Hermanos Becerril, 27, 16004 Cuenca</t>
  </si>
  <si>
    <t>geacam.es</t>
  </si>
  <si>
    <t>969 23 74 27</t>
  </si>
  <si>
    <t>40.0677783</t>
  </si>
  <si>
    <t>-2.15712</t>
  </si>
  <si>
    <t>https://goo.gl/maps/LrXYsu6uY46dGJe98</t>
  </si>
  <si>
    <t>https://lh5.googleusercontent.com/p/AF1QipMMquwYrQLAPlpqciVslBTvRfCZHu8ngzxgkZbv=w426-h240-k-no</t>
  </si>
  <si>
    <t>Servicios Médicos Alameda S.L.</t>
  </si>
  <si>
    <t>3V84+X2 Cuenca</t>
  </si>
  <si>
    <t>Av. de San Julián, 1, 16002 Cuenca</t>
  </si>
  <si>
    <t>672 37 05 55</t>
  </si>
  <si>
    <t>https://goo.gl/maps/xYaq8moeVdfAwdzi6</t>
  </si>
  <si>
    <t>https://streetviewpixels-pa.googleapis.com/v1/thumbnail?panoid=35iY3MUr01hkMkTJdA2KHw&amp;cb_client=search.gws-prod.gps&amp;w=408&amp;h=240&amp;yaw=241.82437&amp;pitch=0&amp;thumbfov=100</t>
  </si>
  <si>
    <t>La Guerrera Masai</t>
  </si>
  <si>
    <t>3VC5+Q6 Cuenca</t>
  </si>
  <si>
    <t>Av. República Argentina, Nº 27, 4º, 16002 Cuenca</t>
  </si>
  <si>
    <t>605 28 96 29</t>
  </si>
  <si>
    <t>https://goo.gl/maps/vGzjZxCvMT334E5fA</t>
  </si>
  <si>
    <t>https://streetviewpixels-pa.googleapis.com/v1/thumbnail?panoid=9YLYs1pYM8xGTP_X6hGdRA&amp;cb_client=search.gws-prod.gps&amp;w=408&amp;h=240&amp;yaw=23.354645&amp;pitch=0&amp;thumbfov=100</t>
  </si>
  <si>
    <t>Servicios Sociales de Atencion Primaria Villalba de la Sierra</t>
  </si>
  <si>
    <t>6WM6+MQ Villalba de la Sierra</t>
  </si>
  <si>
    <t>Calle Escuelas, 2, 16140 Villalba de la Sierra, Cuenca</t>
  </si>
  <si>
    <t>Villalba de la Sierra</t>
  </si>
  <si>
    <t>969 28 13 89</t>
  </si>
  <si>
    <t>40.2342382</t>
  </si>
  <si>
    <t>-2.1056119</t>
  </si>
  <si>
    <t>https://g.page/serviciossocialesvillalbasierra?share</t>
  </si>
  <si>
    <t>https://lh5.googleusercontent.com/p/AF1QipOpdRfGsuDzWZ_Mhtl0lchygxeDoS0VJAvEVqzg=w417-h240-k-no</t>
  </si>
  <si>
    <t>Aspane</t>
  </si>
  <si>
    <t>XVQP+F9 Arcas</t>
  </si>
  <si>
    <t>Coracha 12, 16123 Arcas, Cuenca</t>
  </si>
  <si>
    <t>Arcas</t>
  </si>
  <si>
    <t>969 03 17 30</t>
  </si>
  <si>
    <t>39.9886745</t>
  </si>
  <si>
    <t>-2.1315493</t>
  </si>
  <si>
    <t>https://goo.gl/maps/pZPHDpvwmcB3B2it7</t>
  </si>
  <si>
    <t>https://streetviewpixels-pa.googleapis.com/v1/thumbnail?panoid=WqBGixK1iE2UQ391WkrpcQ&amp;cb_client=search.gws-prod.gps&amp;w=408&amp;h=240&amp;yaw=77.032135&amp;pitch=0&amp;thumbfov=100</t>
  </si>
  <si>
    <t>Guadalajara</t>
  </si>
  <si>
    <t>40.6321875</t>
  </si>
  <si>
    <t>-3.1731725</t>
  </si>
  <si>
    <t>Centro Municipal Integrado Eduardo Guitián</t>
  </si>
  <si>
    <t>76</t>
  </si>
  <si>
    <t>JRQM+RQ Guadalajara</t>
  </si>
  <si>
    <t>Av. de El Vado, 15, 19005 Guadalajara</t>
  </si>
  <si>
    <t>guadalajara.es</t>
  </si>
  <si>
    <t>949 01 03 33</t>
  </si>
  <si>
    <t>40.6344752</t>
  </si>
  <si>
    <t>-3.1750384</t>
  </si>
  <si>
    <t>https://goo.gl/maps/fGPWk1NA8Ld6uQjX8</t>
  </si>
  <si>
    <t>https://lh5.googleusercontent.com/p/AF1QipOQd0lkxmXHSA5tPyVL-TnyIYHpgWGAb09XfbWo=w408-h290-k-no</t>
  </si>
  <si>
    <t>Centro Social Los Manantiales</t>
  </si>
  <si>
    <t>JRJ6+VH Guadalajara</t>
  </si>
  <si>
    <t>Calle Buenafuente, 11, 19004 Guadalajara</t>
  </si>
  <si>
    <t>949 20 15 09</t>
  </si>
  <si>
    <t>40.632183</t>
  </si>
  <si>
    <t>-3.2060866</t>
  </si>
  <si>
    <t>https://goo.gl/maps/JyQcenkpMSsV5LHL9</t>
  </si>
  <si>
    <t>https://streetviewpixels-pa.googleapis.com/v1/thumbnail?panoid=YLVQzV3_vtf-R9Qr0KBkyg&amp;cb_client=search.gws-prod.gps&amp;w=408&amp;h=240&amp;yaw=126.03455&amp;pitch=0&amp;thumbfov=100</t>
  </si>
  <si>
    <t>Guadasocial</t>
  </si>
  <si>
    <t>JRMQ+V4 Guadalajara</t>
  </si>
  <si>
    <t>Calle Salazaras, 4, 19005 Guadalajara</t>
  </si>
  <si>
    <t>guadasocial.es</t>
  </si>
  <si>
    <t>949 49 14 99</t>
  </si>
  <si>
    <t>info@guadasocial.es</t>
  </si>
  <si>
    <t>40.6347069</t>
  </si>
  <si>
    <t>-3.1797239</t>
  </si>
  <si>
    <t>https://g.page/guadasocial?share</t>
  </si>
  <si>
    <t>https://lh5.googleusercontent.com/p/AF1QipPQSgsym20MK-65j8PtztoyAIGqAIPGXEVCL6DC=w408-h544-k-no</t>
  </si>
  <si>
    <t>Centro Social Cifuentes</t>
  </si>
  <si>
    <t>JRHH+R3 Guadalajara</t>
  </si>
  <si>
    <t>Calle de Cifuentes, 26, 19003 Guadalajara</t>
  </si>
  <si>
    <t>672 25 93 10</t>
  </si>
  <si>
    <t>40.62692</t>
  </si>
  <si>
    <t>-3.1794995</t>
  </si>
  <si>
    <t>https://goo.gl/maps/LNnJwo7kJxPXeVbr6</t>
  </si>
  <si>
    <t>https://lh5.googleusercontent.com/p/AF1QipNk9oH8o4OxpQKe3dKllnykAAZZgrpPogqw7iDH=w408-h313-k-no</t>
  </si>
  <si>
    <t>Aprodisfiu Asociación Provincial de Disminuidos Físicos de Guadalajara</t>
  </si>
  <si>
    <t>JRMH+7F Guadalajara</t>
  </si>
  <si>
    <t>Calle Gral. Moscardó Guzmán, 14, 19004 Guadalajara</t>
  </si>
  <si>
    <t>949 21 62 84</t>
  </si>
  <si>
    <t>https://goo.gl/maps/WtK6G1yhiR1CVjaTA</t>
  </si>
  <si>
    <t>https://streetviewpixels-pa.googleapis.com/v1/thumbnail?panoid=_xsggWNJ5jgPdTqwT_ZQsQ&amp;cb_client=search.gws-prod.gps&amp;w=408&amp;h=240&amp;yaw=328.378&amp;pitch=0&amp;thumbfov=100</t>
  </si>
  <si>
    <t>JRMF+MX Guadalajara</t>
  </si>
  <si>
    <t>Av. del Ejército, 12, 19004 Guadalajara</t>
  </si>
  <si>
    <t>949 23 00 60</t>
  </si>
  <si>
    <t>https://goo.gl/maps/4yoZDvqWPPKf6j5M8</t>
  </si>
  <si>
    <t>https://streetviewpixels-pa.googleapis.com/v1/thumbnail?panoid=eiCt9UWYoDCJO9T9TYtf0w&amp;cb_client=search.gws-prod.gps&amp;w=408&amp;h=240&amp;yaw=322.75253&amp;pitch=0&amp;thumbfov=100</t>
  </si>
  <si>
    <t>Centro Social Cuartel Del Henares</t>
  </si>
  <si>
    <t>JRM6+R3 Guadalajara</t>
  </si>
  <si>
    <t>Calle Pico Ocejon, 12, 19004 Guadalajara</t>
  </si>
  <si>
    <t>949 01 03 70</t>
  </si>
  <si>
    <t>40.6345645</t>
  </si>
  <si>
    <t>-3.2073474</t>
  </si>
  <si>
    <t>https://goo.gl/maps/7trnbGgYSPFAGVwa7</t>
  </si>
  <si>
    <t>https://lh5.googleusercontent.com/p/AF1QipMH-V_oDwFLIcgOroQ8KfPIWEOdLkZNEv9rqEN-=w531-h240-k-no</t>
  </si>
  <si>
    <t>Centro Social La Amistad</t>
  </si>
  <si>
    <t>JRFP+7Q Guadalajara</t>
  </si>
  <si>
    <t>C. Felipe Solano Antelo, 13, 19002 Guadalajara</t>
  </si>
  <si>
    <t>40.623229</t>
  </si>
  <si>
    <t>-3.1806315</t>
  </si>
  <si>
    <t>https://goo.gl/maps/fnLfEYrv2EyChAG36</t>
  </si>
  <si>
    <t>https://streetviewpixels-pa.googleapis.com/v1/thumbnail?panoid=On8CwVzT_l9mneiPbwQ76A&amp;cb_client=search.gws-prod.gps&amp;w=408&amp;h=240&amp;yaw=34.12113&amp;pitch=0&amp;thumbfov=100</t>
  </si>
  <si>
    <t>Centro Social Los Valles</t>
  </si>
  <si>
    <t>JVM2+WP Guadalajara</t>
  </si>
  <si>
    <t>Calle Virgen de la Hoz, s/n, 19005 Guadalajara</t>
  </si>
  <si>
    <t>949 31 39 55</t>
  </si>
  <si>
    <t>https://goo.gl/maps/vBwxqQyrR6DHyeGz7</t>
  </si>
  <si>
    <t>https://lh5.googleusercontent.com/p/AF1QipOpCtrGc2kYjS4lhpiMA3FCUPv68BDyloqM9eNb=w408-h306-k-no</t>
  </si>
  <si>
    <t>Fundación Mayores</t>
  </si>
  <si>
    <t>JRHM+XV Guadalajara</t>
  </si>
  <si>
    <t>Paseo Dr. Fernández Iparraguirre, 1, 19001 Guadalajara</t>
  </si>
  <si>
    <t>fundacionmayores.org</t>
  </si>
  <si>
    <t>949 21 31 82</t>
  </si>
  <si>
    <t>fmayores@fundacionmayores.org</t>
  </si>
  <si>
    <t>https://goo.gl/maps/bMaJQsPgLRyjHrf97</t>
  </si>
  <si>
    <t>https://streetviewpixels-pa.googleapis.com/v1/thumbnail?panoid=IIbwkgSbysyzi684ULEL9A&amp;cb_client=search.gws-prod.gps&amp;w=408&amp;h=240&amp;yaw=172.87592&amp;pitch=0&amp;thumbfov=100</t>
  </si>
  <si>
    <t>JRHH+Q4 Guadalajara</t>
  </si>
  <si>
    <t>949 23 22 98</t>
  </si>
  <si>
    <t>https://goo.gl/maps/G51bjNfwRmSdZQzv8</t>
  </si>
  <si>
    <t>https://streetviewpixels-pa.googleapis.com/v1/thumbnail?panoid=d7vPGdxRQ_47vi5v7Wh_xw&amp;cb_client=search.gws-prod.gps&amp;w=408&amp;h=240&amp;yaw=69.08328&amp;pitch=0&amp;thumbfov=100</t>
  </si>
  <si>
    <t>Servicio De Prevención De Riesgos Laborales</t>
  </si>
  <si>
    <t>JRQX+CR Guadalajara</t>
  </si>
  <si>
    <t>Vereda Iriépal, 2, 19005 Guadalajara</t>
  </si>
  <si>
    <t>https://goo.gl/maps/R82syCi9PtcEDmjH9</t>
  </si>
  <si>
    <t>https://lh5.googleusercontent.com/p/AF1QipOAPvlf3wyFiJ6VF8sOav-5EYDSJOu6Bhu2VlmL=w408-h306-k-no</t>
  </si>
  <si>
    <t>Junta De Comunidades De Castilla La Mancha</t>
  </si>
  <si>
    <t>JRQV+85 Guadalajara</t>
  </si>
  <si>
    <t>Av. de Barcelona, 38, 19005 Guadalajara</t>
  </si>
  <si>
    <t>949 21 22 59</t>
  </si>
  <si>
    <t>https://goo.gl/maps/Dy3he1f3RbhaS85LA</t>
  </si>
  <si>
    <t>https://streetviewpixels-pa.googleapis.com/v1/thumbnail?panoid=fm6SmxwF9x6LI6D5uhh_ew&amp;cb_client=search.gws-prod.gps&amp;w=408&amp;h=240&amp;yaw=65.53053&amp;pitch=0&amp;thumbfov=100</t>
  </si>
  <si>
    <t>JRMJ+CG Guadalajara</t>
  </si>
  <si>
    <t>Calle Alvarfáñez de Minaya, 6, 19001 Guadalajara</t>
  </si>
  <si>
    <t>949 24 71 80</t>
  </si>
  <si>
    <t>40.6294131</t>
  </si>
  <si>
    <t>-3.1967348</t>
  </si>
  <si>
    <t>https://goo.gl/maps/3c9dVaHxp2ppfird7</t>
  </si>
  <si>
    <t>https://streetviewpixels-pa.googleapis.com/v1/thumbnail?panoid=fWvlqwR8ZfRGPLL3_IJhpg&amp;cb_client=search.gws-prod.gps&amp;w=408&amp;h=240&amp;yaw=5.477507&amp;pitch=0&amp;thumbfov=100</t>
  </si>
  <si>
    <t>Ayuntamiento de Guadalajara</t>
  </si>
  <si>
    <t>MV3C+FV Taracena</t>
  </si>
  <si>
    <t>Calle Fuente Vieja, 0, 19193 Taracena, Guadalajara</t>
  </si>
  <si>
    <t>Taracena</t>
  </si>
  <si>
    <t>949 22 94 79</t>
  </si>
  <si>
    <t>40.6537353</t>
  </si>
  <si>
    <t>-3.1453272</t>
  </si>
  <si>
    <t>https://goo.gl/maps/hpW6QaGwAQR9MhoE6</t>
  </si>
  <si>
    <t>https://streetviewpixels-pa.googleapis.com/v1/thumbnail?panoid=8iPZ14kKCfdZd3UoT2dUBg&amp;cb_client=search.gws-prod.gps&amp;w=408&amp;h=240&amp;yaw=166.19997&amp;pitch=0&amp;thumbfov=100</t>
  </si>
  <si>
    <t>Centro Social Era del Canario</t>
  </si>
  <si>
    <t>JRMW+4R Guadalajara</t>
  </si>
  <si>
    <t>Av. Venezuela, 7, 19005 Guadalajara</t>
  </si>
  <si>
    <t>40.6316927</t>
  </si>
  <si>
    <t>-3.181479</t>
  </si>
  <si>
    <t>https://goo.gl/maps/JNra2QhpcfQzoRgt7</t>
  </si>
  <si>
    <t>https://lh5.googleusercontent.com/p/AF1QipPgnYBkX2hpvo56pD5NycKwaAjklSb1-APmc5H8=w408-h305-k-no</t>
  </si>
  <si>
    <t>A P F De Enfermos De Alzheimer Y Otras Demenci</t>
  </si>
  <si>
    <t>JRH8+9F Guadalajara</t>
  </si>
  <si>
    <t>Calle Antonio Machado, 2, 19004 Guadalajara</t>
  </si>
  <si>
    <t>949 20 02 63</t>
  </si>
  <si>
    <t>40.6284781</t>
  </si>
  <si>
    <t>-3.2013791</t>
  </si>
  <si>
    <t>https://goo.gl/maps/67rPi1rzW5zhqDmU7</t>
  </si>
  <si>
    <t>https://lh5.googleusercontent.com/p/AF1QipP1-CK53Q_6WwQZvRi5tlGjMDnXOuj_nDdivoT9=w493-h240-k-no</t>
  </si>
  <si>
    <t>Haren Alde</t>
  </si>
  <si>
    <t>JRMP+9J Guadalajara</t>
  </si>
  <si>
    <t>Cuesta San Miguel, 4, 19001 Guadalajara</t>
  </si>
  <si>
    <t>40.6334727</t>
  </si>
  <si>
    <t>-3.1809839</t>
  </si>
  <si>
    <t>https://goo.gl/maps/vEiq1N7ZtfMtUnv68</t>
  </si>
  <si>
    <t>https://lh5.googleusercontent.com/p/AF1QipMrjLwD3UJpabi3OA8tWYLlTuX4vEfm_uzGSMJg=w408-h544-k-no</t>
  </si>
  <si>
    <t>Tú Más Tú</t>
  </si>
  <si>
    <t>JRGM+X6 Guadalajara</t>
  </si>
  <si>
    <t>Calle Mayor 22-24 (Edif. El Casino), 2ª Planta., 19001 Guadalajara</t>
  </si>
  <si>
    <t>656 49 57 95</t>
  </si>
  <si>
    <t>40.62747</t>
  </si>
  <si>
    <t>-3.1844941</t>
  </si>
  <si>
    <t>https://goo.gl/maps/REtMFwozGCbqfegd8</t>
  </si>
  <si>
    <t>https://streetviewpixels-pa.googleapis.com/v1/thumbnail?panoid=cRYFwhxA1-PLOE7qX64k1g&amp;cb_client=search.gws-prod.gps&amp;w=408&amp;h=240&amp;yaw=203.87268&amp;pitch=0&amp;thumbfov=100</t>
  </si>
  <si>
    <t>Cáritas Diocesana de Guadalajara</t>
  </si>
  <si>
    <t>HQW3+W4 Alovera</t>
  </si>
  <si>
    <t>Av. la Diputación, 0, 19208 Alovera, Guadalajara</t>
  </si>
  <si>
    <t>Alovera</t>
  </si>
  <si>
    <t>949 27 02 82</t>
  </si>
  <si>
    <t>40.5972989</t>
  </si>
  <si>
    <t>-3.2647351</t>
  </si>
  <si>
    <t>https://goo.gl/maps/5okJy83HCwjeF6kbA</t>
  </si>
  <si>
    <t>https://streetviewpixels-pa.googleapis.com/v1/thumbnail?panoid=tB5mZaqlmku7TBNsygV95w&amp;cb_client=search.gws-prod.gps&amp;w=408&amp;h=240&amp;yaw=68.26971&amp;pitch=0&amp;thumbfov=100</t>
  </si>
  <si>
    <t>Ayuntamiento De Yunquera De Henares</t>
  </si>
  <si>
    <t>PRWJ+7W Yunquera de Henares</t>
  </si>
  <si>
    <t>Calle la Rioja, 1, 19210 Yunquera de Henares, Guadalajara</t>
  </si>
  <si>
    <t>Yunquera de Henares</t>
  </si>
  <si>
    <t>yunqueradehenares.com</t>
  </si>
  <si>
    <t>949 33 11 39</t>
  </si>
  <si>
    <t>registro@yunqueradehenares.com</t>
  </si>
  <si>
    <t>40.7456448</t>
  </si>
  <si>
    <t>-3.1852594</t>
  </si>
  <si>
    <t>https://goo.gl/maps/8pBfANwhHYSCf3968</t>
  </si>
  <si>
    <t>https://streetviewpixels-pa.googleapis.com/v1/thumbnail?panoid=GFRJ2x8saCTras5lQrUy3g&amp;cb_client=search.gws-prod.gps&amp;w=408&amp;h=240&amp;yaw=218.0977&amp;pitch=0&amp;thumbfov=100</t>
  </si>
  <si>
    <t>Fundación Internacional O&amp;apos;Belén</t>
  </si>
  <si>
    <t>HP6C+XF Azuqueca de Henares</t>
  </si>
  <si>
    <t>Av. la Familia, 2, 19200 Azuqueca de Henares, Guadalajara</t>
  </si>
  <si>
    <t>Azuqueca de Henares</t>
  </si>
  <si>
    <t>949 26 48 15</t>
  </si>
  <si>
    <t>40.5624071</t>
  </si>
  <si>
    <t>-3.2963665</t>
  </si>
  <si>
    <t>https://goo.gl/maps/u8SnbLZCmK1LuKq76</t>
  </si>
  <si>
    <t>https://streetviewpixels-pa.googleapis.com/v1/thumbnail?panoid=Kw9efqMa3fk7bAVG3fu49g&amp;cb_client=search.gws-prod.gps&amp;w=408&amp;h=240&amp;yaw=35.07901&amp;pitch=0&amp;thumbfov=100</t>
  </si>
  <si>
    <t>Ayuntamiento de Yunquera de Henares</t>
  </si>
  <si>
    <t>QR2J+7F Yunquera de Henares</t>
  </si>
  <si>
    <t>Calle Infanta Catalina, 16, 19210 Yunquera de Henares, Guadalajara</t>
  </si>
  <si>
    <t>949 33 07 25</t>
  </si>
  <si>
    <t>40.7506307</t>
  </si>
  <si>
    <t>-3.186381</t>
  </si>
  <si>
    <t>https://goo.gl/maps/tLdZ5VBaHQ6vsU5a6</t>
  </si>
  <si>
    <t>https://streetviewpixels-pa.googleapis.com/v1/thumbnail?panoid=nh31SHXGk559Yq-QQCOrdQ&amp;cb_client=search.gws-prod.gps&amp;w=408&amp;h=240&amp;yaw=0.22855727&amp;pitch=0&amp;thumbfov=100</t>
  </si>
  <si>
    <t>M3MM+XC Cifuentes</t>
  </si>
  <si>
    <t>Calle Ctra. A, 0, 19420 Cifuentes, Guadalajara</t>
  </si>
  <si>
    <t>Cifuentes</t>
  </si>
  <si>
    <t>949 81 10 36</t>
  </si>
  <si>
    <t>40.6848773</t>
  </si>
  <si>
    <t>-2.9339715</t>
  </si>
  <si>
    <t>https://goo.gl/maps/An4EnVPFFs4cRxAy7</t>
  </si>
  <si>
    <t>https://streetviewpixels-pa.googleapis.com/v1/thumbnail?panoid=U96F1QqCePw9IPCB8YRA7w&amp;cb_client=search.gws-prod.gps&amp;w=408&amp;h=240&amp;yaw=130.2727&amp;pitch=0&amp;thumbfov=100</t>
  </si>
  <si>
    <t>Toledo</t>
  </si>
  <si>
    <t>Down Castilla-La Mancha</t>
  </si>
  <si>
    <t>VXH9+62 Toledo</t>
  </si>
  <si>
    <t>Centro Comercial Buenavista, Oficina 6 (Módulo 2 planta 2ª, Av. de Portugal, s/n, 45005 Toledo</t>
  </si>
  <si>
    <t>downcastillalamancha.org</t>
  </si>
  <si>
    <t>925 11 45 55</t>
  </si>
  <si>
    <t>federacion@downcastillalamancha.org</t>
  </si>
  <si>
    <t>39.8780544</t>
  </si>
  <si>
    <t>-4.0674318</t>
  </si>
  <si>
    <t>https://goo.gl/maps/t9XvuPYp9cg3bZfCA</t>
  </si>
  <si>
    <t>https://streetviewpixels-pa.googleapis.com/v1/thumbnail?panoid=-kSdoP35HjATwbcUdl3SeA&amp;cb_client=search.gws-prod.gps&amp;w=408&amp;h=240&amp;yaw=278.63593&amp;pitch=0&amp;thumbfov=100</t>
  </si>
  <si>
    <t>72</t>
  </si>
  <si>
    <t>VXM8+5M Toledo</t>
  </si>
  <si>
    <t>Calle Reino Unido, 10, 45005 Toledo</t>
  </si>
  <si>
    <t>925 28 34 99</t>
  </si>
  <si>
    <t>https://goo.gl/maps/Xcc8a9UAMyHLAEM17</t>
  </si>
  <si>
    <t>https://lh5.googleusercontent.com/p/AF1QipNl3F89HGIK1G2T3Jmsyb2iTCDVDSTmlijtLJAS=w426-h240-k-no</t>
  </si>
  <si>
    <t>VX9G+HW Toledo</t>
  </si>
  <si>
    <t>Calle Núñez de Arce, 24, 45003 Toledo</t>
  </si>
  <si>
    <t>925 25 55 59</t>
  </si>
  <si>
    <t>39.8574207</t>
  </si>
  <si>
    <t>-4.0561986</t>
  </si>
  <si>
    <t>https://goo.gl/maps/D7fcPmKLdTMwNDdu6</t>
  </si>
  <si>
    <t>https://streetviewpixels-pa.googleapis.com/v1/thumbnail?panoid=WWPcaJxENt9wuTBu2YwmjQ&amp;cb_client=search.gws-prod.gps&amp;w=408&amp;h=240&amp;yaw=77.7742&amp;pitch=0&amp;thumbfov=100</t>
  </si>
  <si>
    <t>Actia</t>
  </si>
  <si>
    <t>VXMC+H2 Toledo</t>
  </si>
  <si>
    <t>Calle de Alemania, 56, 45005 Toledo</t>
  </si>
  <si>
    <t>925 22 11 63</t>
  </si>
  <si>
    <t>https://goo.gl/maps/UiDMYU5WWMKGhYnp7</t>
  </si>
  <si>
    <t>https://streetviewpixels-pa.googleapis.com/v1/thumbnail?panoid=TwGGhJwuUeygqT7FiDN1Vg&amp;cb_client=search.gws-prod.gps&amp;w=408&amp;h=240&amp;yaw=258.10535&amp;pitch=0&amp;thumbfov=100</t>
  </si>
  <si>
    <t>Cruz Roja Toledo</t>
  </si>
  <si>
    <t>VXF7+5M Toledo</t>
  </si>
  <si>
    <t>Calle Canarias, 3, 45005 Toledo</t>
  </si>
  <si>
    <t>925 21 60 60</t>
  </si>
  <si>
    <t>https://goo.gl/maps/pXVKuY4LEGXUKrYw7</t>
  </si>
  <si>
    <t>https://streetviewpixels-pa.googleapis.com/v1/thumbnail?panoid=WnWByBm7TTpIOpZ2s8nUUw&amp;cb_client=search.gws-prod.gps&amp;w=408&amp;h=240&amp;yaw=148.23068&amp;pitch=0&amp;thumbfov=100</t>
  </si>
  <si>
    <t>V382+WM Toledo</t>
  </si>
  <si>
    <t>Calle Río Alberche, 29, 45007 Toledo</t>
  </si>
  <si>
    <t>caritastoledo.com</t>
  </si>
  <si>
    <t>925 24 05 58</t>
  </si>
  <si>
    <t>39.8672556</t>
  </si>
  <si>
    <t>-3.9833597</t>
  </si>
  <si>
    <t>https://goo.gl/maps/UT1X3akaPkx96fqQ6</t>
  </si>
  <si>
    <t>https://streetviewpixels-pa.googleapis.com/v1/thumbnail?panoid=Upkwen_Mrr3E7BYL8awggA&amp;cb_client=search.gws-prod.gps&amp;w=408&amp;h=240&amp;yaw=338.2386&amp;pitch=0&amp;thumbfov=100</t>
  </si>
  <si>
    <t>Down Toledo, Desarrollo Personal</t>
  </si>
  <si>
    <t>V3C6+5V Toledo</t>
  </si>
  <si>
    <t>Calle Río Alberche, 94, 45007 Toledo</t>
  </si>
  <si>
    <t>downtoledo.org</t>
  </si>
  <si>
    <t>925 25 05 80</t>
  </si>
  <si>
    <t>administracion@downtoledo.org</t>
  </si>
  <si>
    <t>https://goo.gl/maps/MbZxZjHF9cwiKLif8</t>
  </si>
  <si>
    <t>https://streetviewpixels-pa.googleapis.com/v1/thumbnail?panoid=MokJLXIYzFnEbKoHhAvVog&amp;cb_client=search.gws-prod.gps&amp;w=408&amp;h=240&amp;yaw=77.718315&amp;pitch=0&amp;thumbfov=100</t>
  </si>
  <si>
    <t>Centro de Asistencia Infantil y Juvenil</t>
  </si>
  <si>
    <t>VX7F+V7 Toledo</t>
  </si>
  <si>
    <t>Calle de Escalona, 4, 45004 Toledo</t>
  </si>
  <si>
    <t>925 22 97 81</t>
  </si>
  <si>
    <t>39.8647295</t>
  </si>
  <si>
    <t>-4.0618326</t>
  </si>
  <si>
    <t>https://goo.gl/maps/8QeVnzeKKqxToST29</t>
  </si>
  <si>
    <t>https://streetviewpixels-pa.googleapis.com/v1/thumbnail?panoid=XesNQMzIpkQeyM5kRgsnng&amp;cb_client=search.gws-prod.gps&amp;w=408&amp;h=240&amp;yaw=101.05186&amp;pitch=0&amp;thumbfov=100</t>
  </si>
  <si>
    <t>Asayma Asociación de Ayuda Al Marginado</t>
  </si>
  <si>
    <t>VX4F+7P Toledo</t>
  </si>
  <si>
    <t>Calle de San Marcos, 16, 45002 Toledo</t>
  </si>
  <si>
    <t>925 25 17 54</t>
  </si>
  <si>
    <t>https://goo.gl/maps/M8sC6LC3WFiGfpqM8</t>
  </si>
  <si>
    <t>https://streetviewpixels-pa.googleapis.com/v1/thumbnail?panoid=OsChXnOOQUqqi2DjiK7nAQ&amp;cb_client=search.gws-prod.gps&amp;w=408&amp;h=240&amp;yaw=266.81128&amp;pitch=0&amp;thumbfov=100</t>
  </si>
  <si>
    <t>V27W+8W Toledo</t>
  </si>
  <si>
    <t>Av. del Río Boladiez, 21, 45007 Toledo</t>
  </si>
  <si>
    <t>925 23 31 06</t>
  </si>
  <si>
    <t>39.8633225</t>
  </si>
  <si>
    <t>-3.9876454</t>
  </si>
  <si>
    <t>https://goo.gl/maps/QwPMP9hSE8wk4paD8</t>
  </si>
  <si>
    <t>https://streetviewpixels-pa.googleapis.com/v1/thumbnail?panoid=76AtlW34WndHw_Ru1vjEvQ&amp;cb_client=search.gws-prod.gps&amp;w=408&amp;h=240&amp;yaw=72.35824&amp;pitch=0&amp;thumbfov=100</t>
  </si>
  <si>
    <t>FASPAS CLM</t>
  </si>
  <si>
    <t>VX9F+C3 Toledo</t>
  </si>
  <si>
    <t>Avenida General Villalba, s/n, 45003 Toledo</t>
  </si>
  <si>
    <t>faspasclm.wordpress.com</t>
  </si>
  <si>
    <t>925 71 33 56</t>
  </si>
  <si>
    <t>https://goo.gl/maps/4nyHYJnfdqeZzo9w8</t>
  </si>
  <si>
    <t>https://lh5.googleusercontent.com/p/AF1QipPRRR8nI6P0ZabOPeg_Qu1kb_TVbzB5gS-7gFUt=w426-h240-k-no</t>
  </si>
  <si>
    <t>Centro de Capacitacion Cecap Coop Inic.Social</t>
  </si>
  <si>
    <t>VXH8+W9 Toledo</t>
  </si>
  <si>
    <t>Ronda Buenavista, 18, 45005 Toledo</t>
  </si>
  <si>
    <t>925 22 08 97</t>
  </si>
  <si>
    <t>https://goo.gl/maps/Sn4Hj98KP4agxBsR7</t>
  </si>
  <si>
    <t>https://streetviewpixels-pa.googleapis.com/v1/thumbnail?panoid=zY3ZguEHbsiLIiJRSnbYhA&amp;cb_client=search.gws-prod.gps&amp;w=408&amp;h=240&amp;yaw=130.03194&amp;pitch=0&amp;thumbfov=100</t>
  </si>
  <si>
    <t>Centro Mater (Cáritas)</t>
  </si>
  <si>
    <t>VXF6+J6 Toledo</t>
  </si>
  <si>
    <t>Ronda Buenavista, 5, 45005 Toledo</t>
  </si>
  <si>
    <t>proyectomater.com</t>
  </si>
  <si>
    <t>619 82 36 87</t>
  </si>
  <si>
    <t>https://goo.gl/maps/CMM4dQ2eCxNCssfw5</t>
  </si>
  <si>
    <t>https://streetviewpixels-pa.googleapis.com/v1/thumbnail?panoid=HrhtsI3fYj73yjpRKcRcKA&amp;cb_client=search.gws-prod.gps&amp;w=408&amp;h=240&amp;yaw=240.87982&amp;pitch=0&amp;thumbfov=100</t>
  </si>
  <si>
    <t>VX6V+5V Toledo</t>
  </si>
  <si>
    <t>Plaza Sta. Bárbara, 3, 45006 Toledo</t>
  </si>
  <si>
    <t>925 22 23 12</t>
  </si>
  <si>
    <t>https://goo.gl/maps/iRacKEmeUWbansGcA</t>
  </si>
  <si>
    <t>https://streetviewpixels-pa.googleapis.com/v1/thumbnail?panoid=rY38Pk4BR7PtThBp9e8XQg&amp;cb_client=search.gws-prod.gps&amp;w=408&amp;h=240&amp;yaw=18.97598&amp;pitch=0&amp;thumbfov=100</t>
  </si>
  <si>
    <t>Desarrollo Social A.I.e.</t>
  </si>
  <si>
    <t>VX8H+FF Toledo</t>
  </si>
  <si>
    <t>Calle del Salto del Caballo, 3, 45003 Toledo</t>
  </si>
  <si>
    <t>925 25 64 02</t>
  </si>
  <si>
    <t>https://goo.gl/maps/7T7QeqQfyDc8QgNu8</t>
  </si>
  <si>
    <t>https://streetviewpixels-pa.googleapis.com/v1/thumbnail?panoid=24J7pGDd_vPBvcsPLD04Fg&amp;cb_client=search.gws-prod.gps&amp;w=408&amp;h=240&amp;yaw=124.978195&amp;pitch=0&amp;thumbfov=100</t>
  </si>
  <si>
    <t>Centro Hogar 2000 - Cáritas Diocesana de Toledo</t>
  </si>
  <si>
    <t>VW78+CP Toledo</t>
  </si>
  <si>
    <t>45004 Toledo</t>
  </si>
  <si>
    <t>925 22 44 38</t>
  </si>
  <si>
    <t>39.8635258</t>
  </si>
  <si>
    <t>-4.1182396</t>
  </si>
  <si>
    <t>https://goo.gl/maps/5BJGHAki2Ps1USRz7</t>
  </si>
  <si>
    <t>CENTROLIVA</t>
  </si>
  <si>
    <t>VX58+PV Toledo</t>
  </si>
  <si>
    <t>Paseo de Recaredo, Planta -2, 45004 Toledo</t>
  </si>
  <si>
    <t>centroliva.com</t>
  </si>
  <si>
    <t>925 28 35 03</t>
  </si>
  <si>
    <t>INFO@CENTROLIVA.COM</t>
  </si>
  <si>
    <t>39.8742474</t>
  </si>
  <si>
    <t>-4.1081383</t>
  </si>
  <si>
    <t>https://goo.gl/maps/kJNjJ3sKMeQevgjy6</t>
  </si>
  <si>
    <t>https://streetviewpixels-pa.googleapis.com/v1/thumbnail?panoid=9p20u-o0QmKR-kaeVFjxpA&amp;cb_client=search.gws-prod.gps&amp;w=408&amp;h=240&amp;yaw=323.11447&amp;pitch=0&amp;thumbfov=100</t>
  </si>
  <si>
    <t>IRAMAR SOCIAL S.L.</t>
  </si>
  <si>
    <t>R2JR+74 Las Nieves</t>
  </si>
  <si>
    <t>Calle Albacete, 9, 45191 Las Nieves, Toledo</t>
  </si>
  <si>
    <t>Las Nieves</t>
  </si>
  <si>
    <t>iramar.es</t>
  </si>
  <si>
    <t>925 22 54 18</t>
  </si>
  <si>
    <t>iramar@iramar.es</t>
  </si>
  <si>
    <t>39.8306669</t>
  </si>
  <si>
    <t>-3.9947231</t>
  </si>
  <si>
    <t>https://goo.gl/maps/3Wvp8963bq3eJLmJA</t>
  </si>
  <si>
    <t>https://lh5.googleusercontent.com/p/AF1QipNsVpAsIymuaDO2PjDgOO2gGjPKJWr5bfMf87v3=w408-h839-k-no</t>
  </si>
  <si>
    <t>Centro de Día de Fuensalida</t>
  </si>
  <si>
    <t>3Q4Q+86 Fuensalida</t>
  </si>
  <si>
    <t>Calle Juan Pablo II, 1, 45510 Fuensalida, Toledo</t>
  </si>
  <si>
    <t>Fuensalida</t>
  </si>
  <si>
    <t>fuensalida.com</t>
  </si>
  <si>
    <t>925 73 31 88</t>
  </si>
  <si>
    <t>alcaldia@fuensalida.com</t>
  </si>
  <si>
    <t>40.0558231</t>
  </si>
  <si>
    <t>-4.2470174</t>
  </si>
  <si>
    <t>https://goo.gl/maps/dSKsM6U7ooiEhJndA</t>
  </si>
  <si>
    <t>https://lh5.googleusercontent.com/p/AF1QipNaZYbdQrDBZGFil6vd5NLMdtzwiLjGAjd0GIf1=w408-h816-k-no</t>
  </si>
  <si>
    <t>Asociación Comisión Católica Española de Migracion</t>
  </si>
  <si>
    <t>3VVM+43 Camarena</t>
  </si>
  <si>
    <t>Calle Alemania, 4, 45180 Camarena, Toledo</t>
  </si>
  <si>
    <t>Camarena</t>
  </si>
  <si>
    <t>925 33 38 39</t>
  </si>
  <si>
    <t>40.0928685</t>
  </si>
  <si>
    <t>-4.1523442</t>
  </si>
  <si>
    <t>https://goo.gl/maps/MUCBEyLq1v6GREka8</t>
  </si>
  <si>
    <t>https://streetviewpixels-pa.googleapis.com/v1/thumbnail?panoid=OVIkJ7JHfkPqdgiIwQJ4Ig&amp;cb_client=search.gws-prod.gps&amp;w=408&amp;h=240&amp;yaw=244.85725&amp;pitch=0&amp;thumbfov=100</t>
  </si>
  <si>
    <t>29JX+C6 Aranjuez</t>
  </si>
  <si>
    <t>Calle de San Pascual, 58, 28300 Aranjuez, Madrid</t>
  </si>
  <si>
    <t>Aranjuez</t>
  </si>
  <si>
    <t>Madrid</t>
  </si>
  <si>
    <t>918 09 00 83</t>
  </si>
  <si>
    <t>40.0311207</t>
  </si>
  <si>
    <t>-3.6368956</t>
  </si>
  <si>
    <t>https://goo.gl/maps/vyHCgQNMMUvK55yR6</t>
  </si>
  <si>
    <t>https://streetviewpixels-pa.googleapis.com/v1/thumbnail?panoid=_jHevy0wC1i1pE5gNqe-2A&amp;cb_client=search.gws-prod.gps&amp;w=408&amp;h=240&amp;yaw=174.44977&amp;pitch=0&amp;thumbfov=100</t>
  </si>
  <si>
    <t>Ávila</t>
  </si>
  <si>
    <t>Serfavm</t>
  </si>
  <si>
    <t>M837+9C Ávila</t>
  </si>
  <si>
    <t>Paseo San Roque, 25, 05003 Ávila</t>
  </si>
  <si>
    <t>serfavm.es</t>
  </si>
  <si>
    <t>920 23 60 68</t>
  </si>
  <si>
    <t>info@serfavm.es</t>
  </si>
  <si>
    <t>40.6503133</t>
  </si>
  <si>
    <t>-4.7374008</t>
  </si>
  <si>
    <t>https://goo.gl/maps/RqkxrRkAcdszLdSP9</t>
  </si>
  <si>
    <t>https://lh5.googleusercontent.com/p/AF1QipOXt96zEdQ45RmwA116-gaYrU1WK6AmWd41-TWm=w408-h305-k-no</t>
  </si>
  <si>
    <t>Cáritas Diocesanas de Ávila</t>
  </si>
  <si>
    <t>M854+6Q Ávila</t>
  </si>
  <si>
    <t>Av. de Madrid, 6, 05001 Ávila</t>
  </si>
  <si>
    <t>920 25 53 65</t>
  </si>
  <si>
    <t>https://goo.gl/maps/afxBaBoYdwx3S1Xc8</t>
  </si>
  <si>
    <t>https://streetviewpixels-pa.googleapis.com/v1/thumbnail?panoid=0X2AmMIcASwzvtb8mz-Gjw&amp;cb_client=search.gws-prod.gps&amp;w=408&amp;h=240&amp;yaw=5.095371&amp;pitch=0&amp;thumbfov=100</t>
  </si>
  <si>
    <t>Juzgado de lo Social Único</t>
  </si>
  <si>
    <t>M74X+P7 Ávila</t>
  </si>
  <si>
    <t>Calle Ramón y Cajal, 1, 05001 Ávila</t>
  </si>
  <si>
    <t>920 35 90 30</t>
  </si>
  <si>
    <t>https://goo.gl/maps/KWdjtM4dK3T2dCCF7</t>
  </si>
  <si>
    <t>https://streetviewpixels-pa.googleapis.com/v1/thumbnail?panoid=LkFxbqi6jg6LE9G7lX8zEQ&amp;cb_client=search.gws-prod.gps&amp;w=408&amp;h=240&amp;yaw=76.76788&amp;pitch=0&amp;thumbfov=100</t>
  </si>
  <si>
    <t>Familiares y Amigos de Personas Con Enfermedad Mental de Ávila</t>
  </si>
  <si>
    <t>M835+4C Ávila</t>
  </si>
  <si>
    <t>Calle Capitán Méndez Vigo, 10, 05003 Ávila</t>
  </si>
  <si>
    <t>920 35 27 32</t>
  </si>
  <si>
    <t>https://goo.gl/maps/MfC1f33AdMvryQiy6</t>
  </si>
  <si>
    <t>https://streetviewpixels-pa.googleapis.com/v1/thumbnail?panoid=-DaUf1cYPw5TP3X6rWekng&amp;cb_client=search.gws-prod.gps&amp;w=408&amp;h=240&amp;yaw=159.7786&amp;pitch=0&amp;thumbfov=100</t>
  </si>
  <si>
    <t>Cáritas Diocesana de Ávila</t>
  </si>
  <si>
    <t>M826+8F Ávila</t>
  </si>
  <si>
    <t>Calle Sta. Fe, 05003 Ávila</t>
  </si>
  <si>
    <t>920 25 06 06</t>
  </si>
  <si>
    <t>https://goo.gl/maps/UP7mVQj2kjuHPmdZ7</t>
  </si>
  <si>
    <t>https://streetviewpixels-pa.googleapis.com/v1/thumbnail?panoid=3j41cskUjFm8ybOPq7KV8g&amp;cb_client=search.gws-prod.gps&amp;w=408&amp;h=240&amp;yaw=356.61685&amp;pitch=0&amp;thumbfov=100</t>
  </si>
  <si>
    <t>M834+JM Ávila</t>
  </si>
  <si>
    <t>Calle San Juan de la Cruz, 8, 05001 Ávila</t>
  </si>
  <si>
    <t>920 22 18 47</t>
  </si>
  <si>
    <t>https://goo.gl/maps/wTMExerfQe6Fpsq67</t>
  </si>
  <si>
    <t>https://streetviewpixels-pa.googleapis.com/v1/thumbnail?panoid=5LfrsNeJH0t_PtI4iBUusA&amp;cb_client=search.gws-prod.gps&amp;w=408&amp;h=240&amp;yaw=160.74315&amp;pitch=0&amp;thumbfov=100</t>
  </si>
  <si>
    <t>Fundación Asociación de Misericordia de Ávila</t>
  </si>
  <si>
    <t>M826+9F Ávila</t>
  </si>
  <si>
    <t>Lugar Finca Sanguijuelas, 0 S/N, 05003 Ávila</t>
  </si>
  <si>
    <t>920 21 15 69</t>
  </si>
  <si>
    <t>40.6505787</t>
  </si>
  <si>
    <t>-4.6948579</t>
  </si>
  <si>
    <t>https://goo.gl/maps/9BBjHiMLq8q3WLzR6</t>
  </si>
  <si>
    <t>https://streetviewpixels-pa.googleapis.com/v1/thumbnail?panoid=3j41cskUjFm8ybOPq7KV8g&amp;cb_client=search.gws-prod.gps&amp;w=408&amp;h=240&amp;yaw=351.77963&amp;pitch=0&amp;thumbfov=100</t>
  </si>
  <si>
    <t>Aprome Ávila - Punto de Encuentro Familiar</t>
  </si>
  <si>
    <t>M855+Q7 Ávila</t>
  </si>
  <si>
    <t>Calle Virgen de las Fuentes, 1, 5º 1º, 05005 Ávila</t>
  </si>
  <si>
    <t>aprome.org</t>
  </si>
  <si>
    <t>920 22 14 53</t>
  </si>
  <si>
    <t>consultas@aprome.org</t>
  </si>
  <si>
    <t>https://g.page/ApromeAvila?share</t>
  </si>
  <si>
    <t>Centro ocupacional Aralia</t>
  </si>
  <si>
    <t>M82F+9J Ávila</t>
  </si>
  <si>
    <t>C. de los Hornos Caleros, 37, 05004 Ávila</t>
  </si>
  <si>
    <t>40.6509214</t>
  </si>
  <si>
    <t>-4.6935086</t>
  </si>
  <si>
    <t>https://goo.gl/maps/MJVfrek98UQ527kS9</t>
  </si>
  <si>
    <t>https://streetviewpixels-pa.googleapis.com/v1/thumbnail?panoid=_o5GoKE0AeM8-AJ52zsLOQ&amp;cb_client=search.gws-prod.gps&amp;w=408&amp;h=240&amp;yaw=21.366219&amp;pitch=0&amp;thumbfov=100</t>
  </si>
  <si>
    <t>Centro de Día Cruz Roja en Ávila</t>
  </si>
  <si>
    <t>J8W4+V5 Ávila</t>
  </si>
  <si>
    <t>Av. Juan Pablo II, 2, 05003 Ávila</t>
  </si>
  <si>
    <t>920 25 65 63</t>
  </si>
  <si>
    <t>40.6472343</t>
  </si>
  <si>
    <t>-4.7121314</t>
  </si>
  <si>
    <t>https://goo.gl/maps/brWaiW4f9pKLxmrFA</t>
  </si>
  <si>
    <t>https://lh5.googleusercontent.com/p/AF1QipNPX-GFGd5m-iW8Qud0Cs6b33xaVjbS9DW1VFqF=w519-h240-k-no</t>
  </si>
  <si>
    <t>Asociación Pro Minusválidos Psiquicos Abulenses</t>
  </si>
  <si>
    <t>M824+HQ Ávila</t>
  </si>
  <si>
    <t>Calle Perpetuo Socorro, 0, 05003 Ávila</t>
  </si>
  <si>
    <t>40.656685</t>
  </si>
  <si>
    <t>-4.6987181</t>
  </si>
  <si>
    <t>https://goo.gl/maps/w1Fm3yVYWSD6yLVR6</t>
  </si>
  <si>
    <t>https://streetviewpixels-pa.googleapis.com/v1/thumbnail?panoid=fd6lSDKlrcuRHx8hMKzzaA&amp;cb_client=search.gws-prod.gps&amp;w=408&amp;h=240&amp;yaw=274.27917&amp;pitch=0&amp;thumbfov=100</t>
  </si>
  <si>
    <t>M833+WM Ávila</t>
  </si>
  <si>
    <t>Calle Estrada, 2, 05001 Ávila</t>
  </si>
  <si>
    <t>920 21 39 23</t>
  </si>
  <si>
    <t>https://goo.gl/maps/GmgZf7M2cQKksCVq6</t>
  </si>
  <si>
    <t>https://streetviewpixels-pa.googleapis.com/v1/thumbnail?panoid=-vAre24fQCNYMJutfF4bKQ&amp;cb_client=search.gws-prod.gps&amp;w=408&amp;h=240&amp;yaw=72.98746&amp;pitch=0&amp;thumbfov=100</t>
  </si>
  <si>
    <t>Edad Dorada Mensajeros de la Paz</t>
  </si>
  <si>
    <t>M73W+FV Ávila</t>
  </si>
  <si>
    <t>Calle Empedrada, 21, 05002 Ávila</t>
  </si>
  <si>
    <t>920 21 40 51</t>
  </si>
  <si>
    <t>40.655359</t>
  </si>
  <si>
    <t>-4.7192177</t>
  </si>
  <si>
    <t>https://goo.gl/maps/ATmFVg22ij3HXr2A8</t>
  </si>
  <si>
    <t>https://streetviewpixels-pa.googleapis.com/v1/thumbnail?panoid=Ph4VuGD0UMP29g3g6ejyEQ&amp;cb_client=search.gws-prod.gps&amp;w=408&amp;h=240&amp;yaw=47.29194&amp;pitch=0&amp;thumbfov=100</t>
  </si>
  <si>
    <t>M833+VC Ávila</t>
  </si>
  <si>
    <t>Plaza de Sta. Teresa de Jesus, 4, 05001 Ávila</t>
  </si>
  <si>
    <t>920 21 32 48</t>
  </si>
  <si>
    <t>40.6546599</t>
  </si>
  <si>
    <t>-4.7139957</t>
  </si>
  <si>
    <t>https://goo.gl/maps/cTM71RwEm1xKFE4y5</t>
  </si>
  <si>
    <t>https://streetviewpixels-pa.googleapis.com/v1/thumbnail?panoid=d2baPlplcabslwVzr2vpgA&amp;cb_client=search.gws-prod.gps&amp;w=408&amp;h=240&amp;yaw=322.22217&amp;pitch=0&amp;thumbfov=100</t>
  </si>
  <si>
    <t>82</t>
  </si>
  <si>
    <t>M865+67 Ávila</t>
  </si>
  <si>
    <t>Plaza San Francisco, 3, 05005 Ávila</t>
  </si>
  <si>
    <t>920 22 48 48</t>
  </si>
  <si>
    <t>https://goo.gl/maps/BWKdwpj8MiGPZfGDA</t>
  </si>
  <si>
    <t>https://lh5.googleusercontent.com/p/AF1QipPeU1THca0DTGXCWw2aii-xePWJqBA6BKUOpBto=w426-h240-k-no</t>
  </si>
  <si>
    <t>Ronin,</t>
  </si>
  <si>
    <t>Adanero</t>
  </si>
  <si>
    <t>605 55 82 02</t>
  </si>
  <si>
    <t>40.6567179</t>
  </si>
  <si>
    <t>-4.7070824</t>
  </si>
  <si>
    <t>https://g.page/Ronin-2020?share</t>
  </si>
  <si>
    <t>Banco Alimentos Avila</t>
  </si>
  <si>
    <t>M9JP+4G Ávila</t>
  </si>
  <si>
    <t>Calle Chipre, 38, 05194 Ávila</t>
  </si>
  <si>
    <t>bancoalimentosavila.es</t>
  </si>
  <si>
    <t>920 22 58 47</t>
  </si>
  <si>
    <t>contacto@bancoalimentosavila.es</t>
  </si>
  <si>
    <t>40.6803394</t>
  </si>
  <si>
    <t>-4.6312158</t>
  </si>
  <si>
    <t>https://goo.gl/maps/y614tncNWsffZhek9</t>
  </si>
  <si>
    <t>https://lh5.googleusercontent.com/p/AF1QipN5cy8dDO5DC2hEug3Ltq1lqoWP30NQaebgxwoA=w408-h544-k-no</t>
  </si>
  <si>
    <t>Burgos</t>
  </si>
  <si>
    <t>42.3414</t>
  </si>
  <si>
    <t>-3.7324724</t>
  </si>
  <si>
    <t>Diputación Provincial de Burgos</t>
  </si>
  <si>
    <t>88W6+79 Burgos</t>
  </si>
  <si>
    <t>Av. de la Paz, 34, 09004 Burgos</t>
  </si>
  <si>
    <t>947 20 85 93</t>
  </si>
  <si>
    <t>https://goo.gl/maps/gCHXRukbEsfQVsCT6</t>
  </si>
  <si>
    <t>https://streetviewpixels-pa.googleapis.com/v1/thumbnail?panoid=2jMkiLCnyieKwxdZo7-Zmw&amp;cb_client=search.gws-prod.gps&amp;w=408&amp;h=240&amp;yaw=156.77356&amp;pitch=0&amp;thumbfov=100</t>
  </si>
  <si>
    <t>Ayuntamiento De Burgos</t>
  </si>
  <si>
    <t>9969+X2 Villafría</t>
  </si>
  <si>
    <t>Ctra. Madrid-Irún, 0, 09001 Villafría, Burgos</t>
  </si>
  <si>
    <t>Villafría</t>
  </si>
  <si>
    <t>947 47 11 00</t>
  </si>
  <si>
    <t>42.3624159</t>
  </si>
  <si>
    <t>-3.6674721</t>
  </si>
  <si>
    <t>https://goo.gl/maps/6MnZjx6MvV5GYrqDA</t>
  </si>
  <si>
    <t>https://streetviewpixels-pa.googleapis.com/v1/thumbnail?panoid=pyWJ7bVX9yrgdxHjN8LXZA&amp;cb_client=search.gws-prod.gps&amp;w=408&amp;h=240&amp;yaw=344.854&amp;pitch=0&amp;thumbfov=100</t>
  </si>
  <si>
    <t>Residencia la Merced en Burgos. Companía de Jesús Provincial de Castilla</t>
  </si>
  <si>
    <t>87QW+78 Burgos</t>
  </si>
  <si>
    <t>Calle Merced, 13, 09002 Burgos</t>
  </si>
  <si>
    <t>947 20 92 10</t>
  </si>
  <si>
    <t>42.346924</t>
  </si>
  <si>
    <t>-3.7220778</t>
  </si>
  <si>
    <t>https://goo.gl/maps/fTbhJCgFVv7Vymxf8</t>
  </si>
  <si>
    <t>https://lh5.googleusercontent.com/p/AF1QipPOwr1JvU99-IXRQ3eNxzHgYYAzQ93_hzNEUj_5=w408-h612-k-no</t>
  </si>
  <si>
    <t>Azvase Burgos</t>
  </si>
  <si>
    <t>87VX+CW Burgos</t>
  </si>
  <si>
    <t>Plaza de Alonso-Martínez, 7, 09003 Burgos</t>
  </si>
  <si>
    <t>947 27 40 03</t>
  </si>
  <si>
    <t>https://goo.gl/maps/fRxHCx8PkUsWXCVo6</t>
  </si>
  <si>
    <t>https://lh5.googleusercontent.com/p/AF1QipPXoXb4ux6NqzF_KDQ8zY4BaWHzDLmRIyy-x25U=w494-h240-k-no</t>
  </si>
  <si>
    <t>Once Organización Nacional de Ciegos de Españoles</t>
  </si>
  <si>
    <t>88R2+JV Burgos</t>
  </si>
  <si>
    <t>Calle Vitoria, 13, 09004 Burgos</t>
  </si>
  <si>
    <t>947 20 38 61</t>
  </si>
  <si>
    <t>https://goo.gl/maps/iFVUGGMr6FdSvCBW9</t>
  </si>
  <si>
    <t>https://lh5.googleusercontent.com/p/AF1QipMP6Iy-WZhk_gBR5qDA5jnq9wPYBDJD9IKRAe1D=w408-h306-k-no</t>
  </si>
  <si>
    <t>Ayuntamiento de Burgos Centro Acción Social San Cristóbal</t>
  </si>
  <si>
    <t>986W+QJ Burgos</t>
  </si>
  <si>
    <t>Calle Alcalde Martín Cobos, 0, 09007 Burgos</t>
  </si>
  <si>
    <t>947 48 50 68</t>
  </si>
  <si>
    <t>https://goo.gl/maps/nXgHVhbgDBR44wYS7</t>
  </si>
  <si>
    <t>https://streetviewpixels-pa.googleapis.com/v1/thumbnail?panoid=RKhSenYr8Uc11jBFvvySgg&amp;cb_client=search.gws-prod.gps&amp;w=408&amp;h=240&amp;yaw=189.77728&amp;pitch=0&amp;thumbfov=100</t>
  </si>
  <si>
    <t>Fundación Aspanias De Burgos</t>
  </si>
  <si>
    <t>9828+WQ Burgos</t>
  </si>
  <si>
    <t>Av. de Castilla y León, 23, 09006 Burgos</t>
  </si>
  <si>
    <t>aspaniasburgos.org</t>
  </si>
  <si>
    <t>947 22 55 09</t>
  </si>
  <si>
    <t>aspanias@plenainclusioncyl.org</t>
  </si>
  <si>
    <t>https://goo.gl/maps/xnjiL4CgvtANq5m67</t>
  </si>
  <si>
    <t>https://streetviewpixels-pa.googleapis.com/v1/thumbnail?panoid=l3Wr9efkxO9Gc_hJDAqDqw&amp;cb_client=search.gws-prod.gps&amp;w=408&amp;h=240&amp;yaw=232.36328&amp;pitch=0&amp;thumbfov=100</t>
  </si>
  <si>
    <t>Fundación Aspanias Burgos</t>
  </si>
  <si>
    <t>87WJ+H5 Burgos</t>
  </si>
  <si>
    <t>Calle Mariana Pineda, 9, 09003 Burgos</t>
  </si>
  <si>
    <t>947 46 18 90</t>
  </si>
  <si>
    <t>https://goo.gl/maps/WFBpgZnMoztEdw6p9</t>
  </si>
  <si>
    <t>https://streetviewpixels-pa.googleapis.com/v1/thumbnail?panoid=S8mmwB-LZoemZpZ5B1IYwg&amp;cb_client=search.gws-prod.gps&amp;w=408&amp;h=240&amp;yaw=291.19534&amp;pitch=0&amp;thumbfov=100</t>
  </si>
  <si>
    <t>88R3+P5 Burgos</t>
  </si>
  <si>
    <t>Calle Vitoria, 23, 09004 Burgos</t>
  </si>
  <si>
    <t>947 25 76 22</t>
  </si>
  <si>
    <t>42.3418217</t>
  </si>
  <si>
    <t>-3.7320922</t>
  </si>
  <si>
    <t>https://goo.gl/maps/Fa2QrHGXw4c27t6h9</t>
  </si>
  <si>
    <t>https://streetviewpixels-pa.googleapis.com/v1/thumbnail?panoid=INiwPwoM6g-SeiTYpsvhZA&amp;cb_client=search.gws-prod.gps&amp;w=408&amp;h=240&amp;yaw=332.84674&amp;pitch=0&amp;thumbfov=100</t>
  </si>
  <si>
    <t>2,6</t>
  </si>
  <si>
    <t>aytoburgos.es</t>
  </si>
  <si>
    <t>Plaza María Cruz Ebro, 6, 09006 Burgos</t>
  </si>
  <si>
    <t>Abajas</t>
  </si>
  <si>
    <t>947 21 44 83</t>
  </si>
  <si>
    <t>https://goo.gl/maps/nr9oHhGiNNJVyyK77</t>
  </si>
  <si>
    <t>https://streetviewpixels-pa.googleapis.com/v1/thumbnail?panoid=vmPFH5s0EbcuYHR0At3CxQ&amp;cb_client=search.gws-prod.gps&amp;w=408&amp;h=240&amp;yaw=302.6847&amp;pitch=0&amp;thumbfov=100</t>
  </si>
  <si>
    <t>Programa DUAL - Fundación Lesmes</t>
  </si>
  <si>
    <t>984H+Q3 Burgos</t>
  </si>
  <si>
    <t>Calle Manuel Altolaguirre, s/n, 09006 Burgos</t>
  </si>
  <si>
    <t>fundacionlesmes.org</t>
  </si>
  <si>
    <t>947 24 45 31</t>
  </si>
  <si>
    <t>https://goo.gl/maps/PpQoSvjrdJBVx4gM9</t>
  </si>
  <si>
    <t>https://lh5.googleusercontent.com/p/AF1QipM6UhWpK3KXKcwcZ1Akx1HqCdU6rd-HvUa7mukf=w408-h306-k-no</t>
  </si>
  <si>
    <t>ASECAL - Asociación de Educadores Castellano Leoneses</t>
  </si>
  <si>
    <t>87PM+G6 Burgos</t>
  </si>
  <si>
    <t>Calle Reina Leonor, 09001 Burgos</t>
  </si>
  <si>
    <t>asecal.org</t>
  </si>
  <si>
    <t>947 27 97 62</t>
  </si>
  <si>
    <t>salamanca@asecal.org</t>
  </si>
  <si>
    <t>https://goo.gl/maps/woyNqKPBq3aFh4tT6</t>
  </si>
  <si>
    <t>https://streetviewpixels-pa.googleapis.com/v1/thumbnail?panoid=avPSVRzUI0VtCyyxD5g96A&amp;cb_client=search.gws-prod.gps&amp;w=408&amp;h=240&amp;yaw=188.39418&amp;pitch=0&amp;thumbfov=100</t>
  </si>
  <si>
    <t>88X5+P8 Burgos</t>
  </si>
  <si>
    <t>Av. Reyes Católicos, 51, 09005 Burgos</t>
  </si>
  <si>
    <t>947 28 42 87</t>
  </si>
  <si>
    <t>https://goo.gl/maps/SxNesNqNzNwFtgxG7</t>
  </si>
  <si>
    <t>https://lh5.googleusercontent.com/p/AF1QipPkBArJ1jw-pqvy9dAsfpVQStdpUzs7xDqjl32H=w408-h408-k-no</t>
  </si>
  <si>
    <t>Fundación Aspanias de Burgos</t>
  </si>
  <si>
    <t>986F+CM Burgos</t>
  </si>
  <si>
    <t>Calle Condesa Mencía, 150, 09006 Burgos</t>
  </si>
  <si>
    <t>https://goo.gl/maps/SrsxhrSeeq8w6ZhJ8</t>
  </si>
  <si>
    <t>https://streetviewpixels-pa.googleapis.com/v1/thumbnail?panoid=SdljRDosVeamlhzypDWemg&amp;cb_client=search.gws-prod.gps&amp;w=408&amp;h=240&amp;yaw=143.51767&amp;pitch=0&amp;thumbfov=100</t>
  </si>
  <si>
    <t>Cáritas Diocesana de Burgos</t>
  </si>
  <si>
    <t>88Q4+86 Burgos</t>
  </si>
  <si>
    <t>Calle San Jose, 1, 09002 Burgos</t>
  </si>
  <si>
    <t>caritasburgos.es</t>
  </si>
  <si>
    <t>947 26 65 00</t>
  </si>
  <si>
    <t>https://goo.gl/maps/nVQ2tCrY9vyuKB2Z8</t>
  </si>
  <si>
    <t>https://streetviewpixels-pa.googleapis.com/v1/thumbnail?panoid=h7EkRjWQeJhD2rLIQEqBhw&amp;cb_client=search.gws-prod.gps&amp;w=408&amp;h=240&amp;yaw=294.46854&amp;pitch=0&amp;thumbfov=100</t>
  </si>
  <si>
    <t>Aprome Burgos - Punto de Encuentro Familiar</t>
  </si>
  <si>
    <t>87JV+JR Burgos</t>
  </si>
  <si>
    <t>Calle Roa, 7, Bajo A-B, 09001 Burgos</t>
  </si>
  <si>
    <t>947 20 90 92</t>
  </si>
  <si>
    <t>https://g.page/ApromeBurgos?share</t>
  </si>
  <si>
    <t>982F+5P Burgos</t>
  </si>
  <si>
    <t>Calle Ntra. Sra. de Fátima, 0, 09007 Burgos</t>
  </si>
  <si>
    <t>947 21 94 91</t>
  </si>
  <si>
    <t>https://goo.gl/maps/LoyPmHtcW63Cdfkn7</t>
  </si>
  <si>
    <t>https://streetviewpixels-pa.googleapis.com/v1/thumbnail?panoid=snJgDhESs-_0EYJ56uCU2g&amp;cb_client=search.gws-prod.gps&amp;w=408&amp;h=240&amp;yaw=253.24031&amp;pitch=0&amp;thumbfov=100</t>
  </si>
  <si>
    <t>Centro de Formación y Empleo - Fundación Lesmes</t>
  </si>
  <si>
    <t>40</t>
  </si>
  <si>
    <t>87X6+RX Burgos</t>
  </si>
  <si>
    <t>Plaza San Juan Bautista, 09001 Burgos</t>
  </si>
  <si>
    <t>947 46 09 52</t>
  </si>
  <si>
    <t>42.3495043</t>
  </si>
  <si>
    <t>-3.772522</t>
  </si>
  <si>
    <t>https://goo.gl/maps/Ra4vY3Bdn8HAFHRcA</t>
  </si>
  <si>
    <t>https://lh5.googleusercontent.com/p/AF1QipNf-SMSNI1endHrhKb-7rZ-wYea5FdLIfhnqF6d=w408-h306-k-no</t>
  </si>
  <si>
    <t>Arbu Asociación de Alcoholicos Rehabilitados de Burgos</t>
  </si>
  <si>
    <t>9828+4M Burgos</t>
  </si>
  <si>
    <t>Calle de Fray Justo Pérez de Urbel, 7, 09006 Burgos</t>
  </si>
  <si>
    <t>arbu.es</t>
  </si>
  <si>
    <t>947 24 19 24</t>
  </si>
  <si>
    <t>arbu00@hotmail.com</t>
  </si>
  <si>
    <t>42.3494643</t>
  </si>
  <si>
    <t>-3.7243779</t>
  </si>
  <si>
    <t>https://goo.gl/maps/vPimwAHVSumpRnqd9</t>
  </si>
  <si>
    <t>https://streetviewpixels-pa.googleapis.com/v1/thumbnail?panoid=Yq7Uo0AWGxs4wbdhEMDfgg&amp;cb_client=search.gws-prod.gps&amp;w=408&amp;h=240&amp;yaw=199.95786&amp;pitch=0&amp;thumbfov=100</t>
  </si>
  <si>
    <t>193</t>
  </si>
  <si>
    <t>88V9+M2 Burgos</t>
  </si>
  <si>
    <t>Calle Cruz Roja, s/n, 09006 Burgos</t>
  </si>
  <si>
    <t>947 21 23 11</t>
  </si>
  <si>
    <t>https://goo.gl/maps/CMEJZo7nkD9AZ6ru6</t>
  </si>
  <si>
    <t>https://lh5.googleusercontent.com/p/AF1QipP09-ZFaAXUN-HwCNcg4jlGyDnTyGHS7u64iRap=w408-h544-k-no</t>
  </si>
  <si>
    <t>Fundación Lesmes - CEIS</t>
  </si>
  <si>
    <t>984G+PX Burgos</t>
  </si>
  <si>
    <t>947 24 45 11</t>
  </si>
  <si>
    <t>https://goo.gl/maps/Kb8nmCPVYrfQd56A8</t>
  </si>
  <si>
    <t>https://lh5.googleusercontent.com/p/AF1QipOL24mT-XqbrEVVv9IzzEx4FYTaSH_6EUQexyo=w408-h271-k-no</t>
  </si>
  <si>
    <t>87QX+57 Burgos</t>
  </si>
  <si>
    <t>Calle Madrid, 2, 09002 Burgos</t>
  </si>
  <si>
    <t>947 26 27 60</t>
  </si>
  <si>
    <t>42.3397942</t>
  </si>
  <si>
    <t>-3.7309937</t>
  </si>
  <si>
    <t>https://goo.gl/maps/bwDRNPmgm5pd6K949</t>
  </si>
  <si>
    <t>https://streetviewpixels-pa.googleapis.com/v1/thumbnail?panoid=W2XcFOMIbOT8_NmjiP5vFA&amp;cb_client=search.gws-prod.gps&amp;w=408&amp;h=240&amp;yaw=261.84494&amp;pitch=0&amp;thumbfov=100</t>
  </si>
  <si>
    <t>BSAIZ</t>
  </si>
  <si>
    <t>88V3+MX Burgos</t>
  </si>
  <si>
    <t>Av. de la Paz, 6, 1;C, 09004 Burgos</t>
  </si>
  <si>
    <t>bsaizsl.com</t>
  </si>
  <si>
    <t>947 20 07 80</t>
  </si>
  <si>
    <t>asesoria@bsaizsl.com</t>
  </si>
  <si>
    <t>https://goo.gl/maps/KjU9QCiSPaNSKx5F8</t>
  </si>
  <si>
    <t>https://streetviewpixels-pa.googleapis.com/v1/thumbnail?panoid=pFWgIFHSjxO1I5wCqvmY-A&amp;cb_client=search.gws-prod.gps&amp;w=408&amp;h=240&amp;yaw=264.78287&amp;pitch=0&amp;thumbfov=100</t>
  </si>
  <si>
    <t>CRIEB Centro Rural de Innovación Educativa de Burgos</t>
  </si>
  <si>
    <t>89PC+WM Burgos</t>
  </si>
  <si>
    <t>Pje. Fuentes Blancas, 09002 Burgos</t>
  </si>
  <si>
    <t>947 48 46 43</t>
  </si>
  <si>
    <t>42.3373413</t>
  </si>
  <si>
    <t>-3.663348</t>
  </si>
  <si>
    <t>https://goo.gl/maps/6zjbWnoHiAbqdkWY7</t>
  </si>
  <si>
    <t>https://lh5.googleusercontent.com/p/AF1QipMNp7w9-6dHBdUig92wtiygrG0ezvhDi_mx0MsL=w408-h306-k-no</t>
  </si>
  <si>
    <t>190</t>
  </si>
  <si>
    <t>Animación y Servicios A la Comunidad, S. L</t>
  </si>
  <si>
    <t>88X2+WV Burgos</t>
  </si>
  <si>
    <t>Calle San Francisco, 60, 09005 Burgos</t>
  </si>
  <si>
    <t>947 22 54 71</t>
  </si>
  <si>
    <t>42.349837</t>
  </si>
  <si>
    <t>-3.7328609</t>
  </si>
  <si>
    <t>https://goo.gl/maps/rNxVVyp2z3CrjVLc9</t>
  </si>
  <si>
    <t>https://streetviewpixels-pa.googleapis.com/v1/thumbnail?panoid=qkfguAseiqI4ReHSRoPHYg&amp;cb_client=search.gws-prod.gps&amp;w=408&amp;h=240&amp;yaw=127.822586&amp;pitch=0&amp;thumbfov=100</t>
  </si>
  <si>
    <t>Asociación Provincial Síndrome de Down de Burgos</t>
  </si>
  <si>
    <t>88J2+9M Burgos</t>
  </si>
  <si>
    <t>Paseo de los Pisones, 49, 09001 Burgos</t>
  </si>
  <si>
    <t>sindromedownburgos.org</t>
  </si>
  <si>
    <t>947 20 94 02</t>
  </si>
  <si>
    <t>downburgos@sindromedownburgos.org</t>
  </si>
  <si>
    <t>42.330988</t>
  </si>
  <si>
    <t>-3.7333207</t>
  </si>
  <si>
    <t>https://goo.gl/maps/Hn2fDY3CoWk85bMh7</t>
  </si>
  <si>
    <t>https://lh5.googleusercontent.com/p/AF1QipOBo8jWTV9wCf2vRHKBu-nP5R4a6RLbmAAi_9A=w408-h306-k-no</t>
  </si>
  <si>
    <t>88HP+7J Burgos</t>
  </si>
  <si>
    <t>Camino de Cortés, 0, 09001 Burgos</t>
  </si>
  <si>
    <t>947 20 88 47</t>
  </si>
  <si>
    <t>42.3281277</t>
  </si>
  <si>
    <t>-3.6984703</t>
  </si>
  <si>
    <t>https://goo.gl/maps/55eA7jnZSkMPn2ag8</t>
  </si>
  <si>
    <t>https://streetviewpixels-pa.googleapis.com/v1/thumbnail?panoid=IRtFdHh9Q6cBf0F-SXG96A&amp;cb_client=search.gws-prod.gps&amp;w=408&amp;h=240&amp;yaw=10.039553&amp;pitch=0&amp;thumbfov=100</t>
  </si>
  <si>
    <t>MH MAKER Help</t>
  </si>
  <si>
    <t>87X8+9W Burgos</t>
  </si>
  <si>
    <t>Av. Costa Rica, nº 48 Bis, 09001 Burgos</t>
  </si>
  <si>
    <t>mh-maker-help.ueniweb.com</t>
  </si>
  <si>
    <t>642 23 57 37</t>
  </si>
  <si>
    <t>overlandgarciagarcia@gmail.com</t>
  </si>
  <si>
    <t>42.3385876</t>
  </si>
  <si>
    <t>-3.7414791</t>
  </si>
  <si>
    <t>https://goo.gl/maps/KgKcArHYLzjrm85n8</t>
  </si>
  <si>
    <t>https://lh5.googleusercontent.com/p/AF1QipNLwCCblHlIt9tmIEmzex7_yCFMT1L1J5IXjk3v=w408-h326-k-no</t>
  </si>
  <si>
    <t>Asociación Para La Protección Del Menor</t>
  </si>
  <si>
    <t>87JV+JV Burgos</t>
  </si>
  <si>
    <t>Calle Roa, 7, 09001 Burgos</t>
  </si>
  <si>
    <t>947 20 99 09</t>
  </si>
  <si>
    <t>42.3363931</t>
  </si>
  <si>
    <t>-3.7400858</t>
  </si>
  <si>
    <t>https://goo.gl/maps/cyD8oPV952e8bt8s8</t>
  </si>
  <si>
    <t>https://streetviewpixels-pa.googleapis.com/v1/thumbnail?panoid=Fp0U23KuPk6vKMRAI6lVdw&amp;cb_client=search.gws-prod.gps&amp;w=408&amp;h=240&amp;yaw=355.76712&amp;pitch=0&amp;thumbfov=100</t>
  </si>
  <si>
    <t>88P6+WC Burgos</t>
  </si>
  <si>
    <t>Calle de Cortes, 42, 09002 Burgos</t>
  </si>
  <si>
    <t>https://goo.gl/maps/FFZwFaJJHmGvcNZ66</t>
  </si>
  <si>
    <t>https://streetviewpixels-pa.googleapis.com/v1/thumbnail?panoid=o2JmB6E62NyUQBB-JnKJbw&amp;cb_client=search.gws-prod.gps&amp;w=408&amp;h=240&amp;yaw=188.48238&amp;pitch=0&amp;thumbfov=100</t>
  </si>
  <si>
    <t>CENTRO MUNICIPAL VILLAFRÍA</t>
  </si>
  <si>
    <t>997P+R7 Villafría</t>
  </si>
  <si>
    <t>09192 Villafría, Burgos</t>
  </si>
  <si>
    <t>947 28 48 00</t>
  </si>
  <si>
    <t>42.3645413</t>
  </si>
  <si>
    <t>-3.6493384</t>
  </si>
  <si>
    <t>https://goo.gl/maps/TpfgYEe1vkbEFW5ZA</t>
  </si>
  <si>
    <t>https://streetviewpixels-pa.googleapis.com/v1/thumbnail?panoid=hkrW2lABLW0gCtX_ibMPDQ&amp;cb_client=search.gws-prod.gps&amp;w=408&amp;h=240&amp;yaw=128.58096&amp;pitch=0&amp;thumbfov=100</t>
  </si>
  <si>
    <t>Asociación Aspanias</t>
  </si>
  <si>
    <t>97GH+Q9 Burgos</t>
  </si>
  <si>
    <t>BU-622, 09197 Burgos</t>
  </si>
  <si>
    <t>42.3768891</t>
  </si>
  <si>
    <t>-3.7565353</t>
  </si>
  <si>
    <t>https://goo.gl/maps/yMsTgkea9fWdATgp7</t>
  </si>
  <si>
    <t>Asoc De Hoga Para Niño Priv De Ambi Fami Nuev Futu</t>
  </si>
  <si>
    <t>88M4+WP Burgos</t>
  </si>
  <si>
    <t>Calle Cervantes, 24, 09002 Burgos</t>
  </si>
  <si>
    <t>947 27 33 66</t>
  </si>
  <si>
    <t>42.3456857</t>
  </si>
  <si>
    <t>-3.7604858</t>
  </si>
  <si>
    <t>https://goo.gl/maps/dYqfpzT7NRVLz71e7</t>
  </si>
  <si>
    <t>https://streetviewpixels-pa.googleapis.com/v1/thumbnail?panoid=q3RZy1Fag3MHQmGJQQURiw&amp;cb_client=search.gws-prod.gps&amp;w=408&amp;h=240&amp;yaw=346.61655&amp;pitch=0&amp;thumbfov=100</t>
  </si>
  <si>
    <t>León</t>
  </si>
  <si>
    <t>42.595697</t>
  </si>
  <si>
    <t>-5.59508</t>
  </si>
  <si>
    <t>Asistencia Hospitalaria Ayuda Trabajo Social</t>
  </si>
  <si>
    <t>HCWF+RC León</t>
  </si>
  <si>
    <t>Av. Ordoño II, 26, 24001 León</t>
  </si>
  <si>
    <t>615 64 60 41</t>
  </si>
  <si>
    <t>https://goo.gl/maps/k2uetnm9rPKW1kfv5</t>
  </si>
  <si>
    <t>https://streetviewpixels-pa.googleapis.com/v1/thumbnail?panoid=GkPrah2NoDtD4xrXhPnjhA&amp;cb_client=search.gws-prod.gps&amp;w=408&amp;h=240&amp;yaw=332.53717&amp;pitch=0&amp;thumbfov=100</t>
  </si>
  <si>
    <t>Asistentes Sociales Misioneras</t>
  </si>
  <si>
    <t>JC2J+MV León</t>
  </si>
  <si>
    <t>Calle Cardenal Landázuri, 27, 24003 León</t>
  </si>
  <si>
    <t>987 23 99 80</t>
  </si>
  <si>
    <t>https://goo.gl/maps/U5mRyoFU4VFZGAJz5</t>
  </si>
  <si>
    <t>https://streetviewpixels-pa.googleapis.com/v1/thumbnail?panoid=6mbNN_8c8DLkDQNNMGX-dw&amp;cb_client=search.gws-prod.gps&amp;w=408&amp;h=240&amp;yaw=213.73894&amp;pitch=0&amp;thumbfov=100</t>
  </si>
  <si>
    <t>C E A S Centro Ayuntamiento de León</t>
  </si>
  <si>
    <t>JC3F+88 León</t>
  </si>
  <si>
    <t>Av del Padre Isla, 57, 24002 León</t>
  </si>
  <si>
    <t>987 27 69 57</t>
  </si>
  <si>
    <t>https://goo.gl/maps/Xb4WGoaEhFwwDjmY9</t>
  </si>
  <si>
    <t>https://streetviewpixels-pa.googleapis.com/v1/thumbnail?panoid=0BhjNYRJHJl3vWP_1NjklA&amp;cb_client=search.gws-prod.gps&amp;w=408&amp;h=240&amp;yaw=223.25034&amp;pitch=0&amp;thumbfov=100</t>
  </si>
  <si>
    <t>Centro Social Pío XII</t>
  </si>
  <si>
    <t>JC4G+QV León</t>
  </si>
  <si>
    <t>Av. de Mariano Andrés, 22, 24008 León</t>
  </si>
  <si>
    <t>mensajerosdelapazcyl.org</t>
  </si>
  <si>
    <t>987 27 19 01</t>
  </si>
  <si>
    <t>info@mensajerosdelapazcyl.org</t>
  </si>
  <si>
    <t>https://g.page/Centro_social_PioXII?share</t>
  </si>
  <si>
    <t>https://lh5.googleusercontent.com/p/AF1QipN84On0OaPWsSjfU-LGnf-yr7qQ6BErZ9vR7Arr=w408-h249-k-no</t>
  </si>
  <si>
    <t>Servicios Sociales de la Junta de Castilla y León</t>
  </si>
  <si>
    <t>HCXC+WQ León</t>
  </si>
  <si>
    <t>Plaza de Colón, 24001 León</t>
  </si>
  <si>
    <t>987 23 77 05</t>
  </si>
  <si>
    <t>https://goo.gl/maps/4NkBnYZp1w1RxzQ36</t>
  </si>
  <si>
    <t>https://streetviewpixels-pa.googleapis.com/v1/thumbnail?panoid=keO3YN--OVqgwi5vHoWBIw&amp;cb_client=search.gws-prod.gps&amp;w=408&amp;h=240&amp;yaw=37.55772&amp;pitch=0&amp;thumbfov=100</t>
  </si>
  <si>
    <t>Servicios Sociales De La Junta De Castilla Y León</t>
  </si>
  <si>
    <t>HCWF+38 León</t>
  </si>
  <si>
    <t>Calle Modesto Lafuente, 5, 24004 León</t>
  </si>
  <si>
    <t>987 20 66 63</t>
  </si>
  <si>
    <t>https://goo.gl/maps/nsx21zFWbJk3RExn9</t>
  </si>
  <si>
    <t>https://streetviewpixels-pa.googleapis.com/v1/thumbnail?panoid=LF8e7eWcYC3EhZN0bekdPw&amp;cb_client=search.gws-prod.gps&amp;w=408&amp;h=240&amp;yaw=93.40897&amp;pitch=0&amp;thumbfov=100</t>
  </si>
  <si>
    <t>CEAS PUENTE CASTRO SAN CLAUDIO.</t>
  </si>
  <si>
    <t>HCQP+M4 León</t>
  </si>
  <si>
    <t>Av. de José Aguado, 17, 24005 León</t>
  </si>
  <si>
    <t>aytoleon.es</t>
  </si>
  <si>
    <t>https://goo.gl/maps/w1sSDoXFouMMaitLA</t>
  </si>
  <si>
    <t>https://streetviewpixels-pa.googleapis.com/v1/thumbnail?panoid=IwZ2C2jdve_o02qtrYKX9A&amp;cb_client=search.gws-prod.gps&amp;w=408&amp;h=240&amp;yaw=93.83084&amp;pitch=0&amp;thumbfov=100</t>
  </si>
  <si>
    <t>Shelpin</t>
  </si>
  <si>
    <t>JC49+HV León</t>
  </si>
  <si>
    <t>Calle las Campanillas, 32, 2A, 24008 León</t>
  </si>
  <si>
    <t>shelpin.com</t>
  </si>
  <si>
    <t>valoramostuprivacidad@shelpin.com</t>
  </si>
  <si>
    <t>42.6036317</t>
  </si>
  <si>
    <t>-5.5988284</t>
  </si>
  <si>
    <t>https://goo.gl/maps/ot2gqj92XeZjUMSJ6</t>
  </si>
  <si>
    <t>https://lh5.googleusercontent.com/p/AF1QipMtfiiEvsCJJ-mlK7yWsJdwZiqKmx21Hqdvlv6Z=w424-h240-k-no</t>
  </si>
  <si>
    <t>Cruz Roja - León</t>
  </si>
  <si>
    <t>HCXH+WW León</t>
  </si>
  <si>
    <t>Calle Cid, 24, 24003 León</t>
  </si>
  <si>
    <t>987 25 25 35</t>
  </si>
  <si>
    <t>https://goo.gl/maps/BQwfHj8rkYz2T34aA</t>
  </si>
  <si>
    <t>https://lh5.googleusercontent.com/p/AF1QipNkl0YaoZDaPFShhq4ecH3LHg3qqdHcWRD0o1qJ=w408-h306-k-no</t>
  </si>
  <si>
    <t>APROME León - Punto De Encuentro Familiar</t>
  </si>
  <si>
    <t>JC2G+5C León</t>
  </si>
  <si>
    <t>Av del Padre Isla, 21, 1º Izda, 24002 León</t>
  </si>
  <si>
    <t>987 23 60 72</t>
  </si>
  <si>
    <t>https://g.page/ApromeLeon?share</t>
  </si>
  <si>
    <t>https://lh5.googleusercontent.com/p/AF1QipMDEirvkn5lH7Af0L2PYraVtTsUU9m0f726NgDn=w408-h544-k-no</t>
  </si>
  <si>
    <t>Centro San Froilán</t>
  </si>
  <si>
    <t>HCMJ+XM León</t>
  </si>
  <si>
    <t>Calle los Campos Góticos, 0, 24005 León</t>
  </si>
  <si>
    <t>sanfroilan.info</t>
  </si>
  <si>
    <t>987 26 29 98</t>
  </si>
  <si>
    <t>scqweb@aena.es</t>
  </si>
  <si>
    <t>42.5849358</t>
  </si>
  <si>
    <t>-5.5858761</t>
  </si>
  <si>
    <t>https://goo.gl/maps/Ks1XTdpaU7Z7phkz7</t>
  </si>
  <si>
    <t>https://streetviewpixels-pa.googleapis.com/v1/thumbnail?panoid=LHuGxskr1PM8m6wPYNCWgA&amp;cb_client=search.gws-prod.gps&amp;w=408&amp;h=240&amp;yaw=249.56784&amp;pitch=0&amp;thumbfov=100</t>
  </si>
  <si>
    <t>APOYO SOCIAL Servicios Sociosanitarios</t>
  </si>
  <si>
    <t>JC3H+2J León</t>
  </si>
  <si>
    <t>Calle Era del Moro, 5, 24002 León</t>
  </si>
  <si>
    <t>apoyosocial.es</t>
  </si>
  <si>
    <t>987 95 40 00</t>
  </si>
  <si>
    <t>hola@ejemplo.com</t>
  </si>
  <si>
    <t>42.6026057</t>
  </si>
  <si>
    <t>-5.5885004</t>
  </si>
  <si>
    <t>https://goo.gl/maps/PRd5gcGHKEhW9rmd9</t>
  </si>
  <si>
    <t>https://streetviewpixels-pa.googleapis.com/v1/thumbnail?panoid=1-p2tqFXVmKEXG3OgwhAUw&amp;cb_client=search.gws-prod.gps&amp;w=408&amp;h=240&amp;yaw=325.8836&amp;pitch=0&amp;thumbfov=100</t>
  </si>
  <si>
    <t>Oficina Provincial León</t>
  </si>
  <si>
    <t>HCXH+WV León</t>
  </si>
  <si>
    <t>Calle Cid, 18, 24003 León</t>
  </si>
  <si>
    <t>987 25 22 52</t>
  </si>
  <si>
    <t>https://goo.gl/maps/1c9ULtgpQ3nrE5eZA</t>
  </si>
  <si>
    <t>https://streetviewpixels-pa.googleapis.com/v1/thumbnail?panoid=MLBbelnMwuLPk1wdchEKcA&amp;cb_client=search.gws-prod.gps&amp;w=408&amp;h=240&amp;yaw=87.07366&amp;pitch=0&amp;thumbfov=100</t>
  </si>
  <si>
    <t>Asfa 21 S.L.</t>
  </si>
  <si>
    <t>HCXF+69 León</t>
  </si>
  <si>
    <t>Calle Carmen, 7, 2º Oficina 10, 24001 León</t>
  </si>
  <si>
    <t>https://goo.gl/maps/gCL1MKbs8US6EpCq9</t>
  </si>
  <si>
    <t>https://streetviewpixels-pa.googleapis.com/v1/thumbnail?panoid=NWVRXE1RGte51f7McOvqlg&amp;cb_client=search.gws-prod.gps&amp;w=408&amp;h=240&amp;yaw=41.192497&amp;pitch=0&amp;thumbfov=100</t>
  </si>
  <si>
    <t>JC2G+7F León</t>
  </si>
  <si>
    <t>Av del Padre Isla, 30, 24002 León</t>
  </si>
  <si>
    <t>987 23 22 48</t>
  </si>
  <si>
    <t>https://goo.gl/maps/wMTbtnZYRzwy45Xw5</t>
  </si>
  <si>
    <t>https://streetviewpixels-pa.googleapis.com/v1/thumbnail?panoid=08EXTwjjGK8OaeRvp6-iPw&amp;cb_client=search.gws-prod.gps&amp;w=408&amp;h=240&amp;yaw=49.132744&amp;pitch=0&amp;thumbfov=100</t>
  </si>
  <si>
    <t>Sociedad de San Vicente de Paúl</t>
  </si>
  <si>
    <t>HCRG+79 León</t>
  </si>
  <si>
    <t>Calle Cipriano de la Huerga, 4, 24004 León</t>
  </si>
  <si>
    <t>987 21 62 13</t>
  </si>
  <si>
    <t>42.5906786</t>
  </si>
  <si>
    <t>-5.5916051</t>
  </si>
  <si>
    <t>https://goo.gl/maps/CSsQQujDYbFP97c87</t>
  </si>
  <si>
    <t>https://streetviewpixels-pa.googleapis.com/v1/thumbnail?panoid=Gp83oGFxINGjSTukBrmjeA&amp;cb_client=search.gws-prod.gps&amp;w=408&amp;h=240&amp;yaw=196.9564&amp;pitch=0&amp;thumbfov=100</t>
  </si>
  <si>
    <t>mSoluciona León</t>
  </si>
  <si>
    <t>JC2C+88 León</t>
  </si>
  <si>
    <t>Gran Vía de San Marcos, 34, 24002 León</t>
  </si>
  <si>
    <t>msolucionaleon.com</t>
  </si>
  <si>
    <t>987 26 60 58</t>
  </si>
  <si>
    <t>info@msolucionaleon.com</t>
  </si>
  <si>
    <t>https://goo.gl/maps/WphKRwKs5Bm5Rm9v8</t>
  </si>
  <si>
    <t>https://lh5.googleusercontent.com/p/AF1QipMa5afgexuYmkQfJSRoFX_MAyUtELtlxDwO-SVG=w408-h271-k-no</t>
  </si>
  <si>
    <t>Sindrome Contenta</t>
  </si>
  <si>
    <t>HCPJ+2M León</t>
  </si>
  <si>
    <t>Albergue de Asociaciones, Calle Campos Góticos Edificio C.H.F, 24005 León</t>
  </si>
  <si>
    <t>sindromecontenta.com</t>
  </si>
  <si>
    <t>655 19 14 99</t>
  </si>
  <si>
    <t>asociacion@sindromecontenta.com</t>
  </si>
  <si>
    <t>42.5828776</t>
  </si>
  <si>
    <t>-5.5856143</t>
  </si>
  <si>
    <t>https://g.page/sindromecontenta?share</t>
  </si>
  <si>
    <t>https://streetviewpixels-pa.googleapis.com/v1/thumbnail?panoid=-r5KpG9YC0jDT0l1bp0GkA&amp;cb_client=search.gws-prod.gps&amp;w=408&amp;h=240&amp;yaw=263.5842&amp;pitch=0&amp;thumbfov=100</t>
  </si>
  <si>
    <t>Fundación Secretariado Gitano</t>
  </si>
  <si>
    <t>JC25+J8 León</t>
  </si>
  <si>
    <t>Calle Cardenal Cisneros, 65, 24010 León</t>
  </si>
  <si>
    <t>gitanos.org</t>
  </si>
  <si>
    <t>987 27 66 00</t>
  </si>
  <si>
    <t>//twitter.com/@gitanos_org</t>
  </si>
  <si>
    <t>42.601547</t>
  </si>
  <si>
    <t>-5.6091825</t>
  </si>
  <si>
    <t>https://goo.gl/maps/e9dUWs9JKM5pA4hV8</t>
  </si>
  <si>
    <t>https://lh5.googleusercontent.com/p/AF1QipN0GOR-w9XIz7YzUMqy53z5xTu2uiyOP1gmop5N=w408-h306-k-no</t>
  </si>
  <si>
    <t>42.587851</t>
  </si>
  <si>
    <t>-5.5915851</t>
  </si>
  <si>
    <t>ASISTENCIA FAMILIAR 24 Oficinas Centrales</t>
  </si>
  <si>
    <t>HCWF+C7 León</t>
  </si>
  <si>
    <t>Av. República Argentina, 34, 1º C, 24004 León</t>
  </si>
  <si>
    <t>asistenciafamiliar24.com</t>
  </si>
  <si>
    <t>987 10 02 24</t>
  </si>
  <si>
    <t>https://g.page/Asistencia-Familiar-24?share</t>
  </si>
  <si>
    <t>https://lh5.googleusercontent.com/p/AF1QipPrLRuYdyHSaz94fqHx073cbskASC6ucxqHXtjf=w757-h240-k-no</t>
  </si>
  <si>
    <t>Carflor</t>
  </si>
  <si>
    <t>HCXH+38 León</t>
  </si>
  <si>
    <t>Calle Legión VII, 6, 24003 León</t>
  </si>
  <si>
    <t>carflor.com</t>
  </si>
  <si>
    <t>900 102 283</t>
  </si>
  <si>
    <t>carflor@carflor.com</t>
  </si>
  <si>
    <t>https://goo.gl/maps/j8jxpTQkjDjvBspv7</t>
  </si>
  <si>
    <t>https://lh5.googleusercontent.com/p/AF1QipNlnQMHdsKqsNS-q93YS5G6Mc9CQ_j-BOAuBSI=w408-h306-k-no</t>
  </si>
  <si>
    <t>Casa Hogar &amp;quot;San Vicente de Paúl&amp;quot;</t>
  </si>
  <si>
    <t>HCXP+V6 León</t>
  </si>
  <si>
    <t>Calle de San Pedro, 19, 24007 León</t>
  </si>
  <si>
    <t>987 22 25 90</t>
  </si>
  <si>
    <t>https://goo.gl/maps/NtPsLFr5T6K5dLvQ6</t>
  </si>
  <si>
    <t>https://lh5.googleusercontent.com/p/AF1QipNkoRoBro4caqhxz3ErRAXUs7qQbNSbRxjv2V4=w408-h306-k-no</t>
  </si>
  <si>
    <t>JC3F+26 León</t>
  </si>
  <si>
    <t>C. Luis Salvador Carmona, 13, 1, 24002 León</t>
  </si>
  <si>
    <t>987 87 53 90</t>
  </si>
  <si>
    <t>https://goo.gl/maps/PQFN5qqAAhQqPTxn6</t>
  </si>
  <si>
    <t>https://lh5.googleusercontent.com/p/AF1QipNvAShYEI2uxOYPEftMs1cOxzJ3UDveEzOLACk=w408-h306-k-no</t>
  </si>
  <si>
    <t>Centro de Acogida Nuestra Señora de Lourdes</t>
  </si>
  <si>
    <t>JC35+85 San Andrés del Rabanedo</t>
  </si>
  <si>
    <t>Calle Obreras de Jesús, 0, 24010 San Andrés del Rabanedo, León</t>
  </si>
  <si>
    <t>San Andrés del Rabanedo</t>
  </si>
  <si>
    <t>987 23 46 36</t>
  </si>
  <si>
    <t>42.6032752</t>
  </si>
  <si>
    <t>-5.6095978</t>
  </si>
  <si>
    <t>https://goo.gl/maps/zgzaCmLUeGYjZiVH9</t>
  </si>
  <si>
    <t>https://streetviewpixels-pa.googleapis.com/v1/thumbnail?panoid=W7cl9jdf3t393Gna57m14Q&amp;cb_client=search.gws-prod.gps&amp;w=408&amp;h=240&amp;yaw=268.91064&amp;pitch=0&amp;thumbfov=100</t>
  </si>
  <si>
    <t>Hospitalidad Nuestra Señora de Lourdes</t>
  </si>
  <si>
    <t>JC4P+GJ León</t>
  </si>
  <si>
    <t>Av. de la Universidad, 11, 24007 León</t>
  </si>
  <si>
    <t>hospitalidadleon.org</t>
  </si>
  <si>
    <t>987 23 52 54</t>
  </si>
  <si>
    <t>Su@e-mail.com</t>
  </si>
  <si>
    <t>42.5975485</t>
  </si>
  <si>
    <t>-5.5916582</t>
  </si>
  <si>
    <t>https://g.page/hoslour?share</t>
  </si>
  <si>
    <t>https://streetviewpixels-pa.googleapis.com/v1/thumbnail?panoid=PGOmmtNXH7mVtuLBbLk7NA&amp;cb_client=search.gws-prod.gps&amp;w=408&amp;h=240&amp;yaw=268.2326&amp;pitch=0&amp;thumbfov=100</t>
  </si>
  <si>
    <t>Comedor ASLECA</t>
  </si>
  <si>
    <t>HCXM+GR León</t>
  </si>
  <si>
    <t>Calle Maestro Copín, 24006 León</t>
  </si>
  <si>
    <t>https://goo.gl/maps/deXW8zeFoHoQonx1A</t>
  </si>
  <si>
    <t>https://streetviewpixels-pa.googleapis.com/v1/thumbnail?panoid=Jf_qGq_sxTHfqRzVHXPAtw&amp;cb_client=search.gws-prod.gps&amp;w=408&amp;h=240&amp;yaw=75.724976&amp;pitch=0&amp;thumbfov=100</t>
  </si>
  <si>
    <t>Asociación AIREP</t>
  </si>
  <si>
    <t>JC4G+92 León</t>
  </si>
  <si>
    <t>Av. Asturias, 14, Bajo local 2, 24008 León</t>
  </si>
  <si>
    <t>asociacionairep.com</t>
  </si>
  <si>
    <t>info@asociacionairep.com</t>
  </si>
  <si>
    <t>https://goo.gl/maps/hRzNkaEEsZitCtbu9</t>
  </si>
  <si>
    <t>https://lh5.googleusercontent.com/p/AF1QipM5kD2eJlxSaPxbD8ZEM5TFfkVT5sxIEvv9664l=w650-h240-k-no</t>
  </si>
  <si>
    <t>Aprome San Andrés - Punto de Encuentro Familiar</t>
  </si>
  <si>
    <t>HCX5+C7 Trobajo del Camino</t>
  </si>
  <si>
    <t>Av. del Párroco Pablo Díez, Nº25, 1ªA, 24010 Trobajo del Camino, León</t>
  </si>
  <si>
    <t>Trobajo del Camino</t>
  </si>
  <si>
    <t>987 80 62 95</t>
  </si>
  <si>
    <t>42.5985858</t>
  </si>
  <si>
    <t>-5.6092671</t>
  </si>
  <si>
    <t>https://g.page/ApromeSanAndresdelRabanedo?share</t>
  </si>
  <si>
    <t>https://lh5.googleusercontent.com/p/AF1QipNnyXXfiaKczm1ij9yoZqzEiXurDXhwYixJaa2o=w408-h322-k-no</t>
  </si>
  <si>
    <t>JC63+56 San Andrés del Rabanedo</t>
  </si>
  <si>
    <t>Av. San Ignacio de Loyola, 159, 24010 San Andrés del Rabanedo, León</t>
  </si>
  <si>
    <t>987 22 40 45</t>
  </si>
  <si>
    <t>42.6104768</t>
  </si>
  <si>
    <t>-5.6144817</t>
  </si>
  <si>
    <t>https://goo.gl/maps/uWB31BqAYf7hDUQu6</t>
  </si>
  <si>
    <t>https://streetviewpixels-pa.googleapis.com/v1/thumbnail?panoid=Yu2vUZUwn1SJoplN_ha7Rw&amp;cb_client=search.gws-prod.gps&amp;w=408&amp;h=240&amp;yaw=225.21175&amp;pitch=0&amp;thumbfov=100</t>
  </si>
  <si>
    <t>Grupo De Atención A Dependientes C B</t>
  </si>
  <si>
    <t>JC8X+8V Villaobispo de las Regueras</t>
  </si>
  <si>
    <t>Calle Prados Nuevos, 2, 24195 Villaobispo de las Regueras, León</t>
  </si>
  <si>
    <t>Villaobispo de las Regueras</t>
  </si>
  <si>
    <t>987 30 88 51</t>
  </si>
  <si>
    <t>42.615851</t>
  </si>
  <si>
    <t>-5.5678313</t>
  </si>
  <si>
    <t>https://goo.gl/maps/9iUkw6bqaTfoTo6ZA</t>
  </si>
  <si>
    <t>https://streetviewpixels-pa.googleapis.com/v1/thumbnail?panoid=JhXfkLYVdo5KzTO2FDtMVQ&amp;cb_client=search.gws-prod.gps&amp;w=408&amp;h=240&amp;yaw=306.89908&amp;pitch=0&amp;thumbfov=100</t>
  </si>
  <si>
    <t>JC48+2X León</t>
  </si>
  <si>
    <t>Calle Cruz Roja de León, 0, 24008 León</t>
  </si>
  <si>
    <t>987 24 44 89</t>
  </si>
  <si>
    <t>42.6050003</t>
  </si>
  <si>
    <t>-5.6000129</t>
  </si>
  <si>
    <t>https://goo.gl/maps/ycbPUgDe7ivCMWaz7</t>
  </si>
  <si>
    <t>https://streetviewpixels-pa.googleapis.com/v1/thumbnail?panoid=lyh2O-_JS-3MXo1hCS7GEg&amp;cb_client=search.gws-prod.gps&amp;w=408&amp;h=240&amp;yaw=121.21115&amp;pitch=0&amp;thumbfov=100</t>
  </si>
  <si>
    <t>Asociación Edad Dorada Mensajeros de La Paz Castilla y León</t>
  </si>
  <si>
    <t>H9H4+V9 La Virgen del Camino</t>
  </si>
  <si>
    <t>Calle Sta. Marina, 9-11, 24198 La Virgen del Camino, León</t>
  </si>
  <si>
    <t>La Virgen del Camino</t>
  </si>
  <si>
    <t>987 30 04 51</t>
  </si>
  <si>
    <t>42.5796533</t>
  </si>
  <si>
    <t>-5.6615354</t>
  </si>
  <si>
    <t>https://g.page/Edad_Dorada?share</t>
  </si>
  <si>
    <t>https://lh5.googleusercontent.com/p/AF1QipNTl13Yjqmb6sJ0h1ymObkua7VgzNN83Wh8JuoP=w408-h271-k-no</t>
  </si>
  <si>
    <t>Palencia</t>
  </si>
  <si>
    <t>Área de Servicios Sociales Diputación de Palencia</t>
  </si>
  <si>
    <t>XFWJ+J4 Palencia</t>
  </si>
  <si>
    <t>Av. San Telmo, 34004 Palencia</t>
  </si>
  <si>
    <t>diputaciondepalencia.es</t>
  </si>
  <si>
    <t>979 16 59 90</t>
  </si>
  <si>
    <t>diputacion@diputaciondepalencia.es</t>
  </si>
  <si>
    <t>41.9965223</t>
  </si>
  <si>
    <t>-4.5372239</t>
  </si>
  <si>
    <t>https://goo.gl/maps/1zutzPW1w845rsMRA</t>
  </si>
  <si>
    <t>https://streetviewpixels-pa.googleapis.com/v1/thumbnail?panoid=dyaYlPWvGxr4EYPhILiQ_Q&amp;cb_client=search.gws-prod.gps&amp;w=408&amp;h=240&amp;yaw=96.772354&amp;pitch=0&amp;thumbfov=100</t>
  </si>
  <si>
    <t>Diputación Provincial de Palencia</t>
  </si>
  <si>
    <t>XFWJ+6W Palencia</t>
  </si>
  <si>
    <t>Av. San Telmo, 21, 34004 Palencia</t>
  </si>
  <si>
    <t>979 72 92 34</t>
  </si>
  <si>
    <t>41.9955516</t>
  </si>
  <si>
    <t>-4.5351824</t>
  </si>
  <si>
    <t>https://goo.gl/maps/aotD6fLxXvtsdFaU7</t>
  </si>
  <si>
    <t>https://streetviewpixels-pa.googleapis.com/v1/thumbnail?panoid=sizjLSm_d4lMSvYj0VE_Xg&amp;cb_client=search.gws-prod.gps&amp;w=408&amp;h=240&amp;yaw=36.628307&amp;pitch=0&amp;thumbfov=100</t>
  </si>
  <si>
    <t>Cáritas Diocesana de Palencia</t>
  </si>
  <si>
    <t>2F86+5Q Palencia</t>
  </si>
  <si>
    <t>Calle Marqués de Santillana, 2, 34005 Palencia</t>
  </si>
  <si>
    <t>979 74 30 35</t>
  </si>
  <si>
    <t>42.001726</t>
  </si>
  <si>
    <t>-4.5467147</t>
  </si>
  <si>
    <t>https://goo.gl/maps/KfPwATEZ7yKvpnnq9</t>
  </si>
  <si>
    <t>https://streetviewpixels-pa.googleapis.com/v1/thumbnail?panoid=lCvlPWw1hCWPf2UAVmaCJw&amp;cb_client=search.gws-prod.gps&amp;w=408&amp;h=240&amp;yaw=238.60349&amp;pitch=0&amp;thumbfov=100</t>
  </si>
  <si>
    <t>Cáritas Diocesana De Palencia</t>
  </si>
  <si>
    <t>XFXR+Q6 Palencia</t>
  </si>
  <si>
    <t>Calle Italia, 0, 34004 Palencia</t>
  </si>
  <si>
    <t>41.9994832</t>
  </si>
  <si>
    <t>-4.5268903</t>
  </si>
  <si>
    <t>https://goo.gl/maps/KqdR1eVyp8QHRy8G7</t>
  </si>
  <si>
    <t>https://lh5.googleusercontent.com/p/AF1QipOGrFKIvHviwxMfxiIdF8ozJL2xJdVgGFjgLDMy=w426-h240-k-no</t>
  </si>
  <si>
    <t>Centro de Rehabilitación Psicosocial San Juan de Dios</t>
  </si>
  <si>
    <t>2F57+6X Palencia</t>
  </si>
  <si>
    <t>Calle Mayor Antigua, 55, 34005 Palencia</t>
  </si>
  <si>
    <t>sanjuandedios-palencia.com</t>
  </si>
  <si>
    <t>979 75 06 51</t>
  </si>
  <si>
    <t>42.0080891</t>
  </si>
  <si>
    <t>-4.5525514</t>
  </si>
  <si>
    <t>https://goo.gl/maps/kH4AjGupizJqDBhg7</t>
  </si>
  <si>
    <t>https://streetviewpixels-pa.googleapis.com/v1/thumbnail?panoid=BE_s5OYnU50sxyw9I58sCA&amp;cb_client=search.gws-prod.gps&amp;w=408&amp;h=240&amp;yaw=19.916378&amp;pitch=0&amp;thumbfov=100</t>
  </si>
  <si>
    <t>Aprome Palencia - Punto de Encuentro Familiar</t>
  </si>
  <si>
    <t>XFRP+75 Palencia</t>
  </si>
  <si>
    <t>Calle Francisco Vighi, 23, Bajo 5-6, 34004 Palencia</t>
  </si>
  <si>
    <t>979 71 30 42</t>
  </si>
  <si>
    <t>41.9906916</t>
  </si>
  <si>
    <t>-4.5320836</t>
  </si>
  <si>
    <t>https://g.page/ApromePalencia?share</t>
  </si>
  <si>
    <t>2F9C+96 Palencia</t>
  </si>
  <si>
    <t>Calle Doña Juana, 9, 34003 Palencia</t>
  </si>
  <si>
    <t>42.0072725</t>
  </si>
  <si>
    <t>-4.5497653</t>
  </si>
  <si>
    <t>https://goo.gl/maps/69GkhqLHMVifyuef6</t>
  </si>
  <si>
    <t>https://lh5.googleusercontent.com/p/AF1QipPM3cJOd0x2Y3ADqTYogz5wd1hFHqzWUAn1SBNv=w408-h306-k-no</t>
  </si>
  <si>
    <t>Colegio Oficial de Diplomados en Trabajo Social</t>
  </si>
  <si>
    <t>2F3C+3F Palencia</t>
  </si>
  <si>
    <t>nº1, Paseo la Julia, 34001 Palencia</t>
  </si>
  <si>
    <t>trabajosocialpalencia.org</t>
  </si>
  <si>
    <t>979 72 36 20</t>
  </si>
  <si>
    <t>palencia@cgtrabajosocial.es</t>
  </si>
  <si>
    <t>https://goo.gl/maps/FUnyqdbhqrGvgij1A</t>
  </si>
  <si>
    <t>https://streetviewpixels-pa.googleapis.com/v1/thumbnail?panoid=1EOQB7rsRHYrxpUfskp2-Q&amp;cb_client=search.gws-prod.gps&amp;w=408&amp;h=240&amp;yaw=198.83928&amp;pitch=0&amp;thumbfov=100</t>
  </si>
  <si>
    <t>Asilo Noviciado Hermanitas de los Ancianos Desamparados</t>
  </si>
  <si>
    <t>2F66+7R Palencia</t>
  </si>
  <si>
    <t>Calle Mayor Antigua, 36, 34005 Palencia</t>
  </si>
  <si>
    <t>979 70 64 56</t>
  </si>
  <si>
    <t>https://goo.gl/maps/oJ5WyPSPdNNyD97cA</t>
  </si>
  <si>
    <t>https://lh5.googleusercontent.com/p/AF1QipOegWNpZmBT0r5-RXffXg-0L6HaquYoMC1sosks=w408-h306-k-no</t>
  </si>
  <si>
    <t>2F58+X3 Palencia</t>
  </si>
  <si>
    <t>Calle Gil de Fuentes, 1, 34001 Palencia</t>
  </si>
  <si>
    <t>979 70 65 82</t>
  </si>
  <si>
    <t>https://goo.gl/maps/KKQHMzm162FEQxYf7</t>
  </si>
  <si>
    <t>https://streetviewpixels-pa.googleapis.com/v1/thumbnail?panoid=3o4WO8Gfjtg0-IgACMw8jw&amp;cb_client=search.gws-prod.gps&amp;w=408&amp;h=240&amp;yaw=297.71295&amp;pitch=0&amp;thumbfov=100</t>
  </si>
  <si>
    <t>Asociación Autismo Palencia</t>
  </si>
  <si>
    <t>2F85+FX Palencia</t>
  </si>
  <si>
    <t>Av. Simón Nieto, 14, 34005 Palencia</t>
  </si>
  <si>
    <t>979 10 41 50</t>
  </si>
  <si>
    <t>42.0161355</t>
  </si>
  <si>
    <t>-4.5575545</t>
  </si>
  <si>
    <t>https://goo.gl/maps/TSGhE8bNvreQVbjM6</t>
  </si>
  <si>
    <t>https://streetviewpixels-pa.googleapis.com/v1/thumbnail?panoid=rNBqBCXJ1DoW9JWzTIA7yw&amp;cb_client=search.gws-prod.gps&amp;w=408&amp;h=240&amp;yaw=325.0977&amp;pitch=0&amp;thumbfov=100</t>
  </si>
  <si>
    <t>Asociación Palentina de Parkinson</t>
  </si>
  <si>
    <t>2F66+R7 Palencia</t>
  </si>
  <si>
    <t>Plaza Andrés Moro, nº 2, Bajo, 34005 Palencia</t>
  </si>
  <si>
    <t>parkinpalen.blogspot.com</t>
  </si>
  <si>
    <t>979 10 42 27</t>
  </si>
  <si>
    <t>42.0010746</t>
  </si>
  <si>
    <t>-4.543146</t>
  </si>
  <si>
    <t>https://g.page/parkinsonpalencia?share</t>
  </si>
  <si>
    <t>https://lh5.googleusercontent.com/p/AF1QipPD0nO6ab0ulaYbODAmEqADeEXRnuWhBGo1PqpI=w408-h306-k-no</t>
  </si>
  <si>
    <t>Fundación Personas</t>
  </si>
  <si>
    <t>2F69+WG Palencia</t>
  </si>
  <si>
    <t>Calle Lope de Vega, 20, 34001 Palencia</t>
  </si>
  <si>
    <t>https://goo.gl/maps/UvqNXkyp5r9g1QCfA</t>
  </si>
  <si>
    <t>https://streetviewpixels-pa.googleapis.com/v1/thumbnail?panoid=0b2FmRILJCkZTj7MS-X7sQ&amp;cb_client=search.gws-prod.gps&amp;w=408&amp;h=240&amp;yaw=209.77974&amp;pitch=0&amp;thumbfov=100</t>
  </si>
  <si>
    <t>2F79+CG Palencia</t>
  </si>
  <si>
    <t>Av. de Casado del Alisal, 13, 34001 Palencia</t>
  </si>
  <si>
    <t>ongremar.es</t>
  </si>
  <si>
    <t>669 50 34 89</t>
  </si>
  <si>
    <t>info@ongremar.es</t>
  </si>
  <si>
    <t>https://goo.gl/maps/nWzC7F8jDX6CEVFz8</t>
  </si>
  <si>
    <t>https://lh5.googleusercontent.com/p/AF1QipM994YwL_o8SWtH9vLExdCEqzF7hlTKnoEGpJrd=w408-h306-k-no</t>
  </si>
  <si>
    <t>Centro Juvenil de Orientacion para la Salud (CEJOS)</t>
  </si>
  <si>
    <t>2F66+79 Palencia</t>
  </si>
  <si>
    <t>Calle Salvino Sierra, 8, 34005 Palencia</t>
  </si>
  <si>
    <t>ligaeducacion.org</t>
  </si>
  <si>
    <t>670 90 02 64</t>
  </si>
  <si>
    <t>laliga@ligaeducacion.org</t>
  </si>
  <si>
    <t>https://goo.gl/maps/xUrjvoRp6jPJ9sueA</t>
  </si>
  <si>
    <t>https://lh5.googleusercontent.com/p/AF1QipPlta1qCDugtHEQe1olQiGHjIORgPX0lXqFcdOk=w408-h306-k-no</t>
  </si>
  <si>
    <t>Centro Villa San Jose - Sede Social</t>
  </si>
  <si>
    <t>2F76+7V Palencia</t>
  </si>
  <si>
    <t>Calle Luis Guanella, 3, 34005 Palencia</t>
  </si>
  <si>
    <t>979 74 28 30</t>
  </si>
  <si>
    <t>https://goo.gl/maps/Edhukv4C1b9f6qfi9</t>
  </si>
  <si>
    <t>https://streetviewpixels-pa.googleapis.com/v1/thumbnail?panoid=HMM5K0jHvZTKTbND1fkqeg&amp;cb_client=search.gws-prod.gps&amp;w=408&amp;h=240&amp;yaw=37.939556&amp;pitch=0&amp;thumbfov=100</t>
  </si>
  <si>
    <t>Asociacion Alcoholicos Rehabilitados De Palencia Arpa</t>
  </si>
  <si>
    <t>2F3F+PX Palencia</t>
  </si>
  <si>
    <t>Calle Julián Diez, Nº 00021, 34004 Palencia</t>
  </si>
  <si>
    <t>https://goo.gl/maps/T2PA5mYFm8ZGhTJdA</t>
  </si>
  <si>
    <t>https://streetviewpixels-pa.googleapis.com/v1/thumbnail?panoid=75LkmwIjmDUsP1mbWy8pfA&amp;cb_client=search.gws-prod.gps&amp;w=408&amp;h=240&amp;yaw=35.627686&amp;pitch=0&amp;thumbfov=100</t>
  </si>
  <si>
    <t>2F3C+J2 Palencia</t>
  </si>
  <si>
    <t>Calle Batán de San Sebastián, 1, 34005 Palencia</t>
  </si>
  <si>
    <t>979 70 28 73</t>
  </si>
  <si>
    <t>https://goo.gl/maps/oEspfJKAW3AnAeQY6</t>
  </si>
  <si>
    <t>https://streetviewpixels-pa.googleapis.com/v1/thumbnail?panoid=Klf6whfyRYIIEpp4AyRknA&amp;cb_client=search.gws-prod.gps&amp;w=408&amp;h=240&amp;yaw=132.95442&amp;pitch=0&amp;thumbfov=100</t>
  </si>
  <si>
    <t>Gerencia Territorial de Servicios Sociales</t>
  </si>
  <si>
    <t>X87Q+VP Salamanca</t>
  </si>
  <si>
    <t>Gran Vía, 53, 55, 37001 Salamanca</t>
  </si>
  <si>
    <t>Salamanca</t>
  </si>
  <si>
    <t>jcyl.es</t>
  </si>
  <si>
    <t>923 21 61 01</t>
  </si>
  <si>
    <t>40.9634359</t>
  </si>
  <si>
    <t>-5.6692121</t>
  </si>
  <si>
    <t>https://goo.gl/maps/PQWTiVU8Pfrzc1RA6</t>
  </si>
  <si>
    <t>https://streetviewpixels-pa.googleapis.com/v1/thumbnail?panoid=scN9yFaVNzyb1L6BTy5Q2Q&amp;cb_client=search.gws-prod.gps&amp;w=408&amp;h=240&amp;yaw=100.2017&amp;pitch=0&amp;thumbfov=100</t>
  </si>
  <si>
    <t>Centro de Acción Social Centro</t>
  </si>
  <si>
    <t>X86P+JM Salamanca</t>
  </si>
  <si>
    <t>Calle Juan de la Fuente, 1, 37001 Salamanca</t>
  </si>
  <si>
    <t>923 21 40 12</t>
  </si>
  <si>
    <t>https://goo.gl/maps/fWVe9ehfo9feYpxQ8</t>
  </si>
  <si>
    <t>https://lh5.googleusercontent.com/p/AF1QipNse2F5s-h4Ae73InQjH1SxrQ8WHVdm00VgcHAC=w408-h792-k-no</t>
  </si>
  <si>
    <t>Centro de Acción Social de San José</t>
  </si>
  <si>
    <t>X82Q+52 Salamanca</t>
  </si>
  <si>
    <t>Plaza Sta. Cecilia, S/N, 37008 Salamanca</t>
  </si>
  <si>
    <t>aytosalamanca.es</t>
  </si>
  <si>
    <t>923 21 29 17</t>
  </si>
  <si>
    <t>citaprevia@salamanca010.es</t>
  </si>
  <si>
    <t>40.9504943</t>
  </si>
  <si>
    <t>-5.679961</t>
  </si>
  <si>
    <t>https://goo.gl/maps/sF5BqNEphxMAH4jH7</t>
  </si>
  <si>
    <t>https://streetviewpixels-pa.googleapis.com/v1/thumbnail?panoid=l0q-P0_wc3AELKgWcDsW7g&amp;cb_client=search.gws-prod.gps&amp;w=408&amp;h=240&amp;yaw=155.29727&amp;pitch=0&amp;thumbfov=100</t>
  </si>
  <si>
    <t>Centro de Acción Social Pizarrales</t>
  </si>
  <si>
    <t>X8HG+97 Salamanca</t>
  </si>
  <si>
    <t>Calle Ruiz Zorrilla, 30, 37006 Salamanca</t>
  </si>
  <si>
    <t>923 12 04 26</t>
  </si>
  <si>
    <t>40.9784835</t>
  </si>
  <si>
    <t>-5.6918526</t>
  </si>
  <si>
    <t>https://goo.gl/maps/9dtyMNZC67pYP6y66</t>
  </si>
  <si>
    <t>https://streetviewpixels-pa.googleapis.com/v1/thumbnail?panoid=ulHSvG8PdhOiT_509ZPXMw&amp;cb_client=search.gws-prod.gps&amp;w=408&amp;h=240&amp;yaw=246.49852&amp;pitch=0&amp;thumbfov=100</t>
  </si>
  <si>
    <t>X8FF+35 Salamanca</t>
  </si>
  <si>
    <t>Av. de Filiberto Villalobos, 116, 37007 Salamanca</t>
  </si>
  <si>
    <t>923 12 01 13</t>
  </si>
  <si>
    <t>40.9617293</t>
  </si>
  <si>
    <t>-5.6851798</t>
  </si>
  <si>
    <t>https://goo.gl/maps/ycfpRzNirbH44Aoj9</t>
  </si>
  <si>
    <t>https://streetviewpixels-pa.googleapis.com/v1/thumbnail?panoid=-RLlWJfuFaimn850xY_oag&amp;cb_client=search.gws-prod.gps&amp;w=408&amp;h=240&amp;yaw=349.51294&amp;pitch=0&amp;thumbfov=100</t>
  </si>
  <si>
    <t>ASECAL</t>
  </si>
  <si>
    <t>X8GJ+4V Salamanca</t>
  </si>
  <si>
    <t>Calle Plateros, 19, 37006 Salamanca</t>
  </si>
  <si>
    <t>923 12 13 54</t>
  </si>
  <si>
    <t>https://goo.gl/maps/TCprRusiiWi9T2sy5</t>
  </si>
  <si>
    <t>https://streetviewpixels-pa.googleapis.com/v1/thumbnail?panoid=kpOH4GpX0y9Cpri1AoffqQ&amp;cb_client=search.gws-prod.gps&amp;w=408&amp;h=240&amp;yaw=152.21457&amp;pitch=0&amp;thumbfov=100</t>
  </si>
  <si>
    <t>Azvase Salamanca</t>
  </si>
  <si>
    <t>X87Q+9M Salamanca</t>
  </si>
  <si>
    <t>Calle Banzo, 9, 37001 Salamanca</t>
  </si>
  <si>
    <t>923 27 10 80</t>
  </si>
  <si>
    <t>https://goo.gl/maps/q36rtUcjFg1iDs6h7</t>
  </si>
  <si>
    <t>https://lh5.googleusercontent.com/p/AF1QipOA7uKfVRSsg6ehLg_2Zc2QhwZUz-5Hq3ER8ybY=w494-h240-k-no</t>
  </si>
  <si>
    <t>X8CX+HF Salamanca</t>
  </si>
  <si>
    <t>Paseo de la Estación, 85, 37004 Salamanca</t>
  </si>
  <si>
    <t>923 22 44 20</t>
  </si>
  <si>
    <t>https://goo.gl/maps/KxTdUN6iDehQfqAu8</t>
  </si>
  <si>
    <t>https://streetviewpixels-pa.googleapis.com/v1/thumbnail?panoid=WWASppgok1m6dtJdZfU0iw&amp;cb_client=search.gws-prod.gps&amp;w=408&amp;h=240&amp;yaw=310.48145&amp;pitch=0&amp;thumbfov=100</t>
  </si>
  <si>
    <t>ATC Salamanca</t>
  </si>
  <si>
    <t>X88R+X6 Salamanca</t>
  </si>
  <si>
    <t>Gran Vía, 2, 37001 Salamanca</t>
  </si>
  <si>
    <t>asesoriaatc.com</t>
  </si>
  <si>
    <t>923 26 95 49</t>
  </si>
  <si>
    <t>jsantosbenito@asesoriaatc.com</t>
  </si>
  <si>
    <t>https://goo.gl/maps/r31S5dvsMSvh4W1Z7</t>
  </si>
  <si>
    <t>https://streetviewpixels-pa.googleapis.com/v1/thumbnail?panoid=7cqVTAOWs0MRgBa8x7NqCQ&amp;cb_client=search.gws-prod.gps&amp;w=408&amp;h=240&amp;yaw=311.83893&amp;pitch=0&amp;thumbfov=100</t>
  </si>
  <si>
    <t>Asociación de Mayores del Barrio de Pizarrales</t>
  </si>
  <si>
    <t>X8GG+4H Salamanca</t>
  </si>
  <si>
    <t>Ctra. de Ledesma, 60, 37006 Salamanca</t>
  </si>
  <si>
    <t>923 25 45 58</t>
  </si>
  <si>
    <t>https://goo.gl/maps/jo9nHbFNrLbETpiTA</t>
  </si>
  <si>
    <t>https://lh5.googleusercontent.com/p/AF1QipPJeRqSIJngrEju4J73cjTc_bihW6Eb5PT3spCa=w408-h306-k-no</t>
  </si>
  <si>
    <t>Teleasistencia en Salamanca</t>
  </si>
  <si>
    <t>X973+74 Salamanca</t>
  </si>
  <si>
    <t>Calle Mariquelo, Calle Mariseca, 13, Bajo Esquina, 37003 Salamanca</t>
  </si>
  <si>
    <t>923 13 65 40</t>
  </si>
  <si>
    <t>40.9631652</t>
  </si>
  <si>
    <t>-5.6647313</t>
  </si>
  <si>
    <t>https://g.page/teleasistencia-en-salamanca?share</t>
  </si>
  <si>
    <t>https://lh5.googleusercontent.com/p/AF1QipO9bqZUs_JoE46ZrPQ3ef1IQz6GfCSy8hKgwANH=w408-h408-k-no</t>
  </si>
  <si>
    <t>Aprome Salamanca - Punto de Encuentro Familiar</t>
  </si>
  <si>
    <t>X89R+V5 Salamanca</t>
  </si>
  <si>
    <t>Calle de las Eras, 6, 37005 Salamanca</t>
  </si>
  <si>
    <t>923 22 47 53</t>
  </si>
  <si>
    <t>https://g.page/ApromeSalamanca?share</t>
  </si>
  <si>
    <t>https://lh5.googleusercontent.com/p/AF1QipM-_63MSUISMYV0JjMSPFtiM3uQ0XBm6nM576P-=w408-h306-k-no</t>
  </si>
  <si>
    <t>ADAVAS - Asistencia Víctimas Violencia Sexual y de Género</t>
  </si>
  <si>
    <t>X89R+M3 Salamanca</t>
  </si>
  <si>
    <t>Calle Corral de Villaverde, 1, 5º B, 37002 Salamanca</t>
  </si>
  <si>
    <t>adavas-salamanca.org</t>
  </si>
  <si>
    <t>923 26 05 99</t>
  </si>
  <si>
    <t>https://goo.gl/maps/fXonBAUuHyn6Lya29</t>
  </si>
  <si>
    <t>https://streetviewpixels-pa.googleapis.com/v1/thumbnail?panoid=2srKfIY3KSnAodbLpszGlw&amp;cb_client=search.gws-prod.gps&amp;w=408&amp;h=240&amp;yaw=52.765835&amp;pitch=0&amp;thumbfov=100</t>
  </si>
  <si>
    <t>Asaljar Asociación Salmantina de Jugadores de Azar Rehabilitados</t>
  </si>
  <si>
    <t>X87H+G5 Salamanca</t>
  </si>
  <si>
    <t>Plaza de San Vicente, 3, 37007 Salamanca</t>
  </si>
  <si>
    <t>923 26 15 17</t>
  </si>
  <si>
    <t>40.963824</t>
  </si>
  <si>
    <t>-5.6895756</t>
  </si>
  <si>
    <t>https://goo.gl/maps/GdxZLBfs8nYZ3R1q9</t>
  </si>
  <si>
    <t>https://streetviewpixels-pa.googleapis.com/v1/thumbnail?panoid=ZCCYk5Tc__Dm6zKBVQOI_A&amp;cb_client=search.gws-prod.gps&amp;w=408&amp;h=240&amp;yaw=341.36978&amp;pitch=0&amp;thumbfov=100</t>
  </si>
  <si>
    <t>X88Q+5J Salamanca</t>
  </si>
  <si>
    <t>Calle Bermejeros, 14, 37001 Salamanca</t>
  </si>
  <si>
    <t>923 21 70 08</t>
  </si>
  <si>
    <t>https://goo.gl/maps/eJBgyH7seHeG6W5U7</t>
  </si>
  <si>
    <t>https://streetviewpixels-pa.googleapis.com/v1/thumbnail?panoid=CRQpLxyWO0SgkBsrysG4sg&amp;cb_client=search.gws-prod.gps&amp;w=408&amp;h=240&amp;yaw=126.30999&amp;pitch=0&amp;thumbfov=100</t>
  </si>
  <si>
    <t>Comité Antisida Salamanca</t>
  </si>
  <si>
    <t>X87H+C5 Salamanca</t>
  </si>
  <si>
    <t>Plaza de San Vicente, s/n, local 4, 37007 Salamanca</t>
  </si>
  <si>
    <t>sidasalamanca.es</t>
  </si>
  <si>
    <t>669 09 54 61</t>
  </si>
  <si>
    <t>https://goo.gl/maps/PTWPBkpnLzdX77x67</t>
  </si>
  <si>
    <t>https://streetviewpixels-pa.googleapis.com/v1/thumbnail?panoid=ALncHCB6xUczJFHSiKfqzg&amp;cb_client=search.gws-prod.gps&amp;w=408&amp;h=240&amp;yaw=254.47076&amp;pitch=0&amp;thumbfov=100</t>
  </si>
  <si>
    <t>Patronato Institución Particular Caritativo Benéfica Esteban</t>
  </si>
  <si>
    <t>X87P+5F Salamanca</t>
  </si>
  <si>
    <t>Plaza de Colón, 3, 37001 Salamanca</t>
  </si>
  <si>
    <t>923 21 27 67</t>
  </si>
  <si>
    <t>https://goo.gl/maps/3Lt7bgLhzdx3s9bW8</t>
  </si>
  <si>
    <t>https://streetviewpixels-pa.googleapis.com/v1/thumbnail?panoid=x7YrGHQDx-FQ4jVAUMnrQA&amp;cb_client=search.gws-prod.gps&amp;w=408&amp;h=240&amp;yaw=80.73184&amp;pitch=0&amp;thumbfov=100</t>
  </si>
  <si>
    <t>X82C+JH Salamanca</t>
  </si>
  <si>
    <t>Calle Río Coa, 13, 37008 Salamanca</t>
  </si>
  <si>
    <t>923 24 08 29</t>
  </si>
  <si>
    <t>40.951579</t>
  </si>
  <si>
    <t>-5.6961074</t>
  </si>
  <si>
    <t>https://goo.gl/maps/QRUKcBZELkUuVPuYA</t>
  </si>
  <si>
    <t>https://streetviewpixels-pa.googleapis.com/v1/thumbnail?panoid=RI8Ukpjb_NfjOQz57Th5cw&amp;cb_client=search.gws-prod.gps&amp;w=408&amp;h=240&amp;yaw=130.20367&amp;pitch=0&amp;thumbfov=100</t>
  </si>
  <si>
    <t>X88M+QC Salamanca</t>
  </si>
  <si>
    <t>Cuesta del Carmen, 24, 37002 Salamanca</t>
  </si>
  <si>
    <t>923 26 77 85</t>
  </si>
  <si>
    <t>40.9677842</t>
  </si>
  <si>
    <t>-5.6953557</t>
  </si>
  <si>
    <t>https://goo.gl/maps/omqXnNxD4zki4uxW8</t>
  </si>
  <si>
    <t>https://streetviewpixels-pa.googleapis.com/v1/thumbnail?panoid=UCWSxPXUuXQIC8S7dH5ZoQ&amp;cb_client=search.gws-prod.gps&amp;w=408&amp;h=240&amp;yaw=88.225586&amp;pitch=0&amp;thumbfov=100</t>
  </si>
  <si>
    <t>Centro Joven de Cruz Roja</t>
  </si>
  <si>
    <t>X9H4+H6 Salamanca</t>
  </si>
  <si>
    <t>Calle Rector Madruga, 37004 Salamanca</t>
  </si>
  <si>
    <t>923 25 11 50</t>
  </si>
  <si>
    <t>40.9789076</t>
  </si>
  <si>
    <t>-5.6618858</t>
  </si>
  <si>
    <t>https://g.page/centro-joven-de-cruz-roja?share</t>
  </si>
  <si>
    <t>https://lh5.googleusercontent.com/p/AF1QipPTFyjDSCBmiWSE8_tSjq1i3VY0damKfw93rdcl=w426-h240-k-no</t>
  </si>
  <si>
    <t>Fundación ADRA Salamanca</t>
  </si>
  <si>
    <t>X89X+7C Salamanca</t>
  </si>
  <si>
    <t>Calle del Dr. Gómez Ulla, 51, 37003 Salamanca</t>
  </si>
  <si>
    <t>https://goo.gl/maps/qH73NVdeS8bQ4hdL7</t>
  </si>
  <si>
    <t>https://streetviewpixels-pa.googleapis.com/v1/thumbnail?panoid=4D1W5QPQ2oMdvQxXIYuV4Q&amp;cb_client=search.gws-prod.gps&amp;w=408&amp;h=240&amp;yaw=0.36538002&amp;pitch=0&amp;thumbfov=100</t>
  </si>
  <si>
    <t>Plan B Educación Social</t>
  </si>
  <si>
    <t>X87M+2W Salamanca</t>
  </si>
  <si>
    <t>Calle Jesús, 10, 37008 Salamanca</t>
  </si>
  <si>
    <t>planbeducacionsocial.com</t>
  </si>
  <si>
    <t>923 99 41 77</t>
  </si>
  <si>
    <t>177contacto@planbeducacionsocial.com</t>
  </si>
  <si>
    <t>40.9625116</t>
  </si>
  <si>
    <t>-5.682683</t>
  </si>
  <si>
    <t>https://goo.gl/maps/CioSVAQT6UaLTABK8</t>
  </si>
  <si>
    <t>https://streetviewpixels-pa.googleapis.com/v1/thumbnail?panoid=0vPv8WycraUhkVZqHvWN0A&amp;cb_client=search.gws-prod.gps&amp;w=408&amp;h=240&amp;yaw=188.0175&amp;pitch=0&amp;thumbfov=100</t>
  </si>
  <si>
    <t>CINCO Y MÁS</t>
  </si>
  <si>
    <t>X89H+Q9 Salamanca</t>
  </si>
  <si>
    <t>Calle Edisson, 36, 37007 Salamanca</t>
  </si>
  <si>
    <t>cincoymas.com</t>
  </si>
  <si>
    <t>923 25 40 02</t>
  </si>
  <si>
    <t>https://goo.gl/maps/SkCSjz4vfnWedFNDA</t>
  </si>
  <si>
    <t>https://lh5.googleusercontent.com/p/AF1QipNE7NPH9ZCKVHwChrhvZnMNRNv3Tvr6FMVobbDY=w408-h306-k-no</t>
  </si>
  <si>
    <t>Fundación Rodríguez Fabrés</t>
  </si>
  <si>
    <t>X84Q+8X Salamanca</t>
  </si>
  <si>
    <t>Calle Cordel de Merinas, 0, 37008 Salamanca</t>
  </si>
  <si>
    <t>923 26 55 29</t>
  </si>
  <si>
    <t>https://goo.gl/maps/Djirbg5bK9mMFH7v6</t>
  </si>
  <si>
    <t>Proyecto Hombre Salamanca</t>
  </si>
  <si>
    <t>W9Q8+R4 Carbajosa de la Sagrada</t>
  </si>
  <si>
    <t>Calle Alba de Tormes, Km2, 37188 Carbajosa de la Sagrada, Salamanca</t>
  </si>
  <si>
    <t>Carbajosa de la Sagrada</t>
  </si>
  <si>
    <t>proyectohombresalamanca.es</t>
  </si>
  <si>
    <t>923 20 24 12</t>
  </si>
  <si>
    <t>40.9395372</t>
  </si>
  <si>
    <t>-5.6522247</t>
  </si>
  <si>
    <t>https://g.page/proyectohombresalamancact?share</t>
  </si>
  <si>
    <t>https://lh5.googleusercontent.com/p/AF1QipOPJNvnwkuCkksTb255DS5l09wPv3cenGxx6DoE=w426-h240-k-no</t>
  </si>
  <si>
    <t>Asociación Ariadna</t>
  </si>
  <si>
    <t>X9G2+33 Salamanca</t>
  </si>
  <si>
    <t>Calle Juan de Garay, 8, 37004 Salamanca</t>
  </si>
  <si>
    <t>923 24 60 10</t>
  </si>
  <si>
    <t>40.9623073</t>
  </si>
  <si>
    <t>-5.6843691</t>
  </si>
  <si>
    <t>https://goo.gl/maps/bSNgDQSmHsK6FGMG9</t>
  </si>
  <si>
    <t>https://streetviewpixels-pa.googleapis.com/v1/thumbnail?panoid=TrGDqgTXTXzMRXwvEiH8Ag&amp;cb_client=search.gws-prod.gps&amp;w=408&amp;h=240&amp;yaw=201.44255&amp;pitch=0&amp;thumbfov=100</t>
  </si>
  <si>
    <t>Terapias Devida</t>
  </si>
  <si>
    <t>W9Q2+CV Carbajosa de la Sagrada</t>
  </si>
  <si>
    <t>Calle José Ribera, 27, 37188 Carbajosa de la Sagrada, Salamanca</t>
  </si>
  <si>
    <t>625 81 65 32</t>
  </si>
  <si>
    <t>40.9385279</t>
  </si>
  <si>
    <t>-5.6653685</t>
  </si>
  <si>
    <t>https://goo.gl/maps/7khny8XPwod8TRUV9</t>
  </si>
  <si>
    <t>https://streetviewpixels-pa.googleapis.com/v1/thumbnail?panoid=xukCFkPCyry7r3IO35-Qmw&amp;cb_client=search.gws-prod.gps&amp;w=408&amp;h=240&amp;yaw=307.69955&amp;pitch=0&amp;thumbfov=100</t>
  </si>
  <si>
    <t>CEAS Alba de Tormes</t>
  </si>
  <si>
    <t>RFHP+2P Alba de Tormes</t>
  </si>
  <si>
    <t>Calle Bulevar, 1, 37800 Alba de Tormes, Salamanca</t>
  </si>
  <si>
    <t>Alba de Tormes</t>
  </si>
  <si>
    <t>lasalina.es</t>
  </si>
  <si>
    <t>923 30 19 86</t>
  </si>
  <si>
    <t>pp@lasalina.es</t>
  </si>
  <si>
    <t>40.8275869</t>
  </si>
  <si>
    <t>-5.5306932</t>
  </si>
  <si>
    <t>https://goo.gl/maps/akjLsWUyGx8HHNJY6</t>
  </si>
  <si>
    <t>https://streetviewpixels-pa.googleapis.com/v1/thumbnail?panoid=4jOJdYvVS819LWFHG2QbTg&amp;cb_client=search.gws-prod.gps&amp;w=408&amp;h=240&amp;yaw=257.3513&amp;pitch=0&amp;thumbfov=100</t>
  </si>
  <si>
    <t>Segovia</t>
  </si>
  <si>
    <t>40.9454037</t>
  </si>
  <si>
    <t>-4.137425</t>
  </si>
  <si>
    <t>WVXJ+Q2 Segovia</t>
  </si>
  <si>
    <t>Calle de Domingo de Soto, 3, 40001 Segovia</t>
  </si>
  <si>
    <t>921 46 17 36</t>
  </si>
  <si>
    <t>https://goo.gl/maps/4yLS7Cn5E2n6n4VT8</t>
  </si>
  <si>
    <t>https://streetviewpixels-pa.googleapis.com/v1/thumbnail?panoid=M5V1paEL7b0hRNEPoAUmYQ&amp;cb_client=search.gws-prod.gps&amp;w=408&amp;h=240&amp;yaw=84.688545&amp;pitch=0&amp;thumbfov=100</t>
  </si>
  <si>
    <t>Cáritas Diocesanas</t>
  </si>
  <si>
    <t>WVQP+3J Segovia</t>
  </si>
  <si>
    <t>Calle de Jose Zorrilla, 117, 40002 Segovia</t>
  </si>
  <si>
    <t>921 43 83 82</t>
  </si>
  <si>
    <t>40.9377334</t>
  </si>
  <si>
    <t>-4.1309204</t>
  </si>
  <si>
    <t>https://goo.gl/maps/W21ddDCcLRwy81xX8</t>
  </si>
  <si>
    <t>https://streetviewpixels-pa.googleapis.com/v1/thumbnail?panoid=i_fNqYIQIAD4ZIr71I1BFA&amp;cb_client=search.gws-prod.gps&amp;w=408&amp;h=240&amp;yaw=67.58873&amp;pitch=0&amp;thumbfov=100</t>
  </si>
  <si>
    <t>XV2H+7M Segovia</t>
  </si>
  <si>
    <t>Plaza Dr. Laguna, 4, 40001 Segovia</t>
  </si>
  <si>
    <t>921 46 66 63</t>
  </si>
  <si>
    <t>https://goo.gl/maps/9YRvax9FJYqohWBLA</t>
  </si>
  <si>
    <t>https://streetviewpixels-pa.googleapis.com/v1/thumbnail?panoid=RpbGukCu8-5Nc-o7c3qWKg&amp;cb_client=search.gws-prod.gps&amp;w=408&amp;h=240&amp;yaw=352.05295&amp;pitch=0&amp;thumbfov=100</t>
  </si>
  <si>
    <t>WVVH+WG Segovia</t>
  </si>
  <si>
    <t>Av. Acueducto, 30, 40002 Segovia</t>
  </si>
  <si>
    <t>921 46 16 21</t>
  </si>
  <si>
    <t>https://goo.gl/maps/83oWaGC3XK5219w7A</t>
  </si>
  <si>
    <t>https://streetviewpixels-pa.googleapis.com/v1/thumbnail?panoid=cQhfxl0-Jmo3iQBXTEhmMQ&amp;cb_client=search.gws-prod.gps&amp;w=408&amp;h=240&amp;yaw=15.297994&amp;pitch=0&amp;thumbfov=100</t>
  </si>
  <si>
    <t>Aprome Segovia - Punto de Encuentro Familiar</t>
  </si>
  <si>
    <t>XV3P+FP Segovia</t>
  </si>
  <si>
    <t>Calle del Puente de San Lorenzo, 22, 40003 Segovia</t>
  </si>
  <si>
    <t>921 44 38 76</t>
  </si>
  <si>
    <t>https://g.page/ApromeSegovia?share</t>
  </si>
  <si>
    <t>https://streetviewpixels-pa.googleapis.com/v1/thumbnail?panoid=okI4VCmwQC4j8fGOkxH1lA&amp;cb_client=search.gws-prod.gps&amp;w=408&amp;h=240&amp;yaw=188.7889&amp;pitch=0&amp;thumbfov=100</t>
  </si>
  <si>
    <t>Fraternidad Cristiana De Enfermos Y Minusválidos</t>
  </si>
  <si>
    <t>WVWP+FC Segovia</t>
  </si>
  <si>
    <t>Calle Almira, 26, 40001 Segovia</t>
  </si>
  <si>
    <t>921 42 77 64</t>
  </si>
  <si>
    <t>https://goo.gl/maps/pooujfpz7pK3b9e96</t>
  </si>
  <si>
    <t>https://streetviewpixels-pa.googleapis.com/v1/thumbnail?panoid=KXXC7D-lPhdJQET4eKWHgA&amp;cb_client=search.gws-prod.gps&amp;w=408&amp;h=240&amp;yaw=180.94853&amp;pitch=0&amp;thumbfov=100</t>
  </si>
  <si>
    <t>Religiosas Oblatas del Santísimo Redentor</t>
  </si>
  <si>
    <t>XV2Q+42 Segovia</t>
  </si>
  <si>
    <t>Av. Vía Roma, 12, 40003 Segovia</t>
  </si>
  <si>
    <t>40.9502994</t>
  </si>
  <si>
    <t>-4.1298923</t>
  </si>
  <si>
    <t>https://goo.gl/maps/SaJfNoLhuP37PiJAA</t>
  </si>
  <si>
    <t>https://streetviewpixels-pa.googleapis.com/v1/thumbnail?panoid=_-zlOKYDg0cbQkWyjh7DWQ&amp;cb_client=search.gws-prod.gps&amp;w=408&amp;h=240&amp;yaw=118.447334&amp;pitch=0&amp;thumbfov=100</t>
  </si>
  <si>
    <t>Miembro Independiente Herbalife Segovia-Ponferrada</t>
  </si>
  <si>
    <t>WVXF+RX Segovia</t>
  </si>
  <si>
    <t>Calle Sta. Ana, 4, 40001 Segovia</t>
  </si>
  <si>
    <t>622 34 01 62</t>
  </si>
  <si>
    <t>https://g.page/esterjimenez24?share</t>
  </si>
  <si>
    <t>https://lh5.googleusercontent.com/p/AF1QipNegSCFnjsgCnCQBmfQ11D7cphxM3qW-iv3y_zg=w408-h408-k-no</t>
  </si>
  <si>
    <t>Herbalife Segovia Miembro Independiente</t>
  </si>
  <si>
    <t>WVVV+CJ Segovia</t>
  </si>
  <si>
    <t>Calle Pintor Herrera, 2, 40004 Segovia</t>
  </si>
  <si>
    <t>ameliadomingo.goherbalife.com</t>
  </si>
  <si>
    <t>680 23 63 98</t>
  </si>
  <si>
    <t>https://goo.gl/maps/JxVAamvoC5dG81gy5</t>
  </si>
  <si>
    <t>https://lh5.googleusercontent.com/p/AF1QipNqbu_O3jyW305Bvp5EALDjlRgANWsna1PiGstL=w426-h240-k-no</t>
  </si>
  <si>
    <t>ILUNION Lavandería Industrial - Segovia</t>
  </si>
  <si>
    <t>WV4Q+2V Segovia</t>
  </si>
  <si>
    <t>Calle Gremio de los Canteros, 7, 40195 Segovia</t>
  </si>
  <si>
    <t>lavanderia.ilunion.com</t>
  </si>
  <si>
    <t>921 44 71 28</t>
  </si>
  <si>
    <t>u003Einfo.lavanderia@ilunion.com</t>
  </si>
  <si>
    <t>40.905112</t>
  </si>
  <si>
    <t>-4.1277621</t>
  </si>
  <si>
    <t>https://goo.gl/maps/q1cyLFmiaTpiuuBa9</t>
  </si>
  <si>
    <t>https://lh5.googleusercontent.com/p/AF1QipPaAMOj4BztGlh6T53ob8Lp3Rya5sAHIRanlM9U=w520-h240-k-no</t>
  </si>
  <si>
    <t>Apadefim 2000 Unipersonal</t>
  </si>
  <si>
    <t>XW74+MC La Lastrilla</t>
  </si>
  <si>
    <t>Calle República Dominicana, 1, 40196 La Lastrilla, Segovia</t>
  </si>
  <si>
    <t>La Lastrilla</t>
  </si>
  <si>
    <t>40.9641515</t>
  </si>
  <si>
    <t>-4.1115005</t>
  </si>
  <si>
    <t>https://goo.gl/maps/LHZEd6S7V9USvEfu9</t>
  </si>
  <si>
    <t>https://streetviewpixels-pa.googleapis.com/v1/thumbnail?panoid=jdIc01Ab-N3Kqi0M1KFSzw&amp;cb_client=search.gws-prod.gps&amp;w=408&amp;h=240&amp;yaw=325.67554&amp;pitch=0&amp;thumbfov=100</t>
  </si>
  <si>
    <t>XW64+XC La Lastrilla</t>
  </si>
  <si>
    <t>Av. el Sotillo, 29, 40196 La Lastrilla, Segovia</t>
  </si>
  <si>
    <t>fundacionpersonas.org</t>
  </si>
  <si>
    <t>921 43 93 58</t>
  </si>
  <si>
    <t>fundacionpersonas@fundacionpersonas.es</t>
  </si>
  <si>
    <t>40.9624846</t>
  </si>
  <si>
    <t>-4.1114138</t>
  </si>
  <si>
    <t>https://goo.gl/maps/ucp5UdQCJt7RgnyCA</t>
  </si>
  <si>
    <t>https://lh5.googleusercontent.com/p/AF1QipPBdjuyfEtq8KEmvhV96Wi2N7BHFgSsD4wFnb9n=w408-h544-k-no</t>
  </si>
  <si>
    <t>Centro de Servicios Sociales la Fuencisla</t>
  </si>
  <si>
    <t>WW8Q+PR Quitapesares</t>
  </si>
  <si>
    <t>Carretera La granja, Km. 7, 40194 Palazuelos, Segovia</t>
  </si>
  <si>
    <t>Quitapesares</t>
  </si>
  <si>
    <t>921 42 18 00</t>
  </si>
  <si>
    <t>40.9167785</t>
  </si>
  <si>
    <t>-4.0779548</t>
  </si>
  <si>
    <t>https://goo.gl/maps/k3UcFAsLg32Z9vtn9</t>
  </si>
  <si>
    <t>https://streetviewpixels-pa.googleapis.com/v1/thumbnail?panoid=5o8D3d1pyFgRFP3XypHxxg&amp;cb_client=search.gws-prod.gps&amp;w=408&amp;h=240&amp;yaw=35.642765&amp;pitch=0&amp;thumbfov=100</t>
  </si>
  <si>
    <t>XWXF+87 Espirdo</t>
  </si>
  <si>
    <t>Calle de la Mata, 10, 40191 Espirdo, Segovia</t>
  </si>
  <si>
    <t>Espirdo</t>
  </si>
  <si>
    <t>636 04 99 25</t>
  </si>
  <si>
    <t>40.9983728</t>
  </si>
  <si>
    <t>-4.0943164</t>
  </si>
  <si>
    <t>https://goo.gl/maps/N3rhfioW3WNyhJSM7</t>
  </si>
  <si>
    <t>https://lh5.googleusercontent.com/p/AF1QipNbwrgET2Y_WGD2KLM5XL4KwJry1_G7xqlViwyx=w427-h240-k-no</t>
  </si>
  <si>
    <t>PQ92+58 El Espinar</t>
  </si>
  <si>
    <t>Plaza la Corredera, 14, 40400 El Espinar, Segovia</t>
  </si>
  <si>
    <t>El Espinar</t>
  </si>
  <si>
    <t>921 18 21 55</t>
  </si>
  <si>
    <t>40.7179253</t>
  </si>
  <si>
    <t>-4.2667179</t>
  </si>
  <si>
    <t>https://goo.gl/maps/znHFK1MXRYgsB2Tt8</t>
  </si>
  <si>
    <t>https://streetviewpixels-pa.googleapis.com/v1/thumbnail?panoid=DC_-6t_abI0dcWlsj9Zu3g&amp;cb_client=search.gws-prod.gps&amp;w=408&amp;h=240&amp;yaw=326.88815&amp;pitch=0&amp;thumbfov=100</t>
  </si>
  <si>
    <t>Centro Social Tizneros</t>
  </si>
  <si>
    <t>XWRW+M3 Espirdo</t>
  </si>
  <si>
    <t>Calle Iglesia, 1, 40191 Espirdo, Segovia</t>
  </si>
  <si>
    <t>40.9916303</t>
  </si>
  <si>
    <t>-4.072363</t>
  </si>
  <si>
    <t>https://goo.gl/maps/WXeqmAtFJL7zRG2E7</t>
  </si>
  <si>
    <t>https://lh5.googleusercontent.com/p/AF1QipNfrr6MQjoIw_J20oq_m4ZkXZWs193O013BZk3f=w408-h271-k-no</t>
  </si>
  <si>
    <t>Soria</t>
  </si>
  <si>
    <t>41.7671188</t>
  </si>
  <si>
    <t>-2.4745791</t>
  </si>
  <si>
    <t>Colegio Oficial de Diplomados En Trabajo Social y Asistentes Sociales</t>
  </si>
  <si>
    <t>QG8J+JG Soria</t>
  </si>
  <si>
    <t>Calle Tejera, 20, 42001 Soria</t>
  </si>
  <si>
    <t>975 22 89 86</t>
  </si>
  <si>
    <t>https://goo.gl/maps/peMMo5mkXF23dxdMA</t>
  </si>
  <si>
    <t>https://streetviewpixels-pa.googleapis.com/v1/thumbnail?panoid=jeIjas7H5DZ2Si0Uo6Hj6Q&amp;cb_client=search.gws-prod.gps&amp;w=408&amp;h=240&amp;yaw=359.7816&amp;pitch=0&amp;thumbfov=100</t>
  </si>
  <si>
    <t>Federación De Jubilados Y Pensionistas De Soria</t>
  </si>
  <si>
    <t>QG8J+95 Soria</t>
  </si>
  <si>
    <t>Calle Campo, 5, 42001 Soria</t>
  </si>
  <si>
    <t>975 24 09 24</t>
  </si>
  <si>
    <t>https://goo.gl/maps/XxKNYMDG4xWup4oB8</t>
  </si>
  <si>
    <t>https://streetviewpixels-pa.googleapis.com/v1/thumbnail?panoid=2ZdxOZ3NgPs_0OKUAV3pxw&amp;cb_client=search.gws-prod.gps&amp;w=408&amp;h=240&amp;yaw=291.86832&amp;pitch=0&amp;thumbfov=100</t>
  </si>
  <si>
    <t>Aprome Soria - Punto de Encuentro Familiar</t>
  </si>
  <si>
    <t>QGCF+G3 Soria</t>
  </si>
  <si>
    <t>Calle Cabildo de los Heros, 11, 42005 Soria</t>
  </si>
  <si>
    <t>975 21 13 87</t>
  </si>
  <si>
    <t>41.7713142</t>
  </si>
  <si>
    <t>-2.494847</t>
  </si>
  <si>
    <t>https://g.page/ApromeSoria?share</t>
  </si>
  <si>
    <t>https://lh5.googleusercontent.com/p/AF1QipO6_Xqi6rL2ZwdCUPzFrJGAZ8f5EMQIv346CxCZ=w466-h240-k-no</t>
  </si>
  <si>
    <t>ASAMIS</t>
  </si>
  <si>
    <t>QGCQ+P3 Soria</t>
  </si>
  <si>
    <t>Calle del Polvorín, s/n, 42005 Soria</t>
  </si>
  <si>
    <t>asamis.org</t>
  </si>
  <si>
    <t>975 23 11 43</t>
  </si>
  <si>
    <t>41.7635468</t>
  </si>
  <si>
    <t>-2.4880557</t>
  </si>
  <si>
    <t>https://goo.gl/maps/hoimbWGXz5uZx9jV6</t>
  </si>
  <si>
    <t>https://lh5.googleusercontent.com/p/AF1QipMFapIXhbgyAM8adiElx9vg3xXmtLu5x63upPBI=w408-h305-k-no</t>
  </si>
  <si>
    <t>QG7M+7Q Soria</t>
  </si>
  <si>
    <t>Calle San Juan, 5, 42002 Soria</t>
  </si>
  <si>
    <t>975 21 24 55</t>
  </si>
  <si>
    <t>https://goo.gl/maps/eWYJ7zCjiTV5vkFM9</t>
  </si>
  <si>
    <t>https://lh5.googleusercontent.com/p/AF1QipN_AQ85yuYgu7-uK-NlEjgP9avkZ4hRx2OiSGB1=w408-h306-k-no</t>
  </si>
  <si>
    <t>QG8J+7W Soria</t>
  </si>
  <si>
    <t>Calle Puertas de Pro, 30, 42002 Soria</t>
  </si>
  <si>
    <t>975 22 38 82</t>
  </si>
  <si>
    <t>https://goo.gl/maps/rGBaqHtfZGEXbXebA</t>
  </si>
  <si>
    <t>https://streetviewpixels-pa.googleapis.com/v1/thumbnail?panoid=m1dP5BpnQwlb_P0PCCgf2g&amp;cb_client=search.gws-prod.gps&amp;w=408&amp;h=240&amp;yaw=138.60478&amp;pitch=0&amp;thumbfov=100</t>
  </si>
  <si>
    <t>Nicasio Villar Calvo</t>
  </si>
  <si>
    <t>QG8J+GV Soria</t>
  </si>
  <si>
    <t>C. Numancia, 47, 1, 42001 Soria</t>
  </si>
  <si>
    <t>975 22 92 60</t>
  </si>
  <si>
    <t>https://goo.gl/maps/RXxqvej4wevA3Ybo9</t>
  </si>
  <si>
    <t>https://streetviewpixels-pa.googleapis.com/v1/thumbnail?panoid=EPRck4OphyVjJySJSeI_FA&amp;cb_client=search.gws-prod.gps&amp;w=408&amp;h=240&amp;yaw=84.31688&amp;pitch=0&amp;thumbfov=100</t>
  </si>
  <si>
    <t>Centro socio cultural</t>
  </si>
  <si>
    <t>RMX6+X2 Almajano</t>
  </si>
  <si>
    <t>Calle la Iglesia, 26, 42180 Almajano, Soria</t>
  </si>
  <si>
    <t>Almajano</t>
  </si>
  <si>
    <t>41.8499776</t>
  </si>
  <si>
    <t>-2.357418</t>
  </si>
  <si>
    <t>https://goo.gl/maps/RhX5YfAo3fpVhbPWA</t>
  </si>
  <si>
    <t>https://streetviewpixels-pa.googleapis.com/v1/thumbnail?panoid=GEfMBrQm_7Bw_nNi-wlrnQ&amp;cb_client=search.gws-prod.gps&amp;w=408&amp;h=240&amp;yaw=359.54718&amp;pitch=0&amp;thumbfov=100</t>
  </si>
  <si>
    <t>Valladolid</t>
  </si>
  <si>
    <t>41.6378605</t>
  </si>
  <si>
    <t>-4.8730827</t>
  </si>
  <si>
    <t>Gerencia Territorial de Servicios Sociales de Valladolid</t>
  </si>
  <si>
    <t>88</t>
  </si>
  <si>
    <t>J7WG+CJ Valladolid</t>
  </si>
  <si>
    <t>Calle Dos de Mayo, 14, 47004 Valladolid</t>
  </si>
  <si>
    <t>983 30 68 88</t>
  </si>
  <si>
    <t>https://goo.gl/maps/J5i8RSNw1ii6k3sv7</t>
  </si>
  <si>
    <t>https://streetviewpixels-pa.googleapis.com/v1/thumbnail?panoid=hPM33C-TkS07iQOwKYmkIw&amp;cb_client=search.gws-prod.gps&amp;w=408&amp;h=240&amp;yaw=238.38252&amp;pitch=0&amp;thumbfov=100</t>
  </si>
  <si>
    <t>Gerencia de Servicios Sociales</t>
  </si>
  <si>
    <t>J7W7+6H Valladolid</t>
  </si>
  <si>
    <t>Calle Padre Francisco Suárez, 2, 47006 Valladolid</t>
  </si>
  <si>
    <t>983 41 09 00</t>
  </si>
  <si>
    <t>https://goo.gl/maps/4R7gk2qGS5miupfE7</t>
  </si>
  <si>
    <t>https://streetviewpixels-pa.googleapis.com/v1/thumbnail?panoid=rEaah5NqYIbuy07PR0pdGA&amp;cb_client=search.gws-prod.gps&amp;w=408&amp;h=240&amp;yaw=314.775&amp;pitch=0&amp;thumbfov=100</t>
  </si>
  <si>
    <t>Juzgado De Lo Social Número 4</t>
  </si>
  <si>
    <t>M73G+V6 Valladolid</t>
  </si>
  <si>
    <t>Plaza del Rosarillo, s/n, 47003 Valladolid</t>
  </si>
  <si>
    <t>983 39 40 44</t>
  </si>
  <si>
    <t>https://goo.gl/maps/3BYBZucSNn7DUsEQ7</t>
  </si>
  <si>
    <t>https://streetviewpixels-pa.googleapis.com/v1/thumbnail?panoid=kgCDyg6bd3658smX7maldQ&amp;cb_client=search.gws-prod.gps&amp;w=408&amp;h=240&amp;yaw=215.88414&amp;pitch=0&amp;thumbfov=100</t>
  </si>
  <si>
    <t>Cosocial Cooperación Social Castilla Y León</t>
  </si>
  <si>
    <t>J7X9+FX Valladolid</t>
  </si>
  <si>
    <t>Calle María de Molina, 13, 6ºA, 47001 Valladolid</t>
  </si>
  <si>
    <t>983 33 33 99</t>
  </si>
  <si>
    <t>https://goo.gl/maps/uuWuQ6EGE7qaRf1B7</t>
  </si>
  <si>
    <t>https://streetviewpixels-pa.googleapis.com/v1/thumbnail?panoid=LLbBUV2lfLJJs3sm6J_MNQ&amp;cb_client=search.gws-prod.gps&amp;w=408&amp;h=240&amp;yaw=121.38552&amp;pitch=0&amp;thumbfov=100</t>
  </si>
  <si>
    <t>EAPN CYL</t>
  </si>
  <si>
    <t>M72C+5W Valladolid</t>
  </si>
  <si>
    <t>Calle Menéndez Pelayo, 7, 2º, 47001 Valladolid</t>
  </si>
  <si>
    <t>eapncastillayleon.es</t>
  </si>
  <si>
    <t>983 08 65 80</t>
  </si>
  <si>
    <t>secretaria@eapncastillayleon.es</t>
  </si>
  <si>
    <t>https://goo.gl/maps/CUr4rULAMHk4GtKSA</t>
  </si>
  <si>
    <t>https://streetviewpixels-pa.googleapis.com/v1/thumbnail?panoid=DzlCLAGgLS95fwybo2lRyw&amp;cb_client=search.gws-prod.gps&amp;w=408&amp;h=240&amp;yaw=286.355&amp;pitch=0&amp;thumbfov=100</t>
  </si>
  <si>
    <t>Centro Aldaba</t>
  </si>
  <si>
    <t>J7XF+FX Valladolid</t>
  </si>
  <si>
    <t>Plaza de España, 12, 47001 Valladolid</t>
  </si>
  <si>
    <t>centroaldaba.org</t>
  </si>
  <si>
    <t>983 30 32 94</t>
  </si>
  <si>
    <t>info@centroaldaba.org</t>
  </si>
  <si>
    <t>https://goo.gl/maps/ZpcX3oaRD2j9FVk86</t>
  </si>
  <si>
    <t>https://streetviewpixels-pa.googleapis.com/v1/thumbnail?panoid=MuAn3KGsxyh78UkXjF2RHw&amp;cb_client=search.gws-prod.gps&amp;w=408&amp;h=240&amp;yaw=153.33359&amp;pitch=0&amp;thumbfov=100</t>
  </si>
  <si>
    <t>CEAS</t>
  </si>
  <si>
    <t>M749+8G Valladolid</t>
  </si>
  <si>
    <t>Calle San Agustín, 1, 47003 Valladolid</t>
  </si>
  <si>
    <t>644 83 23 85</t>
  </si>
  <si>
    <t>https://goo.gl/maps/P9uyn7sJeYNPHZnk8</t>
  </si>
  <si>
    <t>https://lh5.googleusercontent.com/p/AF1QipN1l7KX1tA1L0dY5QPV5nDBL5RKB8v_rz6M38AY=w408-h306-k-no</t>
  </si>
  <si>
    <t>Concejalía De Bienestar Social Y Familia</t>
  </si>
  <si>
    <t>M73C+H5 Valladolid</t>
  </si>
  <si>
    <t>Monasterio de San Benito, Calle San Benito, 1, 47003 Valladolid</t>
  </si>
  <si>
    <t>983 42 60 96</t>
  </si>
  <si>
    <t>https://goo.gl/maps/CwnPjJ82qGHbdY386</t>
  </si>
  <si>
    <t>https://streetviewpixels-pa.googleapis.com/v1/thumbnail?panoid=-uc-4zLiM8lJ3TjBT8sDcw&amp;cb_client=search.gws-prod.gps&amp;w=408&amp;h=240&amp;yaw=315.21426&amp;pitch=0&amp;thumbfov=100</t>
  </si>
  <si>
    <t>Fundación Tutelar Feclem Valladolid</t>
  </si>
  <si>
    <t>J7WJ+GF Valladolid</t>
  </si>
  <si>
    <t>Calle Nicolás Salmerón, 32, bajo, 47004 Valladolid</t>
  </si>
  <si>
    <t>feclem.org</t>
  </si>
  <si>
    <t>983 37 35 62</t>
  </si>
  <si>
    <t>info@saludmentalcyl.org</t>
  </si>
  <si>
    <t>https://goo.gl/maps/8mWcioabb1bBBAyp9</t>
  </si>
  <si>
    <t>https://lh5.googleusercontent.com/p/AF1QipNfrAy-iSKba-hv3otx0RIB40zrcg-QWpAlhAVv=w606-h240-k-no</t>
  </si>
  <si>
    <t>CEAS Delicias – Argales</t>
  </si>
  <si>
    <t>J7QF+38 Valladolid</t>
  </si>
  <si>
    <t>Calle Monseñor Oscar A. Romero, 3, 47013 Valladolid</t>
  </si>
  <si>
    <t>valladolid.es</t>
  </si>
  <si>
    <t>983 23 26 89</t>
  </si>
  <si>
    <t>41.6377005</t>
  </si>
  <si>
    <t>-4.8667043</t>
  </si>
  <si>
    <t>https://goo.gl/maps/ruCFgPGq4KrHFCXA6</t>
  </si>
  <si>
    <t>https://lh5.googleusercontent.com/p/AF1QipOV544mOOcsozC5-zR0tTZ8NrZF-ltXZxpOH7F9=w408-h306-k-no</t>
  </si>
  <si>
    <t>J7WF+3P Valladolid</t>
  </si>
  <si>
    <t>Calle Muro, 15, 47004 Valladolid</t>
  </si>
  <si>
    <t>983 30 08 88</t>
  </si>
  <si>
    <t>https://goo.gl/maps/Dn9ei2UDRo34fvEr8</t>
  </si>
  <si>
    <t>https://lh5.googleusercontent.com/p/AF1QipNoLeaJU7wGTJzG973ZG49LYjVYnIIV4qLlb6Gb=w408-h306-k-no</t>
  </si>
  <si>
    <t>Aprome - Asociación para la Protección del Menor</t>
  </si>
  <si>
    <t>M72C+G2 Valladolid</t>
  </si>
  <si>
    <t>Calle Pasión, 13, 8ºA, 47001 Valladolid</t>
  </si>
  <si>
    <t>983 24 84 35</t>
  </si>
  <si>
    <t>https://goo.gl/maps/ghukrA5FtYXmBjqa7</t>
  </si>
  <si>
    <t>Aprome Valladolid 2 - Punto de Encuentro Familiar</t>
  </si>
  <si>
    <t>J7WC+RW Valladolid</t>
  </si>
  <si>
    <t>Calle Perú, 15, 1º Izda, 47004 Valladolid</t>
  </si>
  <si>
    <t>983 21 47 98</t>
  </si>
  <si>
    <t>https://goo.gl/maps/vUSdgCj1zUdSLxsw6</t>
  </si>
  <si>
    <t>https://streetviewpixels-pa.googleapis.com/v1/thumbnail?panoid=WZ0dx6c5eO7uhasLVhlr8A&amp;cb_client=search.gws-prod.gps&amp;w=408&amp;h=240&amp;yaw=142.76369&amp;pitch=0&amp;thumbfov=100</t>
  </si>
  <si>
    <t>ISEM, Inclusión social y laboral de personas con enfermedad mental</t>
  </si>
  <si>
    <t>M72P+Q5 Valladolid</t>
  </si>
  <si>
    <t>Calle de Sta Lucía, 19, 1era Planta, 47005 Valladolid</t>
  </si>
  <si>
    <t>redisem.es</t>
  </si>
  <si>
    <t>659 91 80 84</t>
  </si>
  <si>
    <t>https://goo.gl/maps/dmjJcnYrRsmH4QQS9</t>
  </si>
  <si>
    <t>https://streetviewpixels-pa.googleapis.com/v1/thumbnail?panoid=AbBv5wbI07yEGVYT9HXEnA&amp;cb_client=search.gws-prod.gps&amp;w=408&amp;h=240&amp;yaw=296.5141&amp;pitch=0&amp;thumbfov=100</t>
  </si>
  <si>
    <t>Cáritas Diocesana de Valladolid</t>
  </si>
  <si>
    <t>J7XH+Q7 Valladolid</t>
  </si>
  <si>
    <t>Calle del Santuario, 24, 47002 Valladolid</t>
  </si>
  <si>
    <t>caritasvalladolid.es</t>
  </si>
  <si>
    <t>983 20 23 01</t>
  </si>
  <si>
    <t>webmaster@caritasvalladolid.es</t>
  </si>
  <si>
    <t>https://goo.gl/maps/ZmwU3csHa14VALYy8</t>
  </si>
  <si>
    <t>https://lh5.googleusercontent.com/p/AF1QipMyoI51LJuvwCnH1XxupahEYU70enFU9Lh2ePD4=w426-h240-k-no</t>
  </si>
  <si>
    <t>Fundación INTRAS</t>
  </si>
  <si>
    <t>J6QJ+WM Valladolid</t>
  </si>
  <si>
    <t>Calle de Martín Santos Romero, 1, 47016 Valladolid</t>
  </si>
  <si>
    <t>intras.es</t>
  </si>
  <si>
    <t>983 39 96 33</t>
  </si>
  <si>
    <t>https://goo.gl/maps/fH3Mt7Pez9ZrRBnS6</t>
  </si>
  <si>
    <t>https://lh5.googleusercontent.com/p/AF1QipNTstC9RguUcYozzM-31sEWd2Ahuxd5L6HTY4M3=w408-h306-k-no</t>
  </si>
  <si>
    <t>M72J+2P Valladolid</t>
  </si>
  <si>
    <t>Calle Don Sancho, 17, Local, 47002 Valladolid</t>
  </si>
  <si>
    <t>983 33 98 19</t>
  </si>
  <si>
    <t>https://goo.gl/maps/k159SLKf87VnUQvp7</t>
  </si>
  <si>
    <t>https://lh5.googleusercontent.com/p/AF1QipPOsq5R9QpYRnRbvZLwsaNiugkNPtuhpjwINaUY=w408-h306-k-no</t>
  </si>
  <si>
    <t>109</t>
  </si>
  <si>
    <t>Cáritas Diocesana de Valladolid - Centro Integral de Empleo</t>
  </si>
  <si>
    <t>M78P+MW Valladolid</t>
  </si>
  <si>
    <t>Calle Alcarria, 12, 14, 47010 Valladolid</t>
  </si>
  <si>
    <t>caritasvalladolid.org</t>
  </si>
  <si>
    <t>983 32 05 70</t>
  </si>
  <si>
    <t>https://goo.gl/maps/w5eATzGK8ahhpYYu7</t>
  </si>
  <si>
    <t>https://lh5.googleusercontent.com/p/AF1QipNcgEkmzpk7atEmgACOyAVUuMsxEI_Qr1DBGA6l=w408-h271-k-no</t>
  </si>
  <si>
    <t>Centro de Día Albor</t>
  </si>
  <si>
    <t>J7XH+Q6 Valladolid</t>
  </si>
  <si>
    <t>centroalbor.es</t>
  </si>
  <si>
    <t>608 10 44 66</t>
  </si>
  <si>
    <t>albor.valladolid@yahoo.es</t>
  </si>
  <si>
    <t>https://goo.gl/maps/8b62HnpkSdAqUUUp9</t>
  </si>
  <si>
    <t>https://streetviewpixels-pa.googleapis.com/v1/thumbnail?panoid=34RwjP6ea1bXT6PhzZmxMQ&amp;cb_client=search.gws-prod.gps&amp;w=408&amp;h=240&amp;yaw=189.82481&amp;pitch=0&amp;thumbfov=100</t>
  </si>
  <si>
    <t>Hijas de la Caridad Ds.V.P. Centro de Acogida El Carmen</t>
  </si>
  <si>
    <t>M7CQ+M7 Valladolid</t>
  </si>
  <si>
    <t>Calle Costa de la Luz, 6, 47010 Valladolid</t>
  </si>
  <si>
    <t>983 25 75 18</t>
  </si>
  <si>
    <t>41.7030833</t>
  </si>
  <si>
    <t>-4.8088125</t>
  </si>
  <si>
    <t>https://goo.gl/maps/zZEDXcpZekJZ11Rq7</t>
  </si>
  <si>
    <t>https://lh5.googleusercontent.com/p/AF1QipM28qQvMnIuU95iJfJVMfJBSxTkhVNyIMO7hqLE=w408-h306-k-no</t>
  </si>
  <si>
    <t>Centro de Día 20 Metros</t>
  </si>
  <si>
    <t>J7XM+5C Valladolid</t>
  </si>
  <si>
    <t>Calle Veinte Metros, 13, 15, 47005 Valladolid</t>
  </si>
  <si>
    <t>983 29 41 52</t>
  </si>
  <si>
    <t>https://goo.gl/maps/VFP97h9vieEEpyT99</t>
  </si>
  <si>
    <t>https://streetviewpixels-pa.googleapis.com/v1/thumbnail?panoid=Wk412C0EsZAapYfAPA81Zw&amp;cb_client=search.gws-prod.gps&amp;w=408&amp;h=240&amp;yaw=268.93362&amp;pitch=0&amp;thumbfov=100</t>
  </si>
  <si>
    <t>Ajupareva Asociación De Jugadores Patológicos Rehabilitados De Valladolid</t>
  </si>
  <si>
    <t>M75R+PM Valladolid</t>
  </si>
  <si>
    <t>Av. Valle de Esgueva, 8, 47011 Valladolid</t>
  </si>
  <si>
    <t>ajupareva.es</t>
  </si>
  <si>
    <t>635 95 74 73</t>
  </si>
  <si>
    <t>ayuda@ajupareva.es</t>
  </si>
  <si>
    <t>https://g.page/Ajupareva?share</t>
  </si>
  <si>
    <t>https://lh5.googleusercontent.com/p/AF1QipORX76HfkiBUnxR_4GE5wNqhgnU7pf2yw1DDBY=w426-h240-k-no</t>
  </si>
  <si>
    <t>ATAM Valladolid</t>
  </si>
  <si>
    <t>Calle Renedo, 14, 47005 Valladolid</t>
  </si>
  <si>
    <t>https://goo.gl/maps/EwimmzQ78421mF697</t>
  </si>
  <si>
    <t>https://streetviewpixels-pa.googleapis.com/v1/thumbnail?panoid=kEJlmwvTby2NoCRv-zu2lA&amp;cb_client=search.gws-prod.gps&amp;w=408&amp;h=240&amp;yaw=198.67049&amp;pitch=0&amp;thumbfov=100</t>
  </si>
  <si>
    <t>J7XX+M4 Valladolid</t>
  </si>
  <si>
    <t>Calle del Mirlo, nº 59, 1º B-C, 47013 Valladolid</t>
  </si>
  <si>
    <t>983 24 51 51</t>
  </si>
  <si>
    <t>https://goo.gl/maps/BV74z4ML7NHyrSoH6</t>
  </si>
  <si>
    <t>https://streetviewpixels-pa.googleapis.com/v1/thumbnail?panoid=fw-7NKrOFQkJyo_WU--rMA&amp;cb_client=search.gws-prod.gps&amp;w=408&amp;h=240&amp;yaw=344.73822&amp;pitch=0&amp;thumbfov=100</t>
  </si>
  <si>
    <t>Cruz Roja - Oficina Autonómica de Castilla y León</t>
  </si>
  <si>
    <t>M728+53 Valladolid</t>
  </si>
  <si>
    <t>Calle del Arzobispo José Delicado, 5, 47014 Valladolid</t>
  </si>
  <si>
    <t>983 33 67 77</t>
  </si>
  <si>
    <t>https://goo.gl/maps/nQz73YAospS7U8cq7</t>
  </si>
  <si>
    <t>https://lh5.googleusercontent.com/p/AF1QipNKm8gHxpZxe6uQ_vGHrmvtPUJHXhEVTPvQULCQ=w408-h306-k-no</t>
  </si>
  <si>
    <t>Servicios Sociales CEAS</t>
  </si>
  <si>
    <t>H7JH+PG Laguna de Duero</t>
  </si>
  <si>
    <t>Calle Caballeros, 1, 47140 Laguna de Duero, Valladolid</t>
  </si>
  <si>
    <t>Laguna de Duero</t>
  </si>
  <si>
    <t>983 54 27 54</t>
  </si>
  <si>
    <t>41.5818095</t>
  </si>
  <si>
    <t>-4.8613116</t>
  </si>
  <si>
    <t>https://goo.gl/maps/T9BahGuuxCU1HjHG6</t>
  </si>
  <si>
    <t>https://streetviewpixels-pa.googleapis.com/v1/thumbnail?panoid=8Vt4kaj5L7zAk3sUhmIx7Q&amp;cb_client=search.gws-prod.gps&amp;w=408&amp;h=240&amp;yaw=320.37866&amp;pitch=0&amp;thumbfov=100</t>
  </si>
  <si>
    <t>Sociedad de San Vicente de Paúl (SSVP)</t>
  </si>
  <si>
    <t>M72G+55 Valladolid</t>
  </si>
  <si>
    <t>Calle del Santuario, 4, 47002 Valladolid</t>
  </si>
  <si>
    <t>983 29 82 69</t>
  </si>
  <si>
    <t>https://goo.gl/maps/93TWVzjrwePcvCUG7</t>
  </si>
  <si>
    <t>https://lh5.googleusercontent.com/p/AF1QipMRvYz6RaEBh_BNvxIXjtd38e0322dy6YkfSjwj=w408-h544-k-no</t>
  </si>
  <si>
    <t>A.P.I.M.F. Asociación Para la Integración del Minusvalido Físico</t>
  </si>
  <si>
    <t>J7J3+PG Valladolid</t>
  </si>
  <si>
    <t>Calle Ecuador, 5, 47014 Valladolid</t>
  </si>
  <si>
    <t>983 23 55 44</t>
  </si>
  <si>
    <t>https://goo.gl/maps/Daq8HxtRcP2tSshN6</t>
  </si>
  <si>
    <t>https://streetviewpixels-pa.googleapis.com/v1/thumbnail?panoid=nvao0uNVgrnaCbIchQ4WVQ&amp;cb_client=search.gws-prod.gps&amp;w=408&amp;h=240&amp;yaw=96.2406&amp;pitch=0&amp;thumbfov=100</t>
  </si>
  <si>
    <t>Fundación Tutelar Castellano Leonesa De Deficientes Mentales</t>
  </si>
  <si>
    <t>J68X+H9 Valladolid</t>
  </si>
  <si>
    <t>Calle de los Vinos de Rueda, 22, 47008 Valladolid</t>
  </si>
  <si>
    <t>983 39 99 56</t>
  </si>
  <si>
    <t>https://goo.gl/maps/rjWC5gLYtkDE6jyf9</t>
  </si>
  <si>
    <t>https://streetviewpixels-pa.googleapis.com/v1/thumbnail?panoid=wuywCU8lkoYvoMkMbpBwWg&amp;cb_client=search.gws-prod.gps&amp;w=408&amp;h=240&amp;yaw=10.105647&amp;pitch=0&amp;thumbfov=100</t>
  </si>
  <si>
    <t>Aspas Asociación de Padres y Amigos del Sordo</t>
  </si>
  <si>
    <t>J7J3+69 Valladolid</t>
  </si>
  <si>
    <t>Calle Ecuador, 17, 47014 Valladolid</t>
  </si>
  <si>
    <t>aspasvalladolid.org</t>
  </si>
  <si>
    <t>983 39 53 08</t>
  </si>
  <si>
    <t>aspasvalladolid@aspasvalladolid.org</t>
  </si>
  <si>
    <t>https://goo.gl/maps/SJJ2xsQjwigQmTD17</t>
  </si>
  <si>
    <t>https://lh5.googleusercontent.com/p/AF1QipPY9OgBNbbxHpNsonULfxNz6Dmh81ou_8icEmak=w408-h420-k-no</t>
  </si>
  <si>
    <t>Alcohólicos Anónimos</t>
  </si>
  <si>
    <t>J7XF+CX Valladolid</t>
  </si>
  <si>
    <t>646 78 95 50</t>
  </si>
  <si>
    <t>https://goo.gl/maps/uGuwkR9f9HQBXdRMA</t>
  </si>
  <si>
    <t>https://streetviewpixels-pa.googleapis.com/v1/thumbnail?panoid=MuAn3KGsxyh78UkXjF2RHw&amp;cb_client=search.gws-prod.gps&amp;w=408&amp;h=240&amp;yaw=156.85359&amp;pitch=0&amp;thumbfov=100</t>
  </si>
  <si>
    <t>Iratxe García</t>
  </si>
  <si>
    <t>Calle de Sta Lucía, 19, 47005 Valladolid</t>
  </si>
  <si>
    <t>iratxegarcia.es</t>
  </si>
  <si>
    <t>983 30 66 99</t>
  </si>
  <si>
    <t>https://goo.gl/maps/VNNLWEZ7RmfSsCYw7</t>
  </si>
  <si>
    <t>ASPACE</t>
  </si>
  <si>
    <t>M798+88 Valladolid</t>
  </si>
  <si>
    <t>Paseo Jardín Botánico, 15, 47009 Valladolid</t>
  </si>
  <si>
    <t>aspacevalladolid.org</t>
  </si>
  <si>
    <t>983 35 40 25</t>
  </si>
  <si>
    <t>https://goo.gl/maps/x1ehDDAoFtRprP8C8</t>
  </si>
  <si>
    <t>https://lh5.googleusercontent.com/p/AF1QipO_4c2ZfsXMZObxAmH_zEaiXZgMiLtHKxAnYsPl=w408-h271-k-no</t>
  </si>
  <si>
    <t>Centro Social La Molinera</t>
  </si>
  <si>
    <t>M757+XX Valladolid</t>
  </si>
  <si>
    <t>Calle de las Eras, 1, 47009 Valladolid</t>
  </si>
  <si>
    <t>lamolinera.org</t>
  </si>
  <si>
    <t>https://goo.gl/maps/xadv21vrRffUa6Xf7</t>
  </si>
  <si>
    <t>https://lh5.googleusercontent.com/p/AF1QipNpnL-v67rkgQvOi2aHtKKZO6dJb4xmO3IybDuu=w408-h408-k-no</t>
  </si>
  <si>
    <t>Tercia Servicios Asistenciales</t>
  </si>
  <si>
    <t>M73F+28 Valladolid</t>
  </si>
  <si>
    <t>Calle Vicente Moliner, 3, Entreplanta B, 47001 Valladolid</t>
  </si>
  <si>
    <t>terciaservicios.com</t>
  </si>
  <si>
    <t>618 41 10 71</t>
  </si>
  <si>
    <t>valladolid@terciaservicios.com</t>
  </si>
  <si>
    <t>https://goo.gl/maps/5Ux83Dg1B36BSDvX6</t>
  </si>
  <si>
    <t>https://streetviewpixels-pa.googleapis.com/v1/thumbnail?panoid=EPpD6ysJ43F_-ZZ6y47wPw&amp;cb_client=search.gws-prod.gps&amp;w=408&amp;h=240&amp;yaw=14.546488&amp;pitch=0&amp;thumbfov=100</t>
  </si>
  <si>
    <t>Médicos del Mundo Valladolid - Castilla y León</t>
  </si>
  <si>
    <t>J7QH+6F Valladolid</t>
  </si>
  <si>
    <t>Calle Villanueva, 1, bajo, 47013 Valladolid</t>
  </si>
  <si>
    <t>983 58 34 63</t>
  </si>
  <si>
    <t>41.6380809</t>
  </si>
  <si>
    <t>-4.8614003</t>
  </si>
  <si>
    <t>https://goo.gl/maps/PNKkm3XV7qgBFriX7</t>
  </si>
  <si>
    <t>https://streetviewpixels-pa.googleapis.com/v1/thumbnail?panoid=gQFaO250Q9UHdR7cD7ijtA&amp;cb_client=search.gws-prod.gps&amp;w=408&amp;h=240&amp;yaw=10.845328&amp;pitch=0&amp;thumbfov=100</t>
  </si>
  <si>
    <t>Asistenta Social Calle San Agustin</t>
  </si>
  <si>
    <t>https://goo.gl/maps/a4upJKVEtvkE8vP4A</t>
  </si>
  <si>
    <t>https://streetviewpixels-pa.googleapis.com/v1/thumbnail?panoid=SSJCXfJLOfYdKttm7n_m3w&amp;cb_client=search.gws-prod.gps&amp;w=408&amp;h=240&amp;yaw=237.1826&amp;pitch=0&amp;thumbfov=100</t>
  </si>
  <si>
    <t>Alcohólicos Anónimos Grupo Pisuerga</t>
  </si>
  <si>
    <t>J7J3+C3 Valladolid</t>
  </si>
  <si>
    <t>Calle Ecuador, nº 2, 47014 Valladolid</t>
  </si>
  <si>
    <t>https://goo.gl/maps/yo2Ytp3A18dURajA6</t>
  </si>
  <si>
    <t>https://lh5.googleusercontent.com/p/AF1QipNLUpgN297iwowTqI0QtvEs4md6m_WiD_lhSktk=w408-h724-k-no</t>
  </si>
  <si>
    <t>J7H7+6W Valladolid</t>
  </si>
  <si>
    <t>Pol. Ind Argales, Calle de Daniel del Olmo González, 44-48, 47014 Valladolid</t>
  </si>
  <si>
    <t>remar.org</t>
  </si>
  <si>
    <t>902 44 41 17</t>
  </si>
  <si>
    <t>info@remar.org</t>
  </si>
  <si>
    <t>https://goo.gl/maps/jud5ttDbmphaEqvx5</t>
  </si>
  <si>
    <t>https://streetviewpixels-pa.googleapis.com/v1/thumbnail?panoid=y-YVytA5isZTkljPVNRXGQ&amp;cb_client=search.gws-prod.gps&amp;w=408&amp;h=240&amp;yaw=214.40515&amp;pitch=0&amp;thumbfov=100</t>
  </si>
  <si>
    <t>Aprome Laguna de Duero - Punto de Encuentro Familiar</t>
  </si>
  <si>
    <t>H7JH+XH Laguna de Duero</t>
  </si>
  <si>
    <t>Calle Caballeros, 14-16, 47140 Laguna de Duero, Valladolid</t>
  </si>
  <si>
    <t>983 54 42 58</t>
  </si>
  <si>
    <t>41.6139184</t>
  </si>
  <si>
    <t>-4.8257113</t>
  </si>
  <si>
    <t>https://g.page/ApromeLagunadeDuero?share</t>
  </si>
  <si>
    <t>Cáritas Diocesana de Valladolid - Zona de pinares</t>
  </si>
  <si>
    <t>9F57+RC Íscar</t>
  </si>
  <si>
    <t>Calle Félix Martín, 41, 47420 Íscar, Valladolid</t>
  </si>
  <si>
    <t>Íscar</t>
  </si>
  <si>
    <t>983 62 05 30</t>
  </si>
  <si>
    <t>41.3595081</t>
  </si>
  <si>
    <t>-4.67651</t>
  </si>
  <si>
    <t>https://goo.gl/maps/Hij712Jod1rCWq396</t>
  </si>
  <si>
    <t>https://lh5.googleusercontent.com/p/AF1QipNtWyfsCO3KFTxEYqWmw-UYKniuPROMNGIo7GVQ=w408-h271-k-no</t>
  </si>
  <si>
    <t>FCF5+V8 Arrabal de Portillo</t>
  </si>
  <si>
    <t>Av. de Segovia, 20, 47160 Arrabal de Portillo, Valladolid</t>
  </si>
  <si>
    <t>Arrabal de Portillo</t>
  </si>
  <si>
    <t>983 55 66 11</t>
  </si>
  <si>
    <t>41.4747276</t>
  </si>
  <si>
    <t>-4.7317233</t>
  </si>
  <si>
    <t>https://goo.gl/maps/XKKpMztnrwLNMAfF6</t>
  </si>
  <si>
    <t>https://lh5.googleusercontent.com/p/AF1QipNzH5tL93FN2FoKDKnVoD5yGpCxjvPRmp8trvfF=w408-h272-k-no</t>
  </si>
  <si>
    <t>Aprome Medina del Campo - Punto de Encuentro Familiar</t>
  </si>
  <si>
    <t>838M+6P Medina del Campo</t>
  </si>
  <si>
    <t>Calle Santo Domingo de Guzmán, Bloque 1 Portal 2-10, 3ºB, 47400 Medina del Campo, Valladolid</t>
  </si>
  <si>
    <t>Medina del Campo</t>
  </si>
  <si>
    <t>983 81 16 82</t>
  </si>
  <si>
    <t>41.3155485</t>
  </si>
  <si>
    <t>-5.0557697</t>
  </si>
  <si>
    <t>https://goo.gl/maps/Cvr8UkwXYxWFZeKe7</t>
  </si>
  <si>
    <t>Cruz Roja en Íscar</t>
  </si>
  <si>
    <t>9F56+G7 Íscar</t>
  </si>
  <si>
    <t>Av. San Miguel, 15, 47420 Íscar, Valladolid</t>
  </si>
  <si>
    <t>983 62 04 87</t>
  </si>
  <si>
    <t>41.3588327</t>
  </si>
  <si>
    <t>-4.5415565</t>
  </si>
  <si>
    <t>https://goo.gl/maps/FycvM6AkhZmZHZMx6</t>
  </si>
  <si>
    <t>https://streetviewpixels-pa.googleapis.com/v1/thumbnail?panoid=_t8fGjUfDA5q8sngbV1i5g&amp;cb_client=search.gws-prod.gps&amp;w=408&amp;h=240&amp;yaw=146.72823&amp;pitch=0&amp;thumbfov=100</t>
  </si>
  <si>
    <t>Zamora</t>
  </si>
  <si>
    <t>Ayuntamiento de Zamora Bienestar Social</t>
  </si>
  <si>
    <t>G743+9P Zamora</t>
  </si>
  <si>
    <t>Plaza San Esteban, 3, 49006 Zamora</t>
  </si>
  <si>
    <t>980 53 40 67</t>
  </si>
  <si>
    <t>41.5058879</t>
  </si>
  <si>
    <t>-5.7632472</t>
  </si>
  <si>
    <t>https://goo.gl/maps/XbH7BZwKz7kEGXWT7</t>
  </si>
  <si>
    <t>https://streetviewpixels-pa.googleapis.com/v1/thumbnail?panoid=3cU80AaLa0p2hDWbL6V6RA&amp;cb_client=search.gws-prod.gps&amp;w=408&amp;h=240&amp;yaw=205.25922&amp;pitch=0&amp;thumbfov=100</t>
  </si>
  <si>
    <t>CEAS ZAMORA RURAL</t>
  </si>
  <si>
    <t>G75C+X8 Zamora</t>
  </si>
  <si>
    <t>Calle Hernán Cortés, 38, 49021 Zamora</t>
  </si>
  <si>
    <t>diputaciondezamora.es</t>
  </si>
  <si>
    <t>980 54 22 37</t>
  </si>
  <si>
    <t>https://goo.gl/maps/ZhZYCAWvKd9cyKN2A</t>
  </si>
  <si>
    <t>https://lh5.googleusercontent.com/p/AF1QipOgqyilk46kwAoF2f-J3z1s1EsmRgsazwxie6n0=w408-h296-k-no</t>
  </si>
  <si>
    <t>G767+24 Zamora</t>
  </si>
  <si>
    <t>Calle Regimiento de Toledo, 39, 49012 Zamora</t>
  </si>
  <si>
    <t>980 52 16 18</t>
  </si>
  <si>
    <t>https://goo.gl/maps/idgrcRX6cHrE4rC3A</t>
  </si>
  <si>
    <t>https://streetviewpixels-pa.googleapis.com/v1/thumbnail?panoid=tgPk3vICNJi9I-e64CZomQ&amp;cb_client=search.gws-prod.gps&amp;w=408&amp;h=240&amp;yaw=63.30918&amp;pitch=0&amp;thumbfov=100</t>
  </si>
  <si>
    <t>ASPROSUB - Sede Social - Zamora</t>
  </si>
  <si>
    <t>G746+PH Zamora</t>
  </si>
  <si>
    <t>Calle de Alonso de Tejada, 4 Bis, Entreplanta A, 49018 Zamora</t>
  </si>
  <si>
    <t>asprosub.com</t>
  </si>
  <si>
    <t>980 57 01 32</t>
  </si>
  <si>
    <t>https://goo.gl/maps/gH8vs9jC92obrmCJ8</t>
  </si>
  <si>
    <t>https://streetviewpixels-pa.googleapis.com/v1/thumbnail?panoid=frH6mBLdzOYHjChv0bNv9w&amp;cb_client=search.gws-prod.gps&amp;w=408&amp;h=240&amp;yaw=238.92099&amp;pitch=0&amp;thumbfov=100</t>
  </si>
  <si>
    <t>G743+2M Zamora</t>
  </si>
  <si>
    <t>Calle Riego, 5, 49004 Zamora</t>
  </si>
  <si>
    <t>980 55 94 95</t>
  </si>
  <si>
    <t>https://goo.gl/maps/HumP5kRSPTWRvBC49</t>
  </si>
  <si>
    <t>https://lh5.googleusercontent.com/p/AF1QipN865yQ3CifZbxEoY2AHKMSO1GpSPOOpMRdYGR2=w408-h306-k-no</t>
  </si>
  <si>
    <t>Te Ayudo</t>
  </si>
  <si>
    <t>G745+M8 Zamora</t>
  </si>
  <si>
    <t>Calle de Santa Clara, 30, 1ºizq, 49014 Zamora</t>
  </si>
  <si>
    <t>teayudozamora.es</t>
  </si>
  <si>
    <t>980 04 15 77</t>
  </si>
  <si>
    <t>https://goo.gl/maps/a2jZvGzDssU4ZoDQA</t>
  </si>
  <si>
    <t>https://lh5.googleusercontent.com/p/AF1QipOHQwmZ00U7SqgO53GfLK4-P6XQkVuiO0JnuBY=w408-h272-k-no</t>
  </si>
  <si>
    <t>Fundación Personas - Asprosub - Club de Ocio</t>
  </si>
  <si>
    <t>G746+JG Zamora</t>
  </si>
  <si>
    <t>Calle Toro, 9, 49018 Zamora</t>
  </si>
  <si>
    <t>https://goo.gl/maps/7vuYvkfSgiu8Y7SD6</t>
  </si>
  <si>
    <t>Aprome Zamora - Punto de Encuentro Familiar</t>
  </si>
  <si>
    <t>G746+5J Zamora</t>
  </si>
  <si>
    <t>Calle de Diego de Losada, 15, Entr. A-B, 49018 Zamora</t>
  </si>
  <si>
    <t>980 51 19 39</t>
  </si>
  <si>
    <t>https://g.page/ApromeZamora?share</t>
  </si>
  <si>
    <t>Calle de Diego de Losada, 15, 49018 Zamora</t>
  </si>
  <si>
    <t>980 52 33 20</t>
  </si>
  <si>
    <t>https://goo.gl/maps/Ch8NFxvGXTt4KYoL8</t>
  </si>
  <si>
    <t>https://streetviewpixels-pa.googleapis.com/v1/thumbnail?panoid=8YXV11Yj_wGV0Zv6_zhRCg&amp;cb_client=search.gws-prod.gps&amp;w=408&amp;h=240&amp;yaw=40.481472&amp;pitch=0&amp;thumbfov=100</t>
  </si>
  <si>
    <t>Fundación Intras</t>
  </si>
  <si>
    <t>G67V+RC Zamora</t>
  </si>
  <si>
    <t>Calle de la Hiniesta, 137, 49024 Zamora</t>
  </si>
  <si>
    <t>980 51 64 27</t>
  </si>
  <si>
    <t>41.5146009</t>
  </si>
  <si>
    <t>-5.7739683</t>
  </si>
  <si>
    <t>https://goo.gl/maps/ynmcqxPpE34goCsR7</t>
  </si>
  <si>
    <t>https://lh5.googleusercontent.com/p/AF1QipMjQB0YRzuFiDZd2kE0DsMkuvjeTq8hjnnjLF4=w426-h240-k-no</t>
  </si>
  <si>
    <t>Asociación De Personas Mayores Y Familiares Solidaridad Intergeneracional</t>
  </si>
  <si>
    <t>G736+GJ Zamora</t>
  </si>
  <si>
    <t>Calle Guerrero Julián Sánchez, 1, 49017 Zamora</t>
  </si>
  <si>
    <t>980 55 77 83</t>
  </si>
  <si>
    <t>41.5038611</t>
  </si>
  <si>
    <t>-5.7559904</t>
  </si>
  <si>
    <t>https://goo.gl/maps/yBaWfKYzNpRfAnaVA</t>
  </si>
  <si>
    <t>https://streetviewpixels-pa.googleapis.com/v1/thumbnail?panoid=PvFdp3ZxCI5GdiX_o01iTg&amp;cb_client=search.gws-prod.gps&amp;w=408&amp;h=240&amp;yaw=326.43967&amp;pitch=0&amp;thumbfov=100</t>
  </si>
  <si>
    <t>Zamorcaza S.L.</t>
  </si>
  <si>
    <t>G64X+59 Zamora</t>
  </si>
  <si>
    <t>Calle del Obispo Nieto, 16, 49031 Zamora</t>
  </si>
  <si>
    <t>https://goo.gl/maps/rQSPzAkPZBY1jJWE9</t>
  </si>
  <si>
    <t>https://streetviewpixels-pa.googleapis.com/v1/thumbnail?panoid=ZDP5jF9xDdAcPb4gXzB1GQ&amp;cb_client=search.gws-prod.gps&amp;w=408&amp;h=240&amp;yaw=296.08096&amp;pitch=0&amp;thumbfov=100</t>
  </si>
  <si>
    <t>Obras Misionales Pontificias</t>
  </si>
  <si>
    <t>G734+HF Zamora</t>
  </si>
  <si>
    <t>Calle San Atilano, 3, 49003 Zamora</t>
  </si>
  <si>
    <t>https://goo.gl/maps/2Lbz9sqe7CYNX41Y8</t>
  </si>
  <si>
    <t>https://streetviewpixels-pa.googleapis.com/v1/thumbnail?panoid=n8aJrghQMzygg2L72Clolw&amp;cb_client=search.gws-prod.gps&amp;w=408&amp;h=240&amp;yaw=62.149906&amp;pitch=0&amp;thumbfov=100</t>
  </si>
  <si>
    <t>Comedor de Personas Mayores Belén</t>
  </si>
  <si>
    <t>F7X2+2M Zamora</t>
  </si>
  <si>
    <t>Plaza Belén, 6, 49027 Zamora</t>
  </si>
  <si>
    <t>https://goo.gl/maps/16HfATtYHqn2fEaM9</t>
  </si>
  <si>
    <t>https://streetviewpixels-pa.googleapis.com/v1/thumbnail?panoid=uCkOn3md0rIMbfnxK66ZSw&amp;cb_client=search.gws-prod.gps&amp;w=408&amp;h=240&amp;yaw=327.48145&amp;pitch=0&amp;thumbfov=100</t>
  </si>
  <si>
    <t>Asprosub - Fundación Personas - Morales del Vino - Zamora</t>
  </si>
  <si>
    <t>F73C+84 Morales del Vino</t>
  </si>
  <si>
    <t>Calle Asprosub, 1, 49190 Morales del Vino, Zamora</t>
  </si>
  <si>
    <t>Morales del Vino</t>
  </si>
  <si>
    <t>41.45334</t>
  </si>
  <si>
    <t>-5.7471995</t>
  </si>
  <si>
    <t>https://goo.gl/maps/GWHaXWZW6PzVtQWW6</t>
  </si>
  <si>
    <t>https://streetviewpixels-pa.googleapis.com/v1/thumbnail?panoid=VZ_s4IMJyGi6iYwY6pMhGw&amp;cb_client=search.gws-prod.gps&amp;w=408&amp;h=240&amp;yaw=333.59595&amp;pitch=0&amp;thumbfov=100</t>
  </si>
  <si>
    <t>G756+P7 Zamora</t>
  </si>
  <si>
    <t>Av. del Príncipe de Asturias, 19, 49012 Zamora</t>
  </si>
  <si>
    <t>980 51 88 53</t>
  </si>
  <si>
    <t>41.5104114</t>
  </si>
  <si>
    <t>-5.761176</t>
  </si>
  <si>
    <t>https://goo.gl/maps/nTLSbPvSSxjBqavi9</t>
  </si>
  <si>
    <t>https://streetviewpixels-pa.googleapis.com/v1/thumbnail?panoid=8F3fI51-ym0CfrMOhnB0dg&amp;cb_client=search.gws-prod.gps&amp;w=408&amp;h=240&amp;yaw=328.56705&amp;pitch=0&amp;thumbfov=100</t>
  </si>
  <si>
    <t>Trend Comunicación</t>
  </si>
  <si>
    <t>G748+2X Zamora</t>
  </si>
  <si>
    <t>Calle Candelaria Ruiz del Árbol, 34, 49017 Zamora</t>
  </si>
  <si>
    <t>trendcomunicacion.com</t>
  </si>
  <si>
    <t>626 80 56 03</t>
  </si>
  <si>
    <t>https://goo.gl/maps/Gu5dnyKtezZpScFB8</t>
  </si>
  <si>
    <t>https://lh5.googleusercontent.com/p/AF1QipN-xGXFzTcFdB5i-84whS59-Dc_d6bp_X4e-AyO=w644-h240-k-no</t>
  </si>
  <si>
    <t>ASPROSUB - Fundación Personas - Carbajales de Alba - Zamora</t>
  </si>
  <si>
    <t>J2X5+X4 Carbajales de Alba</t>
  </si>
  <si>
    <t>ASPROSUB, Calle, Calle Travesía la Era, 49160 Carbajales de Alba, Zamora</t>
  </si>
  <si>
    <t>Carbajales de Alba</t>
  </si>
  <si>
    <t>980 58 53 81</t>
  </si>
  <si>
    <t>41.6498982</t>
  </si>
  <si>
    <t>-6.0097381</t>
  </si>
  <si>
    <t>https://goo.gl/maps/7ziLMtibyW4auEq3A</t>
  </si>
  <si>
    <t>https://streetviewpixels-pa.googleapis.com/v1/thumbnail?panoid=OAjlC5L_91fdfSMeNRRVCA&amp;cb_client=search.gws-prod.gps&amp;w=408&amp;h=240&amp;yaw=80.762115&amp;pitch=0&amp;thumbfov=100</t>
  </si>
  <si>
    <t>Toro</t>
  </si>
  <si>
    <t>Asprosub - Fundación Personas - Toro - Zamora</t>
  </si>
  <si>
    <t>GJJ6+64 Toro</t>
  </si>
  <si>
    <t>41.5305515 -5.3897428,54, 49800 Toro, Zamora</t>
  </si>
  <si>
    <t>980 69 47 53</t>
  </si>
  <si>
    <t>41.530551</t>
  </si>
  <si>
    <t>-5.4072026</t>
  </si>
  <si>
    <t>https://goo.gl/maps/wFL7odMNmWNrGv6b7</t>
  </si>
  <si>
    <t>https://streetviewpixels-pa.googleapis.com/v1/thumbnail?panoid=93YYxgCu3P6-FoAJMCe-5w&amp;cb_client=search.gws-prod.gps&amp;w=408&amp;h=240&amp;yaw=198.48816&amp;pitch=0&amp;thumbfov=100</t>
  </si>
  <si>
    <t>Benavente</t>
  </si>
  <si>
    <t>282P+82 Benavente</t>
  </si>
  <si>
    <t>Calle Cartagena de Indias, 28, 49600 Benavente, Zamora</t>
  </si>
  <si>
    <t>980 63 84 87</t>
  </si>
  <si>
    <t>42.0008219</t>
  </si>
  <si>
    <t>-5.6824444</t>
  </si>
  <si>
    <t>https://goo.gl/maps/i9bHW2PTUoLNYdfD6</t>
  </si>
  <si>
    <t>https://streetviewpixels-pa.googleapis.com/v1/thumbnail?panoid=dESSKKA7RgY3VuT0l5XIAw&amp;cb_client=search.gws-prod.gps&amp;w=408&amp;h=240&amp;yaw=193.53183&amp;pitch=0&amp;thumbfov=100</t>
  </si>
  <si>
    <t>Asociación Aderisa</t>
  </si>
  <si>
    <t>9V8Q+PX Bermillo de Sayago</t>
  </si>
  <si>
    <t>Calle Castañas, 5, 49200 Bermillo de Sayago, Zamora</t>
  </si>
  <si>
    <t>Bermillo de Sayago</t>
  </si>
  <si>
    <t>aderisa.es</t>
  </si>
  <si>
    <t>980 61 02 09</t>
  </si>
  <si>
    <t>aderisa@aderisa.es</t>
  </si>
  <si>
    <t>41.3651669</t>
  </si>
  <si>
    <t>-6.1329551</t>
  </si>
  <si>
    <t>https://goo.gl/maps/X3GJXfReYR8J9CpW9</t>
  </si>
  <si>
    <t>Calle Matías Alonso, 1, 49137 Villarrín de Campos, Zamora</t>
  </si>
  <si>
    <t>Abezames</t>
  </si>
  <si>
    <t>980 58 01 95</t>
  </si>
  <si>
    <t>41.7971064</t>
  </si>
  <si>
    <t>-5.6542255</t>
  </si>
  <si>
    <t>https://goo.gl/maps/jo3xJvZq4cGzmmBZA</t>
  </si>
  <si>
    <t>https://streetviewpixels-pa.googleapis.com/v1/thumbnail?panoid=eHvLtCuTofWGMIDPwQpPIQ&amp;cb_client=search.gws-prod.gps&amp;w=408&amp;h=240&amp;yaw=214.20284&amp;pitch=0&amp;thumbfov=100</t>
  </si>
  <si>
    <t>Centro Geriatrico-Sociosanitario &amp;quot;Ciudad de Benavente&amp;quot;</t>
  </si>
  <si>
    <t>X9V2+9G Benavente</t>
  </si>
  <si>
    <t>Ctra. Madrid Coruña, PK 260, 49600 Benavente, Zamora</t>
  </si>
  <si>
    <t>980 63 66 76</t>
  </si>
  <si>
    <t>41.9933862</t>
  </si>
  <si>
    <t>-5.6662071</t>
  </si>
  <si>
    <t>https://g.page/CiudadBenavente?share</t>
  </si>
  <si>
    <t>https://lh5.googleusercontent.com/p/AF1QipPHxTLsTWZPIDFLOyCVuyxuVeGGsqcyIyvtHb2H=w408-h272-k-no</t>
  </si>
  <si>
    <t>Barcelona</t>
  </si>
  <si>
    <t>41.3947476</t>
  </si>
  <si>
    <t>2.1487677</t>
  </si>
  <si>
    <t>Institut Municipal de Serveis Socials</t>
  </si>
  <si>
    <t>95W9+RP Barcelona</t>
  </si>
  <si>
    <t>C/ Valencia, 344, 2ª Planta, 08009 Barcelona</t>
  </si>
  <si>
    <t>bcn.cat</t>
  </si>
  <si>
    <t>932 91 88 01</t>
  </si>
  <si>
    <t>41.3634249</t>
  </si>
  <si>
    <t>2.0624525</t>
  </si>
  <si>
    <t>https://goo.gl/maps/YTYFxx3RNaZ2U6aD9</t>
  </si>
  <si>
    <t>https://lh5.googleusercontent.com/p/AF1QipMBbBQTn4bpE2-RO--Hklbm2VBYWGGXst2-q6zA=w408-h292-k-no</t>
  </si>
  <si>
    <t>Consorci de Serveis Socials de Barcelon</t>
  </si>
  <si>
    <t>95W9+2P Barcelona</t>
  </si>
  <si>
    <t>C/ d&amp;apos;Aragó, 316, 08009 Barcelona</t>
  </si>
  <si>
    <t>cssbcn.barcelona</t>
  </si>
  <si>
    <t>934 67 87 33</t>
  </si>
  <si>
    <t>atenciociutadania@cssbcn.cat</t>
  </si>
  <si>
    <t>https://goo.gl/maps/Zqf3AXdyV3gVncxt8</t>
  </si>
  <si>
    <t>https://streetviewpixels-pa.googleapis.com/v1/thumbnail?panoid=UuP1ewom0uOLMwi4CoQTog&amp;cb_client=search.gws-prod.gps&amp;w=408&amp;h=240&amp;yaw=133.09973&amp;pitch=0&amp;thumbfov=100</t>
  </si>
  <si>
    <t>Centro de Urgencias y Emergencias Sociales de Barcelona</t>
  </si>
  <si>
    <t>96X2+JG Barcelona</t>
  </si>
  <si>
    <t>Carrer de la Llacuna, 25, 08005 Barcelona</t>
  </si>
  <si>
    <t>ajuntament.barcelona.cat</t>
  </si>
  <si>
    <t>900 703 030</t>
  </si>
  <si>
    <t>41.3990324</t>
  </si>
  <si>
    <t>2.131228</t>
  </si>
  <si>
    <t>https://goo.gl/maps/qtbX2w17JR6kp1RV8</t>
  </si>
  <si>
    <t>https://lh5.googleusercontent.com/p/AF1QipMPtaa4vJade2Rw6aMkEUleWYe7zLQzVVEz2HBZ=w408-h306-k-no</t>
  </si>
  <si>
    <t>54</t>
  </si>
  <si>
    <t>C5PG+76 Barcelona</t>
  </si>
  <si>
    <t>Carrer de la Selva, 57, 08016 Barcelona</t>
  </si>
  <si>
    <t>900 922 357</t>
  </si>
  <si>
    <t>https://goo.gl/maps/PbKGEf1drMHcSWK97</t>
  </si>
  <si>
    <t>https://lh5.googleusercontent.com/p/AF1QipNQy9kdJ6DiAGCF5swnNcplRnnbC231Tawz1lAW=w408-h306-k-no</t>
  </si>
  <si>
    <t>Centre de Serveis Socials Poble-Sec</t>
  </si>
  <si>
    <t>95F8+GR Barcelona</t>
  </si>
  <si>
    <t>Carrer del Roser, 15, 08004 Barcelona</t>
  </si>
  <si>
    <t>https://goo.gl/maps/WiaLNwim5KKefowY6</t>
  </si>
  <si>
    <t>https://streetviewpixels-pa.googleapis.com/v1/thumbnail?panoid=sQOYxuJ7pq3d9Hfmk5zQPw&amp;cb_client=search.gws-prod.gps&amp;w=408&amp;h=240&amp;yaw=113.47037&amp;pitch=0&amp;thumbfov=100</t>
  </si>
  <si>
    <t>Departament de Treball, Afers Socials i Families</t>
  </si>
  <si>
    <t>95F5+W5 Barcelona</t>
  </si>
  <si>
    <t>Av. del Paral·lel, 145, 08004 Barcelona</t>
  </si>
  <si>
    <t>gencat.cat</t>
  </si>
  <si>
    <t>934 25 22 44</t>
  </si>
  <si>
    <t>https://goo.gl/maps/2aFhZFcvR8TGwjwN8</t>
  </si>
  <si>
    <t>https://streetviewpixels-pa.googleapis.com/v1/thumbnail?panoid=NBj6jRhfCCDimz3pLh-x0w&amp;cb_client=search.gws-prod.gps&amp;w=408&amp;h=240&amp;yaw=178.97107&amp;pitch=0&amp;thumbfov=100</t>
  </si>
  <si>
    <t>Centre de Serveis Socials Clot - Camp de L&amp;apos;Arpa</t>
  </si>
  <si>
    <t>C54P+VG Barcelona</t>
  </si>
  <si>
    <t>Carrer de la Corunya, 5, 7, 08026 Barcelona</t>
  </si>
  <si>
    <t>w110.bcn.cat</t>
  </si>
  <si>
    <t>https://goo.gl/maps/N2bD39exrBeQ8UgZ8</t>
  </si>
  <si>
    <t>https://lh5.googleusercontent.com/p/AF1QipNxY_cBqyI473cQaar9lXJOh6tL-bSwO-NlkLBv=w408-h306-k-no</t>
  </si>
  <si>
    <t>95M7+X3 Barcelona</t>
  </si>
  <si>
    <t>Gran Via de les Corts Catalanes, 584, 08011 Barcelona</t>
  </si>
  <si>
    <t>933 23 88 17</t>
  </si>
  <si>
    <t>https://goo.gl/maps/zGvyPWKpqVast8xi8</t>
  </si>
  <si>
    <t>https://streetviewpixels-pa.googleapis.com/v1/thumbnail?panoid=8jo_tBGFlObHPPfyOiNopg&amp;cb_client=search.gws-prod.gps&amp;w=408&amp;h=240&amp;yaw=184.71033&amp;pitch=0&amp;thumbfov=100</t>
  </si>
  <si>
    <t>L&amp;apos;Hospitalet de Llobregat</t>
  </si>
  <si>
    <t>Centre de Serveis Socials Gòtic. Casal d&amp;apos;Avis</t>
  </si>
  <si>
    <t>95JH+MV Barcelona</t>
  </si>
  <si>
    <t>Carrer del Correu Vell, 5, 08002 Barcelona</t>
  </si>
  <si>
    <t>41.3816504</t>
  </si>
  <si>
    <t>2.1096886</t>
  </si>
  <si>
    <t>https://goo.gl/maps/JRAuG66bsH7nd9Mm8</t>
  </si>
  <si>
    <t>https://streetviewpixels-pa.googleapis.com/v1/thumbnail?panoid=ahdPJn4hOGQEcgC1jG3uZQ&amp;cb_client=search.gws-prod.gps&amp;w=408&amp;h=240&amp;yaw=310.01154&amp;pitch=0&amp;thumbfov=100</t>
  </si>
  <si>
    <t>Centre de Serveis Socials Garcilaso</t>
  </si>
  <si>
    <t>C5FP+28 Barcelona</t>
  </si>
  <si>
    <t>Carrer de Garcilaso, 103, 08027 Barcelona</t>
  </si>
  <si>
    <t>barcelona.cat</t>
  </si>
  <si>
    <t>https://goo.gl/maps/E5zFHCXXnYKTJdTs6</t>
  </si>
  <si>
    <t>https://lh5.googleusercontent.com/p/AF1QipNnsZEiSbZx8rMAmrBUXhk2C6oqddBh2slWbxar=w408-h725-k-no</t>
  </si>
  <si>
    <t>Jutjat Social núm. 24</t>
  </si>
  <si>
    <t>947M+P9 Barcelona</t>
  </si>
  <si>
    <t>Gran Via de les Corts Catalanes, 111, 08075 Barcelona</t>
  </si>
  <si>
    <t>938 87 45 53</t>
  </si>
  <si>
    <t>41.3643671</t>
  </si>
  <si>
    <t>2.0634289</t>
  </si>
  <si>
    <t>https://goo.gl/maps/aGfUK4R49CMHqADn9</t>
  </si>
  <si>
    <t>https://streetviewpixels-pa.googleapis.com/v1/thumbnail?panoid=QrXRgxTNV8txfNp4zcG8fg&amp;cb_client=search.gws-prod.gps&amp;w=408&amp;h=240&amp;yaw=315.96744&amp;pitch=0&amp;thumbfov=100</t>
  </si>
  <si>
    <t>Jutjat Social Nº 16</t>
  </si>
  <si>
    <t>947M+QG Barcelona</t>
  </si>
  <si>
    <t>938 87 45 29</t>
  </si>
  <si>
    <t>41.3644033</t>
  </si>
  <si>
    <t>2.0637132</t>
  </si>
  <si>
    <t>https://goo.gl/maps/nvnZYtDY8xXBGTDi6</t>
  </si>
  <si>
    <t>https://lh5.googleusercontent.com/p/AF1QipPBxcC4I1JMZLzC7_LgtEdTiSqRqiXIlBSVZGcr=w408-h306-k-no</t>
  </si>
  <si>
    <t>Progess</t>
  </si>
  <si>
    <t>95X9+G3 Barcelona</t>
  </si>
  <si>
    <t>Avinguda Diagonal, 392, 08037 Barcelona</t>
  </si>
  <si>
    <t>progess.com</t>
  </si>
  <si>
    <t>934 57 81 11</t>
  </si>
  <si>
    <t>progess@progess.com</t>
  </si>
  <si>
    <t>https://goo.gl/maps/dCfoXFZt5JwzfFK49</t>
  </si>
  <si>
    <t>https://lh5.googleusercontent.com/p/AF1QipOq_ORkxCpL1s_8PhZEdP5RQSxbxokIv70D3UZk=w408-h725-k-no</t>
  </si>
  <si>
    <t>Associació Coordinadora d&amp;apos;entitats Sinergia Social</t>
  </si>
  <si>
    <t>949R+4G Barcelona</t>
  </si>
  <si>
    <t>Parc de la Font Florida, Carrer de Trajà, 14, Interior) ·, 08004 ·, Barcelona</t>
  </si>
  <si>
    <t>sinergiasocial.org</t>
  </si>
  <si>
    <t>932 68 22 22</t>
  </si>
  <si>
    <t>fmf@sinergia.org</t>
  </si>
  <si>
    <t>https://goo.gl/maps/sJznwWLpNMvDGrEQ6</t>
  </si>
  <si>
    <t>https://lh5.googleusercontent.com/p/AF1QipPGxO6As_zUkNA0LQv9J4EdiYPsrf_EXlZkvqtN=w410-h240-k-no</t>
  </si>
  <si>
    <t>Erasmus Barcelona</t>
  </si>
  <si>
    <t>95P8+77 Barcelona</t>
  </si>
  <si>
    <t>C/ pelai 12, door 2J, 08001 Barcelona</t>
  </si>
  <si>
    <t>erasmusbarcelona.com</t>
  </si>
  <si>
    <t>663 36 20 87</t>
  </si>
  <si>
    <t>info@erasmusbarcelona.com</t>
  </si>
  <si>
    <t>https://goo.gl/maps/MojyerpEXWpureRB9</t>
  </si>
  <si>
    <t>https://lh5.googleusercontent.com/p/AF1QipMgP44BiK-Km9Yv_wffk81Dxp1wuXWVVUgGvkLo=w408-h306-k-no</t>
  </si>
  <si>
    <t>core-js-bundle@3.2.1</t>
  </si>
  <si>
    <t>41.3833943</t>
  </si>
  <si>
    <t>2.0780164</t>
  </si>
  <si>
    <t>Menjador Social de Navas</t>
  </si>
  <si>
    <t>110</t>
  </si>
  <si>
    <t>C58P+PV Barcelona</t>
  </si>
  <si>
    <t>Avinguda Meridiana, 238, 08027 Barcelona</t>
  </si>
  <si>
    <t>guia.barcelona.cat</t>
  </si>
  <si>
    <t>933 51 72 20</t>
  </si>
  <si>
    <t>https://goo.gl/maps/CuJyCrUCtZfb579v7</t>
  </si>
  <si>
    <t>https://lh5.googleusercontent.com/p/AF1QipOp-9D_dPNAJ4efjZGQWpqVr8nXqTNHm1Fj1upc=w408-h306-k-no</t>
  </si>
  <si>
    <t>Sant Joan de Déu Serveis Socials, Barcelona - CRI Hort de la Vila</t>
  </si>
  <si>
    <t>94XG+V3 Barcelona</t>
  </si>
  <si>
    <t>Carrer de l&amp;apos;Hort de la Vila, 46, 08017 Barcelona</t>
  </si>
  <si>
    <t>sjdserveissocials-bcn.org</t>
  </si>
  <si>
    <t>932 05 12 32</t>
  </si>
  <si>
    <t>comunicacio@bcn.ohsjd.es</t>
  </si>
  <si>
    <t>https://goo.gl/maps/v31kk7p77QpPvPv4A</t>
  </si>
  <si>
    <t>https://lh5.googleusercontent.com/p/AF1QipOIAcGNC07EQCrA-VW97rFSlo_myywWfU9q6tDg=w408-h272-k-no</t>
  </si>
  <si>
    <t>41.383486</t>
  </si>
  <si>
    <t>2.0667691</t>
  </si>
  <si>
    <t>Asociación De Ayuda Social Maná</t>
  </si>
  <si>
    <t>C56P+C7 Barcelona</t>
  </si>
  <si>
    <t>Carrer de Mallorca, 606, 08026 Barcelona</t>
  </si>
  <si>
    <t>902 95 55 55</t>
  </si>
  <si>
    <t>https://goo.gl/maps/SfnqcmVmavwYTDvs5</t>
  </si>
  <si>
    <t>https://streetviewpixels-pa.googleapis.com/v1/thumbnail?panoid=LGYU14g_UoWJ64pJ6iqAnw&amp;cb_client=search.gws-prod.gps&amp;w=408&amp;h=240&amp;yaw=86.13192&amp;pitch=0&amp;thumbfov=100</t>
  </si>
  <si>
    <t>41.3643852</t>
  </si>
  <si>
    <t>2.0632196</t>
  </si>
  <si>
    <t>Projecte Radars</t>
  </si>
  <si>
    <t>C547+R5 Barcelona</t>
  </si>
  <si>
    <t>Carrer de Ca l&amp;apos;Alegre de Dalt, 5, 08024 Barcelona</t>
  </si>
  <si>
    <t>932 91 58 84</t>
  </si>
  <si>
    <t>https://g.page/Projecte-Radars?share</t>
  </si>
  <si>
    <t>https://lh5.googleusercontent.com/p/AF1QipM2KpvFspaqV1qoxXXF4nfL64sVdUR4o55bkEAj=w408-h306-k-no</t>
  </si>
  <si>
    <t>Suara Cooperativa</t>
  </si>
  <si>
    <t>148</t>
  </si>
  <si>
    <t>95XR+93 Barcelona</t>
  </si>
  <si>
    <t>Carrer de Sancho de Ávila, 52, 1r, 08018 Barcelona</t>
  </si>
  <si>
    <t>suara.coop</t>
  </si>
  <si>
    <t>932 54 76 90</t>
  </si>
  <si>
    <t>suara@suara.coop</t>
  </si>
  <si>
    <t>https://goo.gl/maps/got4VwS8FdJDgTrf6</t>
  </si>
  <si>
    <t>https://lh5.googleusercontent.com/p/AF1QipMymnLga8oTeJBAp2UMbXmrsb8uTMELe83vFHiU=w408-h272-k-no</t>
  </si>
  <si>
    <t>EspaiSocial Gràcia</t>
  </si>
  <si>
    <t>95X4+MJ Barcelona</t>
  </si>
  <si>
    <t>Carrer de Goya, 1, 08012 Barcelona</t>
  </si>
  <si>
    <t>fundaciocatalunya-lapedrera.com</t>
  </si>
  <si>
    <t>932 17 53 92</t>
  </si>
  <si>
    <t>jquery-validation@1.17.0</t>
  </si>
  <si>
    <t>https://goo.gl/maps/NCKYXWby8Eiyg61e7</t>
  </si>
  <si>
    <t>https://streetviewpixels-pa.googleapis.com/v1/thumbnail?panoid=ZsqUuUK7f2jxTwRHh-JtMw&amp;cb_client=search.gws-prod.gps&amp;w=408&amp;h=240&amp;yaw=5.657424&amp;pitch=0&amp;thumbfov=100</t>
  </si>
  <si>
    <t>Cáritas Diocesana de Barcelona</t>
  </si>
  <si>
    <t>95HH+R2 Barcelona</t>
  </si>
  <si>
    <t>C/ de Rull, 8, 08002 Barcelona</t>
  </si>
  <si>
    <t>caritas.barcelona</t>
  </si>
  <si>
    <t>933 44 69 00</t>
  </si>
  <si>
    <t>https://goo.gl/maps/57x4bx4ZnbcVbBMH8</t>
  </si>
  <si>
    <t>https://streetviewpixels-pa.googleapis.com/v1/thumbnail?panoid=630rT-ZVabIIf76cHH-n6A&amp;cb_client=search.gws-prod.gps&amp;w=408&amp;h=240&amp;yaw=61.224003&amp;pitch=0&amp;thumbfov=100</t>
  </si>
  <si>
    <t>Suara - Servei d&amp;apos;Atenció Domiciliària</t>
  </si>
  <si>
    <t>C5CG+66 Barcelona</t>
  </si>
  <si>
    <t>Rambla de la Muntanya, 76, 08041 Barcelona</t>
  </si>
  <si>
    <t>934 33 71 90</t>
  </si>
  <si>
    <t>https://goo.gl/maps/Dh6XGA3ira5LVizq7</t>
  </si>
  <si>
    <t>https://lh5.googleusercontent.com/p/AF1QipNrNI45BhV7fxnuw3QJKtiDuewABq1xhigNaiuW=w408-h271-k-no</t>
  </si>
  <si>
    <t>Ciutat Meridiana-Torre Baró-Vallbona</t>
  </si>
  <si>
    <t>F56H+C4 Barcelona</t>
  </si>
  <si>
    <t>Av. dels Rasos de Peguera, 25, 08033 Barcelona</t>
  </si>
  <si>
    <t>936 19 73 11</t>
  </si>
  <si>
    <t>https://goo.gl/maps/7FHMRYLcJyajerV46</t>
  </si>
  <si>
    <t>https://lh5.googleusercontent.com/p/AF1QipOE100KfmV6RZBWJrdoXJxAglb3rCRqkQ8bz_V_=w408-h306-k-no</t>
  </si>
  <si>
    <t>Fundación ADRA Clot</t>
  </si>
  <si>
    <t>C57P+57 Barcelona</t>
  </si>
  <si>
    <t>C. de la Nació, 24, 08026 Barcelona</t>
  </si>
  <si>
    <t>https://goo.gl/maps/WEH4mkr5L13rT4YHA</t>
  </si>
  <si>
    <t>https://streetviewpixels-pa.googleapis.com/v1/thumbnail?panoid=Evkqqn9aVwtXpC3BHpgIBg&amp;cb_client=search.gws-prod.gps&amp;w=408&amp;h=240&amp;yaw=20.389833&amp;pitch=0&amp;thumbfov=100</t>
  </si>
  <si>
    <t>ASSIS Centre d&amp;apos;acollida | Persones sense llar</t>
  </si>
  <si>
    <t>C439+H4 Barcelona</t>
  </si>
  <si>
    <t>Carrer d&amp;apos;Isaac Albéniz, 14, 08017 Barcelona</t>
  </si>
  <si>
    <t>assis.cat</t>
  </si>
  <si>
    <t>932 52 05 68</t>
  </si>
  <si>
    <t>hola@assis.cat</t>
  </si>
  <si>
    <t>41.3632476</t>
  </si>
  <si>
    <t>2.0671779</t>
  </si>
  <si>
    <t>https://goo.gl/maps/b8vUi1WYos8QhgtB9</t>
  </si>
  <si>
    <t>https://lh5.googleusercontent.com/p/AF1QipPPuNPTGAqDewrxppeYrXAdwgOgpm5BCjVn184s=w648-h240-k-no</t>
  </si>
  <si>
    <t>YMCA Barcelona</t>
  </si>
  <si>
    <t>C533+3X Barcelona</t>
  </si>
  <si>
    <t>Carrer de Jaén, 7- 15, 08012 Barcelona</t>
  </si>
  <si>
    <t>932 85 34 75</t>
  </si>
  <si>
    <t>https://goo.gl/maps/qeJFxcw73m1NmVve9</t>
  </si>
  <si>
    <t>https://lh5.googleusercontent.com/p/AF1QipOr8L667KVguU3txp0v-JzZ06lPEPwi1E_yMcAS=w408-h306-k-no</t>
  </si>
  <si>
    <t>Centre De Serveis Socials Franja Besòs</t>
  </si>
  <si>
    <t>C6P3+3V Barcelona</t>
  </si>
  <si>
    <t>Carrer de l&amp;apos;Estadella, 64, 08030 Barcelona</t>
  </si>
  <si>
    <t>https://goo.gl/maps/6rn3HcjroANLytQf8</t>
  </si>
  <si>
    <t>https://streetviewpixels-pa.googleapis.com/v1/thumbnail?panoid=_QUzj1kAQZJLYwOEYsWT8Q&amp;cb_client=search.gws-prod.gps&amp;w=408&amp;h=240&amp;yaw=173.92307&amp;pitch=0&amp;thumbfov=100</t>
  </si>
  <si>
    <t>Associació Coordinadora Sinergia Social</t>
  </si>
  <si>
    <t>949R+8P Barcelona</t>
  </si>
  <si>
    <t>Carrer de Trajà, 14, 08004 Barcelona</t>
  </si>
  <si>
    <t>41.3682834</t>
  </si>
  <si>
    <t>2.0717833</t>
  </si>
  <si>
    <t>https://goo.gl/maps/XbUnJV1YrBFX44FC9</t>
  </si>
  <si>
    <t>https://streetviewpixels-pa.googleapis.com/v1/thumbnail?panoid=v8KolRRIsF-bG7r009HLNw&amp;cb_client=search.gws-prod.gps&amp;w=408&amp;h=240&amp;yaw=262.1441&amp;pitch=0&amp;thumbfov=100</t>
  </si>
  <si>
    <t>Creu Roja</t>
  </si>
  <si>
    <t>95QG+4M Barcelona</t>
  </si>
  <si>
    <t>Carrer del Bou de Sant Pere, 7, 08003 Barcelona</t>
  </si>
  <si>
    <t>41.377933</t>
  </si>
  <si>
    <t>2.1191392</t>
  </si>
  <si>
    <t>https://goo.gl/maps/L45qamDdz9oW5hYN6</t>
  </si>
  <si>
    <t>https://streetviewpixels-pa.googleapis.com/v1/thumbnail?panoid=wZWipIW72LOBfPpWdsHCcQ&amp;cb_client=search.gws-prod.gps&amp;w=408&amp;h=240&amp;yaw=244.3913&amp;pitch=0&amp;thumbfov=100</t>
  </si>
  <si>
    <t>Comedor Social del Paralelo</t>
  </si>
  <si>
    <t>95F7+WF Barcelona</t>
  </si>
  <si>
    <t>Av. del Paral·lel, 97B, 08004 Barcelona</t>
  </si>
  <si>
    <t>https://goo.gl/maps/xxPPd1fByX8XXmmAA</t>
  </si>
  <si>
    <t>https://lh5.googleusercontent.com/p/AF1QipOiJ5qSeaJWAlj8xLJWvVYnAV1FWpSWfj8byozN=w426-h240-k-no</t>
  </si>
  <si>
    <t>Minhaj-ul-Quran International - Badalona</t>
  </si>
  <si>
    <t>C6M9+9R Badalona</t>
  </si>
  <si>
    <t>bajos, Carrer de Santiago, 25, 08918 Badalona, Barcelona</t>
  </si>
  <si>
    <t>Badalona</t>
  </si>
  <si>
    <t>minhaj.es</t>
  </si>
  <si>
    <t>931 24 91 30</t>
  </si>
  <si>
    <t>41.3754348</t>
  </si>
  <si>
    <t>2.0819237</t>
  </si>
  <si>
    <t>https://goo.gl/maps/kCrd8LiutxkCaRuL8</t>
  </si>
  <si>
    <t>https://streetviewpixels-pa.googleapis.com/v1/thumbnail?panoid=sfzfeFoYcFz7Tk8RhIYiIQ&amp;cb_client=search.gws-prod.gps&amp;w=408&amp;h=240&amp;yaw=44.362713&amp;pitch=0&amp;thumbfov=100</t>
  </si>
  <si>
    <t>9464+HR L&amp;apos;Hospitalet de Llobregat</t>
  </si>
  <si>
    <t>Carrer d&amp;apos;Enric Prat de la Riba, 207, 213, 08901 L&amp;apos;Hospitalet de Llobregat, Barcelona</t>
  </si>
  <si>
    <t>933 38 93 92</t>
  </si>
  <si>
    <t>41.3614376</t>
  </si>
  <si>
    <t>2.0370729</t>
  </si>
  <si>
    <t>https://goo.gl/maps/pNAoKm4Qk1BAgiYu7</t>
  </si>
  <si>
    <t>https://lh5.googleusercontent.com/p/AF1QipNxI5OdRD1QCbzLzXivzFosaxhGjlWooMdsVzoO=w426-h240-k-no</t>
  </si>
  <si>
    <t>Minhaj-ul-Quran International, Spain (Hospitalet)</t>
  </si>
  <si>
    <t>94C9+PR L&amp;apos;Hospitalet de Llobregat</t>
  </si>
  <si>
    <t>bajos 08904, Carrer Orient, 46, 08904 L&amp;apos;Hospitalet de Llobregat, Barcelona</t>
  </si>
  <si>
    <t>931 75 26 89</t>
  </si>
  <si>
    <t>https://goo.gl/maps/8ZFHHxceazipsBKH8</t>
  </si>
  <si>
    <t>https://lh5.googleusercontent.com/p/AF1QipPvF0wIt0p5iqEf_GGJl3782YYQSPeibN1k8iu_=w408-h725-k-no</t>
  </si>
  <si>
    <t>94HR+R5 Barcelona</t>
  </si>
  <si>
    <t>Plaça dels Països Catalans, 08014 Barcelona</t>
  </si>
  <si>
    <t>41.3985158</t>
  </si>
  <si>
    <t>2.1049031</t>
  </si>
  <si>
    <t>https://goo.gl/maps/9DdqcCHvPW74pbs78</t>
  </si>
  <si>
    <t>Specialisterne Spain</t>
  </si>
  <si>
    <t>F39R+5F Sant Cugat del Vallès</t>
  </si>
  <si>
    <t>Avinguda de la Torre Blanca, 57, 08172 Sant Cugat del Vallès, Barcelona</t>
  </si>
  <si>
    <t>Sant Cugat del Vallès</t>
  </si>
  <si>
    <t>es.specialisterne.com</t>
  </si>
  <si>
    <t>935 54 30 10</t>
  </si>
  <si>
    <t>41.46797</t>
  </si>
  <si>
    <t>2.0211302</t>
  </si>
  <si>
    <t>https://goo.gl/maps/g3WSWKWAPKvvawPTA</t>
  </si>
  <si>
    <t>https://lh5.googleusercontent.com/p/AF1QipOxOOIZm0KcOuf2cXaEBNlP5uCQ5zvzJv3wvj9v=w408-h270-k-no</t>
  </si>
  <si>
    <t>93JF+VF Sant Just Desvern</t>
  </si>
  <si>
    <t>Plaça Enric Morera, 08960 Sant Just Desvern, Barcelona</t>
  </si>
  <si>
    <t>Sant Just Desvern</t>
  </si>
  <si>
    <t>41.3822007</t>
  </si>
  <si>
    <t>2.0037095</t>
  </si>
  <si>
    <t>https://goo.gl/maps/u9ESkP8LFSRPtJaLA</t>
  </si>
  <si>
    <t>https://streetviewpixels-pa.googleapis.com/v1/thumbnail?panoid=NSrq5ZtIO6xM9weiCiQzUg&amp;cb_client=search.gws-prod.gps&amp;w=408&amp;h=240&amp;yaw=203.72505&amp;pitch=0&amp;thumbfov=100</t>
  </si>
  <si>
    <t>C6VR+G3 Badalona</t>
  </si>
  <si>
    <t>Carrer de la República Argentina, 86, 88, 08912 Badalona, Barcelona</t>
  </si>
  <si>
    <t>933 88 29 50</t>
  </si>
  <si>
    <t>41.4437551</t>
  </si>
  <si>
    <t>2.1701176</t>
  </si>
  <si>
    <t>https://goo.gl/maps/qL2zLrL82c6HV4YF9</t>
  </si>
  <si>
    <t>https://streetviewpixels-pa.googleapis.com/v1/thumbnail?panoid=bh_37PPrTE7mL5msGaFcGQ&amp;cb_client=search.gws-prod.gps&amp;w=408&amp;h=240&amp;yaw=45.142662&amp;pitch=0&amp;thumbfov=100</t>
  </si>
  <si>
    <t>Organización Nacional De Ciegos</t>
  </si>
  <si>
    <t>83FR+9P El Prat de Llobregat</t>
  </si>
  <si>
    <t>Avinguda del Doctor Gallart i Monés, 20, 22, 08820 El Prat de Llobregat, Barcelona</t>
  </si>
  <si>
    <t>El Prat de Llobregat</t>
  </si>
  <si>
    <t>933 79 54 48</t>
  </si>
  <si>
    <t>41.3233941</t>
  </si>
  <si>
    <t>2.0217399</t>
  </si>
  <si>
    <t>https://goo.gl/maps/vAxH9xfoWCx5kLxx5</t>
  </si>
  <si>
    <t>https://streetviewpixels-pa.googleapis.com/v1/thumbnail?panoid=butZllou09VnogyqtNFo4w&amp;cb_client=search.gws-prod.gps&amp;w=408&amp;h=240&amp;yaw=195.74124&amp;pitch=0&amp;thumbfov=100</t>
  </si>
  <si>
    <t>Creu Roja - Sant Cugat del Vallès</t>
  </si>
  <si>
    <t>F3GJ+6C Sant Cugat del Vallès</t>
  </si>
  <si>
    <t>Carrer de la Mina, 23, 08173 Sant Cugat del Vallès, Barcelona</t>
  </si>
  <si>
    <t>936 74 23 83</t>
  </si>
  <si>
    <t>41.4755526</t>
  </si>
  <si>
    <t>2.0109696</t>
  </si>
  <si>
    <t>https://goo.gl/maps/gpdLu5PwP7Yq9XSX7</t>
  </si>
  <si>
    <t>https://streetviewpixels-pa.googleapis.com/v1/thumbnail?panoid=OwLklMtzUCUrKZYnCdgwgg&amp;cb_client=search.gws-prod.gps&amp;w=408&amp;h=240&amp;yaw=190.69667&amp;pitch=0&amp;thumbfov=100</t>
  </si>
  <si>
    <t>C259+C5 Molins de Rei</t>
  </si>
  <si>
    <t>Carrer Verge del Pilar, 6, 08750 Molins de Rei, Barcelona</t>
  </si>
  <si>
    <t>Molins de Rei</t>
  </si>
  <si>
    <t>936 80 06 77</t>
  </si>
  <si>
    <t>41.4085235</t>
  </si>
  <si>
    <t>1.947869</t>
  </si>
  <si>
    <t>https://goo.gl/maps/9DYXxZAF8JQmMzdF7</t>
  </si>
  <si>
    <t>https://streetviewpixels-pa.googleapis.com/v1/thumbnail?panoid=S1aWHMCPde10HxPTiuHQZQ&amp;cb_client=search.gws-prod.gps&amp;w=408&amp;h=240&amp;yaw=247.07849&amp;pitch=0&amp;thumbfov=100</t>
  </si>
  <si>
    <t>Asociación Betel</t>
  </si>
  <si>
    <t>F2WQ+HR Rubí</t>
  </si>
  <si>
    <t>Carrer de Barcelona, 10, 08191 Rubí, Barcelona</t>
  </si>
  <si>
    <t>Rubí</t>
  </si>
  <si>
    <t>rastrobetel.org</t>
  </si>
  <si>
    <t>935 88 29 72</t>
  </si>
  <si>
    <t>ant.elarca@gmail.com</t>
  </si>
  <si>
    <t>41.4964397</t>
  </si>
  <si>
    <t>1.9695851</t>
  </si>
  <si>
    <t>https://goo.gl/maps/QHwkMoB1HCZAXE9P9</t>
  </si>
  <si>
    <t>https://streetviewpixels-pa.googleapis.com/v1/thumbnail?panoid=UhoDDUZQt7cHPlBe1d7KNQ&amp;cb_client=search.gws-prod.gps&amp;w=408&amp;h=240&amp;yaw=129.72986&amp;pitch=0&amp;thumbfov=100</t>
  </si>
  <si>
    <t>Càritas Mollet del Vallès</t>
  </si>
  <si>
    <t>G6Q7+C2 Mollet del Vallès</t>
  </si>
  <si>
    <t>Carrer de la Pau, 8, 08100 Mollet del Vallès, Barcelona</t>
  </si>
  <si>
    <t>Mollet del Vallès</t>
  </si>
  <si>
    <t>931 76 09 74</t>
  </si>
  <si>
    <t>41.5385867</t>
  </si>
  <si>
    <t>2.1425245</t>
  </si>
  <si>
    <t>https://goo.gl/maps/s3DQg9zL7czA65QV8</t>
  </si>
  <si>
    <t>https://streetviewpixels-pa.googleapis.com/v1/thumbnail?panoid=IYZMEtcc-UCnVMFKnkh8Gw&amp;cb_client=search.gws-prod.gps&amp;w=408&amp;h=240&amp;yaw=104.38305&amp;pitch=0&amp;thumbfov=100</t>
  </si>
  <si>
    <t>F9VC+CQ Premià de Mar</t>
  </si>
  <si>
    <t>Camí Ral, 240, 08330 Premià de Mar, Barcelona</t>
  </si>
  <si>
    <t>Premià de Mar</t>
  </si>
  <si>
    <t>937 52 24 95</t>
  </si>
  <si>
    <t>41.4935237</t>
  </si>
  <si>
    <t>2.3018957</t>
  </si>
  <si>
    <t>https://goo.gl/maps/xaavDraese4zHBiDA</t>
  </si>
  <si>
    <t>https://streetviewpixels-pa.googleapis.com/v1/thumbnail?panoid=6fbS1P49-OO2ZevI2PHshQ&amp;cb_client=search.gws-prod.gps&amp;w=408&amp;h=240&amp;yaw=292.91565&amp;pitch=0&amp;thumbfov=100</t>
  </si>
  <si>
    <t>Dares Inserción Laboral</t>
  </si>
  <si>
    <t>J44X+78 Sentmenat</t>
  </si>
  <si>
    <t>Avinguda Principal, 47, Nau F, 08181 Sentmenat, Barcelona</t>
  </si>
  <si>
    <t>Sentmenat</t>
  </si>
  <si>
    <t>dares.cat</t>
  </si>
  <si>
    <t>935 82 44 63</t>
  </si>
  <si>
    <t>Recurso-3@2x-8.png</t>
  </si>
  <si>
    <t>41.6057365</t>
  </si>
  <si>
    <t>2.0782863</t>
  </si>
  <si>
    <t>https://goo.gl/maps/HYsoiE6WKFGEXK7f6</t>
  </si>
  <si>
    <t>https://lh5.googleusercontent.com/p/AF1QipMtu2NRlBGucfOOJvrWfQ2FbPqrIBmvyJUvy31K=w408-h271-k-no</t>
  </si>
  <si>
    <t>GCQM+3P Mataró</t>
  </si>
  <si>
    <t>Carrer Goya, 89, 08302 Mataró, Barcelona</t>
  </si>
  <si>
    <t>Mataró</t>
  </si>
  <si>
    <t>937 58 61 81</t>
  </si>
  <si>
    <t>41.5377274</t>
  </si>
  <si>
    <t>2.3642673</t>
  </si>
  <si>
    <t>https://goo.gl/maps/UPX7jkuoCBxouiz29</t>
  </si>
  <si>
    <t>https://streetviewpixels-pa.googleapis.com/v1/thumbnail?panoid=iftZc1ZtR-0UWPXxUthYRw&amp;cb_client=search.gws-prod.gps&amp;w=408&amp;h=240&amp;yaw=148.91614&amp;pitch=0&amp;thumbfov=100</t>
  </si>
  <si>
    <t>J72R+P4 Granollers</t>
  </si>
  <si>
    <t>Av. Sant Esteve, 80, 08402 Granollers, Barcelona</t>
  </si>
  <si>
    <t>Granollers</t>
  </si>
  <si>
    <t>938 61 47 60</t>
  </si>
  <si>
    <t>41.6018418</t>
  </si>
  <si>
    <t>2.2202159</t>
  </si>
  <si>
    <t>https://goo.gl/maps/cUpxP8hiKqbGi8Gc9</t>
  </si>
  <si>
    <t>https://lh5.googleusercontent.com/p/AF1QipMIlagNN9kiaoNtUQz515eeLufOnQpEDm_4Fbzf=w408-h293-k-no</t>
  </si>
  <si>
    <t>Càritas Parroquial</t>
  </si>
  <si>
    <t>J75P+68 Granollers</t>
  </si>
  <si>
    <t>Plaça de l&amp;apos;Església, 1, 08401 Granollers, Barcelona</t>
  </si>
  <si>
    <t>938 79 36 84</t>
  </si>
  <si>
    <t>41.6081054</t>
  </si>
  <si>
    <t>2.2157297</t>
  </si>
  <si>
    <t>https://goo.gl/maps/2LRXfKbGY21i18Sp7</t>
  </si>
  <si>
    <t>https://lh5.googleusercontent.com/p/AF1QipNH74AsA5-NFmgakLGgJd3k5SB3ZQhNRFY8XClM=w408-h306-k-no</t>
  </si>
  <si>
    <t>Gerona</t>
  </si>
  <si>
    <t>Girona</t>
  </si>
  <si>
    <t>Consorci de Benestar Social Gironès-Salt</t>
  </si>
  <si>
    <t>XR67+XV Gerona</t>
  </si>
  <si>
    <t>Carrer Riera de Mus, 1A, 17003 Girona</t>
  </si>
  <si>
    <t>cbs.cat</t>
  </si>
  <si>
    <t>972 20 19 62</t>
  </si>
  <si>
    <t>41.962473</t>
  </si>
  <si>
    <t>2.7796375</t>
  </si>
  <si>
    <t>https://goo.gl/maps/wks1WKsTHxFgGGBr5</t>
  </si>
  <si>
    <t>https://streetviewpixels-pa.googleapis.com/v1/thumbnail?panoid=A7PzQDF1Mn7i6oVBRt7bGA&amp;cb_client=search.gws-prod.gps&amp;w=408&amp;h=240&amp;yaw=105.396576&amp;pitch=0&amp;thumbfov=100</t>
  </si>
  <si>
    <t>CDIAP Salt · Gironès (Grup Fundacio Ramon Noguera)</t>
  </si>
  <si>
    <t>XQFX+W3 Salt</t>
  </si>
  <si>
    <t>Carrer de Sant Romà, 43, 45, 17190 Salt, Girona</t>
  </si>
  <si>
    <t>Salt</t>
  </si>
  <si>
    <t>grupfrn.cat</t>
  </si>
  <si>
    <t>972 23 72 05</t>
  </si>
  <si>
    <t>comunicacio@grupfrn.cat</t>
  </si>
  <si>
    <t>https://goo.gl/maps/SUwUXXQhkPmX56ch7</t>
  </si>
  <si>
    <t>https://lh5.googleusercontent.com/p/AF1QipNt2nCEucyrWkfLjiqoAAaICv3RupabLGzsmBw=w408-h271-k-no</t>
  </si>
  <si>
    <t>CDIAP Girona · Gironès (Grup Fundació Ramon Noguera)</t>
  </si>
  <si>
    <t>XRH6+63 Gerona</t>
  </si>
  <si>
    <t>C/Güell, 108 baixos, 17005 Girona</t>
  </si>
  <si>
    <t>https://goo.gl/maps/JuskTv4zWDi5LVUs5</t>
  </si>
  <si>
    <t>https://lh5.googleusercontent.com/p/AF1QipO7GqoPbKRNN7sDWKJpB_9i-G2XXp_sI4DdV7Ys=w408-h271-k-no</t>
  </si>
  <si>
    <t>PIL Girona</t>
  </si>
  <si>
    <t>XQCV+82 Salt</t>
  </si>
  <si>
    <t>Carrer del President Francesc Macià, 17190 Salt, Girona</t>
  </si>
  <si>
    <t>https://goo.gl/maps/F8AZrfV9tQ4JNtmM8</t>
  </si>
  <si>
    <t>https://streetviewpixels-pa.googleapis.com/v1/thumbnail?panoid=CkRqFD3U1VdpL2qoCTmRyQ&amp;cb_client=search.gws-prod.gps&amp;w=408&amp;h=240&amp;yaw=111.556145&amp;pitch=0&amp;thumbfov=100</t>
  </si>
  <si>
    <t>XRFF+M5 Gerona</t>
  </si>
  <si>
    <t>Carrer Emili Grahit, 26, 17003 Girona</t>
  </si>
  <si>
    <t>972 41 60 61</t>
  </si>
  <si>
    <t>https://goo.gl/maps/SvgP14QmYvR8UTGx5</t>
  </si>
  <si>
    <t>https://lh5.googleusercontent.com/p/AF1QipN7nax0ybZnWWvtWCESuLpuviXWd9dIRVRbpVb8=w426-h240-k-no</t>
  </si>
  <si>
    <t>Assistència a domicili</t>
  </si>
  <si>
    <t>XRC8+H3 Gerona</t>
  </si>
  <si>
    <t>Carrer Barcelona, 93, 17003 Girona</t>
  </si>
  <si>
    <t>assistenciaadomicili.com</t>
  </si>
  <si>
    <t>972 21 47 15</t>
  </si>
  <si>
    <t>info@assistenciaadomicili.com</t>
  </si>
  <si>
    <t>41.9714951</t>
  </si>
  <si>
    <t>2.780202</t>
  </si>
  <si>
    <t>https://goo.gl/maps/Lomuvcm6rLXjWcEW9</t>
  </si>
  <si>
    <t>https://lh5.googleusercontent.com/p/AF1QipMgYswcESfCFbfhNA0opoaB_b5xwe-ODNAzfcA_=w408-h287-k-no</t>
  </si>
  <si>
    <t>Centre Ocupacional Montilivi (Grup Fundació Ramon Noguera)</t>
  </si>
  <si>
    <t>XR8G+2W Gerona</t>
  </si>
  <si>
    <t>Avinguda de Montilivi, 123, 17003 Girona</t>
  </si>
  <si>
    <t>972 23 76 11</t>
  </si>
  <si>
    <t>https://goo.gl/maps/MYxbd6HdwGnGMS2X8</t>
  </si>
  <si>
    <t>https://lh5.googleusercontent.com/p/AF1QipM9xjZZZvdAQx4QyFnMMaBBauO-DeCVZFXn6Nkb=w408-h271-k-no</t>
  </si>
  <si>
    <t>Fundació&amp;apos;La Caixa&amp;apos;</t>
  </si>
  <si>
    <t>XRMG+Q5 Gerona</t>
  </si>
  <si>
    <t>Carrer dels Ciutadans, 19, 17004 Girona</t>
  </si>
  <si>
    <t>972 48 30 71</t>
  </si>
  <si>
    <t>https://goo.gl/maps/FVnToxrFBYNNbCn99</t>
  </si>
  <si>
    <t>https://lh5.googleusercontent.com/p/AF1QipNQGOF-DYxvWglpqfsqlUYQycWiOqyAEe7gMC8A=w408-h306-k-no</t>
  </si>
  <si>
    <t>Sumar Empresa D&amp;apos;Accio Social S L</t>
  </si>
  <si>
    <t>XR9Q+35 Gerona</t>
  </si>
  <si>
    <t>Parc Científic i Tecnològic de la UdG. C/ Emili Grahit, 91. Bloc B. 3a planta, 17003 Girona</t>
  </si>
  <si>
    <t>sumaracciosocial.cat</t>
  </si>
  <si>
    <t>972 43 91 68</t>
  </si>
  <si>
    <t>info@sumaracciosocial.cat</t>
  </si>
  <si>
    <t>https://goo.gl/maps/Nx6fkx5FiPcupoix8</t>
  </si>
  <si>
    <t>https://lh5.googleusercontent.com/p/AF1QipOum0Ar7WSm2DCM4lnXPpBofzho1adrWay3NIpW=w554-h240-k-no</t>
  </si>
  <si>
    <t>Astrid 21 Fundació Síndrome de Down de Girona I Comarques</t>
  </si>
  <si>
    <t>XR78+64 Gerona</t>
  </si>
  <si>
    <t>Carrer de la Riera de Mus, 1, 17003 Girona</t>
  </si>
  <si>
    <t>fundacioastrid.org</t>
  </si>
  <si>
    <t>972 23 40 19</t>
  </si>
  <si>
    <t>info@fundacioastrid.org</t>
  </si>
  <si>
    <t>https://goo.gl/maps/oeeJgVEawKt23SZ48</t>
  </si>
  <si>
    <t>https://streetviewpixels-pa.googleapis.com/v1/thumbnail?panoid=qT9Ns4xS2ZXjS0Bi7aqJYg&amp;cb_client=search.gws-prod.gps&amp;w=408&amp;h=240&amp;yaw=186.19182&amp;pitch=0&amp;thumbfov=100</t>
  </si>
  <si>
    <t>Sersa</t>
  </si>
  <si>
    <t>XRC6+36 Gerona</t>
  </si>
  <si>
    <t>Carrer d&amp;apos;Empúries, 39, 17005 Girona</t>
  </si>
  <si>
    <t>sersaonline.com</t>
  </si>
  <si>
    <t>972 21 43 43</t>
  </si>
  <si>
    <t>infofomacio@sersaonline.com</t>
  </si>
  <si>
    <t>https://goo.gl/maps/nU87H2TpZZNVYn219</t>
  </si>
  <si>
    <t>https://streetviewpixels-pa.googleapis.com/v1/thumbnail?panoid=L1E5VmI8dbBTov9ZOEeicw&amp;cb_client=search.gws-prod.gps&amp;w=408&amp;h=240&amp;yaw=281.46463&amp;pitch=0&amp;thumbfov=100</t>
  </si>
  <si>
    <t>TRESC</t>
  </si>
  <si>
    <t>XRC8+RJ Gerona</t>
  </si>
  <si>
    <t>Carrer Universitat de Montpeller, 12, 17003 Girona</t>
  </si>
  <si>
    <t>tresc.org</t>
  </si>
  <si>
    <t>972 41 11 59</t>
  </si>
  <si>
    <t>https://goo.gl/maps/Fhr9rTUtgD8YMxMX7</t>
  </si>
  <si>
    <t>https://streetviewpixels-pa.googleapis.com/v1/thumbnail?panoid=SmYJ3P2o9Hhnw0Gk4oOViw&amp;cb_client=search.gws-prod.gps&amp;w=408&amp;h=240&amp;yaw=154.36469&amp;pitch=0&amp;thumbfov=100</t>
  </si>
  <si>
    <t>Llar residencial VIII (Grup Fundació Ramon Noguera)</t>
  </si>
  <si>
    <t>XRF3+2Q Gerona</t>
  </si>
  <si>
    <t>Carrer del Montnegre, 41, 17006 Girona</t>
  </si>
  <si>
    <t>https://goo.gl/maps/r4YsDq6RDVzUHKRg9</t>
  </si>
  <si>
    <t>https://lh5.googleusercontent.com/p/AF1QipNXLbdL4LhfOuKgUcWFPCpgXvro_o3yPxN_Gabg=w408-h271-k-no</t>
  </si>
  <si>
    <t>Associació Pensionistes I Jubilats Hermanos Sabat</t>
  </si>
  <si>
    <t>Carrer la Modaguera Gran, 17007 Girona</t>
  </si>
  <si>
    <t>Agullana</t>
  </si>
  <si>
    <t>972 22 77 62</t>
  </si>
  <si>
    <t>https://goo.gl/maps/PpvF5U23wbjzfPsk6</t>
  </si>
  <si>
    <t>https://streetviewpixels-pa.googleapis.com/v1/thumbnail?panoid=vyuVhPq-4uUI75cOCQ73tQ&amp;cb_client=search.gws-prod.gps&amp;w=408&amp;h=240&amp;yaw=340.54523&amp;pitch=0&amp;thumbfov=100</t>
  </si>
  <si>
    <t>Grup Fundació Ramon Noguera (Serveis Centrals)</t>
  </si>
  <si>
    <t>XR73+QW Gerona</t>
  </si>
  <si>
    <t>Carrer de la Indústria, 22, 17005 Girona</t>
  </si>
  <si>
    <t>https://goo.gl/maps/FpYxdsfGypSa4yiG9</t>
  </si>
  <si>
    <t>https://lh5.googleusercontent.com/p/AF1QipO85fDSnla_Bj0opcci4b0xZzkBrx7u5ROPPKqQ=w408-h272-k-no</t>
  </si>
  <si>
    <t>Llar residencial I (Grup Fundació Ramon Noguera)</t>
  </si>
  <si>
    <t>XR9F+8C Gerona</t>
  </si>
  <si>
    <t>Avinguda de Lluís Pericot, 52, 17003 Girona</t>
  </si>
  <si>
    <t>41.9802421</t>
  </si>
  <si>
    <t>2.8186672</t>
  </si>
  <si>
    <t>https://goo.gl/maps/eBgCjFFkLiVeQ5L88</t>
  </si>
  <si>
    <t>https://lh5.googleusercontent.com/p/AF1QipPXSJ5uXSSgWywUBEjLBUitcWy2iVLxXDhfixUN=w408-h271-k-no</t>
  </si>
  <si>
    <t>Associació Per La Salut Familiar I Comunitaria Ventijol</t>
  </si>
  <si>
    <t>XRMC+3Q Gerona</t>
  </si>
  <si>
    <t>Carrer Nou, 8, 17001 pral, Girona</t>
  </si>
  <si>
    <t>ventijol.cat</t>
  </si>
  <si>
    <t>638 32 56 60</t>
  </si>
  <si>
    <t>atencio@ventijol.cat</t>
  </si>
  <si>
    <t>41.963699</t>
  </si>
  <si>
    <t>2.7943544</t>
  </si>
  <si>
    <t>https://goo.gl/maps/1yA67gHGj9bwUyNJ6</t>
  </si>
  <si>
    <t>https://streetviewpixels-pa.googleapis.com/v1/thumbnail?panoid=BdS5TwAOD_oH_1NGZNDHHw&amp;cb_client=search.gws-prod.gps&amp;w=408&amp;h=240&amp;yaw=301.56076&amp;pitch=0&amp;thumbfov=100</t>
  </si>
  <si>
    <t>Plataforma Educativa</t>
  </si>
  <si>
    <t>XRH5+5J Gerona</t>
  </si>
  <si>
    <t>Carrer de la Garrotxa, 7, 17006 Girona</t>
  </si>
  <si>
    <t>plataformaeducativa.org</t>
  </si>
  <si>
    <t>972 40 54 54</t>
  </si>
  <si>
    <t>https://g.page/PlataformaEducativa?share</t>
  </si>
  <si>
    <t>https://lh5.googleusercontent.com/p/AF1QipNOYr28DH6Zo5dNJlymJfbIXFMpY1VpZGRPkcOP=w408-h306-k-no</t>
  </si>
  <si>
    <t>Cáritas Diocesana de Gerona</t>
  </si>
  <si>
    <t>Carrer d&amp;apos;Esteve Vila, 16, 17190 Salt, Girona</t>
  </si>
  <si>
    <t>972 40 17 27</t>
  </si>
  <si>
    <t>41.9726971</t>
  </si>
  <si>
    <t>2.7569251</t>
  </si>
  <si>
    <t>https://goo.gl/maps/pmRg1tkbkKxigbP16</t>
  </si>
  <si>
    <t>https://streetviewpixels-pa.googleapis.com/v1/thumbnail?panoid=1a_LlKO6ZGaBX_4iUyMc4w&amp;cb_client=search.gws-prod.gps&amp;w=408&amp;h=240&amp;yaw=88.124084&amp;pitch=0&amp;thumbfov=100</t>
  </si>
  <si>
    <t>Residència Fontajau (Grup Fundació Ramon Noguera)</t>
  </si>
  <si>
    <t>XRV7+QR Gerona</t>
  </si>
  <si>
    <t>Carrer d&amp;apos;Antoni Varés i Martinell, 31, 17007 Girona</t>
  </si>
  <si>
    <t>https://goo.gl/maps/kkgNuyqHMgzNV5Nq8</t>
  </si>
  <si>
    <t>https://lh5.googleusercontent.com/p/AF1QipNWxNL0MpsjkKtBFXX-ccwGZPUVGI4s0F3tMRoa=w408-h271-k-no</t>
  </si>
  <si>
    <t>2R3F+FM Gerona</t>
  </si>
  <si>
    <t>Carrer d&amp;apos;Àngel Marsà i Beca, 1, 17007 Girona</t>
  </si>
  <si>
    <t>972 41 42 34</t>
  </si>
  <si>
    <t>https://goo.gl/maps/77sXqfDmdWSsqspL7</t>
  </si>
  <si>
    <t>Mares de dia SCCL</t>
  </si>
  <si>
    <t>maresdedia.cat</t>
  </si>
  <si>
    <t>info@maresdedia.cat</t>
  </si>
  <si>
    <t>https://goo.gl/maps/2wikM9hjyc1obHmZ7</t>
  </si>
  <si>
    <t>https://streetviewpixels-pa.googleapis.com/v1/thumbnail?panoid=L1E5VmI8dbBTov9ZOEeicw&amp;cb_client=search.gws-prod.gps&amp;w=408&amp;h=240&amp;yaw=281.2259&amp;pitch=0&amp;thumbfov=100</t>
  </si>
  <si>
    <t>Llar de Transeünts</t>
  </si>
  <si>
    <t>XRPG+GF Gerona</t>
  </si>
  <si>
    <t>Carrer de la Claveria, 5, 17004 Girona</t>
  </si>
  <si>
    <t>872 08 11 44</t>
  </si>
  <si>
    <t>41.9863507</t>
  </si>
  <si>
    <t>2.7911729</t>
  </si>
  <si>
    <t>https://goo.gl/maps/Rxqd3VUDG5bGgftaA</t>
  </si>
  <si>
    <t>https://streetviewpixels-pa.googleapis.com/v1/thumbnail?panoid=Bl_khU5-qOHPnbw_n3nb6A&amp;cb_client=search.gws-prod.gps&amp;w=408&amp;h=240&amp;yaw=182.04393&amp;pitch=0&amp;thumbfov=100</t>
  </si>
  <si>
    <t>Muntatge Industrial (Grup Fundació Ramon Noguera)</t>
  </si>
  <si>
    <t>WRWR+Q8 Quart</t>
  </si>
  <si>
    <t>Carr. Sant Feliu de Guíxols, Km 5, 17242 Quart, Girona, Girona</t>
  </si>
  <si>
    <t>Quart</t>
  </si>
  <si>
    <t>41.9469689</t>
  </si>
  <si>
    <t>2.8057858</t>
  </si>
  <si>
    <t>https://goo.gl/maps/8AFZzBcidXqhn3zw8</t>
  </si>
  <si>
    <t>https://lh5.googleusercontent.com/p/AF1QipOPnbD2X-e5VLALiUUEgrNp7ckHlg6v7cU-bGV7=w408-h272-k-no</t>
  </si>
  <si>
    <t>AGISIS</t>
  </si>
  <si>
    <t>business.site</t>
  </si>
  <si>
    <t>683 47 19 18</t>
  </si>
  <si>
    <t>41.9324578</t>
  </si>
  <si>
    <t>2.7739243</t>
  </si>
  <si>
    <t>https://goo.gl/maps/WLWcaoyzQzbAHugf6</t>
  </si>
  <si>
    <t>https://lh5.googleusercontent.com/p/AF1QipOpDnRaIesuF5asqnb9KcUasxvaiZmsB4VoGN5l=w408-h362-k-no</t>
  </si>
  <si>
    <t>Àrea de Benestar Social del Pla de l&amp;apos;Estany-Banyoles</t>
  </si>
  <si>
    <t>4Q87+CG Banyoles</t>
  </si>
  <si>
    <t>Carrer de Pere Alsius i Torrent, 10, 17820 Banyoles, Girona</t>
  </si>
  <si>
    <t>Banyoles</t>
  </si>
  <si>
    <t>benestarsocial.plaestany.cat</t>
  </si>
  <si>
    <t>972 58 03 88</t>
  </si>
  <si>
    <t>cbs@cbsplaestany.cat</t>
  </si>
  <si>
    <t>42.1160262</t>
  </si>
  <si>
    <t>2.7288447</t>
  </si>
  <si>
    <t>https://goo.gl/maps/QiQtwRWbRHXKxsVL7</t>
  </si>
  <si>
    <t>https://streetviewpixels-pa.googleapis.com/v1/thumbnail?panoid=XSp_NywXv3Rw2HngvDvlTA&amp;cb_client=search.gws-prod.gps&amp;w=408&amp;h=240&amp;yaw=206.30638&amp;pitch=0&amp;thumbfov=100</t>
  </si>
  <si>
    <t>Càritas Diocesana de Girona</t>
  </si>
  <si>
    <t>4Q99+73 Banyoles</t>
  </si>
  <si>
    <t>Carrer de la Muralla, 28, 17820 Banyoles, Girona</t>
  </si>
  <si>
    <t>caritasgirona.cat</t>
  </si>
  <si>
    <t>972 58 30 55</t>
  </si>
  <si>
    <t>caritas@caritasgirona.cat</t>
  </si>
  <si>
    <t>42.1182022</t>
  </si>
  <si>
    <t>2.7327185</t>
  </si>
  <si>
    <t>https://goo.gl/maps/xpvC8nDg8zRbJfZMA</t>
  </si>
  <si>
    <t>https://lh5.googleusercontent.com/p/AF1QipMvgeuiK0jciXPSNxeS6g8n9S6OrM490jQiVhUd=w408-h544-k-no</t>
  </si>
  <si>
    <t>Blanes</t>
  </si>
  <si>
    <t>RVGW+M6 Llagostera</t>
  </si>
  <si>
    <t>Carrer Barceloneta, 2, 17240 Llagostera, Girona</t>
  </si>
  <si>
    <t>Llagostera</t>
  </si>
  <si>
    <t>creuroja.org</t>
  </si>
  <si>
    <t>972 83 02 54</t>
  </si>
  <si>
    <t>41.8266585</t>
  </si>
  <si>
    <t>2.8605384</t>
  </si>
  <si>
    <t>https://goo.gl/maps/wtZCQ7h4gxwdzAfr8</t>
  </si>
  <si>
    <t>https://streetviewpixels-pa.googleapis.com/v1/thumbnail?panoid=kc30aLcL1OvtGj8d91p2cQ&amp;cb_client=search.gws-prod.gps&amp;w=408&amp;h=240&amp;yaw=233.35722&amp;pitch=0&amp;thumbfov=100</t>
  </si>
  <si>
    <t>CDIAP Pla de l&amp;apos;Estany</t>
  </si>
  <si>
    <t>4QFH+3R Banyoles</t>
  </si>
  <si>
    <t>Carrer Catalunya, 48, 17820 Banyoles, Girona</t>
  </si>
  <si>
    <t>972 57 68 52</t>
  </si>
  <si>
    <t>42.1226315</t>
  </si>
  <si>
    <t>2.7446057</t>
  </si>
  <si>
    <t>https://goo.gl/maps/C4gYwm4LYYUGYhw78</t>
  </si>
  <si>
    <t>https://streetviewpixels-pa.googleapis.com/v1/thumbnail?panoid=bElbwDtzuBCn_Zse7Oi0Qw&amp;cb_client=search.gws-prod.gps&amp;w=408&amp;h=240&amp;yaw=234.56711&amp;pitch=0&amp;thumbfov=100</t>
  </si>
  <si>
    <t>Creu Roja Palamós</t>
  </si>
  <si>
    <t>V42G+9Q San Juan de Palamós</t>
  </si>
  <si>
    <t>Carrer de la Mercè, 17, 17230 Sant Joan de Palamós, Girona</t>
  </si>
  <si>
    <t>San Juan de Palamós</t>
  </si>
  <si>
    <t>972 60 22 11</t>
  </si>
  <si>
    <t>41.8509323</t>
  </si>
  <si>
    <t>3.0918569</t>
  </si>
  <si>
    <t>https://goo.gl/maps/gUT5vxkDtRFn4YJs5</t>
  </si>
  <si>
    <t>https://lh5.googleusercontent.com/p/AF1QipNUywKxv8qfPUJvsmJoLkrTVjtDor8AhpiXTJfa=w408-h306-k-no</t>
  </si>
  <si>
    <t>7XF8+22 Figueres</t>
  </si>
  <si>
    <t>Avinguda de la Costa Brava, 68, 17600 Figueres, Girona</t>
  </si>
  <si>
    <t>Figueres</t>
  </si>
  <si>
    <t>972 50 59 51</t>
  </si>
  <si>
    <t>42.2725442</t>
  </si>
  <si>
    <t>2.930078</t>
  </si>
  <si>
    <t>https://goo.gl/maps/9FvPqHdx7DGXwyHz7</t>
  </si>
  <si>
    <t>https://streetviewpixels-pa.googleapis.com/v1/thumbnail?panoid=Uur4bHBgFNJLz3mTYDLcxg&amp;cb_client=search.gws-prod.gps&amp;w=408&amp;h=240&amp;yaw=171.98494&amp;pitch=0&amp;thumbfov=100</t>
  </si>
  <si>
    <t>Consorci de Benestar Social del Ripollès</t>
  </si>
  <si>
    <t>55XV+3P Ripoll</t>
  </si>
  <si>
    <t>Carrer del Progrés, 22, 17500 Ripoll, Girona</t>
  </si>
  <si>
    <t>Ripoll</t>
  </si>
  <si>
    <t>cbsripolles.cat</t>
  </si>
  <si>
    <t>972 71 58 39</t>
  </si>
  <si>
    <t>cbsripolles@ripolles.cat</t>
  </si>
  <si>
    <t>42.1977156</t>
  </si>
  <si>
    <t>2.159333</t>
  </si>
  <si>
    <t>https://goo.gl/maps/x14uUnEqoGJe2GLg6</t>
  </si>
  <si>
    <t>https://streetviewpixels-pa.googleapis.com/v1/thumbnail?panoid=hkx2sL1ylNouQfDRg9w1wg&amp;cb_client=search.gws-prod.gps&amp;w=408&amp;h=240&amp;yaw=225.80634&amp;pitch=0&amp;thumbfov=100</t>
  </si>
  <si>
    <t>7X98+25 Figueres</t>
  </si>
  <si>
    <t>Carrer Sant Francesc de Paula, 24, 17600 Figueres, Girona</t>
  </si>
  <si>
    <t>972 51 36 52</t>
  </si>
  <si>
    <t>42.2675324</t>
  </si>
  <si>
    <t>2.9304685</t>
  </si>
  <si>
    <t>https://goo.gl/maps/sjcpNsdP5DW85tz97</t>
  </si>
  <si>
    <t>https://streetviewpixels-pa.googleapis.com/v1/thumbnail?panoid=oP-1_xhNbV8Y-XVK8Yk1mg&amp;cb_client=search.gws-prod.gps&amp;w=408&amp;h=240&amp;yaw=57.24227&amp;pitch=0&amp;thumbfov=100</t>
  </si>
  <si>
    <t>MQGQ+MV Blanes</t>
  </si>
  <si>
    <t>Rambla de Joaquim Ruyra, 48, 50, 17300 Blanes, Girona</t>
  </si>
  <si>
    <t>972 35 20 53</t>
  </si>
  <si>
    <t>41.6766498</t>
  </si>
  <si>
    <t>2.7546855</t>
  </si>
  <si>
    <t>https://goo.gl/maps/SDndk9mCqyyF4rZ68</t>
  </si>
  <si>
    <t>https://streetviewpixels-pa.googleapis.com/v1/thumbnail?panoid=HsQc00rch2It0WzF9u9p5g&amp;cb_client=search.gws-prod.gps&amp;w=408&amp;h=240&amp;yaw=69.93602&amp;pitch=0&amp;thumbfov=100</t>
  </si>
  <si>
    <t>7X56+MM Figueres</t>
  </si>
  <si>
    <t>Carrer Albert Cotó, 1, 17600 Figueres, Girona</t>
  </si>
  <si>
    <t>972 67 29 39</t>
  </si>
  <si>
    <t>42.2591489</t>
  </si>
  <si>
    <t>2.9266195</t>
  </si>
  <si>
    <t>https://goo.gl/maps/gHDvaKkMk3kfoNuy5</t>
  </si>
  <si>
    <t>https://streetviewpixels-pa.googleapis.com/v1/thumbnail?panoid=2AgaYNQoOLdNorpx1gaVmA&amp;cb_client=search.gws-prod.gps&amp;w=408&amp;h=240&amp;yaw=179.87994&amp;pitch=0&amp;thumbfov=100</t>
  </si>
  <si>
    <t>Lérida</t>
  </si>
  <si>
    <t>Lleida</t>
  </si>
  <si>
    <t>Institut de Treball Social I Serveis Socials</t>
  </si>
  <si>
    <t>JJHH+M8 Lérida</t>
  </si>
  <si>
    <t>Carrer del Corregidor Escofet, 77, 25005 Lleida</t>
  </si>
  <si>
    <t>973 22 23 05</t>
  </si>
  <si>
    <t>41.6292108</t>
  </si>
  <si>
    <t>0.610865</t>
  </si>
  <si>
    <t>https://goo.gl/maps/shz37feKanVCPzd88</t>
  </si>
  <si>
    <t>https://streetviewpixels-pa.googleapis.com/v1/thumbnail?panoid=urEuzgzzuvkZ6GR2MJGlDw&amp;cb_client=search.gws-prod.gps&amp;w=408&amp;h=240&amp;yaw=236.21695&amp;pitch=0&amp;thumbfov=100</t>
  </si>
  <si>
    <t>41.6142539</t>
  </si>
  <si>
    <t>0.6058916</t>
  </si>
  <si>
    <t>Fundació Arrels Sant Ignasi</t>
  </si>
  <si>
    <t>JJ5C+Q4 Lérida</t>
  </si>
  <si>
    <t>Av. de Madrid, 7, 2n - dreta, 25002 Lleida</t>
  </si>
  <si>
    <t>arrelssantignasi.cat</t>
  </si>
  <si>
    <t>973 28 90 00</t>
  </si>
  <si>
    <t>info@arrelssantignasi.cat</t>
  </si>
  <si>
    <t>Asociación Aspid</t>
  </si>
  <si>
    <t>57</t>
  </si>
  <si>
    <t>JJ9P+VC Lérida</t>
  </si>
  <si>
    <t>Carrer Roger de Llúria, 6, 25005 Lleida</t>
  </si>
  <si>
    <t>aspid.cat</t>
  </si>
  <si>
    <t>973 22 89 80</t>
  </si>
  <si>
    <t>aspid@aspid.cat</t>
  </si>
  <si>
    <t>https://goo.gl/maps/wRRcdMXqQQkmrtNy8</t>
  </si>
  <si>
    <t>https://lh5.googleusercontent.com/p/AF1QipNfHAca9TWNpxX8VSeguAF57KJyConAq4vu7Ng0=w408-h273-k-no</t>
  </si>
  <si>
    <t>Serveis d&amp;apos;Assistència Personal i Atenció Domiciliària d&amp;apos;ASPID</t>
  </si>
  <si>
    <t>JJFF+XM Lérida</t>
  </si>
  <si>
    <t>Carrer Príncep de Viana, 94, Baixos, 25008 Lleida</t>
  </si>
  <si>
    <t>aspidautonomia.cat</t>
  </si>
  <si>
    <t>https://goo.gl/maps/QXpkBRFfKMPRRtTC6</t>
  </si>
  <si>
    <t>https://streetviewpixels-pa.googleapis.com/v1/thumbnail?panoid=W8TIdZvBrG-64XXBJurfUg&amp;cb_client=search.gws-prod.gps&amp;w=408&amp;h=240&amp;yaw=67.3651&amp;pitch=0&amp;thumbfov=100</t>
  </si>
  <si>
    <t>Egar365 Cuidado de Personas Mayores Lleida</t>
  </si>
  <si>
    <t>JJCM+FP Lérida</t>
  </si>
  <si>
    <t>Carrer Roger de Llúria, 26, 25005 Lleida</t>
  </si>
  <si>
    <t>egar365lleida.es</t>
  </si>
  <si>
    <t>688 95 53 65</t>
  </si>
  <si>
    <t>email@example.com</t>
  </si>
  <si>
    <t>https://goo.gl/maps/Kxm8ZpNFdgge5F8C6</t>
  </si>
  <si>
    <t>https://lh5.googleusercontent.com/p/AF1QipO0w6RV9h_nRC7QStoEpdJxkG002_ztWMzadB0-=w408-h272-k-no</t>
  </si>
  <si>
    <t>Comoditat Al Malalt Sl</t>
  </si>
  <si>
    <t>JJ77+QX Lérida</t>
  </si>
  <si>
    <t>Avinguda de Pius XII, 13, 25003 Lleida</t>
  </si>
  <si>
    <t>973 26 44 84</t>
  </si>
  <si>
    <t>https://goo.gl/maps/HGjKo2Ke8Hcem28c9</t>
  </si>
  <si>
    <t>https://streetviewpixels-pa.googleapis.com/v1/thumbnail?panoid=AJ38VI99vxvr33Z7_aFGpQ&amp;cb_client=search.gws-prod.gps&amp;w=408&amp;h=240&amp;yaw=163.83334&amp;pitch=0&amp;thumbfov=100</t>
  </si>
  <si>
    <t>Hostal Jericó</t>
  </si>
  <si>
    <t>JJ8C+3V Lérida</t>
  </si>
  <si>
    <t>Carrer Tallada, 33, 25002 Lleida</t>
  </si>
  <si>
    <t>973 59 08 23</t>
  </si>
  <si>
    <t>41.6143954</t>
  </si>
  <si>
    <t>0.5974668</t>
  </si>
  <si>
    <t>https://goo.gl/maps/jPTGo9igwkCx8uxN8</t>
  </si>
  <si>
    <t>https://lh5.googleusercontent.com/p/AF1QipOBUisyyff0StIo7YYFeWQIG3yo4RRJjpIa7E26=w426-h240-k-no</t>
  </si>
  <si>
    <t>Arrels Centre Obert</t>
  </si>
  <si>
    <t>JJ8C+QV Lérida</t>
  </si>
  <si>
    <t>Carrer Panera, 7, 1r pis, 25002 Lleida</t>
  </si>
  <si>
    <t>973 27 52 92</t>
  </si>
  <si>
    <t>https://goo.gl/maps/UM84qbBrtNEf4nBaA</t>
  </si>
  <si>
    <t>https://lh5.googleusercontent.com/p/AF1QipM-H361OoYO14L4mFAlViYUvNfGSkMzEmaVSZPv=w425-h240-k-no</t>
  </si>
  <si>
    <t>41.603255</t>
  </si>
  <si>
    <t>0.6304145</t>
  </si>
  <si>
    <t>JJ8M+Q2 Lérida</t>
  </si>
  <si>
    <t>Avinguda del Segre, 7, 25007 Lleida</t>
  </si>
  <si>
    <t>973 23 13 92</t>
  </si>
  <si>
    <t>https://goo.gl/maps/SMbWH7p3cQnt8Jt67</t>
  </si>
  <si>
    <t>https://streetviewpixels-pa.googleapis.com/v1/thumbnail?panoid=W6QInVxBkMmQbV0ZLYzbAw&amp;cb_client=search.gws-prod.gps&amp;w=408&amp;h=240&amp;yaw=348.74542&amp;pitch=0&amp;thumbfov=100</t>
  </si>
  <si>
    <t>Llar La Torxa</t>
  </si>
  <si>
    <t>JJ2Q+29 Lérida</t>
  </si>
  <si>
    <t>Avinguda de Fontanet, 25001 Lleida</t>
  </si>
  <si>
    <t>https://goo.gl/maps/jqEMt6ydJdRMisi76</t>
  </si>
  <si>
    <t>https://streetviewpixels-pa.googleapis.com/v1/thumbnail?panoid=6sNPVSnqaXEu9Qos-2q7SQ&amp;cb_client=search.gws-prod.gps&amp;w=408&amp;h=240&amp;yaw=24.335644&amp;pitch=0&amp;thumbfov=100</t>
  </si>
  <si>
    <t>Associació de Jubilats I Pensionistes de Magraners</t>
  </si>
  <si>
    <t>JM57+F4 Lérida</t>
  </si>
  <si>
    <t>Plaça Joan XXIII, 1, 25001 Lleida</t>
  </si>
  <si>
    <t>41.6087224</t>
  </si>
  <si>
    <t>0.6453588</t>
  </si>
  <si>
    <t>https://goo.gl/maps/JEMZ2TPq8LH1ShQTA</t>
  </si>
  <si>
    <t>https://streetviewpixels-pa.googleapis.com/v1/thumbnail?panoid=5JwsZsbV1ExYv2dj62MXmQ&amp;cb_client=search.gws-prod.gps&amp;w=408&amp;h=240&amp;yaw=286.46167&amp;pitch=0&amp;thumbfov=100</t>
  </si>
  <si>
    <t>Fundació Aspros</t>
  </si>
  <si>
    <t>JJCX+RC Lérida</t>
  </si>
  <si>
    <t>Polígono Industrial El Segre, s/n, 25191 Lleida</t>
  </si>
  <si>
    <t>973 18 41 88</t>
  </si>
  <si>
    <t>https://goo.gl/maps/dR6UGCiB9d9Pkw277</t>
  </si>
  <si>
    <t>https://streetviewpixels-pa.googleapis.com/v1/thumbnail?panoid=wG46tXauEKyDa7YVdpvmjA&amp;cb_client=search.gws-prod.gps&amp;w=408&amp;h=240&amp;yaw=330.9712&amp;pitch=0&amp;thumbfov=100</t>
  </si>
  <si>
    <t>Fundación Social San Ignacio de Loyola</t>
  </si>
  <si>
    <t>Carrer Panera, 7, 25002 Lleida</t>
  </si>
  <si>
    <t>41.6169488</t>
  </si>
  <si>
    <t>0.604665</t>
  </si>
  <si>
    <t>https://goo.gl/maps/U7JrFiFMpCWekmNd7</t>
  </si>
  <si>
    <t>https://streetviewpixels-pa.googleapis.com/v1/thumbnail?panoid=YT6NtySmDx1B8nFYtuh4Jg&amp;cb_client=search.gws-prod.gps&amp;w=408&amp;h=240&amp;yaw=256.0179&amp;pitch=0&amp;thumbfov=100</t>
  </si>
  <si>
    <t>JJ2V+C4 Lérida</t>
  </si>
  <si>
    <t>Carrer Metge Mercè, 0, 25001 Lleida</t>
  </si>
  <si>
    <t>41.6010687</t>
  </si>
  <si>
    <t>0.6252824</t>
  </si>
  <si>
    <t>https://goo.gl/maps/cY7XtNkHHsxUXY4K7</t>
  </si>
  <si>
    <t>https://streetviewpixels-pa.googleapis.com/v1/thumbnail?panoid=cGZqNFNFJghougI2dD3QNw&amp;cb_client=search.gws-prod.gps&amp;w=408&amp;h=240&amp;yaw=335.6531&amp;pitch=0&amp;thumbfov=100</t>
  </si>
  <si>
    <t>Remar Cataluña</t>
  </si>
  <si>
    <t>JJ77+59 Lérida</t>
  </si>
  <si>
    <t>Gran Passeig de Ronda, 31, 25003 Lleida</t>
  </si>
  <si>
    <t>973 27 11 85</t>
  </si>
  <si>
    <t>41.6129865</t>
  </si>
  <si>
    <t>0.5959229</t>
  </si>
  <si>
    <t>https://goo.gl/maps/Gz51C9WQ1V37M9ZD7</t>
  </si>
  <si>
    <t>https://streetviewpixels-pa.googleapis.com/v1/thumbnail?panoid=N6oqPa1K7IZy3OMiUXeOyQ&amp;cb_client=search.gws-prod.gps&amp;w=408&amp;h=240&amp;yaw=261.40582&amp;pitch=0&amp;thumbfov=100</t>
  </si>
  <si>
    <t>El Centre; espai de desenvolupament personal</t>
  </si>
  <si>
    <t>JJ99+CV Lérida</t>
  </si>
  <si>
    <t>Carrer de Balmes, 34 4rt, 1A, 25006 Lleida</t>
  </si>
  <si>
    <t>elcentrelleida.wordpress.com</t>
  </si>
  <si>
    <t>659 46 47 24</t>
  </si>
  <si>
    <t>https://goo.gl/maps/8AVj4PQhjvevsTG67</t>
  </si>
  <si>
    <t>https://streetviewpixels-pa.googleapis.com/v1/thumbnail?panoid=yylFQ9X7E7l6sqaFh07-Vg&amp;cb_client=search.gws-prod.gps&amp;w=408&amp;h=240&amp;yaw=78.39156&amp;pitch=0&amp;thumbfov=100</t>
  </si>
  <si>
    <t>Fundación Privada Libra</t>
  </si>
  <si>
    <t>JJ69+QP Lérida</t>
  </si>
  <si>
    <t>Carrer Lluís Companys, 1, 25003 Lleida</t>
  </si>
  <si>
    <t>41.6118778</t>
  </si>
  <si>
    <t>0.6017597</t>
  </si>
  <si>
    <t>https://goo.gl/maps/Q9g5GykvvbAt2do47</t>
  </si>
  <si>
    <t>https://streetviewpixels-pa.googleapis.com/v1/thumbnail?panoid=-CUcUC6SKk0qX4KT-YLK-A&amp;cb_client=search.gws-prod.gps&amp;w=408&amp;h=240&amp;yaw=175.82135&amp;pitch=0&amp;thumbfov=100</t>
  </si>
  <si>
    <t>Nonni Serveis Assistència i Neteja S.L.U.</t>
  </si>
  <si>
    <t>JJ5J+GJ Lérida</t>
  </si>
  <si>
    <t>Carrer de l&amp;apos;Abat Escarré, 6, 25001 Lleida</t>
  </si>
  <si>
    <t>646 43 54 71</t>
  </si>
  <si>
    <t>41.6088726</t>
  </si>
  <si>
    <t>0.614112</t>
  </si>
  <si>
    <t>https://goo.gl/maps/sgFXxBC79dZa7aad7</t>
  </si>
  <si>
    <t>https://streetviewpixels-pa.googleapis.com/v1/thumbnail?panoid=QAF2GriZpX9Mt3CUh-pp5Q&amp;cb_client=search.gws-prod.gps&amp;w=408&amp;h=240&amp;yaw=323.69193&amp;pitch=0&amp;thumbfov=100</t>
  </si>
  <si>
    <t>Agrupa&amp;apos;t</t>
  </si>
  <si>
    <t>JJFF+8H Lérida</t>
  </si>
  <si>
    <t>Carrer Ramon Llull, 12, 25004 Lleida</t>
  </si>
  <si>
    <t>973 27 51 58</t>
  </si>
  <si>
    <t>https://goo.gl/maps/u858jFetK4d2oBoT9</t>
  </si>
  <si>
    <t>https://streetviewpixels-pa.googleapis.com/v1/thumbnail?panoid=CZ1tQadY2LFD-I3LNn1VKg&amp;cb_client=search.gws-prod.gps&amp;w=408&amp;h=240&amp;yaw=0.2745217&amp;pitch=0&amp;thumbfov=100</t>
  </si>
  <si>
    <t>Tàrrega</t>
  </si>
  <si>
    <t>Creu roja l&amp;apos;Urgell</t>
  </si>
  <si>
    <t>J4XP+2C Tàrrega</t>
  </si>
  <si>
    <t>Av. de Catalunya, 51, 25300 Tàrrega, Lleida</t>
  </si>
  <si>
    <t>973 50 06 79</t>
  </si>
  <si>
    <t>41.6475478</t>
  </si>
  <si>
    <t>1.1185962</t>
  </si>
  <si>
    <t>https://goo.gl/maps/KzvftZ1T4ehzGSzeA</t>
  </si>
  <si>
    <t>https://lh5.googleusercontent.com/p/AF1QipN0mnez56p-uO06LoI1OBGySxUgBMSvuI1Sjosh=w408-h725-k-no</t>
  </si>
  <si>
    <t>Tarragona</t>
  </si>
  <si>
    <t>41.1257942</t>
  </si>
  <si>
    <t>1.2385834</t>
  </si>
  <si>
    <t>Institut Municipal de Serveis Socials de Tarragona</t>
  </si>
  <si>
    <t>4772+64 Tarragona</t>
  </si>
  <si>
    <t>Plaça General Prim, 6, 43001 Tarragona</t>
  </si>
  <si>
    <t>977 55 00 08</t>
  </si>
  <si>
    <t>https://goo.gl/maps/F4SH36g4ZVNwiUcM8</t>
  </si>
  <si>
    <t>https://lh5.googleusercontent.com/p/AF1QipNRa1fSKhbsHxRIC4vVRs7AxCixaegAt_NIPC4=w408-h725-k-no</t>
  </si>
  <si>
    <t>466R+2M Tarragona</t>
  </si>
  <si>
    <t>Carrer de Gravina, 25, 43004 Tarragona</t>
  </si>
  <si>
    <t>977 22 78 52</t>
  </si>
  <si>
    <t>41.11004</t>
  </si>
  <si>
    <t>1.2066411</t>
  </si>
  <si>
    <t>https://goo.gl/maps/1BD7GnzKnxiRfFfN6</t>
  </si>
  <si>
    <t>https://lh5.googleusercontent.com/p/AF1QipPJnMYCeYAb928CtWG_BsCRZuLyhwWOO_QtTh9g=w408-h544-k-no</t>
  </si>
  <si>
    <t>4796+CG Tarragona</t>
  </si>
  <si>
    <t>Camí de la Cuixa, 1, 43007 Tarragona</t>
  </si>
  <si>
    <t>977 22 11 04</t>
  </si>
  <si>
    <t>https://goo.gl/maps/Q6wkQh7YWuuGmtTV7</t>
  </si>
  <si>
    <t>https://streetviewpixels-pa.googleapis.com/v1/thumbnail?panoid=EVL7eXhRpKX46_Id2J75Mg&amp;cb_client=search.gws-prod.gps&amp;w=408&amp;h=240&amp;yaw=216.26637&amp;pitch=0&amp;thumbfov=100</t>
  </si>
  <si>
    <t>Centre obert La Canonja</t>
  </si>
  <si>
    <t>45CM+Q3 Tarragona</t>
  </si>
  <si>
    <t>Bisbe Miquel Domènech i Veciana, 1, 43110 Tarragona</t>
  </si>
  <si>
    <t>977 54 50 18</t>
  </si>
  <si>
    <t>41.121926</t>
  </si>
  <si>
    <t>1.1477251</t>
  </si>
  <si>
    <t>https://goo.gl/maps/KVQ2jhYgJSTVnpWBA</t>
  </si>
  <si>
    <t>https://streetviewpixels-pa.googleapis.com/v1/thumbnail?panoid=YaoP8mlC4anCrhO2wyXEwQ&amp;cb_client=search.gws-prod.gps&amp;w=408&amp;h=240&amp;yaw=108.05549&amp;pitch=0&amp;thumbfov=100</t>
  </si>
  <si>
    <t>Tarragona Stels S.C.C.L.</t>
  </si>
  <si>
    <t>47C3+F5 Tarragona</t>
  </si>
  <si>
    <t>Carrer de Florenci Vives, 8, 43002 Tarragona</t>
  </si>
  <si>
    <t>977 22 31 07</t>
  </si>
  <si>
    <t>41.1211985</t>
  </si>
  <si>
    <t>1.217874</t>
  </si>
  <si>
    <t>https://goo.gl/maps/pVX4Psqqrz7JnnMA7</t>
  </si>
  <si>
    <t>https://streetviewpixels-pa.googleapis.com/v1/thumbnail?panoid=9Ljn_9t0HZh3abTyvGDFQA&amp;cb_client=search.gws-prod.gps&amp;w=408&amp;h=240&amp;yaw=312.727&amp;pitch=0&amp;thumbfov=100</t>
  </si>
  <si>
    <t>Ecom</t>
  </si>
  <si>
    <t>ecom.cat</t>
  </si>
  <si>
    <t>972 23 45 02</t>
  </si>
  <si>
    <t>lcarrillo@ecom.cat</t>
  </si>
  <si>
    <t>41.1130737</t>
  </si>
  <si>
    <t>1.2152989</t>
  </si>
  <si>
    <t>https://goo.gl/maps/Pv5zNWTi61bsk2jA7</t>
  </si>
  <si>
    <t>https://streetviewpixels-pa.googleapis.com/v1/thumbnail?panoid=xzlz4mAexw8_j1_1QpyBow&amp;cb_client=search.gws-prod.gps&amp;w=408&amp;h=240&amp;yaw=301.98694&amp;pitch=0&amp;thumbfov=100</t>
  </si>
  <si>
    <t>469X+XW Tarragona</t>
  </si>
  <si>
    <t>Carrer de Pin i Soler, 3, 43002 Tarragona</t>
  </si>
  <si>
    <t>977 22 96 56</t>
  </si>
  <si>
    <t>41.1198917</t>
  </si>
  <si>
    <t>1.2147543</t>
  </si>
  <si>
    <t>https://goo.gl/maps/4mwgkHF7AzikJtGV8</t>
  </si>
  <si>
    <t>https://lh5.googleusercontent.com/p/AF1QipOXfjrqbHfzKVKzSt-eV4wieXVrLW-0qkNEoG7s=w408-h541-k-no</t>
  </si>
  <si>
    <t>Soledad Pérez Gimeno</t>
  </si>
  <si>
    <t>46CQ+3Q Tarragona</t>
  </si>
  <si>
    <t>Carrer Pau Claris, 1, 43005 Tarragona</t>
  </si>
  <si>
    <t>977 22 15 43</t>
  </si>
  <si>
    <t>41.1195893</t>
  </si>
  <si>
    <t>1.2127289</t>
  </si>
  <si>
    <t>https://goo.gl/maps/J6pqqyhas81D8GM99</t>
  </si>
  <si>
    <t>https://streetviewpixels-pa.googleapis.com/v1/thumbnail?panoid=4B6l9zFeto7yx5uJ6pxIEg&amp;cb_client=search.gws-prod.gps&amp;w=408&amp;h=240&amp;yaw=4.090551&amp;pitch=0&amp;thumbfov=100</t>
  </si>
  <si>
    <t>Taula Amiga</t>
  </si>
  <si>
    <t>4772+J7 Tarragona</t>
  </si>
  <si>
    <t>Carrer del Cardenal Cervantes, 4B, 43001 Tarragona</t>
  </si>
  <si>
    <t>41.1181439</t>
  </si>
  <si>
    <t>1.2037852</t>
  </si>
  <si>
    <t>https://goo.gl/maps/Vts8CHC4ybYqMoRk6</t>
  </si>
  <si>
    <t>https://streetviewpixels-pa.googleapis.com/v1/thumbnail?panoid=ISPXOFNzag3Z9cESrxXZuw&amp;cb_client=search.gws-prod.gps&amp;w=408&amp;h=240&amp;yaw=271.9719&amp;pitch=0&amp;thumbfov=100</t>
  </si>
  <si>
    <t>Cephadiss</t>
  </si>
  <si>
    <t>469W+3F Tarragona</t>
  </si>
  <si>
    <t>Av. Prat de la Riba, 35, 43001 Tarragona</t>
  </si>
  <si>
    <t>cephadiss.ueniweb.com</t>
  </si>
  <si>
    <t>cephadiss@gmail.com</t>
  </si>
  <si>
    <t>https://goo.gl/maps/bVpeP4wv3o5DXjcK6</t>
  </si>
  <si>
    <t>https://streetviewpixels-pa.googleapis.com/v1/thumbnail?panoid=QwI_qpoXPRt1Ls_fCRLKRg&amp;cb_client=search.gws-prod.gps&amp;w=408&amp;h=240&amp;yaw=69.03129&amp;pitch=0&amp;thumbfov=100</t>
  </si>
  <si>
    <t>Fundació Privada Onada</t>
  </si>
  <si>
    <t>46VG+3R Tarragona</t>
  </si>
  <si>
    <t>C/Mercuri, 163 – Pol. Ind. Riu Clar,, 43006 Tarragona</t>
  </si>
  <si>
    <t>fundacioonada.org</t>
  </si>
  <si>
    <t>977 55 29 26</t>
  </si>
  <si>
    <t>onada@fundacioonada.org</t>
  </si>
  <si>
    <t>https://goo.gl/maps/2i5vnPXkftwbpbw19</t>
  </si>
  <si>
    <t>https://streetviewpixels-pa.googleapis.com/v1/thumbnail?panoid=gCVpKxT24Qg6xRzOxWznJA&amp;cb_client=search.gws-prod.gps&amp;w=408&amp;h=240&amp;yaw=97.56143&amp;pitch=0&amp;thumbfov=100</t>
  </si>
  <si>
    <t>Angels Fabregat Cervera</t>
  </si>
  <si>
    <t>466X+8V Tarragona</t>
  </si>
  <si>
    <t>Plaça dels Carros, 11, 43004 Tarragona</t>
  </si>
  <si>
    <t>615 49 11 95</t>
  </si>
  <si>
    <t>https://goo.gl/maps/m4qWpccF3qVW9sUQ8</t>
  </si>
  <si>
    <t>https://streetviewpixels-pa.googleapis.com/v1/thumbnail?panoid=psBd-t1IvnPFKOvlZTznnw&amp;cb_client=search.gws-prod.gps&amp;w=408&amp;h=240&amp;yaw=3.5950253&amp;pitch=0&amp;thumbfov=100</t>
  </si>
  <si>
    <t>Oficina de Bienestar Social y Familia de Reus</t>
  </si>
  <si>
    <t>106</t>
  </si>
  <si>
    <t>44XC+2P Reus</t>
  </si>
  <si>
    <t>Carrer Mas Pellicer, 55, 43204 Reus, Tarragona</t>
  </si>
  <si>
    <t>Reus</t>
  </si>
  <si>
    <t>reus.cat</t>
  </si>
  <si>
    <t>977 75 79 92</t>
  </si>
  <si>
    <t>41.1475514</t>
  </si>
  <si>
    <t>1.0868093</t>
  </si>
  <si>
    <t>https://goo.gl/maps/K6aGmPvFnssEauDX8</t>
  </si>
  <si>
    <t>https://lh5.googleusercontent.com/p/AF1QipP7byzKhWzWgBG-erTywDQE5DHM5WyElr4LRa8L=w408-h544-k-no</t>
  </si>
  <si>
    <t>Asistencia Social A la Infancia y la Familia</t>
  </si>
  <si>
    <t>33F3+F3 Cambrils</t>
  </si>
  <si>
    <t>Carrer de Sant Plàcid, 5, 43850 Cambrils, Tarragona</t>
  </si>
  <si>
    <t>Cambrils</t>
  </si>
  <si>
    <t>cambrils.cat</t>
  </si>
  <si>
    <t>977 36 81 90</t>
  </si>
  <si>
    <t>41.0737297</t>
  </si>
  <si>
    <t>1.0176826</t>
  </si>
  <si>
    <t>https://goo.gl/maps/DzHkgbG8vrqDEehH7</t>
  </si>
  <si>
    <t>https://streetviewpixels-pa.googleapis.com/v1/thumbnail?panoid=DJegV_Z26QX1A6ZJlIEfRA&amp;cb_client=search.gws-prod.gps&amp;w=408&amp;h=240&amp;yaw=3.481874&amp;pitch=0&amp;thumbfov=100</t>
  </si>
  <si>
    <t>Creu Roja - Reus</t>
  </si>
  <si>
    <t>533X+QG Reus</t>
  </si>
  <si>
    <t>Carrer del Dr. Ferran, 33, 43202 Reus, Tarragona</t>
  </si>
  <si>
    <t>977 32 05 56</t>
  </si>
  <si>
    <t>41.1544894</t>
  </si>
  <si>
    <t>1.0637795</t>
  </si>
  <si>
    <t>https://goo.gl/maps/8jQSvwzPavYpTLiV8</t>
  </si>
  <si>
    <t>https://streetviewpixels-pa.googleapis.com/v1/thumbnail?panoid=iH57D2_HgeCVFu-gzsLX8g&amp;cb_client=search.gws-prod.gps&amp;w=408&amp;h=240&amp;yaw=331.8203&amp;pitch=0&amp;thumbfov=100</t>
  </si>
  <si>
    <t>5454+59 Reus</t>
  </si>
  <si>
    <t>Plaça de la Llibertat, 9, 43201 Reus, Tarragona</t>
  </si>
  <si>
    <t>977 77 32 42</t>
  </si>
  <si>
    <t>41.1578911</t>
  </si>
  <si>
    <t>1.0708967</t>
  </si>
  <si>
    <t>https://goo.gl/maps/9pLpqoDzYFTH8UyD6</t>
  </si>
  <si>
    <t>https://lh5.googleusercontent.com/p/AF1QipPxUWy4uvn1SHU9SqaSSMiyFD2b1J32B_e6u6DQ=w408-h545-k-no</t>
  </si>
  <si>
    <t>Creu Roja - Valls</t>
  </si>
  <si>
    <t>67</t>
  </si>
  <si>
    <t>76RW+4G Valls</t>
  </si>
  <si>
    <t>Carrer de la Creu de Cames, 31, 43800 Valls, Tarragona</t>
  </si>
  <si>
    <t>Valls</t>
  </si>
  <si>
    <t>977 61 36 46</t>
  </si>
  <si>
    <t>41.2902508</t>
  </si>
  <si>
    <t>1.2113346</t>
  </si>
  <si>
    <t>https://goo.gl/maps/u8CDugoVztnSUuyu7</t>
  </si>
  <si>
    <t>https://lh5.googleusercontent.com/p/AF1QipMKWqeIvyOzZo8BFfVISO9FZEabwvWEczeBw6ig=w408-h544-k-no</t>
  </si>
  <si>
    <t>Ceuta</t>
  </si>
  <si>
    <t>35.8890539</t>
  </si>
  <si>
    <t>-5.3185258</t>
  </si>
  <si>
    <t>35.8914867</t>
  </si>
  <si>
    <t>-5.3366668</t>
  </si>
  <si>
    <t>VMP9+38 Ceuta</t>
  </si>
  <si>
    <t>Calle Venezuela, s/n, 51002 Ceuta</t>
  </si>
  <si>
    <t>663 05 97 84</t>
  </si>
  <si>
    <t>https://goo.gl/maps/qGv9btkoSMZZUhcm8</t>
  </si>
  <si>
    <t>Parroquia de San Juan de Dios</t>
  </si>
  <si>
    <t>VMV9+M7 Ceuta</t>
  </si>
  <si>
    <t>Colonia Weil, 0, 51002 Ceuta</t>
  </si>
  <si>
    <t>956 50 59 20</t>
  </si>
  <si>
    <t>https://goo.gl/maps/cP3rDjpWBAiEy1iG9</t>
  </si>
  <si>
    <t>https://lh5.googleusercontent.com/p/AF1QipO_5jGqiAWvo_-ZmfI5Co2Xyh0EMNfsY1pja4U0=w408-h741-k-no</t>
  </si>
  <si>
    <t>VMPR+J6 Ceuta</t>
  </si>
  <si>
    <t>Calle Cervantes, 14, 16, 51001 Ceuta</t>
  </si>
  <si>
    <t>856 20 02 26</t>
  </si>
  <si>
    <t>https://goo.gl/maps/yJLCiLu55xSBNwvt8</t>
  </si>
  <si>
    <t>https://streetviewpixels-pa.googleapis.com/v1/thumbnail?panoid=LfxeOfgPXa3OtwqBjKtXCQ&amp;cb_client=search.gws-prod.gps&amp;w=408&amp;h=240&amp;yaw=215.23106&amp;pitch=0&amp;thumbfov=100</t>
  </si>
  <si>
    <t>CETI</t>
  </si>
  <si>
    <t>WM22+7X Ceuta</t>
  </si>
  <si>
    <t>Carretera del Jaral, s/n, 51003 Ceuta</t>
  </si>
  <si>
    <t>956 52 23 48</t>
  </si>
  <si>
    <t>35.9006381</t>
  </si>
  <si>
    <t>-5.3650447</t>
  </si>
  <si>
    <t>https://goo.gl/maps/GsXnjPHtvEDb4pPY7</t>
  </si>
  <si>
    <t>https://lh5.googleusercontent.com/p/AF1QipOB-DobjiB0SIw7orXYXLPuCEmnL28WJSba_J9c=w426-h240-k-no</t>
  </si>
  <si>
    <t>Residencia Nazaret</t>
  </si>
  <si>
    <t>VMV7+9W Ceuta</t>
  </si>
  <si>
    <t>Ctra. de Benítez, 0, 51004 Ceuta</t>
  </si>
  <si>
    <t>956 50 25 79</t>
  </si>
  <si>
    <t>35.8813536</t>
  </si>
  <si>
    <t>-5.3460878</t>
  </si>
  <si>
    <t>https://goo.gl/maps/6Z98QCVffiT1NaBL9</t>
  </si>
  <si>
    <t>Movimiento de Parados/as</t>
  </si>
  <si>
    <t>VMH3+HH Ceuta</t>
  </si>
  <si>
    <t>Calle Rafael Orozco, 44, 51003 Ceuta</t>
  </si>
  <si>
    <t>35.8788775</t>
  </si>
  <si>
    <t>-5.3635541</t>
  </si>
  <si>
    <t>https://goo.gl/maps/KLwtT5mJ7eHgoctWA</t>
  </si>
  <si>
    <t>https://lh5.googleusercontent.com/p/AF1QipNDrotQ61eZI3NNG36NWZy_UXvde7DfZMWTAK0Y=w421-h240-k-no</t>
  </si>
  <si>
    <t>Pashoah Fnideq</t>
  </si>
  <si>
    <t>RJXW+C4 Castillejos, Marruecos</t>
  </si>
  <si>
    <t>Avenue Mohamed VI, Fnideq, Marruecos</t>
  </si>
  <si>
    <t>Castillejos, Marruecos</t>
  </si>
  <si>
    <t>Marruecos</t>
  </si>
  <si>
    <t>35.8485481</t>
  </si>
  <si>
    <t>-5.372165</t>
  </si>
  <si>
    <t>https://goo.gl/maps/4Nr9Qs3gQkYBAsRT7</t>
  </si>
  <si>
    <t>https://lh5.googleusercontent.com/p/AF1QipMgkmuTEWMylXvYU7ic_8GuoDx_BOxhhwchjmm7=w426-h240-k-no</t>
  </si>
  <si>
    <t>دار الفنون - Art House</t>
  </si>
  <si>
    <t>RJWR+W9 Castillejos, Marruecos</t>
  </si>
  <si>
    <t>Fnideq, Marruecos</t>
  </si>
  <si>
    <t>35.847362</t>
  </si>
  <si>
    <t>-5.3765631</t>
  </si>
  <si>
    <t>https://goo.gl/maps/a4bvhU6CfZZaRjeAA</t>
  </si>
  <si>
    <t>https://lh5.googleusercontent.com/p/AF1QipMf21SgmpeZ8sX_NIZKsFVZNcH7JeQguon-1laW=w426-h240-k-no</t>
  </si>
  <si>
    <t>Cáritas Diocesana de Cádiz y Ceuta</t>
  </si>
  <si>
    <t>5GP5+F6 Los Barrios</t>
  </si>
  <si>
    <t>Calle Santísimo, 13, 11370 Los Barrios, Cádiz</t>
  </si>
  <si>
    <t>Los Barrios</t>
  </si>
  <si>
    <t>956 62 07 31</t>
  </si>
  <si>
    <t>36.186133</t>
  </si>
  <si>
    <t>-5.509491</t>
  </si>
  <si>
    <t>https://goo.gl/maps/4ogLgpcsZamtRvCf7</t>
  </si>
  <si>
    <t>https://streetviewpixels-pa.googleapis.com/v1/thumbnail?panoid=oea28HgvYLRX1fEvomAeMQ&amp;cb_client=search.gws-prod.gps&amp;w=408&amp;h=240&amp;yaw=79.869225&amp;pitch=0&amp;thumbfov=100</t>
  </si>
  <si>
    <t>Alicante (Alacant)</t>
  </si>
  <si>
    <t>Alicante</t>
  </si>
  <si>
    <t>38.3578148</t>
  </si>
  <si>
    <t>-0.5075447</t>
  </si>
  <si>
    <t>Conselleria de Bienestar Social</t>
  </si>
  <si>
    <t>8GW8+R4 Alicante (Alacant)</t>
  </si>
  <si>
    <t>Rambla Méndez Núñez, 41, 03002 Alicante</t>
  </si>
  <si>
    <t>bsocial.gva.es</t>
  </si>
  <si>
    <t>963 86 60 00</t>
  </si>
  <si>
    <t>https://goo.gl/maps/Ymr2kgBaTfsJLLkDA</t>
  </si>
  <si>
    <t>https://lh5.googleusercontent.com/p/AF1QipPsmkS5E3QJ6in7cc5D6jCi4vikTVGplgyMqIdq=w408-h544-k-no</t>
  </si>
  <si>
    <t>Centro Social 1</t>
  </si>
  <si>
    <t>8GW8+JM Alicante (Alacant)</t>
  </si>
  <si>
    <t>Calle Santos Médicos, 8, 03002 Alicante</t>
  </si>
  <si>
    <t>alicante.es</t>
  </si>
  <si>
    <t>965 20 94 99</t>
  </si>
  <si>
    <t>https://goo.gl/maps/U5F2jfUdNwFJeLEi9</t>
  </si>
  <si>
    <t>https://streetviewpixels-pa.googleapis.com/v1/thumbnail?panoid=d_Esm-jSFpOTMA82kQtqYQ&amp;cb_client=search.gws-prod.gps&amp;w=408&amp;h=240&amp;yaw=55.68979&amp;pitch=0&amp;thumbfov=100</t>
  </si>
  <si>
    <t>Conselleria de Bienestar Social, Secretaria Territorial de Alicante</t>
  </si>
  <si>
    <t>55</t>
  </si>
  <si>
    <t>8GV6+XC Alicante (Alacant)</t>
  </si>
  <si>
    <t>03001, Calle del Teatro, 37, 03001 Alacant, Alicante</t>
  </si>
  <si>
    <t>965 93 87 87</t>
  </si>
  <si>
    <t>https://goo.gl/maps/fuu8L7AvbrfzySAL8</t>
  </si>
  <si>
    <t>https://lh5.googleusercontent.com/p/AF1QipNjDVHvWPuyDmhwcN9oZQiKycm4fQWSor1-HOkM=w426-h240-k-no</t>
  </si>
  <si>
    <t>8FRX+HF Alicante (Alacant)</t>
  </si>
  <si>
    <t>Calle Pardo Gimeno, 43, 03007 Alicante</t>
  </si>
  <si>
    <t>965 93 60 43</t>
  </si>
  <si>
    <t>https://goo.gl/maps/784eKqAyauRA1Xhd7</t>
  </si>
  <si>
    <t>https://lh5.googleusercontent.com/p/AF1QipMAh7Bj1j794VchszRS8n45fbUX2MC_XiPApl-_=w408-h306-k-no</t>
  </si>
  <si>
    <t>Centro Social Isla de Cuba</t>
  </si>
  <si>
    <t>9G73+39 Alicante (Alacant)</t>
  </si>
  <si>
    <t>Calle Isla de Cuba, 40, 03009 Alicante</t>
  </si>
  <si>
    <t>965 93 00 39</t>
  </si>
  <si>
    <t>https://goo.gl/maps/Zz4Eq7M6XPqrdiEc8</t>
  </si>
  <si>
    <t>https://lh5.googleusercontent.com/p/AF1QipPWvy78FkUEX31HtTQn5ps-i85mhkr97lwdCXyU=w408-h408-k-no</t>
  </si>
  <si>
    <t>Centro Social Virgen del Carmen</t>
  </si>
  <si>
    <t>9GC8+3M Alicante (Alacant)</t>
  </si>
  <si>
    <t>Calle Serra de Cavalls, 1, 03014 Alicante</t>
  </si>
  <si>
    <t>965 18 46 42</t>
  </si>
  <si>
    <t>https://goo.gl/maps/cx86vd19UEoPRcLh6</t>
  </si>
  <si>
    <t>https://lh5.googleusercontent.com/p/AF1QipP170q994dXxNXjywyc9JP8Ku85BMz-GriVoxM3=w408-h306-k-no</t>
  </si>
  <si>
    <t>VITA Servicios Sociales</t>
  </si>
  <si>
    <t>9G38+M4 Alicante (Alacant)</t>
  </si>
  <si>
    <t>Carrer del General Aldave, N° 14, Bajo, 03012 Alacant, Alicante</t>
  </si>
  <si>
    <t>vitass.es</t>
  </si>
  <si>
    <t>966 69 90 32</t>
  </si>
  <si>
    <t>info@vitass.es</t>
  </si>
  <si>
    <t>https://goo.gl/maps/AH4ntwsd9N8a3yybA</t>
  </si>
  <si>
    <t>https://streetviewpixels-pa.googleapis.com/v1/thumbnail?panoid=NS-42DeTC60p9icS5Tkl3w&amp;cb_client=search.gws-prod.gps&amp;w=408&amp;h=240&amp;yaw=66.68709&amp;pitch=0&amp;thumbfov=100</t>
  </si>
  <si>
    <t>Recicla Alicante</t>
  </si>
  <si>
    <t>8GR2+PQ Alicante (Alacant)</t>
  </si>
  <si>
    <t>Carrer Pérez Medina, 22, entresuelo, 03007 Alacant, Alicante</t>
  </si>
  <si>
    <t>reciclaalicante.org</t>
  </si>
  <si>
    <t>966 72 81 63</t>
  </si>
  <si>
    <t>info@reciclaalicante.org</t>
  </si>
  <si>
    <t>38.3390568</t>
  </si>
  <si>
    <t>-0.5494896</t>
  </si>
  <si>
    <t>https://goo.gl/maps/MeTsrWwQdyh7UQcy7</t>
  </si>
  <si>
    <t>https://streetviewpixels-pa.googleapis.com/v1/thumbnail?panoid=sqrewMKELSChNt7G8zGdeg&amp;cb_client=search.gws-prod.gps&amp;w=408&amp;h=240&amp;yaw=246.31738&amp;pitch=0&amp;thumbfov=100</t>
  </si>
  <si>
    <t>116</t>
  </si>
  <si>
    <t>8GV2+55 Alicante (Alacant)</t>
  </si>
  <si>
    <t>Av. Aguilera, 43, 03007 Alicante</t>
  </si>
  <si>
    <t>965 10 21 44</t>
  </si>
  <si>
    <t>https://goo.gl/maps/B8JHB6rjU3GpVRkz7</t>
  </si>
  <si>
    <t>https://lh5.googleusercontent.com/p/AF1QipMMxBbHtfEC9QIFZc0ff1cB1c4qY6QlPuyHSjR9=w408-h306-k-no</t>
  </si>
  <si>
    <t>38.347257</t>
  </si>
  <si>
    <t>-0.5172987</t>
  </si>
  <si>
    <t>Pabellon de Servicios</t>
  </si>
  <si>
    <t>8GV8+9J Alicante (Alacant)</t>
  </si>
  <si>
    <t>Passeig Esplanada d&amp;apos;Espanya, 03002 Alacant, Alicante</t>
  </si>
  <si>
    <t>https://goo.gl/maps/sttxve9wkrsW3jHN9</t>
  </si>
  <si>
    <t>https://streetviewpixels-pa.googleapis.com/v1/thumbnail?panoid=uE0ulcLBTPebwD6VM33yFw&amp;cb_client=search.gws-prod.gps&amp;w=408&amp;h=240&amp;yaw=246.06807&amp;pitch=0&amp;thumbfov=100</t>
  </si>
  <si>
    <t>Centro de Mayores &amp;quot;Gabriel Miró&amp;quot;</t>
  </si>
  <si>
    <t>8GV7+8R Alicante (Alacant)</t>
  </si>
  <si>
    <t>Plaza Gabriel Miró, 8, 03001 Alicante</t>
  </si>
  <si>
    <t>965 21 63 77</t>
  </si>
  <si>
    <t>https://goo.gl/maps/Bg94Jwj7M9TgGZjF8</t>
  </si>
  <si>
    <t>https://streetviewpixels-pa.googleapis.com/v1/thumbnail?panoid=GFFXEzD6dVgR8b5hfrlwhg&amp;cb_client=search.gws-prod.gps&amp;w=408&amp;h=240&amp;yaw=184.7055&amp;pitch=0&amp;thumbfov=100</t>
  </si>
  <si>
    <t>8GX4+9V Alicante (Alacant)</t>
  </si>
  <si>
    <t>Av. General Marvá, 35, 03005 Alacant, Alicante</t>
  </si>
  <si>
    <t>965 14 08 82</t>
  </si>
  <si>
    <t>38.3484443</t>
  </si>
  <si>
    <t>-0.5278719</t>
  </si>
  <si>
    <t>https://goo.gl/maps/Ep6hD9CxhdDLShYH8</t>
  </si>
  <si>
    <t>https://streetviewpixels-pa.googleapis.com/v1/thumbnail?panoid=aHPV2J7v-tEvuIugVxKmTw&amp;cb_client=search.gws-prod.gps&amp;w=408&amp;h=240&amp;yaw=247.0597&amp;pitch=0&amp;thumbfov=100</t>
  </si>
  <si>
    <t>9G8C+XQ Alicante (Alacant)</t>
  </si>
  <si>
    <t>Carrer Beniarbeig, 9, 03015 Alacant, Alicante</t>
  </si>
  <si>
    <t>965 25 11 16</t>
  </si>
  <si>
    <t>38.3673964</t>
  </si>
  <si>
    <t>-0.5130967</t>
  </si>
  <si>
    <t>https://goo.gl/maps/DGEhv3BDrqQqEqyF9</t>
  </si>
  <si>
    <t>https://streetviewpixels-pa.googleapis.com/v1/thumbnail?panoid=gSqk-h9CFQwpuGK-CZbkGw&amp;cb_client=search.gws-prod.gps&amp;w=408&amp;h=240&amp;yaw=275.14777&amp;pitch=0&amp;thumbfov=100</t>
  </si>
  <si>
    <t>Asociación Emaus</t>
  </si>
  <si>
    <t>9G4H+VV Alicante (Alacant)</t>
  </si>
  <si>
    <t>Avinguda de Dénia, 57, 03013 Alacant, Alicante</t>
  </si>
  <si>
    <t>965 84 11 80</t>
  </si>
  <si>
    <t>https://goo.gl/maps/cir93vLhNaS63dng9</t>
  </si>
  <si>
    <t>https://streetviewpixels-pa.googleapis.com/v1/thumbnail?panoid=CQGslYJ6ZWMrlygG0UwISw&amp;cb_client=search.gws-prod.gps&amp;w=408&amp;h=240&amp;yaw=353.31912&amp;pitch=0&amp;thumbfov=100</t>
  </si>
  <si>
    <t>HOGARCITY</t>
  </si>
  <si>
    <t>8FVX+5X Alicante (Alacant)</t>
  </si>
  <si>
    <t>Av. Aguilera, Nº45, 4ºE, 03007 Alicante</t>
  </si>
  <si>
    <t>cityservicios.es</t>
  </si>
  <si>
    <t>693 71 64 76</t>
  </si>
  <si>
    <t>admin@cityservicios.es</t>
  </si>
  <si>
    <t>38.342994</t>
  </si>
  <si>
    <t>-0.5350359</t>
  </si>
  <si>
    <t>https://goo.gl/maps/237K4yFCy1xeF7Ui9</t>
  </si>
  <si>
    <t>https://streetviewpixels-pa.googleapis.com/v1/thumbnail?panoid=BZD7a9ERCr3MkSWjVCA51A&amp;cb_client=search.gws-prod.gps&amp;w=408&amp;h=240&amp;yaw=291.22467&amp;pitch=0&amp;thumbfov=100</t>
  </si>
  <si>
    <t>Club de Leones ALICANTE 22000</t>
  </si>
  <si>
    <t>8GV5+52 Alicante (Alacant)</t>
  </si>
  <si>
    <t>Carrer Pintor Aparicio, 40, 03003 Alacant, Alicante</t>
  </si>
  <si>
    <t>lionsalicante.club</t>
  </si>
  <si>
    <t>687 91 55 99</t>
  </si>
  <si>
    <t>info@lionsalicante.club</t>
  </si>
  <si>
    <t>https://goo.gl/maps/9PB66G23LX9WxZRJA</t>
  </si>
  <si>
    <t>https://streetviewpixels-pa.googleapis.com/v1/thumbnail?panoid=sxATrds7MmXEjyIWY8cjWA&amp;cb_client=search.gws-prod.gps&amp;w=408&amp;h=240&amp;yaw=37.17431&amp;pitch=0&amp;thumbfov=100</t>
  </si>
  <si>
    <t>Filias Desarrollo Comunitario S.L.</t>
  </si>
  <si>
    <t>9FRM+6F San Vicente del Raspeig</t>
  </si>
  <si>
    <t>Carrer Portugal, 1, 03690 Sant Vicent del Raspeig, Alicante</t>
  </si>
  <si>
    <t>San Vicente del Raspeig</t>
  </si>
  <si>
    <t>filias.es</t>
  </si>
  <si>
    <t>650 58 80 29</t>
  </si>
  <si>
    <t>filiaspro@gmail.com</t>
  </si>
  <si>
    <t>38.39059</t>
  </si>
  <si>
    <t>-0.5513124</t>
  </si>
  <si>
    <t>https://goo.gl/maps/ccmtTgRXyh5yPF3V9</t>
  </si>
  <si>
    <t>https://lh5.googleusercontent.com/p/AF1QipMyA7EYaShAPiS19GVWgAYkcJBVfiAFfGvc-qk2=w408-h306-k-no</t>
  </si>
  <si>
    <t>Centro Social Comunitario Juan XXIII</t>
  </si>
  <si>
    <t>9GG9+9J Alicante (Alacant)</t>
  </si>
  <si>
    <t>03015 Alicante</t>
  </si>
  <si>
    <t>965 17 81 46</t>
  </si>
  <si>
    <t>38.3863342</t>
  </si>
  <si>
    <t>-0.4937762</t>
  </si>
  <si>
    <t>https://goo.gl/maps/4DH8u9ubfPBeU38PA</t>
  </si>
  <si>
    <t>https://lh5.googleusercontent.com/p/AF1QipNsPjmmap4b6NPLtTqaWrL0QJDtrPXd1yxDr17H=w408-h306-k-no</t>
  </si>
  <si>
    <t>CONDUCTASADICTIVAS.COM</t>
  </si>
  <si>
    <t>9G56+5P Alicante (Alacant)</t>
  </si>
  <si>
    <t>Calle Zarandieta, 6, 03010 Alicante</t>
  </si>
  <si>
    <t>conductasdisruptivas.com</t>
  </si>
  <si>
    <t>965 20 51 86</t>
  </si>
  <si>
    <t>info@conductasadictivas.com</t>
  </si>
  <si>
    <t>38.343321</t>
  </si>
  <si>
    <t>-0.5245429</t>
  </si>
  <si>
    <t>https://goo.gl/maps/yefX9NmYH3Lgc8TT6</t>
  </si>
  <si>
    <t>https://streetviewpixels-pa.googleapis.com/v1/thumbnail?panoid=tGwt4aB53ah0Iu-p2R8muA&amp;cb_client=search.gws-prod.gps&amp;w=408&amp;h=240&amp;yaw=126.23447&amp;pitch=0&amp;thumbfov=100</t>
  </si>
  <si>
    <t>Tass 24H</t>
  </si>
  <si>
    <t>8GW9+CV Alicante (Alacant)</t>
  </si>
  <si>
    <t>Calle Mayor, 45, 03002 Alicante</t>
  </si>
  <si>
    <t>965 14 12 19</t>
  </si>
  <si>
    <t>https://goo.gl/maps/wR76pcybu2EX95PX8</t>
  </si>
  <si>
    <t>https://streetviewpixels-pa.googleapis.com/v1/thumbnail?panoid=WQ4TQMlPyPDXKdVA81dhOg&amp;cb_client=search.gws-prod.gps&amp;w=408&amp;h=240&amp;yaw=327.21945&amp;pitch=0&amp;thumbfov=100</t>
  </si>
  <si>
    <t>AEBHA</t>
  </si>
  <si>
    <t>8FHQ+67 Alicante (Alacant)</t>
  </si>
  <si>
    <t>C/ María Guerrero nº2, Local C, 03008 Alicante</t>
  </si>
  <si>
    <t>aebha.org</t>
  </si>
  <si>
    <t>966 08 82 59</t>
  </si>
  <si>
    <t>38.3280781</t>
  </si>
  <si>
    <t>-0.5467987</t>
  </si>
  <si>
    <t>https://goo.gl/maps/QL1UQ1u3R1vAXf329</t>
  </si>
  <si>
    <t>https://streetviewpixels-pa.googleapis.com/v1/thumbnail?panoid=xE7YshfkpOp3i2gLRiYztA&amp;cb_client=search.gws-prod.gps&amp;w=408&amp;h=240&amp;yaw=306.142&amp;pitch=0&amp;thumbfov=100</t>
  </si>
  <si>
    <t>Convivencia Y Conflicto</t>
  </si>
  <si>
    <t>9G8H+FR Alicante (Alacant)</t>
  </si>
  <si>
    <t>Plaza del Alcalde Agatángelo Soler, 5, 03015 Alicante</t>
  </si>
  <si>
    <t>38.3661545</t>
  </si>
  <si>
    <t>-0.5054588</t>
  </si>
  <si>
    <t>https://goo.gl/maps/vnniXxuWq4XKsgFN6</t>
  </si>
  <si>
    <t>https://streetviewpixels-pa.googleapis.com/v1/thumbnail?panoid=_3fxu1WWGbGDP-hAuBFYOQ&amp;cb_client=search.gws-prod.gps&amp;w=408&amp;h=240&amp;yaw=89.3755&amp;pitch=0&amp;thumbfov=100</t>
  </si>
  <si>
    <t>AA VV Sol d&amp;apos; Alacant</t>
  </si>
  <si>
    <t>8FRX+6C Alicante (Alacant)</t>
  </si>
  <si>
    <t>Calle Gral. Bonanza, 4, 03007 Alicante</t>
  </si>
  <si>
    <t>38.3461729</t>
  </si>
  <si>
    <t>-0.5246283</t>
  </si>
  <si>
    <t>https://goo.gl/maps/f3XSPZnBz8Y5C6h88</t>
  </si>
  <si>
    <t>https://lh5.googleusercontent.com/p/AF1QipNFWelGiZd8QJtFCjpWu6Vd6QqWGBNcdAEcbb9V=w408-h306-k-no</t>
  </si>
  <si>
    <t>Cáritas Diocesana de Orihuela-Alicante</t>
  </si>
  <si>
    <t>9G8G+GC Alicante (Alacant)</t>
  </si>
  <si>
    <t>03015, Calle Granja de Rocamora, 18, 03015 Alicante</t>
  </si>
  <si>
    <t>caritasoa.org</t>
  </si>
  <si>
    <t>965 11 48 36</t>
  </si>
  <si>
    <t>info@caritasoa.org</t>
  </si>
  <si>
    <t>https://goo.gl/maps/vSdYLqH7Z9TzEZmK9</t>
  </si>
  <si>
    <t>https://streetviewpixels-pa.googleapis.com/v1/thumbnail?panoid=khB2nuCMWij2bpiRvSHLag&amp;cb_client=search.gws-prod.gps&amp;w=408&amp;h=240&amp;yaw=193.63426&amp;pitch=0&amp;thumbfov=100</t>
  </si>
  <si>
    <t>Sociedad de Beneficencia Francesa</t>
  </si>
  <si>
    <t>9G66+FX Alicante (Alacant)</t>
  </si>
  <si>
    <t>Av. Pintor Baeza, 5, 03010 Alicante</t>
  </si>
  <si>
    <t>https://goo.gl/maps/M2FgEbmWHYc7uoks5</t>
  </si>
  <si>
    <t>https://streetviewpixels-pa.googleapis.com/v1/thumbnail?panoid=SBT-O58VtOdxtCFqS5IxYg&amp;cb_client=search.gws-prod.gps&amp;w=408&amp;h=240&amp;yaw=246.41228&amp;pitch=0&amp;thumbfov=100</t>
  </si>
  <si>
    <t>Hoguera Barrio José Antonio</t>
  </si>
  <si>
    <t>8FRX+54 Alicante (Alacant)</t>
  </si>
  <si>
    <t>Calle Gral. Bonanza, n° 3, 03007 Alicante</t>
  </si>
  <si>
    <t>https://goo.gl/maps/zZwaVQ5x2FwaU4aCA</t>
  </si>
  <si>
    <t>https://streetviewpixels-pa.googleapis.com/v1/thumbnail?panoid=nqQI_wow25rdk5zhcbROFg&amp;cb_client=search.gws-prod.gps&amp;w=408&amp;h=240&amp;yaw=185.6344&amp;pitch=0&amp;thumbfov=100</t>
  </si>
  <si>
    <t>Minhaj-ul-Quran International, Spain (Alicante)</t>
  </si>
  <si>
    <t>9G59+XR Alicante (Alacant)</t>
  </si>
  <si>
    <t>Carrer Garbinet, 106, 03012 Alacant, Alicante</t>
  </si>
  <si>
    <t>632 46 89 40</t>
  </si>
  <si>
    <t>38.3480932</t>
  </si>
  <si>
    <t>-0.5340025</t>
  </si>
  <si>
    <t>https://goo.gl/maps/kn2JSE4uLteuceZG8</t>
  </si>
  <si>
    <t>https://lh5.googleusercontent.com/p/AF1QipNZVjvndn43RwgEjKOTPhFphicIJAoJZb2uHYHd=w408-h306-k-no</t>
  </si>
  <si>
    <t>Juzgado Contencioso Administrativo Nº 2</t>
  </si>
  <si>
    <t>965 93 61 02</t>
  </si>
  <si>
    <t>https://goo.gl/maps/9xejfdv2D4LfmqNC8</t>
  </si>
  <si>
    <t>https://streetviewpixels-pa.googleapis.com/v1/thumbnail?panoid=durHVRTCVMLx_0-WYTptMg&amp;cb_client=search.gws-prod.gps&amp;w=408&amp;h=240&amp;yaw=132.8736&amp;pitch=0&amp;thumbfov=100</t>
  </si>
  <si>
    <t>Cottolengo del Padre Alegre</t>
  </si>
  <si>
    <t>9FQV+34 San Vicente del Raspeig</t>
  </si>
  <si>
    <t>Calle Decano, 24, 03690 Sant Vicent del Raspeig, Alicante</t>
  </si>
  <si>
    <t>965 66 08 45</t>
  </si>
  <si>
    <t>38.3876662</t>
  </si>
  <si>
    <t>-0.542157</t>
  </si>
  <si>
    <t>https://goo.gl/maps/vJDiRCSSVeNU2HaP9</t>
  </si>
  <si>
    <t>https://lh5.googleusercontent.com/p/AF1QipMA3K2gMGg3bDo6oiG1iFeONwEfAPnR_db_V1WJ=w408-h544-k-no</t>
  </si>
  <si>
    <t>38.3467859</t>
  </si>
  <si>
    <t>-0.5268657</t>
  </si>
  <si>
    <t>Desafío Solidario</t>
  </si>
  <si>
    <t>9G8M+4F Alicante (Alacant)</t>
  </si>
  <si>
    <t>Calle Muñoz Seca, 03015 Alicante</t>
  </si>
  <si>
    <t>647 41 82 84</t>
  </si>
  <si>
    <t>https://goo.gl/maps/wEbZiueQg6qkLv1H7</t>
  </si>
  <si>
    <t>https://streetviewpixels-pa.googleapis.com/v1/thumbnail?panoid=mVfnGWicXXMkeEXcNW-rzA&amp;cb_client=search.gws-prod.gps&amp;w=408&amp;h=240&amp;yaw=148.29492&amp;pitch=0&amp;thumbfov=100</t>
  </si>
  <si>
    <t>9FXF+2M San Vicente del Raspeig</t>
  </si>
  <si>
    <t>Calle Balmes, 2, 03690 Sant Vicent del Raspeig, Alicante</t>
  </si>
  <si>
    <t>965 67 05 11</t>
  </si>
  <si>
    <t>38.3976061</t>
  </si>
  <si>
    <t>-0.5608488</t>
  </si>
  <si>
    <t>https://goo.gl/maps/4j1EX7LT2MhrnTzN7</t>
  </si>
  <si>
    <t>https://lh5.googleusercontent.com/p/AF1QipOabXs5TD_g5wYs9908SgnRyhPrl83Oq3CuVSr_=w408-h306-k-no</t>
  </si>
  <si>
    <t>9GJW+QV Alicante (Alacant)</t>
  </si>
  <si>
    <t>Avinguda de Dénia, 171, 03559 Alacant, Alicante</t>
  </si>
  <si>
    <t>965 26 70 00</t>
  </si>
  <si>
    <t>38.3818907</t>
  </si>
  <si>
    <t>-0.4877759</t>
  </si>
  <si>
    <t>https://goo.gl/maps/hNeozJ32Ubp2834AA</t>
  </si>
  <si>
    <t>https://lh5.googleusercontent.com/p/AF1QipOFwYMn-Dq6F6_DpdTNFJBtyWle-zEtOED2J23w=w408-h306-k-no</t>
  </si>
  <si>
    <t>Casa de Socorro</t>
  </si>
  <si>
    <t>8GW7+PQ Alicante (Alacant)</t>
  </si>
  <si>
    <t>Av. de la Constitución, 1, 03002 Alicante</t>
  </si>
  <si>
    <t>38.3476627</t>
  </si>
  <si>
    <t>-0.5207664</t>
  </si>
  <si>
    <t>https://goo.gl/maps/4aeNdzkEqo7918T66</t>
  </si>
  <si>
    <t>https://lh5.googleusercontent.com/p/AF1QipMFUsy-fV9dLA-GRjQx3y89F4SsrLAwbEDowWnC=w408-h306-k-no</t>
  </si>
  <si>
    <t>Protección Civil</t>
  </si>
  <si>
    <t>CF2H+WQ San Vicente del Raspeig</t>
  </si>
  <si>
    <t>Calle Joaquín Blume, 0, 03690 Sant Vicent del Raspeig, Alicante</t>
  </si>
  <si>
    <t>965 67 08 12</t>
  </si>
  <si>
    <t>38.4023553</t>
  </si>
  <si>
    <t>-0.5555985</t>
  </si>
  <si>
    <t>https://goo.gl/maps/vi6XUcHFPVPMgGsC7</t>
  </si>
  <si>
    <t>https://streetviewpixels-pa.googleapis.com/v1/thumbnail?panoid=7Z9mgYjF_udL_Nw-v_8wMQ&amp;cb_client=search.gws-prod.gps&amp;w=408&amp;h=240&amp;yaw=80.887856&amp;pitch=0&amp;thumbfov=100</t>
  </si>
  <si>
    <t>Instituto Secular Vita Et Pax In Christo</t>
  </si>
  <si>
    <t>8GR3+V2 Alicante (Alacant)</t>
  </si>
  <si>
    <t>Carrer Dr. Just, 10, 03007 Alacant, Alicante</t>
  </si>
  <si>
    <t>vitaetpax.org</t>
  </si>
  <si>
    <t>965 92 41 06</t>
  </si>
  <si>
    <t>vidapaz@vitaetpax.org</t>
  </si>
  <si>
    <t>38.3436452</t>
  </si>
  <si>
    <t>-0.5143923</t>
  </si>
  <si>
    <t>https://goo.gl/maps/jsRxewYbPL1cuaNn8</t>
  </si>
  <si>
    <t>https://streetviewpixels-pa.googleapis.com/v1/thumbnail?panoid=hzIhIpWX94NjXvYYUVybSw&amp;cb_client=search.gws-prod.gps&amp;w=408&amp;h=240&amp;yaw=296.09753&amp;pitch=0&amp;thumbfov=100</t>
  </si>
  <si>
    <t>Eliminar Piojos - Help Piojitos San Vicente del Raspeig</t>
  </si>
  <si>
    <t>103</t>
  </si>
  <si>
    <t>CF3G+3R San Vicente del Raspeig</t>
  </si>
  <si>
    <t>Calle San Pascual, Nº51, 03690 Sant Vicent del Raspeig, Alicante</t>
  </si>
  <si>
    <t>helppiojitos.com</t>
  </si>
  <si>
    <t>966 80 59 64</t>
  </si>
  <si>
    <t>info@helppiojitos.com</t>
  </si>
  <si>
    <t>38.4027333</t>
  </si>
  <si>
    <t>-0.557927</t>
  </si>
  <si>
    <t>https://goo.gl/maps/pz58dD281xJX9ReK8</t>
  </si>
  <si>
    <t>https://lh5.googleusercontent.com/p/AF1QipPksvIzsWotruzB804QLsoH0N5FObbAIFTCKxA3=w426-h240-k-no</t>
  </si>
  <si>
    <t>IVASS Residencia y Centro de Día Jubalcoy</t>
  </si>
  <si>
    <t>78GX+QJ Elche</t>
  </si>
  <si>
    <t>Partida Jubalcoy, 85, 03295 Elche, Alicante</t>
  </si>
  <si>
    <t>Elche</t>
  </si>
  <si>
    <t>ivass.gva.es</t>
  </si>
  <si>
    <t>966 91 25 80</t>
  </si>
  <si>
    <t>38.2769813</t>
  </si>
  <si>
    <t>-0.685994</t>
  </si>
  <si>
    <t>https://goo.gl/maps/gYRF5vuNF2LAmeaP7</t>
  </si>
  <si>
    <t>IVASS Centro Ocupacional Altabix</t>
  </si>
  <si>
    <t>788G+CP Elche</t>
  </si>
  <si>
    <t>Carrer Arquitecte Santiago Perez Aracil, 5, 03203 Elx, Alicante</t>
  </si>
  <si>
    <t>965 45 60 08</t>
  </si>
  <si>
    <t>38.266002</t>
  </si>
  <si>
    <t>-0.7081991</t>
  </si>
  <si>
    <t>https://goo.gl/maps/YGw6rXGcDdL7aLpF7</t>
  </si>
  <si>
    <t>https://streetviewpixels-pa.googleapis.com/v1/thumbnail?panoid=usvwB5dR-vzpGKrZf_9tOw&amp;cb_client=search.gws-prod.gps&amp;w=408&amp;h=240&amp;yaw=330.13058&amp;pitch=0&amp;thumbfov=100</t>
  </si>
  <si>
    <t>CRUZ ROJA SANTA POLA</t>
  </si>
  <si>
    <t>5CRR+XV Santa Pola</t>
  </si>
  <si>
    <t>Calle Espoz y Mina, 33, 03130 Santa Pola, Alicante</t>
  </si>
  <si>
    <t>Santa Pola</t>
  </si>
  <si>
    <t>965 41 61 50</t>
  </si>
  <si>
    <t>38.1924884</t>
  </si>
  <si>
    <t>-0.6279115</t>
  </si>
  <si>
    <t>https://goo.gl/maps/GMeZU9hN298rrKPP7</t>
  </si>
  <si>
    <t>https://streetviewpixels-pa.googleapis.com/v1/thumbnail?panoid=AWC58xL_IFQYvfxmU5O1jg&amp;cb_client=search.gws-prod.gps&amp;w=408&amp;h=240&amp;yaw=233.3104&amp;pitch=0&amp;thumbfov=100</t>
  </si>
  <si>
    <t>IVASS Servicios Territoriales Alicante</t>
  </si>
  <si>
    <t>779J+7X Elche</t>
  </si>
  <si>
    <t>Carrer Emilio Hernández Selva, 117, 03205 Elx, Alicante</t>
  </si>
  <si>
    <t>966 91 23 80</t>
  </si>
  <si>
    <t>38.2681307</t>
  </si>
  <si>
    <t>-0.7875447</t>
  </si>
  <si>
    <t>https://goo.gl/maps/3dDHmrQCQ3Cgc3rc8</t>
  </si>
  <si>
    <t>https://streetviewpixels-pa.googleapis.com/v1/thumbnail?panoid=vbm-JOCn6Y8KqDCtmzl4YA&amp;cb_client=search.gws-prod.gps&amp;w=408&amp;h=240&amp;yaw=126.29878&amp;pitch=0&amp;thumbfov=100</t>
  </si>
  <si>
    <t>Nos Importas</t>
  </si>
  <si>
    <t>GVR9+CH Benidorm</t>
  </si>
  <si>
    <t>Calle de Venus, 3, 03501 Benidorm, Alicante</t>
  </si>
  <si>
    <t>Benidorm</t>
  </si>
  <si>
    <t>nosimportas.es</t>
  </si>
  <si>
    <t>965 86 46 75</t>
  </si>
  <si>
    <t>servicios@nosimportas.es</t>
  </si>
  <si>
    <t>38.5411239</t>
  </si>
  <si>
    <t>-0.1661044</t>
  </si>
  <si>
    <t>https://goo.gl/maps/FrDG7hr6BRAjk3Up9</t>
  </si>
  <si>
    <t>https://lh5.googleusercontent.com/p/AF1QipNbqDzsAG0PnD-HFaslel7N8Aqk2TqDqT_rDDjr=w408-h272-k-no</t>
  </si>
  <si>
    <t>7895+CJ Elche</t>
  </si>
  <si>
    <t>Carrer Gabriel y Galán, 33, 03202 Elx, Alicante</t>
  </si>
  <si>
    <t>965 45 34 49</t>
  </si>
  <si>
    <t>38.268523</t>
  </si>
  <si>
    <t>-0.7259835</t>
  </si>
  <si>
    <t>https://goo.gl/maps/XrYycmS122JAdhUm7</t>
  </si>
  <si>
    <t>https://streetviewpixels-pa.googleapis.com/v1/thumbnail?panoid=FigRtolQqRS_An7M7QbTDg&amp;cb_client=search.gws-prod.gps&amp;w=408&amp;h=240&amp;yaw=45.81866&amp;pitch=0&amp;thumbfov=100</t>
  </si>
  <si>
    <t>IVASS Centro Ocupacional Carrús</t>
  </si>
  <si>
    <t>779J+7W Elche</t>
  </si>
  <si>
    <t>966 91 23 91</t>
  </si>
  <si>
    <t>38.2681816</t>
  </si>
  <si>
    <t>-0.752738</t>
  </si>
  <si>
    <t>https://goo.gl/maps/95woe8R3MrCR1p5Z6</t>
  </si>
  <si>
    <t>https://streetviewpixels-pa.googleapis.com/v1/thumbnail?panoid=vbm-JOCn6Y8KqDCtmzl4YA&amp;cb_client=search.gws-prod.gps&amp;w=408&amp;h=240&amp;yaw=139.24298&amp;pitch=0&amp;thumbfov=100</t>
  </si>
  <si>
    <t>Cruz Roja Asamblea Local Benidorm</t>
  </si>
  <si>
    <t>GVR9+9W Benidorm</t>
  </si>
  <si>
    <t>Glorieta de los Carrascos, 03501 Benidorm, Alicante</t>
  </si>
  <si>
    <t>965 86 42 09</t>
  </si>
  <si>
    <t>38.5408985</t>
  </si>
  <si>
    <t>-0.2002784</t>
  </si>
  <si>
    <t>https://goo.gl/maps/nFJesNseXqjzww5A8</t>
  </si>
  <si>
    <t>https://streetviewpixels-pa.googleapis.com/v1/thumbnail?panoid=5IEMi-YFoeecXBEy6gB9BA&amp;cb_client=search.gws-prod.gps&amp;w=408&amp;h=240&amp;yaw=253.68289&amp;pitch=0&amp;thumbfov=100</t>
  </si>
  <si>
    <t>IVASS Centro Ocupacional La Tramoia</t>
  </si>
  <si>
    <t>77HQ+P5 Elche</t>
  </si>
  <si>
    <t>Av. del Mestre Melchor Botella, 2, 03206 Elx, Alicante</t>
  </si>
  <si>
    <t>965 31 58 35</t>
  </si>
  <si>
    <t>38.2792638</t>
  </si>
  <si>
    <t>-0.7820552</t>
  </si>
  <si>
    <t>https://goo.gl/maps/qjUThHFzDy8yo3MEA</t>
  </si>
  <si>
    <t>https://lh5.googleusercontent.com/p/AF1QipNYOPAgBzjEM5Nuocm3XomcS0GehgXaHm4Rfdc4=w408-h544-k-no</t>
  </si>
  <si>
    <t>7873+C5 Elche</t>
  </si>
  <si>
    <t>Carrer Solars, 13, 03203 Elx, Alicante</t>
  </si>
  <si>
    <t>966 61 51 35</t>
  </si>
  <si>
    <t>38.2635804</t>
  </si>
  <si>
    <t>-0.7670908</t>
  </si>
  <si>
    <t>https://goo.gl/maps/AZjbhNMBaQGBaNZQ7</t>
  </si>
  <si>
    <t>https://streetviewpixels-pa.googleapis.com/v1/thumbnail?panoid=JPtHd2MMZP6Wg43zs7JD_g&amp;cb_client=search.gws-prod.gps&amp;w=408&amp;h=240&amp;yaw=69.68133&amp;pitch=0&amp;thumbfov=100</t>
  </si>
  <si>
    <t>Castellón de la Plana</t>
  </si>
  <si>
    <t>Castelló</t>
  </si>
  <si>
    <t>Castellón</t>
  </si>
  <si>
    <t>Servicios Sociales de Castellón</t>
  </si>
  <si>
    <t>XWPQ+3H Castellón de la Plana</t>
  </si>
  <si>
    <t>Quadra-Cuadra de la Salera, 56A, 12006 Castellón de la Plana, Castellón</t>
  </si>
  <si>
    <t>964 25 23 12</t>
  </si>
  <si>
    <t>39.9852293</t>
  </si>
  <si>
    <t>-0.0960733</t>
  </si>
  <si>
    <t>https://goo.gl/maps/8pjnd44PbkQSbCvY9</t>
  </si>
  <si>
    <t>https://streetviewpixels-pa.googleapis.com/v1/thumbnail?panoid=Qepibq5KVEnFcUIR58JV4g&amp;cb_client=search.gws-prod.gps&amp;w=408&amp;h=240&amp;yaw=52.137936&amp;pitch=0&amp;thumbfov=100</t>
  </si>
  <si>
    <t>Colegio Oficial de Trabajo Social de Castellón</t>
  </si>
  <si>
    <t>XXR8+G2 Castellón de la Plana</t>
  </si>
  <si>
    <t>del bajo, Carrer de l&amp;apos;Alcalde Tàrrega, 32, 12004 Castellón de la Plana, Castellón</t>
  </si>
  <si>
    <t>964 26 12 15</t>
  </si>
  <si>
    <t>https://goo.gl/maps/KtrDcFVi9ZvsiXPM6</t>
  </si>
  <si>
    <t>https://lh5.googleusercontent.com/p/AF1QipP91IwgkpJvWipojKeGUOcAhnE-GkheI9YL5kJ-=w408-h306-k-no</t>
  </si>
  <si>
    <t>IVASS Servicios Territoriales Castellón</t>
  </si>
  <si>
    <t>XXP9+88 Castellón de la Plana</t>
  </si>
  <si>
    <t>C. de les Adoberies, 43, 12003 Castelló de la Plana, Castelló</t>
  </si>
  <si>
    <t>964 33 67 65</t>
  </si>
  <si>
    <t>https://goo.gl/maps/a7FHee2HgAjPvU559</t>
  </si>
  <si>
    <t>https://streetviewpixels-pa.googleapis.com/v1/thumbnail?panoid=Tah3hmoFKkqjz68oMvoy3A&amp;cb_client=search.gws-prod.gps&amp;w=408&amp;h=240&amp;yaw=323.77344&amp;pitch=0&amp;thumbfov=100</t>
  </si>
  <si>
    <t>XXPG+Q3 Castellón de la Plana</t>
  </si>
  <si>
    <t>Blvd Vicente Blasco Ibáñez, 10, 12003 Castelló de la Plana, Castelló</t>
  </si>
  <si>
    <t>964 62 14 29</t>
  </si>
  <si>
    <t>39.9715552</t>
  </si>
  <si>
    <t>-0.0933559</t>
  </si>
  <si>
    <t>https://goo.gl/maps/kU3fEj89TarrhUKB6</t>
  </si>
  <si>
    <t>https://lh5.googleusercontent.com/p/AF1QipOv9duL6XXwLLGw2GyQ523qsqGIO-qwxQ492S2H=w426-h240-k-no</t>
  </si>
  <si>
    <t>Centro Urban Castellón</t>
  </si>
  <si>
    <t>138</t>
  </si>
  <si>
    <t>XWPQ+2P Castellón de la Plana</t>
  </si>
  <si>
    <t>Quadra-Cuadra de la Salera, S/N, 12006 Castellón de la Plana, Castellón</t>
  </si>
  <si>
    <t>ceamurban.castello.es</t>
  </si>
  <si>
    <t>964 24 10 40</t>
  </si>
  <si>
    <t>urban@medigestion.com</t>
  </si>
  <si>
    <t>https://goo.gl/maps/eErEqCNMoHJPkh1U6</t>
  </si>
  <si>
    <t>https://lh5.googleusercontent.com/p/AF1QipMZmDnBPSYkIGvG-3ohDEoys7T0I6PeRHdPp3H-=w408-h306-k-no</t>
  </si>
  <si>
    <t>IVASS Centro Ocupacional Rafalafena</t>
  </si>
  <si>
    <t>XXP9+WM Castellón de la Plana</t>
  </si>
  <si>
    <t>Plaça les Normes de Castello, 12003 El Grao de, Castelló</t>
  </si>
  <si>
    <t>964 33 67 55</t>
  </si>
  <si>
    <t>https://goo.gl/maps/TMGXrQSLo3sJrWcH8</t>
  </si>
  <si>
    <t>https://streetviewpixels-pa.googleapis.com/v1/thumbnail?panoid=nvvbvQDa86tMD122EmGDoQ&amp;cb_client=search.gws-prod.gps&amp;w=408&amp;h=240&amp;yaw=138.11267&amp;pitch=0&amp;thumbfov=100</t>
  </si>
  <si>
    <t>Teleasistencia en Castellón</t>
  </si>
  <si>
    <t>XXM6+83 Castellón de la Plana</t>
  </si>
  <si>
    <t>Carrer Poeta Verdaguer, 1, Entresuelo Derecha, 12002 Castellón de la Plana, Castellón</t>
  </si>
  <si>
    <t>964 25 08 69</t>
  </si>
  <si>
    <t>https://g.page/teleasistencia-en-castellon?share</t>
  </si>
  <si>
    <t>https://lh5.googleusercontent.com/p/AF1QipOGbF8wIAFZnz-aFwTZ1LpLX7Iw7U-LZSi-IbGW=w408-h408-k-no</t>
  </si>
  <si>
    <t>Delegación De La Once</t>
  </si>
  <si>
    <t>XXM8+4G Castellón de la Plana</t>
  </si>
  <si>
    <t>Carrer del Marqués de la Ensenada, 33, 12003 Castelló de la Plana, Castelló</t>
  </si>
  <si>
    <t>964 22 48 06</t>
  </si>
  <si>
    <t>https://goo.gl/maps/PB3aH41kuNGgLHAm6</t>
  </si>
  <si>
    <t>https://streetviewpixels-pa.googleapis.com/v1/thumbnail?panoid=0r4org_voZO4ZqnERZWnew&amp;cb_client=search.gws-prod.gps&amp;w=408&amp;h=240&amp;yaw=61.414307&amp;pitch=0&amp;thumbfov=100</t>
  </si>
  <si>
    <t>Residencia Comarcal de Menores Castelló</t>
  </si>
  <si>
    <t>XXR8+49 Castellón de la Plana</t>
  </si>
  <si>
    <t>Av. dels Caputxins, 25, 12004 Castelló de la Plana, Castelló</t>
  </si>
  <si>
    <t>964 23 96 56</t>
  </si>
  <si>
    <t>https://goo.gl/maps/jJB8qU5jMFCEVBpo6</t>
  </si>
  <si>
    <t>https://streetviewpixels-pa.googleapis.com/v1/thumbnail?panoid=c9eEQSjAfj2rSj54qqixVA&amp;cb_client=search.gws-prod.gps&amp;w=408&amp;h=240&amp;yaw=241.5822&amp;pitch=0&amp;thumbfov=100</t>
  </si>
  <si>
    <t>Cáritas Interparroquial De Castellón</t>
  </si>
  <si>
    <t>XW4R+RC Castellón de la Plana</t>
  </si>
  <si>
    <t>Calle Larga, 3, 12005 Castellón de la Plana, Castellón</t>
  </si>
  <si>
    <t>964 24 55 51</t>
  </si>
  <si>
    <t>https://goo.gl/maps/Rce3VpFHPUUd3RBf9</t>
  </si>
  <si>
    <t>https://streetviewpixels-pa.googleapis.com/v1/thumbnail?panoid=O3U4EupKLMU6x83195a4HQ&amp;cb_client=search.gws-prod.gps&amp;w=408&amp;h=240&amp;yaw=158.34366&amp;pitch=0&amp;thumbfov=100</t>
  </si>
  <si>
    <t>ADRA Castellón - Esperanza</t>
  </si>
  <si>
    <t>XXJ8+3M Castellón de la Plana</t>
  </si>
  <si>
    <t>Carrer del Doctor Fleming, 11, 12005 Castelló de la Plana, Castelló</t>
  </si>
  <si>
    <t>https://goo.gl/maps/3jrThbMk3S3XwrCB6</t>
  </si>
  <si>
    <t>https://streetviewpixels-pa.googleapis.com/v1/thumbnail?panoid=42QgvAh2MBENf-E_vFAn3A&amp;cb_client=search.gws-prod.gps&amp;w=408&amp;h=240&amp;yaw=100.18661&amp;pitch=0&amp;thumbfov=100</t>
  </si>
  <si>
    <t>XXW7+JR Castellón de la Plana</t>
  </si>
  <si>
    <t>Calle María Rosa Molas, 21, 12004 Castellón de la Plana, Castellón</t>
  </si>
  <si>
    <t>964 27 01 27</t>
  </si>
  <si>
    <t>https://goo.gl/maps/KQiTRHTShGi4eTvbA</t>
  </si>
  <si>
    <t>https://streetviewpixels-pa.googleapis.com/v1/thumbnail?panoid=LG_a_Hzan5exdpRlh-Bxvg&amp;cb_client=search.gws-prod.gps&amp;w=408&amp;h=240&amp;yaw=220.28699&amp;pitch=0&amp;thumbfov=100</t>
  </si>
  <si>
    <t>Centro de Dependencia Gran Via</t>
  </si>
  <si>
    <t>XWHX+P2 Castellón de la Plana</t>
  </si>
  <si>
    <t>Carrer d&amp;apos;Onda, 29, 12006 Castelló de la Plana, Castelló</t>
  </si>
  <si>
    <t>https://goo.gl/maps/WxRUoLv3NJ8YFnxJA</t>
  </si>
  <si>
    <t>https://streetviewpixels-pa.googleapis.com/v1/thumbnail?panoid=guHuVw6hV-GRad7QpQtkXw&amp;cb_client=search.gws-prod.gps&amp;w=408&amp;h=240&amp;yaw=217.99936&amp;pitch=0&amp;thumbfov=100</t>
  </si>
  <si>
    <t>Asociación De Alcoholicos Rehabilitados Alameda Castellón</t>
  </si>
  <si>
    <t>XWFX+Q7 Castellón de la Plana</t>
  </si>
  <si>
    <t>Plaza Sierra Esparraguera, Locales 1-2, 12006 Castellón de la Plana, Castellón</t>
  </si>
  <si>
    <t>araca.es</t>
  </si>
  <si>
    <t>964 20 06 88</t>
  </si>
  <si>
    <t>https://goo.gl/maps/P6dTbgYp49vDeRMw8</t>
  </si>
  <si>
    <t>https://lh5.googleusercontent.com/p/AF1QipMnk9D2ZPlmXGpm9KzK4wJWt8XqC9dX8sfOKhml=w408-h544-k-no</t>
  </si>
  <si>
    <t>Centre Social Sant Felip</t>
  </si>
  <si>
    <t>WWVJ+XR Almazora</t>
  </si>
  <si>
    <t>Carrer de Sant Felip, 1, 12550 Almassora, Castellón</t>
  </si>
  <si>
    <t>Almazora</t>
  </si>
  <si>
    <t>964 56 37 51</t>
  </si>
  <si>
    <t>https://goo.gl/maps/1itqKbH56EZhRw9QA</t>
  </si>
  <si>
    <t>https://streetviewpixels-pa.googleapis.com/v1/thumbnail?panoid=b-jLZDnaXWJItCrGPaqldg&amp;cb_client=search.gws-prod.gps&amp;w=408&amp;h=240&amp;yaw=275.12387&amp;pitch=0&amp;thumbfov=100</t>
  </si>
  <si>
    <t>Herbalife Castellón distribuidor independiente</t>
  </si>
  <si>
    <t>XXP7+VM Castellón de la Plana</t>
  </si>
  <si>
    <t>12001 Castellón de la Plana, Castellón</t>
  </si>
  <si>
    <t>dsanchezonline.goherbalife.com</t>
  </si>
  <si>
    <t>667 36 94 51</t>
  </si>
  <si>
    <t>39.9860687</t>
  </si>
  <si>
    <t>-0.598272</t>
  </si>
  <si>
    <t>https://goo.gl/maps/93TwLrkySfWAvtAW8</t>
  </si>
  <si>
    <t>https://streetviewpixels-pa.googleapis.com/v1/thumbnail?panoid=2zo9labaxQNrwQmYpzbGuw&amp;cb_client=search.gws-prod.gps&amp;w=408&amp;h=240&amp;yaw=11.908466&amp;pitch=0&amp;thumbfov=100</t>
  </si>
  <si>
    <t>Asociación Banco de Alimentos de Castellón</t>
  </si>
  <si>
    <t>XWVW+36 Castellón de la Plana</t>
  </si>
  <si>
    <t>Ctra. de Borriol, 2 Bis, Nave 5, 12004 Castellón de la Plana, Castellón</t>
  </si>
  <si>
    <t>bancoalimentoscastellon.com</t>
  </si>
  <si>
    <t>964 21 25 19</t>
  </si>
  <si>
    <t>bancoalimentoscastellon@gmail.com</t>
  </si>
  <si>
    <t>https://goo.gl/maps/rMdpok41ydt2njEeA</t>
  </si>
  <si>
    <t>https://streetviewpixels-pa.googleapis.com/v1/thumbnail?panoid=GJezOrcKdyxTuRk52rD6MA&amp;cb_client=search.gws-prod.gps&amp;w=408&amp;h=240&amp;yaw=50.119785&amp;pitch=0&amp;thumbfov=100</t>
  </si>
  <si>
    <t>287</t>
  </si>
  <si>
    <t>XXH8+3P Castellón de la Plana</t>
  </si>
  <si>
    <t>Plaza Cruz Roja, S/N, 12005 Castelló de la Plana, Castelló</t>
  </si>
  <si>
    <t>964 72 48 50</t>
  </si>
  <si>
    <t>https://goo.gl/maps/tXWs5dsJTLw4hEDs7</t>
  </si>
  <si>
    <t>https://lh5.googleusercontent.com/p/AF1QipO_L9GXZyKvtb5uHToPHm4HJHLSPxULlWxX7wrb=w408-h306-k-no</t>
  </si>
  <si>
    <t>Colombia Nos Une</t>
  </si>
  <si>
    <t>XWJX+QX Castellón de la Plana</t>
  </si>
  <si>
    <t>Gran Vía de Tàrrega Monteblanco, 13, 12006 Castelló de la Plana, Castelló</t>
  </si>
  <si>
    <t>colombianosune.com</t>
  </si>
  <si>
    <t>619 34 96 42</t>
  </si>
  <si>
    <t>https://goo.gl/maps/eRs96ZrXNeid2HPSA</t>
  </si>
  <si>
    <t>https://streetviewpixels-pa.googleapis.com/v1/thumbnail?panoid=cCg8OIKySh6_wqyCp9Jnvw&amp;cb_client=search.gws-prod.gps&amp;w=408&amp;h=240&amp;yaw=207.40298&amp;pitch=0&amp;thumbfov=100</t>
  </si>
  <si>
    <t>Hijas de la Caridad de San Vicente Paúl</t>
  </si>
  <si>
    <t>XWXP+2R Castellón de la Plana</t>
  </si>
  <si>
    <t>Grup Rosers Collet, 72, 12004 Castellón de la Plana, Castellón</t>
  </si>
  <si>
    <t>hijascaridad.org</t>
  </si>
  <si>
    <t>964 73 00 60</t>
  </si>
  <si>
    <t>https://goo.gl/maps/dxoN1qz7VicGRSGBA</t>
  </si>
  <si>
    <t>https://lh5.googleusercontent.com/p/AF1QipNXMGzxpTkZc_swfKoqduzoX6S_R3G2gmvRLS4b=w408-h544-k-no</t>
  </si>
  <si>
    <t>Amics</t>
  </si>
  <si>
    <t>XXP4+QV Castellón de la Plana</t>
  </si>
  <si>
    <t>12001, Ronda del Millars, 14, 12001 Castelló de la Plana, Castelló</t>
  </si>
  <si>
    <t>amicscastello.com</t>
  </si>
  <si>
    <t>tau@amicscastello.com</t>
  </si>
  <si>
    <t>https://goo.gl/maps/zA1DUQLojwswsVFJ6</t>
  </si>
  <si>
    <t>https://streetviewpixels-pa.googleapis.com/v1/thumbnail?panoid=yhNAhNVlbXJ9uhuLcXf1ow&amp;cb_client=search.gws-prod.gps&amp;w=408&amp;h=240&amp;yaw=252.35997&amp;pitch=0&amp;thumbfov=100</t>
  </si>
  <si>
    <t>Ayuda domicilio La Plana</t>
  </si>
  <si>
    <t>XXM4+PV Castellón de la Plana</t>
  </si>
  <si>
    <t>Carrer de Menéndez Y Pelayo, 22, 12002 Castelló de la Plana, Castelló</t>
  </si>
  <si>
    <t>651 08 67 98</t>
  </si>
  <si>
    <t>https://goo.gl/maps/35Hruo3YXAWsjReU6</t>
  </si>
  <si>
    <t>https://streetviewpixels-pa.googleapis.com/v1/thumbnail?panoid=SiY-ZdMqkzSjTzcKdVWa7A&amp;cb_client=search.gws-prod.gps&amp;w=408&amp;h=240&amp;yaw=73.79528&amp;pitch=0&amp;thumbfov=100</t>
  </si>
  <si>
    <t>Comedor padre Ricardo</t>
  </si>
  <si>
    <t>XXX6+9P Castellón de la Plana</t>
  </si>
  <si>
    <t>Calle Pl Numero 125, 44R, 12004 Castellón de la Plana, Castellón</t>
  </si>
  <si>
    <t>https://goo.gl/maps/bT9YdEqenUgeZS3Z6</t>
  </si>
  <si>
    <t>AVISAL CORPORACION</t>
  </si>
  <si>
    <t>XW8R+QP Castellón de la Plana</t>
  </si>
  <si>
    <t>Poligono Industrial Fadrell, Camino Fadrell, nave 21, 12005, Castellón</t>
  </si>
  <si>
    <t>639 13 54 02</t>
  </si>
  <si>
    <t>39.966998</t>
  </si>
  <si>
    <t>-0.6184737</t>
  </si>
  <si>
    <t>https://goo.gl/maps/4NZYbmHiw4y2T3Yh6</t>
  </si>
  <si>
    <t>https://streetviewpixels-pa.googleapis.com/v1/thumbnail?panoid=yE6ISBaNkCy5OhlP0j_BaA&amp;cb_client=search.gws-prod.gps&amp;w=408&amp;h=240&amp;yaw=66.06827&amp;pitch=0&amp;thumbfov=100</t>
  </si>
  <si>
    <t>Fundació Aspropace</t>
  </si>
  <si>
    <t>XWW4+V3 Castellón de la Plana</t>
  </si>
  <si>
    <t>Avda. de Alcora, 421, 12006, Castellón</t>
  </si>
  <si>
    <t>fundacionaspropace.org</t>
  </si>
  <si>
    <t>964 25 25 73</t>
  </si>
  <si>
    <t>administracion@fundacionaspropace.org</t>
  </si>
  <si>
    <t>https://goo.gl/maps/p98UuWntcfuz7YLT9</t>
  </si>
  <si>
    <t>https://lh5.googleusercontent.com/p/AF1QipMz2vWNiSZqd1DgL3nRgS6vOJsaMX71W4WyRTLr=w426-h240-k-no</t>
  </si>
  <si>
    <t>Valencia</t>
  </si>
  <si>
    <t>39.4643825</t>
  </si>
  <si>
    <t>-0.4491422</t>
  </si>
  <si>
    <t>IVASS Vivienda Tutelada de Promoción Juan Verdeguer</t>
  </si>
  <si>
    <t>FM57+G8 Valencia</t>
  </si>
  <si>
    <t>Carrer de Joan Verdeguer, 46024 València</t>
  </si>
  <si>
    <t>València</t>
  </si>
  <si>
    <t>963 63 89 62</t>
  </si>
  <si>
    <t>https://goo.gl/maps/65vYPXTSSZ2zMny9A</t>
  </si>
  <si>
    <t>https://streetviewpixels-pa.googleapis.com/v1/thumbnail?panoid=VbGwi1bCTuls2VMyNpCpAw&amp;cb_client=search.gws-prod.gps&amp;w=408&amp;h=240&amp;yaw=265.99902&amp;pitch=0&amp;thumbfov=100</t>
  </si>
  <si>
    <t>Centro Municipal de Servicios Sociales Quatre Carreres</t>
  </si>
  <si>
    <t>FJ3P+XH Valencia</t>
  </si>
  <si>
    <t>Carrer de l&amp;apos;Arabista Ambrosio Huici, 46001 València, Valencia</t>
  </si>
  <si>
    <t>962 08 40 80</t>
  </si>
  <si>
    <t>https://goo.gl/maps/keJiU7SrYvCAQfc86</t>
  </si>
  <si>
    <t>https://streetviewpixels-pa.googleapis.com/v1/thumbnail?panoid=Qz9IJFIAXKdBW7BwRLgJTA&amp;cb_client=search.gws-prod.gps&amp;w=408&amp;h=240&amp;yaw=164.24829&amp;pitch=0&amp;thumbfov=100</t>
  </si>
  <si>
    <t>Centro Municipal de Servicios Sociales Malvarrosa</t>
  </si>
  <si>
    <t>FMHC+R6 Valencia</t>
  </si>
  <si>
    <t>Calle de la Maestra, Carrer de Maria Carbonell, 1, 46011 Valencia</t>
  </si>
  <si>
    <t>valencia.es</t>
  </si>
  <si>
    <t>962 08 25 70</t>
  </si>
  <si>
    <t>https://goo.gl/maps/XLvaNwHJi2RA3vGH9</t>
  </si>
  <si>
    <t>https://lh5.googleusercontent.com/p/AF1QipObb9Ai6vsC-dB5QewH9G6wDF49ChT3GW-HuMM=w408-h306-k-no</t>
  </si>
  <si>
    <t>CENTRO MUNICIPAL DE SERVICIOS SOCIALES SANT MARCEL·LÍ</t>
  </si>
  <si>
    <t>CJV6+43 Valencia</t>
  </si>
  <si>
    <t>Carrer de Salvador Perles, s/n, 46017 València, Valencia</t>
  </si>
  <si>
    <t>632 22 22 22</t>
  </si>
  <si>
    <t>https://goo.gl/maps/vrTF8Z8tgZxnyReu6</t>
  </si>
  <si>
    <t>https://lh5.googleusercontent.com/p/AF1QipO7TqO_PyhZTnswR3RE91s2zOzw8JyHa4UqVOJe=w408-h306-k-no</t>
  </si>
  <si>
    <t>Centro Municipal de Servicios Sociales Olivereta</t>
  </si>
  <si>
    <t>FJC2+FM Valencia</t>
  </si>
  <si>
    <t>C. d&amp;apos;Olimpia Arozena Torres, 60, 46018 València, Valencia</t>
  </si>
  <si>
    <t>962 08 46 80</t>
  </si>
  <si>
    <t>https://goo.gl/maps/URFzzkoGg9nM5BbHA</t>
  </si>
  <si>
    <t>https://lh5.googleusercontent.com/p/AF1QipOwbb8IyXj715Upi694lY0cUPv7BBmAAPkidRPG=w408-h725-k-no</t>
  </si>
  <si>
    <t>Centro Municipal de Servicios Sociales Ciutat Vella</t>
  </si>
  <si>
    <t>FJHC+24 Valencia</t>
  </si>
  <si>
    <t>C. de l&amp;apos;Hostal de Morella, 2, 46003 València, Valencia</t>
  </si>
  <si>
    <t>962 08 41 67</t>
  </si>
  <si>
    <t>https://goo.gl/maps/11uhVo2p12D8xD4KA</t>
  </si>
  <si>
    <t>https://lh5.googleusercontent.com/p/AF1QipP36cE-ahZjv-pcF2A38DCFgeOjaXRNZi6K3H4Q=w426-h240-k-no</t>
  </si>
  <si>
    <t>Centro Asuntos Sociales Patraix</t>
  </si>
  <si>
    <t>FJ74+39 Valencia</t>
  </si>
  <si>
    <t>Carrer de Salabert, 13, 46018 València, Valencia</t>
  </si>
  <si>
    <t>administracion.gob.es</t>
  </si>
  <si>
    <t>962 08 46 70</t>
  </si>
  <si>
    <t>https://goo.gl/maps/Y7Fo3jodeTD7BpjK9</t>
  </si>
  <si>
    <t>https://lh5.googleusercontent.com/p/AF1QipOIMVMb_-W42MeaTQtA2DkEQp_BmkbQW3bLpsNh=w424-h240-k-no</t>
  </si>
  <si>
    <t>Centro Municipal de Servicios Sociales Campanar</t>
  </si>
  <si>
    <t>FJJ3+49 Valencia</t>
  </si>
  <si>
    <t>Carrer del Gravador Enguídanos, 47, 46035 València, Valencia</t>
  </si>
  <si>
    <t>962 08 27 75</t>
  </si>
  <si>
    <t>https://goo.gl/maps/yTmC4RoUv7ykzZUd6</t>
  </si>
  <si>
    <t>https://lh5.googleusercontent.com/p/AF1QipNDBC_-rl_7f5UI7CcDoO11puDZbrvtGVxaMAW9=w408-h306-k-no</t>
  </si>
  <si>
    <t>Juzgado Social Nº 12</t>
  </si>
  <si>
    <t>FJ3W+V3 Valencia</t>
  </si>
  <si>
    <t>Av Saler, 14, 46013 Valencia</t>
  </si>
  <si>
    <t>961 92 91 05</t>
  </si>
  <si>
    <t>https://goo.gl/maps/wcZfLFuQYwb6PwNTA</t>
  </si>
  <si>
    <t>https://streetviewpixels-pa.googleapis.com/v1/thumbnail?panoid=Z1tu_B8NebsG_ZUd_dCTPA&amp;cb_client=search.gws-prod.gps&amp;w=408&amp;h=240&amp;yaw=207.68791&amp;pitch=0&amp;thumbfov=100</t>
  </si>
  <si>
    <t>Casa Caridad Valencia. Asociación Valenciana de Caridad</t>
  </si>
  <si>
    <t>208</t>
  </si>
  <si>
    <t>FJH7+97 Valencia</t>
  </si>
  <si>
    <t>Passeig de la Petxina, 9, 46008 València, Valencia</t>
  </si>
  <si>
    <t>casacaridad.com</t>
  </si>
  <si>
    <t>963 91 17 26</t>
  </si>
  <si>
    <t>relacionesexternas@casacaridad.com</t>
  </si>
  <si>
    <t>39.478399</t>
  </si>
  <si>
    <t>-0.4568298</t>
  </si>
  <si>
    <t>https://goo.gl/maps/93HsHa4LGdF147By9</t>
  </si>
  <si>
    <t>https://lh5.googleusercontent.com/p/AF1QipOMuRik_PKSemXR4m9Z-KGf1pVZ0C2RoeUDc5lM=w408-h240-k-no-pi-0-ya314-ro0-fo100</t>
  </si>
  <si>
    <t>IVASS Centre Ocupacional de Marxalenes</t>
  </si>
  <si>
    <t>FJP9+MM Valencia</t>
  </si>
  <si>
    <t>Calle de Montañana, 15, 46009 Valencia</t>
  </si>
  <si>
    <t>963 40 18 04</t>
  </si>
  <si>
    <t>https://goo.gl/maps/K26mH1bwq5bZQ2xj6</t>
  </si>
  <si>
    <t>https://streetviewpixels-pa.googleapis.com/v1/thumbnail?panoid=xC3wJvPu7MFO63y4es9Now&amp;cb_client=search.gws-prod.gps&amp;w=408&amp;h=240&amp;yaw=198.2919&amp;pitch=0&amp;thumbfov=100</t>
  </si>
  <si>
    <t>Gabinete Técnico de Trabajo Social</t>
  </si>
  <si>
    <t>FJ9H+HM Valencia</t>
  </si>
  <si>
    <t>Carrer d&amp;apos;Isabel la Catòlica, 8, 46004 València, Valencia</t>
  </si>
  <si>
    <t>963 51 83 77</t>
  </si>
  <si>
    <t>https://goo.gl/maps/gpL1xNXEkmW4c5vz7</t>
  </si>
  <si>
    <t>https://streetviewpixels-pa.googleapis.com/v1/thumbnail?panoid=uUp9YtC1KpORQbmcY9E9iw&amp;cb_client=search.gws-prod.gps&amp;w=408&amp;h=240&amp;yaw=226.23663&amp;pitch=0&amp;thumbfov=100</t>
  </si>
  <si>
    <t>Juzgado Social Nº 15</t>
  </si>
  <si>
    <t>961 92 91 08</t>
  </si>
  <si>
    <t>https://goo.gl/maps/vga3hmdAUvfqCgqe7</t>
  </si>
  <si>
    <t>Centro de Rehabilitación e Integración Social</t>
  </si>
  <si>
    <t>FJ9C+CR Valencia</t>
  </si>
  <si>
    <t>Carrer de Sant Pau, 9, 46002 València, Valencia</t>
  </si>
  <si>
    <t>https://goo.gl/maps/ZWsLkFaCUq6LCdCRA</t>
  </si>
  <si>
    <t>https://streetviewpixels-pa.googleapis.com/v1/thumbnail?panoid=6oPxDxbIQu95LSHRjTPpxQ&amp;cb_client=search.gws-prod.gps&amp;w=408&amp;h=240&amp;yaw=307.97534&amp;pitch=0&amp;thumbfov=100</t>
  </si>
  <si>
    <t>Centro de Servicios Sociales y Personas Mayores Mestre Palau</t>
  </si>
  <si>
    <t>FHCH+XM Mislata</t>
  </si>
  <si>
    <t>Carrer del Mestre Palau, 15, 46920 Mislata, Valencia</t>
  </si>
  <si>
    <t>Mislata</t>
  </si>
  <si>
    <t>mislata.es</t>
  </si>
  <si>
    <t>963 13 72 60</t>
  </si>
  <si>
    <t>https://goo.gl/maps/y7Kv5VSbkuEuTCsh8</t>
  </si>
  <si>
    <t>https://streetviewpixels-pa.googleapis.com/v1/thumbnail?panoid=uETm54LVHu8WmCzNI6JNXA&amp;cb_client=search.gws-prod.gps&amp;w=408&amp;h=240&amp;yaw=105.04053&amp;pitch=0&amp;thumbfov=100</t>
  </si>
  <si>
    <t>EL CENTRO MUJER</t>
  </si>
  <si>
    <t>FJJV+P9 Valencia</t>
  </si>
  <si>
    <t>Carrer de la Guàrdia Civil, 21, 46003 València, Valencia</t>
  </si>
  <si>
    <t>sinmaltrato.gva.es</t>
  </si>
  <si>
    <t>900 580 888</t>
  </si>
  <si>
    <t>institutdelesdones@gva.es</t>
  </si>
  <si>
    <t>39.4818678</t>
  </si>
  <si>
    <t>-0.4266546</t>
  </si>
  <si>
    <t>https://goo.gl/maps/GGy1y1vNThaU8Qws6</t>
  </si>
  <si>
    <t>https://lh5.googleusercontent.com/p/AF1QipOUrDGHkz8Drw9SOb20Ii5n3t3Tmb3ku5hzC3oh=w408-h244-k-no</t>
  </si>
  <si>
    <t>Subdireccio General D&amp;apos;Accio Social I Majors</t>
  </si>
  <si>
    <t>FJCJ+C7 Valencia</t>
  </si>
  <si>
    <t>Carrer de Colón, 80, 46004 València, Valencia</t>
  </si>
  <si>
    <t>963 17 66 70</t>
  </si>
  <si>
    <t>https://goo.gl/maps/64C9YgQzriNLEWDH6</t>
  </si>
  <si>
    <t>https://streetviewpixels-pa.googleapis.com/v1/thumbnail?panoid=OU7ZvLhVma8TMqFQkK0YzQ&amp;cb_client=search.gws-prod.gps&amp;w=408&amp;h=240&amp;yaw=108.493004&amp;pitch=0&amp;thumbfov=100</t>
  </si>
  <si>
    <t>Centro Municipal de Servicios Sociales Salvador Allende</t>
  </si>
  <si>
    <t>FJWH+CJ Valencia</t>
  </si>
  <si>
    <t>Carrer de Sant Joan de la Penya, 3, 46019 València, Valencia</t>
  </si>
  <si>
    <t>962 08 46 50</t>
  </si>
  <si>
    <t>https://goo.gl/maps/nYJmNAPgfnyFBvm38</t>
  </si>
  <si>
    <t>https://streetviewpixels-pa.googleapis.com/v1/thumbnail?panoid=en48SgQFxvwzvzaDeokmPg&amp;cb_client=search.gws-prod.gps&amp;w=408&amp;h=240&amp;yaw=179.10475&amp;pitch=0&amp;thumbfov=100</t>
  </si>
  <si>
    <t>Sección de Mediación, Arbitraje y Conciliación SMAC Valencia</t>
  </si>
  <si>
    <t>FJC9+8X Valencia</t>
  </si>
  <si>
    <t>Avinguda de l&amp;apos;Oest, 36, 46001 València, Valencia</t>
  </si>
  <si>
    <t>gva.es</t>
  </si>
  <si>
    <t>961 27 19 28</t>
  </si>
  <si>
    <t>https://goo.gl/maps/aFuTRkuL3KYZ85Jn9</t>
  </si>
  <si>
    <t>https://lh5.googleusercontent.com/p/AF1QipPXM4dvO20V0ESTM7UxKNGwpH9VqRN8xJkpH2XQ=w408-h306-k-no</t>
  </si>
  <si>
    <t>Centro Municipal De Servicios Sociales Nazaret</t>
  </si>
  <si>
    <t>CMX8+FP Valencia</t>
  </si>
  <si>
    <t>Carrer del Parc de Natzaret, 94, 46024 València, Valencia</t>
  </si>
  <si>
    <t>962 08 74 00</t>
  </si>
  <si>
    <t>39.4486256</t>
  </si>
  <si>
    <t>-0.4031898</t>
  </si>
  <si>
    <t>https://goo.gl/maps/wi9tiva4LaBPHz9r9</t>
  </si>
  <si>
    <t>https://streetviewpixels-pa.googleapis.com/v1/thumbnail?panoid=VDtc4hURYQRAHtRfQ0IIvg&amp;cb_client=search.gws-prod.gps&amp;w=408&amp;h=240&amp;yaw=276.3136&amp;pitch=0&amp;thumbfov=100</t>
  </si>
  <si>
    <t>Salesianos Inspectoría María Auxiliadora - Servicios Valencia</t>
  </si>
  <si>
    <t>FJRG+JC Valencia</t>
  </si>
  <si>
    <t>Carrer de Sagunt, 192, 46009 València, Valencia</t>
  </si>
  <si>
    <t>salesianos.edu</t>
  </si>
  <si>
    <t>963 65 32 96</t>
  </si>
  <si>
    <t>recepcion.casainspectorial@salesianos.edu</t>
  </si>
  <si>
    <t>https://goo.gl/maps/tXH2qojN9QLBt1qi7</t>
  </si>
  <si>
    <t>https://streetviewpixels-pa.googleapis.com/v1/thumbnail?panoid=cBbDHN0Wgr6BMtj4O5YZvg&amp;cb_client=search.gws-prod.gps&amp;w=408&amp;h=240&amp;yaw=117.122604&amp;pitch=0&amp;thumbfov=100</t>
  </si>
  <si>
    <t>CAST</t>
  </si>
  <si>
    <t>FJH9+6W Valencia</t>
  </si>
  <si>
    <t>Carrer dels Jardins, 3, 46003 València, Valencia</t>
  </si>
  <si>
    <t>962 08 47 47</t>
  </si>
  <si>
    <t>https://goo.gl/maps/jmP4iRJ4Abwi54EA8</t>
  </si>
  <si>
    <t>https://streetviewpixels-pa.googleapis.com/v1/thumbnail?panoid=hQ7oLu-l_Yhng_6u2Gf-jA&amp;cb_client=search.gws-prod.gps&amp;w=408&amp;h=240&amp;yaw=289.83755&amp;pitch=0&amp;thumbfov=100</t>
  </si>
  <si>
    <t>Centre Especialitzat d&amp;apos;Atenció a Majors, Dr. Waksman de Valencia Ceam</t>
  </si>
  <si>
    <t>FJ4G+FJ Valencia</t>
  </si>
  <si>
    <t>Avinguda del Doctor Waksman, 20, 46006 València, Valencia</t>
  </si>
  <si>
    <t>961 27 19 70</t>
  </si>
  <si>
    <t>https://goo.gl/maps/JqdHSDvrtAUg6wFZ9</t>
  </si>
  <si>
    <t>https://streetviewpixels-pa.googleapis.com/v1/thumbnail?panoid=iUFRLRhC2O8p8Ei9y-nyPQ&amp;cb_client=search.gws-prod.gps&amp;w=408&amp;h=240&amp;yaw=199.55264&amp;pitch=0&amp;thumbfov=100</t>
  </si>
  <si>
    <t>Consell Valencia de Persones Majors</t>
  </si>
  <si>
    <t>FJ7X+9W Valencia</t>
  </si>
  <si>
    <t>Carrer de Fuencaliente, 1, 46023 València, Valencia</t>
  </si>
  <si>
    <t>inclusio.gva.es</t>
  </si>
  <si>
    <t>https://goo.gl/maps/mGsVnkn27u1JzWQB9</t>
  </si>
  <si>
    <t>https://streetviewpixels-pa.googleapis.com/v1/thumbnail?panoid=6GbnOxVN6S35uxbnTAesLg&amp;cb_client=search.gws-prod.gps&amp;w=408&amp;h=240&amp;yaw=219.5172&amp;pitch=0&amp;thumbfov=100</t>
  </si>
  <si>
    <t>Teleasistencia en Valencia</t>
  </si>
  <si>
    <t>FJCV+P5 Valencia</t>
  </si>
  <si>
    <t>EDIFICIO EUROPA, Av. d&amp;apos;Aragó, 30, 14º, 46021 Valencia</t>
  </si>
  <si>
    <t>961 21 58 00</t>
  </si>
  <si>
    <t>https://g.page/teleasistencia-en-valencia?share</t>
  </si>
  <si>
    <t>https://lh5.googleusercontent.com/p/AF1QipMOQPvq8URulj94RGoCtNRTD-48q1qwH-CTNlDI=w408-h408-k-no</t>
  </si>
  <si>
    <t>O.N.C.E</t>
  </si>
  <si>
    <t>336</t>
  </si>
  <si>
    <t>FJ79+PG Valencia</t>
  </si>
  <si>
    <t>Gran Vía de Ramón y Cajal, 13, 46007 Valencia</t>
  </si>
  <si>
    <t>963 80 02 11</t>
  </si>
  <si>
    <t>https://goo.gl/maps/YgEKLwhpZBFqbut9A</t>
  </si>
  <si>
    <t>https://lh5.googleusercontent.com/p/AF1QipODsOEfKmb6Ys7yBdtzoJPaafAk52MoUUsHfO-5=w408-h306-k-no</t>
  </si>
  <si>
    <t>FH7F+H9 Chirivella</t>
  </si>
  <si>
    <t>Carrer de Cervantes, 22, 46950 Xirivella, Valencia</t>
  </si>
  <si>
    <t>Chirivella</t>
  </si>
  <si>
    <t>963 83 02 79</t>
  </si>
  <si>
    <t>39.4639947</t>
  </si>
  <si>
    <t>-0.4965891</t>
  </si>
  <si>
    <t>https://goo.gl/maps/x5XBhGV6fpd6Wso39</t>
  </si>
  <si>
    <t>https://streetviewpixels-pa.googleapis.com/v1/thumbnail?panoid=yfQI_jqcqmIAxygU9mu-Yg&amp;cb_client=search.gws-prod.gps&amp;w=408&amp;h=240&amp;yaw=317.06888&amp;pitch=0&amp;thumbfov=100</t>
  </si>
  <si>
    <t>Burjasot</t>
  </si>
  <si>
    <t>39.5041835</t>
  </si>
  <si>
    <t>-0.4801767</t>
  </si>
  <si>
    <t>Instituto Pedagogico Valenciano</t>
  </si>
  <si>
    <t>FJHC+H3 Valencia</t>
  </si>
  <si>
    <t>C. de Dalt, 45, 46003 València, Valencia</t>
  </si>
  <si>
    <t>963 91 06 98</t>
  </si>
  <si>
    <t>https://goo.gl/maps/NxmAaZoqpRtbYAtB8</t>
  </si>
  <si>
    <t>https://streetviewpixels-pa.googleapis.com/v1/thumbnail?panoid=yBdLviHDUo7QsBFl03ONTg&amp;cb_client=search.gws-prod.gps&amp;w=408&amp;h=240&amp;yaw=322.52835&amp;pitch=0&amp;thumbfov=100</t>
  </si>
  <si>
    <t>Caritas Diocesana</t>
  </si>
  <si>
    <t>FJMQ+5V Valencia</t>
  </si>
  <si>
    <t>Carrer de la Guàrdia Civil, 3, 46020 València, Valencia</t>
  </si>
  <si>
    <t>caritasvalencia.org</t>
  </si>
  <si>
    <t>39.4645553</t>
  </si>
  <si>
    <t>-0.4489693</t>
  </si>
  <si>
    <t>https://goo.gl/maps/rzX6eqgHdZcMDZiCA</t>
  </si>
  <si>
    <t>https://streetviewpixels-pa.googleapis.com/v1/thumbnail?panoid=rw7IGv6tbWDnrqHfNUw7xw&amp;cb_client=search.gws-prod.gps&amp;w=408&amp;h=240&amp;yaw=54.13443&amp;pitch=0&amp;thumbfov=100</t>
  </si>
  <si>
    <t>Aspace C.Valenciana Federación</t>
  </si>
  <si>
    <t>FMF5+4V Valencia</t>
  </si>
  <si>
    <t>Pl. de José María Orense, 6 bajo, 46022 València</t>
  </si>
  <si>
    <t>fedaspacecv.org</t>
  </si>
  <si>
    <t>963 60 44 37</t>
  </si>
  <si>
    <t>https://goo.gl/maps/zW2XP3SSatMMzg4p9</t>
  </si>
  <si>
    <t>https://streetviewpixels-pa.googleapis.com/v1/thumbnail?panoid=7czmaCRGcdg-K2Ej-TDajA&amp;cb_client=search.gws-prod.gps&amp;w=408&amp;h=240&amp;yaw=119.30243&amp;pitch=0&amp;thumbfov=100</t>
  </si>
  <si>
    <t>IVASS Centro de Día Torrefiel</t>
  </si>
  <si>
    <t>FJV9+72 Valencia</t>
  </si>
  <si>
    <t>Carrer de Zamora, 9, 46025 València, Valencia</t>
  </si>
  <si>
    <t>963 86 99 02</t>
  </si>
  <si>
    <t>https://goo.gl/maps/hm1ixx3ZEdKsEzkw5</t>
  </si>
  <si>
    <t>https://streetviewpixels-pa.googleapis.com/v1/thumbnail?panoid=UH3ADXRs23PtHy57Pkj-RA&amp;cb_client=search.gws-prod.gps&amp;w=408&amp;h=240&amp;yaw=226.21748&amp;pitch=0&amp;thumbfov=100</t>
  </si>
  <si>
    <t>Fundación Adsis Centro Hedra</t>
  </si>
  <si>
    <t>FJ3G+FW Valencia</t>
  </si>
  <si>
    <t>Carrer de Rubén Vela, 47, 46013 València, Valencia</t>
  </si>
  <si>
    <t>fundacionadsis.org</t>
  </si>
  <si>
    <t>963 95 46 76</t>
  </si>
  <si>
    <t>comunicacion@fundacionadsis.org</t>
  </si>
  <si>
    <t>https://goo.gl/maps/n4GLX8TidD5ymiz87</t>
  </si>
  <si>
    <t>https://streetviewpixels-pa.googleapis.com/v1/thumbnail?panoid=mrNukiCcsrksKWuQ4vaoFA&amp;cb_client=search.gws-prod.gps&amp;w=408&amp;h=240&amp;yaw=60.065166&amp;pitch=0&amp;thumbfov=100</t>
  </si>
  <si>
    <t>AVAFAM - Asociación Valenciana de Familias Numerosas</t>
  </si>
  <si>
    <t>FJG7+FW Valencia</t>
  </si>
  <si>
    <t>Carrer del Túria, Nº30, Bajo, 46008 Valencia</t>
  </si>
  <si>
    <t>avafam.org</t>
  </si>
  <si>
    <t>963 94 04 59</t>
  </si>
  <si>
    <t>https://goo.gl/maps/kZLGrKstoD6tWXtK9</t>
  </si>
  <si>
    <t>https://lh5.googleusercontent.com/p/AF1QipN6uIe0AgqRgAqV9cgSDnbNZ-nrY82dyowfNuw=w435-h240-k-no</t>
  </si>
  <si>
    <t>Centre Especialitzat D&amp;apos;Atenció A Majors Pintor Ferrandis Valencia Ceam</t>
  </si>
  <si>
    <t>FMC9+W8 Valencia</t>
  </si>
  <si>
    <t>Carrer del Pintor Ferrandis, 4, 46011 València, Valencia</t>
  </si>
  <si>
    <t>ceamcabanyal.es</t>
  </si>
  <si>
    <t>961 27 19 90</t>
  </si>
  <si>
    <t>info@ceamcabanyal.es</t>
  </si>
  <si>
    <t>https://g.page/ceamcabanyal?share</t>
  </si>
  <si>
    <t>https://lh5.googleusercontent.com/p/AF1QipPJ2S0D2fq1Y42KUFScTvWnTIIeQJDeV0CvsREe=w408-h545-k-no</t>
  </si>
  <si>
    <t>TIENDA SOLIDARIA Proyecto Vivir Fundación de la Comunidad Valenciana</t>
  </si>
  <si>
    <t>FJF4+JP Valencia</t>
  </si>
  <si>
    <t>Carrer de González Martí, 3, 46008 València, Valencia</t>
  </si>
  <si>
    <t>proyectovivir.es</t>
  </si>
  <si>
    <t>963 85 70 58</t>
  </si>
  <si>
    <t>info@proyectovivir.es</t>
  </si>
  <si>
    <t>https://goo.gl/maps/3FiQz5oXPozihtMV9</t>
  </si>
  <si>
    <t>https://streetviewpixels-pa.googleapis.com/v1/thumbnail?panoid=HXF6hKEXHjACW0FogbWmZA&amp;cb_client=search.gws-prod.gps&amp;w=408&amp;h=240&amp;yaw=39.600014&amp;pitch=0&amp;thumbfov=100</t>
  </si>
  <si>
    <t>Fesord Federación De Sordos De La Comunidad Valenciana</t>
  </si>
  <si>
    <t>FJ58+94 Valencia</t>
  </si>
  <si>
    <t>C. de Jeroni Munyós, 30, 32, 46007 Valencia</t>
  </si>
  <si>
    <t>fesord.org</t>
  </si>
  <si>
    <t>963 85 00 14</t>
  </si>
  <si>
    <t>info@fesord.org</t>
  </si>
  <si>
    <t>39.4584209</t>
  </si>
  <si>
    <t>-0.4547052</t>
  </si>
  <si>
    <t>https://goo.gl/maps/DmSvzaMCYmiMekYK6</t>
  </si>
  <si>
    <t>https://streetviewpixels-pa.googleapis.com/v1/thumbnail?panoid=4mZh_aFwbuxmYaJluBQXGQ&amp;cb_client=search.gws-prod.gps&amp;w=408&amp;h=240&amp;yaw=216.82668&amp;pitch=0&amp;thumbfov=100</t>
  </si>
  <si>
    <t>Obra Social Femenina Nuestra Señora de los Desamparados</t>
  </si>
  <si>
    <t>FJGF+X6 Valencia</t>
  </si>
  <si>
    <t>Carrer dels Serrans, 3A, 46003 València, Valencia</t>
  </si>
  <si>
    <t>963 91 27 05</t>
  </si>
  <si>
    <t>https://goo.gl/maps/1YBNddXo5JgjGAzi8</t>
  </si>
  <si>
    <t>https://lh5.googleusercontent.com/p/AF1QipMjuw67KkNhMKYa7UH4z3S7Kp7UmUOHj-RnHe3n=w408-h544-k-no</t>
  </si>
  <si>
    <t>Servicios sociales saidia</t>
  </si>
  <si>
    <t>FJQ7+CJ Valencia</t>
  </si>
  <si>
    <t>calle Carrión, 14, 46009 Valencia</t>
  </si>
  <si>
    <t>https://goo.gl/maps/ifonxZE1jQ1hUc2LA</t>
  </si>
  <si>
    <t>https://streetviewpixels-pa.googleapis.com/v1/thumbnail?panoid=IfUajBdHEwZp7K68IFZC8g&amp;cb_client=search.gws-prod.gps&amp;w=408&amp;h=240&amp;yaw=36.650047&amp;pitch=0&amp;thumbfov=100</t>
  </si>
  <si>
    <t>Federación de Familiares de Alzheimer de la Comunidad Valenciana</t>
  </si>
  <si>
    <t>FH52+M9 Alacuás</t>
  </si>
  <si>
    <t>Carrer Rafael Alberti, 6, 46970 Alaquàs, Valencia</t>
  </si>
  <si>
    <t>Alacuás</t>
  </si>
  <si>
    <t>congresoalzheimercomunidadvalenciana.org</t>
  </si>
  <si>
    <t>961 51 00 02</t>
  </si>
  <si>
    <t>https://goo.gl/maps/QjqdxmoVBVZCYjri8</t>
  </si>
  <si>
    <t>https://streetviewpixels-pa.googleapis.com/v1/thumbnail?panoid=O3pc2WGOmAxU5qDzvUdZ6Q&amp;cb_client=search.gws-prod.gps&amp;w=408&amp;h=240&amp;yaw=79.04811&amp;pitch=0&amp;thumbfov=100</t>
  </si>
  <si>
    <t>Erasmus Trips Valencia - Erasmus Space valencia</t>
  </si>
  <si>
    <t>FMF3+6G Valencia</t>
  </si>
  <si>
    <t>Av. de Blasco Ibáñez, 126, 46022 València, Valencia</t>
  </si>
  <si>
    <t>erasmustrips.org</t>
  </si>
  <si>
    <t>617 70 74 22</t>
  </si>
  <si>
    <t>https://goo.gl/maps/h1H8w6uACWg57mxk9</t>
  </si>
  <si>
    <t>https://streetviewpixels-pa.googleapis.com/v1/thumbnail?panoid=TgCR_Zb3QpXDMh80LlmVHQ&amp;cb_client=search.gws-prod.gps&amp;w=408&amp;h=240&amp;yaw=225.16289&amp;pitch=0&amp;thumbfov=100</t>
  </si>
  <si>
    <t>Asociación Alter Valencia Centro Edaurdo Sena</t>
  </si>
  <si>
    <t>FJ35+JG Valencia</t>
  </si>
  <si>
    <t>Carrer de Llanera de Ranes, nº 6, bajo, 46017 València, Valencia</t>
  </si>
  <si>
    <t>963 25 83 01</t>
  </si>
  <si>
    <t>https://goo.gl/maps/DWHiZ51hEHWf5TQF8</t>
  </si>
  <si>
    <t>https://streetviewpixels-pa.googleapis.com/v1/thumbnail?panoid=vgbgto3-mQ4_QWi2JFfAFA&amp;cb_client=search.gws-prod.gps&amp;w=408&amp;h=240&amp;yaw=224.86295&amp;pitch=0&amp;thumbfov=100</t>
  </si>
  <si>
    <t>Germanes Servidores de Jesús del Cottolengo del Pare Alegre</t>
  </si>
  <si>
    <t>FJMV+CG Valencia</t>
  </si>
  <si>
    <t>Carrer del Dr. Vicent Zaragoza, 87, 46020 València, Valencia</t>
  </si>
  <si>
    <t>963 69 20 96</t>
  </si>
  <si>
    <t>https://goo.gl/maps/zhi9wuBe49UwCvUt9</t>
  </si>
  <si>
    <t>https://lh5.googleusercontent.com/p/AF1QipOr5wz9vq8jGnjOV4gZ-CqGXmSkWqKDUmr7TSNk=w408-h306-k-no</t>
  </si>
  <si>
    <t>Asociación Amigos Mira España Valencia</t>
  </si>
  <si>
    <t>CJH4+GM Valencia</t>
  </si>
  <si>
    <t>Avinguda Real de Madrid, 101, 46017 València, Valencia</t>
  </si>
  <si>
    <t>amigosmira.es</t>
  </si>
  <si>
    <t>663 48 96 79</t>
  </si>
  <si>
    <t>servicioalusuario@amigosmira.es</t>
  </si>
  <si>
    <t>39.4288274</t>
  </si>
  <si>
    <t>-0.4633308</t>
  </si>
  <si>
    <t>https://goo.gl/maps/URJ34acdYFkhRvoDA</t>
  </si>
  <si>
    <t>https://streetviewpixels-pa.googleapis.com/v1/thumbnail?panoid=me8uoG2xVOFrnjXvcAM0_A&amp;cb_client=search.gws-prod.gps&amp;w=408&amp;h=240&amp;yaw=227.85046&amp;pitch=0&amp;thumbfov=100</t>
  </si>
  <si>
    <t>Aracova Asociación de Refugiados y Asilados de la Comunidad Valenciana</t>
  </si>
  <si>
    <t>FH8X+2W Valencia</t>
  </si>
  <si>
    <t>Carrer de María de Maeztu (pedagoga, 6, 46018 València, Valencia</t>
  </si>
  <si>
    <t>963 92 54 44</t>
  </si>
  <si>
    <t>https://goo.gl/maps/YuAaRGut84rCN7rQ7</t>
  </si>
  <si>
    <t>https://streetviewpixels-pa.googleapis.com/v1/thumbnail?panoid=M6bIPCS43i4HLSxttQ31oQ&amp;cb_client=search.gws-prod.gps&amp;w=408&amp;h=240&amp;yaw=211.0791&amp;pitch=0&amp;thumbfov=100</t>
  </si>
  <si>
    <t>Federación de Personas Sordas de la Comunitat Valenciana (FESORD CV)</t>
  </si>
  <si>
    <t>FJ58+93 Valencia</t>
  </si>
  <si>
    <t>C. de Jeroni Munyós, 30, 46007 València, Valencia</t>
  </si>
  <si>
    <t>963 84 60 55</t>
  </si>
  <si>
    <t>https://goo.gl/maps/dkdf8zLWvDns94mD7</t>
  </si>
  <si>
    <t>https://lh5.googleusercontent.com/p/AF1QipPRbrsZiOtWA9_UuztoFJzKzM0DYQMKGR8ngtBo=w408-h306-k-no</t>
  </si>
  <si>
    <t>Servicios de Teleasistencia S.A.</t>
  </si>
  <si>
    <t>FJ8R+8M Valencia</t>
  </si>
  <si>
    <t>Calle de la Antigua Senda de Senent, 11, 46023 Valencia</t>
  </si>
  <si>
    <t>901 50 10 15</t>
  </si>
  <si>
    <t>https://goo.gl/maps/sTUhjMb9tNtzZkSv6</t>
  </si>
  <si>
    <t>https://streetviewpixels-pa.googleapis.com/v1/thumbnail?panoid=0Zz-j5RzY75C5DJdL4ZD7g&amp;cb_client=search.gws-prod.gps&amp;w=408&amp;h=240&amp;yaw=97.90781&amp;pitch=0&amp;thumbfov=100</t>
  </si>
  <si>
    <t>a36b86319e6542838a534122c8870e3f@sentry.qdqmedia.com</t>
  </si>
  <si>
    <t>Centro Recursos Marítim</t>
  </si>
  <si>
    <t>FJ8W+7X Valencia</t>
  </si>
  <si>
    <t>Avinguda del Port, 108, 46023 Valencia</t>
  </si>
  <si>
    <t>963 86 95 76</t>
  </si>
  <si>
    <t>https://goo.gl/maps/dZX7HPiyN93ASsGh6</t>
  </si>
  <si>
    <t>https://lh5.googleusercontent.com/p/AF1QipOS1ppcRMNkN2E6iuEdstMm_yBHFJlw111OfiSu=w408-h306-k-no</t>
  </si>
  <si>
    <t>IVASS Residencia y Centro Día L&amp;apos;Almara</t>
  </si>
  <si>
    <t>GH6H+Q7 Burjasot</t>
  </si>
  <si>
    <t>Plaça el Palleter, s/n, 46100 Burjassot, Valencia</t>
  </si>
  <si>
    <t>962 54 22 00</t>
  </si>
  <si>
    <t>39.5119011</t>
  </si>
  <si>
    <t>-0.491793</t>
  </si>
  <si>
    <t>https://goo.gl/maps/mVF4v1EPAK5nG4km6</t>
  </si>
  <si>
    <t>https://streetviewpixels-pa.googleapis.com/v1/thumbnail?panoid=9xBVGPhgJMTuj4m6r8N-aw&amp;cb_client=search.gws-prod.gps&amp;w=408&amp;h=240&amp;yaw=218.76797&amp;pitch=0&amp;thumbfov=100</t>
  </si>
  <si>
    <t>Servicios Sociales Municipales</t>
  </si>
  <si>
    <t>GG5W+54 Paterna</t>
  </si>
  <si>
    <t>Carrer del Músic Antoni Cabeza, 24, 46988 Paterna, Valencia</t>
  </si>
  <si>
    <t>Paterna</t>
  </si>
  <si>
    <t>paterna.es</t>
  </si>
  <si>
    <t>961 37 96 51</t>
  </si>
  <si>
    <t>https://goo.gl/maps/fUQj9CYay2oD4zyDA</t>
  </si>
  <si>
    <t>https://lh5.googleusercontent.com/p/AF1QipPY7WJSHAcjnWw0GcrPm4xhoI2Tbbbx0n5AC2sR=w533-h240-k-no</t>
  </si>
  <si>
    <t>Catarroja</t>
  </si>
  <si>
    <t>Fundación Cañada Blanch</t>
  </si>
  <si>
    <t>FJ9J+X3 Valencia</t>
  </si>
  <si>
    <t>Carrer de Jorge Juan, 4, 46004 València, Valencia</t>
  </si>
  <si>
    <t>fundacioncanadablanch.org</t>
  </si>
  <si>
    <t>963 53 52 26</t>
  </si>
  <si>
    <t>admon@fundacioncanadablanch.org</t>
  </si>
  <si>
    <t>39.469878</t>
  </si>
  <si>
    <t>-0.4398998</t>
  </si>
  <si>
    <t>https://goo.gl/maps/evJcaXHbMYz3fqFT9</t>
  </si>
  <si>
    <t>https://lh5.googleusercontent.com/p/AF1QipP1lepAEVEiF55scsqUN3uO0KzSCXU26vKz_9_x=w682-h240-k-no</t>
  </si>
  <si>
    <t>Canguro Express</t>
  </si>
  <si>
    <t>GH4V+3W Valencia</t>
  </si>
  <si>
    <t>Plaza España, 46100 Valencia</t>
  </si>
  <si>
    <t>635 55 12 84</t>
  </si>
  <si>
    <t>39.505177</t>
  </si>
  <si>
    <t>-0.4752548</t>
  </si>
  <si>
    <t>https://goo.gl/maps/hY6RMUpXLRTWMYwF9</t>
  </si>
  <si>
    <t>https://lh5.googleusercontent.com/p/AF1QipOxupVnmb6N9cYteHxQhX5eyPEdF7OrN0iOnQxI=w408-h306-k-no</t>
  </si>
  <si>
    <t>Centro Social Santo Domingo</t>
  </si>
  <si>
    <t>CGPQ+R7 Torrente</t>
  </si>
  <si>
    <t>Carrer de Sant Domènec, 22, 46900 Torrent, Valencia</t>
  </si>
  <si>
    <t>Torrente</t>
  </si>
  <si>
    <t>torrent.es</t>
  </si>
  <si>
    <t>961 11 18 60</t>
  </si>
  <si>
    <t>39.4371227</t>
  </si>
  <si>
    <t>-0.5318254</t>
  </si>
  <si>
    <t>https://goo.gl/maps/ot8dsAM46VuLGBNu9</t>
  </si>
  <si>
    <t>https://streetviewpixels-pa.googleapis.com/v1/thumbnail?panoid=6zg8GuWlQQDg-yH9h1O9hg&amp;cb_client=search.gws-prod.gps&amp;w=408&amp;h=240&amp;yaw=74.25325&amp;pitch=0&amp;thumbfov=100</t>
  </si>
  <si>
    <t>Comedor Social San José- Cáritas Parroquial de la Asunción.</t>
  </si>
  <si>
    <t>FJPR+M5 Valencia</t>
  </si>
  <si>
    <t>Carrer de la Providència, 5, 46020 València, Valencia</t>
  </si>
  <si>
    <t>961 93 18 61</t>
  </si>
  <si>
    <t>39.4866743</t>
  </si>
  <si>
    <t>-0.4296225</t>
  </si>
  <si>
    <t>https://goo.gl/maps/yEbptJvmP3QBFdWu9</t>
  </si>
  <si>
    <t>https://lh5.googleusercontent.com/p/AF1QipNyns4mpLMKKvYNM2VcTa9JIv3SAN9RKcD4yIQd=w408-h306-k-no</t>
  </si>
  <si>
    <t>Ministerio De Empleo Y Seguridad Social</t>
  </si>
  <si>
    <t>CGJF+MR Torrente</t>
  </si>
  <si>
    <t>Carrer de les Germanies, 82, 46900 Torrent, Valencia</t>
  </si>
  <si>
    <t>39.4316319</t>
  </si>
  <si>
    <t>-0.5455229</t>
  </si>
  <si>
    <t>https://goo.gl/maps/RJct8pVL8E22ctPw5</t>
  </si>
  <si>
    <t>https://streetviewpixels-pa.googleapis.com/v1/thumbnail?panoid=_Niy4tezNKeDk1jYX74hEQ&amp;cb_client=search.gws-prod.gps&amp;w=408&amp;h=240&amp;yaw=331.06442&amp;pitch=0&amp;thumbfov=100</t>
  </si>
  <si>
    <t>JOVESOLIDES</t>
  </si>
  <si>
    <t>GHF8+3J Paterna</t>
  </si>
  <si>
    <t>Carrer Silla, 10, 46980 Paterna, Valencia</t>
  </si>
  <si>
    <t>jovesolides.org</t>
  </si>
  <si>
    <t>963 63 25 63</t>
  </si>
  <si>
    <t>info@jovesolides.org</t>
  </si>
  <si>
    <t>39.5227437</t>
  </si>
  <si>
    <t>-0.5034802</t>
  </si>
  <si>
    <t>https://goo.gl/maps/6Q478hQSvMgkF1vh9</t>
  </si>
  <si>
    <t>https://lh5.googleusercontent.com/p/AF1QipPUP4PaRrOWkg6dtVKgpPO0Orvk054UlgfV2khE=w408-h306-k-no</t>
  </si>
  <si>
    <t>Atenció Benestar social</t>
  </si>
  <si>
    <t>CH2X+36 Catarroja</t>
  </si>
  <si>
    <t>Plaça Llotgeta, 1, 46470 Catarroja, Valencia</t>
  </si>
  <si>
    <t>catarroja.es</t>
  </si>
  <si>
    <t>961 27 44 82</t>
  </si>
  <si>
    <t>39.400166</t>
  </si>
  <si>
    <t>-0.4719999</t>
  </si>
  <si>
    <t>https://goo.gl/maps/PLH2MBceGcqgTDps7</t>
  </si>
  <si>
    <t>https://lh5.googleusercontent.com/p/AF1QipNSGiEVgfeXFBk5QY47YIhTjdyMwelCarO9lwFo=w408-h306-k-no</t>
  </si>
  <si>
    <t>Fundación Hogares San Martín de Porres de la Comunidad Valenciana</t>
  </si>
  <si>
    <t>CGP9+6P Torrente</t>
  </si>
  <si>
    <t>Carrer de Sant Alfred, 22, 46900 Torrent, Valencia</t>
  </si>
  <si>
    <t>961 58 00 83</t>
  </si>
  <si>
    <t>39.4356084</t>
  </si>
  <si>
    <t>-0.5507725</t>
  </si>
  <si>
    <t>https://goo.gl/maps/YwhUxcRazS5bSw8PA</t>
  </si>
  <si>
    <t>https://streetviewpixels-pa.googleapis.com/v1/thumbnail?panoid=lr-b9L73dagRV-TYxMig6g&amp;cb_client=search.gws-prod.gps&amp;w=408&amp;h=240&amp;yaw=70.406204&amp;pitch=0&amp;thumbfov=100</t>
  </si>
  <si>
    <t>7HRM+CH Almusafes</t>
  </si>
  <si>
    <t>Carrer Mestre Cardona, 35, 46440 Almussafes, Valencia</t>
  </si>
  <si>
    <t>Almusafes</t>
  </si>
  <si>
    <t>961 78 39 91</t>
  </si>
  <si>
    <t>39.2910004</t>
  </si>
  <si>
    <t>-0.4860785</t>
  </si>
  <si>
    <t>https://goo.gl/maps/kCrEuenKMJ8S5Zz79</t>
  </si>
  <si>
    <t>https://streetviewpixels-pa.googleapis.com/v1/thumbnail?panoid=YZA1Vud3IbambVJp9gW-Ww&amp;cb_client=search.gws-prod.gps&amp;w=408&amp;h=240&amp;yaw=179.59631&amp;pitch=0&amp;thumbfov=100</t>
  </si>
  <si>
    <t>Artic Asociación de Alcoholicos de Torrent y Comarca</t>
  </si>
  <si>
    <t>CGPP+QX Torrente</t>
  </si>
  <si>
    <t>Calle Hospital, 4, 46900 Torrent, Valencia</t>
  </si>
  <si>
    <t>961 56 46 58</t>
  </si>
  <si>
    <t>39.4369446</t>
  </si>
  <si>
    <t>-0.5326367</t>
  </si>
  <si>
    <t>https://goo.gl/maps/fRR37hgyTadh36aq6</t>
  </si>
  <si>
    <t>https://lh5.googleusercontent.com/p/AF1QipM-_f8rngmQq9F9V_C81LctMdOuYHEk5rD_XqgA=w408-h306-k-no</t>
  </si>
  <si>
    <t>IVASS Vivienda Tutelada Asistida San Lucas</t>
  </si>
  <si>
    <t>F8V9+J9 Cheste</t>
  </si>
  <si>
    <t>Calle Trinquete, 10, 46380 Cheste, Valencia</t>
  </si>
  <si>
    <t>Cheste</t>
  </si>
  <si>
    <t>962 51 17 41</t>
  </si>
  <si>
    <t>39.4940526</t>
  </si>
  <si>
    <t>-0.7515864</t>
  </si>
  <si>
    <t>https://goo.gl/maps/eFhWw4ByeVhpCWNA9</t>
  </si>
  <si>
    <t>https://streetviewpixels-pa.googleapis.com/v1/thumbnail?panoid=rtNZhhomZrOo3cuzp2DT1w&amp;cb_client=search.gws-prod.gps&amp;w=408&amp;h=240&amp;yaw=192.9508&amp;pitch=0&amp;thumbfov=100</t>
  </si>
  <si>
    <t>Associació Joves Cap A la Solidaritat I El Desenvolupament</t>
  </si>
  <si>
    <t>GHC8+WR Paterna</t>
  </si>
  <si>
    <t>39.4529612</t>
  </si>
  <si>
    <t>-0.560748</t>
  </si>
  <si>
    <t>https://goo.gl/maps/dcNtpWxjwgmNkfjL6</t>
  </si>
  <si>
    <t>https://streetviewpixels-pa.googleapis.com/v1/thumbnail?panoid=ePTOjObUMJCqw-5sFfvnag&amp;cb_client=search.gws-prod.gps&amp;w=408&amp;h=240&amp;yaw=236.59381&amp;pitch=0&amp;thumbfov=100</t>
  </si>
  <si>
    <t>Servicio sociales cullera</t>
  </si>
  <si>
    <t>5P7W+XW Cullera</t>
  </si>
  <si>
    <t>Plaça de la Verge, 12, 46400 Cullera, Valencia</t>
  </si>
  <si>
    <t>Cullera</t>
  </si>
  <si>
    <t>961 72 05 74</t>
  </si>
  <si>
    <t>39.1649199</t>
  </si>
  <si>
    <t>-0.3227384</t>
  </si>
  <si>
    <t>https://goo.gl/maps/g9bFvvYtXdu7rVLE6</t>
  </si>
  <si>
    <t>https://streetviewpixels-pa.googleapis.com/v1/thumbnail?panoid=Ii8KF11yNtmntcNHmiIaRw&amp;cb_client=search.gws-prod.gps&amp;w=408&amp;h=240&amp;yaw=59.43889&amp;pitch=0&amp;thumbfov=100</t>
  </si>
  <si>
    <t>IVASS Centro de Día Carlet</t>
  </si>
  <si>
    <t>6FH8+PH Carlet</t>
  </si>
  <si>
    <t>Camí dels Depòsits, 32, 46240 Carlet, Valencia</t>
  </si>
  <si>
    <t>Carlet</t>
  </si>
  <si>
    <t>962 71 87 34</t>
  </si>
  <si>
    <t>39.2293419</t>
  </si>
  <si>
    <t>-0.6035848</t>
  </si>
  <si>
    <t>https://goo.gl/maps/2Ve8cWmtRdTE5LnY7</t>
  </si>
  <si>
    <t>https://lh5.googleusercontent.com/p/AF1QipMv9KUDXCdoMuzoI_1Q0pS458wrh0tBRltRrunq=w408-h544-k-no</t>
  </si>
  <si>
    <t>Asociación Reto a la Esperanza</t>
  </si>
  <si>
    <t>HJXQ+87 Rafelbuñol</t>
  </si>
  <si>
    <t>Partida Dels Germanells, N 8, 46138 Rafelbunyol, Valencia</t>
  </si>
  <si>
    <t>Rafelbuñol</t>
  </si>
  <si>
    <t>asociacionreto.com</t>
  </si>
  <si>
    <t>962 11 27 17</t>
  </si>
  <si>
    <t>consultas@asociacionreto.com</t>
  </si>
  <si>
    <t>39.5982947</t>
  </si>
  <si>
    <t>-0.4318945</t>
  </si>
  <si>
    <t>https://goo.gl/maps/T2Nf6VpcwVFZComT8</t>
  </si>
  <si>
    <t>https://lh5.googleusercontent.com/p/AF1QipPOT2y252tFvgsIi0Quj-C7sdwYmL9lstiimJc9=w427-h240-k-no</t>
  </si>
  <si>
    <t>XFQH+PW Játiva</t>
  </si>
  <si>
    <t>Carrer Montcada, 11, 13, 46800 Xàtiva, Valencia</t>
  </si>
  <si>
    <t>Játiva</t>
  </si>
  <si>
    <t>962 28 08 50</t>
  </si>
  <si>
    <t>38.9893302</t>
  </si>
  <si>
    <t>-0.5902328</t>
  </si>
  <si>
    <t>https://goo.gl/maps/rqwyw417jK8FXE3R7</t>
  </si>
  <si>
    <t>https://streetviewpixels-pa.googleapis.com/v1/thumbnail?panoid=8SMt-7Dzk0Cq_e9-AAJf0A&amp;cb_client=search.gws-prod.gps&amp;w=408&amp;h=240&amp;yaw=8.228008&amp;pitch=0&amp;thumbfov=100</t>
  </si>
  <si>
    <t>JCG3+P9 Liria</t>
  </si>
  <si>
    <t>Carrer de la Llibertat, 11, 46160 Llíria, Valencia</t>
  </si>
  <si>
    <t>Liria</t>
  </si>
  <si>
    <t>962 78 09 93</t>
  </si>
  <si>
    <t>39.6267874</t>
  </si>
  <si>
    <t>-0.666577</t>
  </si>
  <si>
    <t>https://goo.gl/maps/ESn4oBFC2TVZVmAp9</t>
  </si>
  <si>
    <t>https://streetviewpixels-pa.googleapis.com/v1/thumbnail?panoid=oJf24sM7Q3amIPmszY4QpA&amp;cb_client=search.gws-prod.gps&amp;w=408&amp;h=240&amp;yaw=229.76926&amp;pitch=0&amp;thumbfov=100</t>
  </si>
  <si>
    <t>XFQG+6W Játiva</t>
  </si>
  <si>
    <t>C/ Canonge Cebrià, 4, 46800 Xàtiva, Valencia</t>
  </si>
  <si>
    <t>962 27 02 39</t>
  </si>
  <si>
    <t>38.9880432</t>
  </si>
  <si>
    <t>-0.5927744</t>
  </si>
  <si>
    <t>https://goo.gl/maps/5MebSrRPnwbH5Wdh9</t>
  </si>
  <si>
    <t>https://lh5.googleusercontent.com/p/AF1QipMq05lJPevscGuZMSDJg3ylcCl7JDLEIm64M9R2=w408-h306-k-no</t>
  </si>
  <si>
    <t>WVFM+2J Oliva</t>
  </si>
  <si>
    <t>Carrer de Guillem de Castro, 1, 46780 Oliva, Valencia</t>
  </si>
  <si>
    <t>Oliva</t>
  </si>
  <si>
    <t>962 83 91 47</t>
  </si>
  <si>
    <t>38.9226008</t>
  </si>
  <si>
    <t>-0.1859312</t>
  </si>
  <si>
    <t>https://goo.gl/maps/d8HYh4sDw2N2X7Em8</t>
  </si>
  <si>
    <t>https://lh5.googleusercontent.com/p/AF1QipOCggcMjn9E12RoDEflFX2biI2Jo2ChOFu3iHXy=w493-h240-k-no</t>
  </si>
  <si>
    <t>Badajoz</t>
  </si>
  <si>
    <t>38.8793696</t>
  </si>
  <si>
    <t>-6.9876791</t>
  </si>
  <si>
    <t>Diputación Provincial de Badajoz</t>
  </si>
  <si>
    <t>V2JG+2J Badajoz</t>
  </si>
  <si>
    <t>Av del Rey Don Juan Carlos I, 16, 06001 Badajoz</t>
  </si>
  <si>
    <t>924 24 06 73</t>
  </si>
  <si>
    <t>https://goo.gl/maps/VFfPFzBmchph973x9</t>
  </si>
  <si>
    <t>https://streetviewpixels-pa.googleapis.com/v1/thumbnail?panoid=iGzHgay_F3XUvT_FhpKVWw&amp;cb_client=search.gws-prod.gps&amp;w=408&amp;h=240&amp;yaw=183.59135&amp;pitch=0&amp;thumbfov=100</t>
  </si>
  <si>
    <t>Cocemfe Badajoz</t>
  </si>
  <si>
    <t>V294+JX Badajoz</t>
  </si>
  <si>
    <t>Gerardo Ramírez Sánchez, 3, 06011 Badajoz</t>
  </si>
  <si>
    <t>cocemfebadajoz.org</t>
  </si>
  <si>
    <t>924 22 07 50</t>
  </si>
  <si>
    <t>proyectos@cocemfebadajoz.org</t>
  </si>
  <si>
    <t>38.869003</t>
  </si>
  <si>
    <t>-7.0275427</t>
  </si>
  <si>
    <t>https://goo.gl/maps/hWgR68xfSDZ97VdB8</t>
  </si>
  <si>
    <t>https://lh5.googleusercontent.com/p/AF1QipM5-Jbo0gPNbY204C7mSDnpwhoF06oJ-CFDZKq-=w408-h306-k-no</t>
  </si>
  <si>
    <t>Ayuntamiento de Badajoz Centro Social de Base</t>
  </si>
  <si>
    <t>V2M6+84 Badajoz</t>
  </si>
  <si>
    <t>Av. Málaga, 0, 06006 Badajoz</t>
  </si>
  <si>
    <t>924 27 64 36</t>
  </si>
  <si>
    <t>https://goo.gl/maps/XL1fRYWpmrzgWqSt5</t>
  </si>
  <si>
    <t>https://streetviewpixels-pa.googleapis.com/v1/thumbnail?panoid=Kq8ewdiGbtEKg1VaNCWwOQ&amp;cb_client=search.gws-prod.gps&amp;w=408&amp;h=240&amp;yaw=165.32137&amp;pitch=0&amp;thumbfov=100</t>
  </si>
  <si>
    <t>Centro Vida Activa Badajoz</t>
  </si>
  <si>
    <t>V2HW+FP Badajoz</t>
  </si>
  <si>
    <t>Av. Ricardo Carapeto Zambrano, 97A, 06008 Badajoz</t>
  </si>
  <si>
    <t>centrovidaactiva.com</t>
  </si>
  <si>
    <t>824 91 21 01</t>
  </si>
  <si>
    <t>info@centrovidaactiva.com</t>
  </si>
  <si>
    <t>38.8786952</t>
  </si>
  <si>
    <t>-6.9882032</t>
  </si>
  <si>
    <t>https://g.page/centrovidaactivabadajoz?share</t>
  </si>
  <si>
    <t>https://lh5.googleusercontent.com/p/AF1QipMBSGUUzP05kN_N793HS2FNm2tqmI-131aRU6dS=w408-h408-k-no</t>
  </si>
  <si>
    <t>38.8822067</t>
  </si>
  <si>
    <t>-7.0282031</t>
  </si>
  <si>
    <t>Aupex</t>
  </si>
  <si>
    <t>V2HG+92 Badajoz</t>
  </si>
  <si>
    <t>Calle Vasco Núñez, 31, 06001 Badajoz</t>
  </si>
  <si>
    <t>aupex.org</t>
  </si>
  <si>
    <t>924 20 71 09</t>
  </si>
  <si>
    <t>aupex@aupex.org</t>
  </si>
  <si>
    <t>https://goo.gl/maps/q7z8StgHMrhHpxCH6</t>
  </si>
  <si>
    <t>https://streetviewpixels-pa.googleapis.com/v1/thumbnail?panoid=BvJw-CpPAPji5UNTAsXiYA&amp;cb_client=search.gws-prod.gps&amp;w=408&amp;h=240&amp;yaw=51.494247&amp;pitch=0&amp;thumbfov=100</t>
  </si>
  <si>
    <t>Geras Servicios Sociales y Sociosanitarios</t>
  </si>
  <si>
    <t>V2FH+P9 Badajoz</t>
  </si>
  <si>
    <t>Plaza del Pilar, 4, 06004 Badajoz</t>
  </si>
  <si>
    <t>geras.es</t>
  </si>
  <si>
    <t>924 90 40 07</t>
  </si>
  <si>
    <t>https://goo.gl/maps/BBDLzuBUAjNs4cnUA</t>
  </si>
  <si>
    <t>https://lh5.googleusercontent.com/p/AF1QipOEIfYhy_-rdlMQbkzRCdbFkOow7JPhyAR97JgN=w408-h304-k-no</t>
  </si>
  <si>
    <t>Gerontología Badajoz, Asistencia Profesional Al Mayor</t>
  </si>
  <si>
    <t>V288+J7 Badajoz</t>
  </si>
  <si>
    <t>Despacho 10 ( Edificio Eurodom, Calle Luis Álvarez Lencero, 3, planta 3, 06011 Badajoz</t>
  </si>
  <si>
    <t>gerontologiabadajoz.es</t>
  </si>
  <si>
    <t>699 43 83 63</t>
  </si>
  <si>
    <t>info@gerontologiabadajoz.es</t>
  </si>
  <si>
    <t>38.8704497</t>
  </si>
  <si>
    <t>-7.0230123</t>
  </si>
  <si>
    <t>https://goo.gl/maps/DgaizKW6HWLyU9GVA</t>
  </si>
  <si>
    <t>https://lh5.googleusercontent.com/p/AF1QipMq_N9ZAREcN8syVDiclhMqaNLPcUih0Y5q2-KR=w408-h316-k-no</t>
  </si>
  <si>
    <t>Centro de Empleo publico, Badajoz Urbana I</t>
  </si>
  <si>
    <t>V2HG+9P Badajoz</t>
  </si>
  <si>
    <t>Av. Juan Carlos I Rey de España, 9, 06001 Badajoz</t>
  </si>
  <si>
    <t>924 01 01 50</t>
  </si>
  <si>
    <t>https://goo.gl/maps/K5BF2tvhUkPqH26X7</t>
  </si>
  <si>
    <t>https://streetviewpixels-pa.googleapis.com/v1/thumbnail?panoid=CY2OrvJ7wWaLDS_46VUafQ&amp;cb_client=search.gws-prod.gps&amp;w=408&amp;h=240&amp;yaw=204.25821&amp;pitch=0&amp;thumbfov=100</t>
  </si>
  <si>
    <t>Cáritas Diocesana Mérida-Badajoz</t>
  </si>
  <si>
    <t>V2Q7+72 Badajoz</t>
  </si>
  <si>
    <t>Av. Manuel Saavedra Martínez, 2, 3ª Planta, 06006 Badajoz</t>
  </si>
  <si>
    <t>caritasmeba.es</t>
  </si>
  <si>
    <t>924 23 11 57</t>
  </si>
  <si>
    <t>38.8881728</t>
  </si>
  <si>
    <t>-7.0224867</t>
  </si>
  <si>
    <t>https://goo.gl/maps/nLncpFQjm1KKf8Ah8</t>
  </si>
  <si>
    <t>https://lh5.googleusercontent.com/p/AF1QipMVtOGEU0qaiaz-4lKKahum5fFStMET_lkkNLYG=w408-h306-k-no</t>
  </si>
  <si>
    <t>Fundación Banco De Alimentos De Badajoz</t>
  </si>
  <si>
    <t>V2CF+WR Badajoz</t>
  </si>
  <si>
    <t>Calle Gral. Manuel Saavedra Palmeiro, 12, 06004 Badajoz</t>
  </si>
  <si>
    <t>924 25 99 20</t>
  </si>
  <si>
    <t>38.8722508</t>
  </si>
  <si>
    <t>-7.0104307</t>
  </si>
  <si>
    <t>https://goo.gl/maps/ybuExuDqfKuDBwir8</t>
  </si>
  <si>
    <t>https://streetviewpixels-pa.googleapis.com/v1/thumbnail?panoid=u0z0EttN5hQ66T0sN9RFKg&amp;cb_client=search.gws-prod.gps&amp;w=408&amp;h=240&amp;yaw=41.988472&amp;pitch=0&amp;thumbfov=100</t>
  </si>
  <si>
    <t>Extremadura Servicios Asistenciales S L</t>
  </si>
  <si>
    <t>V2GH+58 Badajoz</t>
  </si>
  <si>
    <t>Calle Sor Agustina, 06002 Badajoz</t>
  </si>
  <si>
    <t>924 24 88 03</t>
  </si>
  <si>
    <t>https://goo.gl/maps/bAvmc1P7NgnnpEQo8</t>
  </si>
  <si>
    <t>https://streetviewpixels-pa.googleapis.com/v1/thumbnail?panoid=MrLon6Z-TuvChDoezU7Ykg&amp;cb_client=search.gws-prod.gps&amp;w=408&amp;h=240&amp;yaw=209.04193&amp;pitch=0&amp;thumbfov=100</t>
  </si>
  <si>
    <t>Fundación Banco de Alimentos de Badajoz</t>
  </si>
  <si>
    <t>V2V7+HJ Badajoz</t>
  </si>
  <si>
    <t>Poligono Industrial El Nevero C/15 Silo, 06006 Badajoz</t>
  </si>
  <si>
    <t>bancoalimentosbadajoz.org</t>
  </si>
  <si>
    <t>924 25 98 03</t>
  </si>
  <si>
    <t>https://goo.gl/maps/Tie4kwsDhAEiGVge6</t>
  </si>
  <si>
    <t>ONCE-Organización Nacional de Ciegos</t>
  </si>
  <si>
    <t>68</t>
  </si>
  <si>
    <t>V2GH+5F Badajoz</t>
  </si>
  <si>
    <t>Calle Manuel Fernández Mejías, 5, 06002 Badajoz</t>
  </si>
  <si>
    <t>924 20 73 40</t>
  </si>
  <si>
    <t>https://goo.gl/maps/ipgR7xXk17fWQrDAA</t>
  </si>
  <si>
    <t>https://streetviewpixels-pa.googleapis.com/v1/thumbnail?panoid=-5ld1J93t8JGXVrMau6sAg&amp;cb_client=search.gws-prod.gps&amp;w=408&amp;h=240&amp;yaw=106.76649&amp;pitch=0&amp;thumbfov=100</t>
  </si>
  <si>
    <t>Asociación de Caridad de San Vicente de Paúl, Badajoz</t>
  </si>
  <si>
    <t>V2JH+8P Badajoz</t>
  </si>
  <si>
    <t>Calle San Pedro de Alcántara, 3, 06001 Badajoz</t>
  </si>
  <si>
    <t>697 54 46 80</t>
  </si>
  <si>
    <t>https://goo.gl/maps/tHAAa7iNd9z7GVPP8</t>
  </si>
  <si>
    <t>https://lh5.googleusercontent.com/p/AF1QipO8Tw2npPyyFa4xTK1nZPrwGLmmDE6V2Yy0hl8K=w427-h240-k-no</t>
  </si>
  <si>
    <t>Asociación De Alcoholicos Rehabilitados</t>
  </si>
  <si>
    <t>V2HQ+R7 Badajoz</t>
  </si>
  <si>
    <t>Calle Alfonso XIII, 9, 06008 Badajoz</t>
  </si>
  <si>
    <t>924 55 22 85</t>
  </si>
  <si>
    <t>https://goo.gl/maps/4tayPPDoxzEVAqo2A</t>
  </si>
  <si>
    <t>https://streetviewpixels-pa.googleapis.com/v1/thumbnail?panoid=l6xRCDA8gYDXcHfVUCXR0g&amp;cb_client=search.gws-prod.gps&amp;w=408&amp;h=240&amp;yaw=227.90286&amp;pitch=0&amp;thumbfov=100</t>
  </si>
  <si>
    <t>Tratamiento Ambulatorio. Cáritas Mérida-Badajoz</t>
  </si>
  <si>
    <t>V27Q+RM Badajoz</t>
  </si>
  <si>
    <t>Paseo de la Radio, s/n, 06010 Badajoz</t>
  </si>
  <si>
    <t>924 26 01 75</t>
  </si>
  <si>
    <t>38.8681561</t>
  </si>
  <si>
    <t>-7.0264711</t>
  </si>
  <si>
    <t>https://goo.gl/maps/rppd2T2duG6GVYuB7</t>
  </si>
  <si>
    <t>https://streetviewpixels-pa.googleapis.com/v1/thumbnail?panoid=q2TLWXwjEYbxJEA5NFd8BQ&amp;cb_client=search.gws-prod.gps&amp;w=408&amp;h=240&amp;yaw=166.38542&amp;pitch=0&amp;thumbfov=100</t>
  </si>
  <si>
    <t>Casa de la Mujer</t>
  </si>
  <si>
    <t>V2M2+CP Badajoz</t>
  </si>
  <si>
    <t>Calle Federico Mayor Zaragoza, 181, 06006 Badajoz</t>
  </si>
  <si>
    <t>casamujerbadajoz.blogspot.com</t>
  </si>
  <si>
    <t>924 00 19 24</t>
  </si>
  <si>
    <t>casamujerba@juntaextremadura.es</t>
  </si>
  <si>
    <t>https://goo.gl/maps/gHF82DQLFUAV4Evu9</t>
  </si>
  <si>
    <t>https://lh5.googleusercontent.com/p/AF1QipMZvGfTNlo5TAFV-7Y4r70127sU3XpNtVcQ_4fA=w408-h269-k-no</t>
  </si>
  <si>
    <t>Fundación Hija De Pepe Reyes Dolores Bas De Arús</t>
  </si>
  <si>
    <t>V2M5+77 Badajoz</t>
  </si>
  <si>
    <t>Av. de Elvas, 1, 06006 Badajoz</t>
  </si>
  <si>
    <t>fundaciondoloresbas.org</t>
  </si>
  <si>
    <t>924 28 66 94</t>
  </si>
  <si>
    <t>fundacion@fundaciondoloresbas.org</t>
  </si>
  <si>
    <t>https://goo.gl/maps/4q4GVuKep79vfVM28</t>
  </si>
  <si>
    <t>https://lh5.googleusercontent.com/p/AF1QipPchZRnmiz6bhAhYjs2YlJqYm2cfDfN2o_dBkxe=w408-h306-k-no</t>
  </si>
  <si>
    <t>MUJERES LIBRES MUJERES EN PAZ</t>
  </si>
  <si>
    <t>Acedera</t>
  </si>
  <si>
    <t>639 78 54 61</t>
  </si>
  <si>
    <t>38.87938</t>
  </si>
  <si>
    <t>-7.022698</t>
  </si>
  <si>
    <t>https://goo.gl/maps/6ThbP6sgdmhxPidc6</t>
  </si>
  <si>
    <t>https://lh5.googleusercontent.com/p/AF1QipPfrGvGk44nUzm1_Or_iTq40-z-iG6qa8kyTk6t=w747-h240-k-no</t>
  </si>
  <si>
    <t>Asociación Pacense de Alcoholicos Liberados</t>
  </si>
  <si>
    <t>V2HJ+J9 Badajoz</t>
  </si>
  <si>
    <t>Calle Donoso Cortés, 6, 06002 Badajoz</t>
  </si>
  <si>
    <t>924 22 24 64</t>
  </si>
  <si>
    <t>https://goo.gl/maps/vbhrrRSG8Ptx6xmv7</t>
  </si>
  <si>
    <t>https://streetviewpixels-pa.googleapis.com/v1/thumbnail?panoid=TF82IDHPkIf1ZEwifqub1w&amp;cb_client=search.gws-prod.gps&amp;w=408&amp;h=240&amp;yaw=128.299&amp;pitch=0&amp;thumbfov=100</t>
  </si>
  <si>
    <t>ZAPATERIA INFANTIL LECCA-LECCA</t>
  </si>
  <si>
    <t>V2FC+RH Badajoz</t>
  </si>
  <si>
    <t>Av. Santa Marina, 19, 06005 Badajoz</t>
  </si>
  <si>
    <t>924 23 80 95</t>
  </si>
  <si>
    <t>38.8745048</t>
  </si>
  <si>
    <t>-7.0135256</t>
  </si>
  <si>
    <t>https://goo.gl/maps/TywMGNEumXQEvMU8A</t>
  </si>
  <si>
    <t>https://streetviewpixels-pa.googleapis.com/v1/thumbnail?panoid=V2h7PQb8NgOuOPjSakWNiw&amp;cb_client=search.gws-prod.gps&amp;w=408&amp;h=240&amp;yaw=235.29453&amp;pitch=0&amp;thumbfov=100</t>
  </si>
  <si>
    <t>Lutra ingenieria y medio ambiente s.l</t>
  </si>
  <si>
    <t>V2FG+XJ Badajoz</t>
  </si>
  <si>
    <t>Ronda del Pilar, 4, 1º, 06002 Badajoz</t>
  </si>
  <si>
    <t>lutra.com</t>
  </si>
  <si>
    <t>https://goo.gl/maps/2wFbABzDBhMeLcrz6</t>
  </si>
  <si>
    <t>https://streetviewpixels-pa.googleapis.com/v1/thumbnail?panoid=RAYMc0J6NzcsGNisd_b-Cw&amp;cb_client=search.gws-prod.gps&amp;w=408&amp;h=240&amp;yaw=181.22633&amp;pitch=0&amp;thumbfov=100</t>
  </si>
  <si>
    <t>VXMF+77 Badajoz</t>
  </si>
  <si>
    <t>Av. de Elvas, 53, 06006 Badajoz</t>
  </si>
  <si>
    <t>924 27 00 12</t>
  </si>
  <si>
    <t>38.883144</t>
  </si>
  <si>
    <t>-7.0618032</t>
  </si>
  <si>
    <t>https://goo.gl/maps/XjBZqUMuBBNEBix78</t>
  </si>
  <si>
    <t>https://streetviewpixels-pa.googleapis.com/v1/thumbnail?panoid=jxNzYLfrQ51zpNnIWMM6Jg&amp;cb_client=search.gws-prod.gps&amp;w=408&amp;h=240&amp;yaw=270.35364&amp;pitch=0&amp;thumbfov=100</t>
  </si>
  <si>
    <t>Servicios Sociales De Montijo</t>
  </si>
  <si>
    <t>VCF7+P9 Barbaño</t>
  </si>
  <si>
    <t>Plaza España, 8, 06499 Barbaño, Badajoz</t>
  </si>
  <si>
    <t>Barbaño</t>
  </si>
  <si>
    <t>924 45 99 08</t>
  </si>
  <si>
    <t>38.8742504</t>
  </si>
  <si>
    <t>-6.6215802</t>
  </si>
  <si>
    <t>https://goo.gl/maps/s8N456eZ7LcPkgwg6</t>
  </si>
  <si>
    <t>https://streetviewpixels-pa.googleapis.com/v1/thumbnail?panoid=nRRZEe2hfTuu7PyMXrLt2Q&amp;cb_client=search.gws-prod.gps&amp;w=408&amp;h=240&amp;yaw=93.79055&amp;pitch=0&amp;thumbfov=100</t>
  </si>
  <si>
    <t>Cáceres</t>
  </si>
  <si>
    <t>39.4716261</t>
  </si>
  <si>
    <t>-6.3907192</t>
  </si>
  <si>
    <t>Instituto Municipal de Asuntos Sociales</t>
  </si>
  <si>
    <t>FJ7F+6J Cáceres</t>
  </si>
  <si>
    <t>Calle Atahualpa, 10, 10005 Cáceres</t>
  </si>
  <si>
    <t>imas.ayto-caceres.es</t>
  </si>
  <si>
    <t>927 21 23 35</t>
  </si>
  <si>
    <t>informacion@ayto-caceres.es</t>
  </si>
  <si>
    <t>https://goo.gl/maps/teVJUQ4uhgZsYR9b9</t>
  </si>
  <si>
    <t>https://streetviewpixels-pa.googleapis.com/v1/thumbnail?panoid=bZlc51ywmMLd_NHPvjmIDA&amp;cb_client=search.gws-prod.gps&amp;w=408&amp;h=240&amp;yaw=175.4429&amp;pitch=0&amp;thumbfov=100</t>
  </si>
  <si>
    <t>Asistencia Familiar Extremadura</t>
  </si>
  <si>
    <t>FJ96+GM Cáceres</t>
  </si>
  <si>
    <t>Av. París, 19, 10005 Cáceres</t>
  </si>
  <si>
    <t>asistenciafamiliarextremadura.com</t>
  </si>
  <si>
    <t>927 00 26 10</t>
  </si>
  <si>
    <t>info@asistenciafamiliarextremadura.com</t>
  </si>
  <si>
    <t>https://g.page/Asistencia_Familiar_Extremadura?share</t>
  </si>
  <si>
    <t>https://lh5.googleusercontent.com/p/AF1QipOD68CZvyxdyQ92WGbz7VgC3H_PpgZLb8BDm038=w408-h272-k-no</t>
  </si>
  <si>
    <t>SERES mediación social</t>
  </si>
  <si>
    <t>FJRR+J7 Cáceres</t>
  </si>
  <si>
    <t>Calle Juan Rodríguez de Molina, 42, 10004 Cáceres</t>
  </si>
  <si>
    <t>655 43 26 65</t>
  </si>
  <si>
    <t>39.491513</t>
  </si>
  <si>
    <t>-6.3943521</t>
  </si>
  <si>
    <t>https://goo.gl/maps/JNdDYm78ATmCBFiXA</t>
  </si>
  <si>
    <t>https://lh5.googleusercontent.com/p/AF1QipNYLfDhnWv84lmmfdrc-ms2DFqtsrlzRpeM7rFD=w408-h408-k-no</t>
  </si>
  <si>
    <t>Asociación Benéfica Constructora Cáceres Virgen Guada</t>
  </si>
  <si>
    <t>FJCF+73 Cáceres</t>
  </si>
  <si>
    <t>Av. de España, 15, 10002 Cáceres</t>
  </si>
  <si>
    <t>39.470282</t>
  </si>
  <si>
    <t>-6.4137961</t>
  </si>
  <si>
    <t>https://goo.gl/maps/wJxUAxmXTap5Cv5WA</t>
  </si>
  <si>
    <t>https://streetviewpixels-pa.googleapis.com/v1/thumbnail?panoid=Le65YB9QjtTM8sRE8EdTcA&amp;cb_client=search.gws-prod.gps&amp;w=408&amp;h=240&amp;yaw=129.2883&amp;pitch=0&amp;thumbfov=100</t>
  </si>
  <si>
    <t>Donantes de Sangre de Cáceres</t>
  </si>
  <si>
    <t>FJFF+43 Cáceres</t>
  </si>
  <si>
    <t>Avda. de España Nº2, Planta 2ª, 10001 Cáceres</t>
  </si>
  <si>
    <t>donantesdesangredecaceres.com</t>
  </si>
  <si>
    <t>927 25 69 20</t>
  </si>
  <si>
    <t>https://goo.gl/maps/P21GTfUCHfSz6TKR8</t>
  </si>
  <si>
    <t>https://lh5.googleusercontent.com/p/AF1QipMd86Peyb3-rCVaJ0YwFtRLmws5aEKCvIIkR-Yp=w408-h544-k-no</t>
  </si>
  <si>
    <t>Centro Atención A la Discapacidad. Cadex</t>
  </si>
  <si>
    <t>FJF9+4F Cáceres</t>
  </si>
  <si>
    <t>Plaza Gante, 3, 10001 Cáceres</t>
  </si>
  <si>
    <t>927 00 55 01</t>
  </si>
  <si>
    <t>https://goo.gl/maps/jmPAzuKDBbyY3qhD6</t>
  </si>
  <si>
    <t>https://streetviewpixels-pa.googleapis.com/v1/thumbnail?panoid=9wnHfhkKicSnUXqe-GmM9w&amp;cb_client=search.gws-prod.gps&amp;w=408&amp;h=240&amp;yaw=269.8024&amp;pitch=0&amp;thumbfov=100</t>
  </si>
  <si>
    <t>Fundación Fernando Valhondo Calaff</t>
  </si>
  <si>
    <t>FJGH+26 Cáceres</t>
  </si>
  <si>
    <t>Plaza Mayor, 30, 10003 Cáceres</t>
  </si>
  <si>
    <t>fundacionvalhondo.org</t>
  </si>
  <si>
    <t>927 24 89 35</t>
  </si>
  <si>
    <t>info@fundacionvalhondo.org</t>
  </si>
  <si>
    <t>https://g.page/fundacion_valhondo?share</t>
  </si>
  <si>
    <t>https://lh5.googleusercontent.com/p/AF1QipP3h5v_9Zx9EkjNoW8tykUgNLfjOdmHqelmB6FE=w408-h305-k-no</t>
  </si>
  <si>
    <t>Cidhex Centro de Investigación En Derechos Humanos de Extremadura</t>
  </si>
  <si>
    <t>FJ97+R6 Cáceres</t>
  </si>
  <si>
    <t>Calle Amberes, 10, 10005 Cáceres</t>
  </si>
  <si>
    <t>centroderechoshumanos.com</t>
  </si>
  <si>
    <t>927 62 93 70</t>
  </si>
  <si>
    <t>adhex@centroderechoshumanos.com</t>
  </si>
  <si>
    <t>https://goo.gl/maps/AneStk83c81SuTgo9</t>
  </si>
  <si>
    <t>https://streetviewpixels-pa.googleapis.com/v1/thumbnail?panoid=RiqNrtqhFV9T_12H1hE2hw&amp;cb_client=search.gws-prod.gps&amp;w=408&amp;h=240&amp;yaw=74.80396&amp;pitch=0&amp;thumbfov=100</t>
  </si>
  <si>
    <t>FJ9G+M4 Cáceres</t>
  </si>
  <si>
    <t>Calle Virgen del Pilar, 12, 10002 Cáceres</t>
  </si>
  <si>
    <t>927 62 74 80</t>
  </si>
  <si>
    <t>https://goo.gl/maps/cpjDWU8ZFTWai6ka6</t>
  </si>
  <si>
    <t>https://streetviewpixels-pa.googleapis.com/v1/thumbnail?panoid=J5Pe-owgiG3a3CDPAyuZIQ&amp;cb_client=search.gws-prod.gps&amp;w=408&amp;h=240&amp;yaw=197.61496&amp;pitch=0&amp;thumbfov=100</t>
  </si>
  <si>
    <t>FUNDACIÓN MUJERES</t>
  </si>
  <si>
    <t>FJFF+PJ Cáceres</t>
  </si>
  <si>
    <t>Calle de Francisco Paniagua, 1, 10004 Cáceres</t>
  </si>
  <si>
    <t>fundacionmujeres.es</t>
  </si>
  <si>
    <t>927 62 91 94</t>
  </si>
  <si>
    <t>mujeres@fundacionmujeres.es</t>
  </si>
  <si>
    <t>https://goo.gl/maps/bDc7jQ6hWMwathip9</t>
  </si>
  <si>
    <t>https://streetviewpixels-pa.googleapis.com/v1/thumbnail?panoid=wY-GN_TE8gzvMw0Pcsrckw&amp;cb_client=search.gws-prod.gps&amp;w=408&amp;h=240&amp;yaw=260.78732&amp;pitch=0&amp;thumbfov=100</t>
  </si>
  <si>
    <t>Anex Asociación Alcoholicos Rehabilitados</t>
  </si>
  <si>
    <t>FJ7F+6R Cáceres</t>
  </si>
  <si>
    <t>Av. de la Bondad, 6, 10005 Cáceres</t>
  </si>
  <si>
    <t>927 22 50 95</t>
  </si>
  <si>
    <t>https://goo.gl/maps/i2zkDKFfgHwem4cz9</t>
  </si>
  <si>
    <t>https://streetviewpixels-pa.googleapis.com/v1/thumbnail?panoid=WlAB6u49d-NR11RadkxxhA&amp;cb_client=search.gws-prod.gps&amp;w=408&amp;h=240&amp;yaw=295.58206&amp;pitch=0&amp;thumbfov=100</t>
  </si>
  <si>
    <t>Perito Judicial Social</t>
  </si>
  <si>
    <t>CJW7+64 Cáceres</t>
  </si>
  <si>
    <t>Calle Pozo de la Esmeralda, 108, 10195 Cáceres</t>
  </si>
  <si>
    <t>peritosocialextre.weebly.com</t>
  </si>
  <si>
    <t>697 93 64 99</t>
  </si>
  <si>
    <t>alvaronevado@hotmail.es</t>
  </si>
  <si>
    <t>39.4536132</t>
  </si>
  <si>
    <t>-6.4173183</t>
  </si>
  <si>
    <t>https://goo.gl/maps/SkKX1LrH7CRtXuH6A</t>
  </si>
  <si>
    <t>https://lh5.googleusercontent.com/p/AF1QipP8llh6fyKZvGKXinJYDa5Li9w_LDXuTbxiXQSu=w408-h679-k-no</t>
  </si>
  <si>
    <t>BENIGNO BARRERO S.L.</t>
  </si>
  <si>
    <t>FJC9+P4 Cáceres</t>
  </si>
  <si>
    <t>AVENIDA DOCTOR, Av. Rodríguez de Ledesma, 2, BJ, 10001 Cáceres</t>
  </si>
  <si>
    <t>927 21 65 43</t>
  </si>
  <si>
    <t>39.4527708</t>
  </si>
  <si>
    <t>-6.4181199</t>
  </si>
  <si>
    <t>https://goo.gl/maps/Yt8nPF3wxobpE1dCA</t>
  </si>
  <si>
    <t>https://streetviewpixels-pa.googleapis.com/v1/thumbnail?panoid=3UUlqL7zjVE3mxsG835YXA&amp;cb_client=search.gws-prod.gps&amp;w=408&amp;h=240&amp;yaw=320.6904&amp;pitch=0&amp;thumbfov=100</t>
  </si>
  <si>
    <t>Lugo</t>
  </si>
  <si>
    <t>FADEMGA Plena inclusión Galicia (Lugo)</t>
  </si>
  <si>
    <t>2CGQ+8M Lugo</t>
  </si>
  <si>
    <t>Casa de las Asociaciones, Av. Infanta Elena, 11, 27004 Lugo</t>
  </si>
  <si>
    <t>fademga.org</t>
  </si>
  <si>
    <t>982 26 54 36</t>
  </si>
  <si>
    <t>fademga@fademga.org</t>
  </si>
  <si>
    <t>43.0258611</t>
  </si>
  <si>
    <t>-7.5783435</t>
  </si>
  <si>
    <t>https://goo.gl/maps/zDzddMj7VjzHSUrEA</t>
  </si>
  <si>
    <t>https://streetviewpixels-pa.googleapis.com/v1/thumbnail?panoid=x7cPo_wRMN24yQWI9td5Sw&amp;cb_client=search.gws-prod.gps&amp;w=408&amp;h=240&amp;yaw=247.89738&amp;pitch=0&amp;thumbfov=100</t>
  </si>
  <si>
    <t>Centro Social Municipal Milagrosa</t>
  </si>
  <si>
    <t>2CFP+4C Lugo</t>
  </si>
  <si>
    <t>Rúa Monte Faro, 17, 27297 Lugo</t>
  </si>
  <si>
    <t>982 29 74 10</t>
  </si>
  <si>
    <t>43.0139887</t>
  </si>
  <si>
    <t>-7.5746382</t>
  </si>
  <si>
    <t>https://goo.gl/maps/c8imvNS8FFBeLkqQ6</t>
  </si>
  <si>
    <t>https://lh5.googleusercontent.com/p/AF1QipM1GdbqDo2PqK7kpnCKi56nWqAwellu6_bWZ-c=w408-h544-k-no</t>
  </si>
  <si>
    <t>Edades Lugo Servicios Sociales</t>
  </si>
  <si>
    <t>2C5W+4R Lugo</t>
  </si>
  <si>
    <t>3,, Rúa Dinán, 1, 27002 Lugo</t>
  </si>
  <si>
    <t>982 10 12 66</t>
  </si>
  <si>
    <t>https://goo.gl/maps/C7CZNob3WoqWUbPF6</t>
  </si>
  <si>
    <t>https://streetviewpixels-pa.googleapis.com/v1/thumbnail?panoid=umbzeMl3rJWkaqNa1v1NOg&amp;cb_client=search.gws-prod.gps&amp;w=408&amp;h=240&amp;yaw=96.59274&amp;pitch=0&amp;thumbfov=100</t>
  </si>
  <si>
    <t>Asociación Alar Galicia</t>
  </si>
  <si>
    <t>2C7V+4G Lugo</t>
  </si>
  <si>
    <t>Canella da Deputación, s/n, 27001 Lugo</t>
  </si>
  <si>
    <t>alar-galicia.es</t>
  </si>
  <si>
    <t>982 24 33 16</t>
  </si>
  <si>
    <t>alargaliciasocial@gmail.com</t>
  </si>
  <si>
    <t>43.016877</t>
  </si>
  <si>
    <t>-7.5817939</t>
  </si>
  <si>
    <t>https://goo.gl/maps/qmWNQrHNRnnj6hUC6</t>
  </si>
  <si>
    <t>https://streetviewpixels-pa.googleapis.com/v1/thumbnail?panoid=DMif8Cj2eJrqCIv4VPTHVA&amp;cb_client=search.gws-prod.gps&amp;w=408&amp;h=240&amp;yaw=189.39073&amp;pitch=0&amp;thumbfov=100</t>
  </si>
  <si>
    <t>Aspnais Asociación de Padres O Tutores de Personas Con Discapacidad Intelectual</t>
  </si>
  <si>
    <t>2C4X+7X Lugo</t>
  </si>
  <si>
    <t>Nº21, Rampa de Claudio López, 27002 Lugo</t>
  </si>
  <si>
    <t>aspnais.org</t>
  </si>
  <si>
    <t>982 28 41 07</t>
  </si>
  <si>
    <t>administracion@aspnais.org</t>
  </si>
  <si>
    <t>43.005641</t>
  </si>
  <si>
    <t>-7.5676335</t>
  </si>
  <si>
    <t>https://goo.gl/maps/XMgZso9sFrvbQdou8</t>
  </si>
  <si>
    <t>https://streetviewpixels-pa.googleapis.com/v1/thumbnail?panoid=tUokN8s-1V9Sa6COGB19Ag&amp;cb_client=search.gws-prod.gps&amp;w=408&amp;h=240&amp;yaw=52.291126&amp;pitch=0&amp;thumbfov=100</t>
  </si>
  <si>
    <t>Dirección General de Juventud</t>
  </si>
  <si>
    <t>2C7V+PG Lugo</t>
  </si>
  <si>
    <t>Ronda da Muralla, 70, 27003 Lugo</t>
  </si>
  <si>
    <t>982 29 43 46</t>
  </si>
  <si>
    <t>43.0187688</t>
  </si>
  <si>
    <t>-7.5779797</t>
  </si>
  <si>
    <t>https://goo.gl/maps/mgXyWEPjKEE5tZSA6</t>
  </si>
  <si>
    <t>https://lh5.googleusercontent.com/p/AF1QipOoAwVW4yn2B2d11-FiZQ6OaCIKKoMQeEuIFq4=w408-h306-k-no</t>
  </si>
  <si>
    <t>Teleasistencia en Lugo</t>
  </si>
  <si>
    <t>2C6V+HG Lugo</t>
  </si>
  <si>
    <t>Rúa da Raíña, 16, 3º, 27001 Lugo</t>
  </si>
  <si>
    <t>982 25 22 03</t>
  </si>
  <si>
    <t>43.0121093</t>
  </si>
  <si>
    <t>-7.5759185</t>
  </si>
  <si>
    <t>https://g.page/teleasistencia-en-lugo?share</t>
  </si>
  <si>
    <t>https://lh5.googleusercontent.com/p/AF1QipMxwKM1wbIFFrb4z3fR42f-4NatZwPBQx_RuxVE=w408-h408-k-no</t>
  </si>
  <si>
    <t>Asser Carmen Rico S L</t>
  </si>
  <si>
    <t>2C7X+7H Lugo</t>
  </si>
  <si>
    <t>Rúa Montero Ríos, 63, 27002 Lugo</t>
  </si>
  <si>
    <t>696 17 84 84</t>
  </si>
  <si>
    <t>43.0119862</t>
  </si>
  <si>
    <t>-7.575147</t>
  </si>
  <si>
    <t>https://goo.gl/maps/xwHBct54n4JzDPoYA</t>
  </si>
  <si>
    <t>https://streetviewpixels-pa.googleapis.com/v1/thumbnail?panoid=LVfnTRMV2l0jKhtgvoJAxQ&amp;cb_client=search.gws-prod.gps&amp;w=408&amp;h=240&amp;yaw=264.3984&amp;pitch=0&amp;thumbfov=100</t>
  </si>
  <si>
    <t>Bonhomía</t>
  </si>
  <si>
    <t>2C7V+2W Lugo</t>
  </si>
  <si>
    <t>Rúa do Teatro, 9, 3ºB, 27001 Lugo</t>
  </si>
  <si>
    <t>bonhomia.org</t>
  </si>
  <si>
    <t>636 48 48 72</t>
  </si>
  <si>
    <t>https://goo.gl/maps/b5gQcHQRDgrEL2LS6</t>
  </si>
  <si>
    <t>https://streetviewpixels-pa.googleapis.com/v1/thumbnail?panoid=Wkb7PpmxMtdNm2cGXmJCbw&amp;cb_client=search.gws-prod.gps&amp;w=408&amp;h=240&amp;yaw=353.40024&amp;pitch=0&amp;thumbfov=100</t>
  </si>
  <si>
    <t>2C5X+G7 Lugo</t>
  </si>
  <si>
    <t>Rúa San Roque, 31-33, 27002 Lugo</t>
  </si>
  <si>
    <t>982 24 33 51</t>
  </si>
  <si>
    <t>https://goo.gl/maps/WvbihUecTKDwSNWa8</t>
  </si>
  <si>
    <t>https://streetviewpixels-pa.googleapis.com/v1/thumbnail?panoid=OSL8ojr75jDdR1bFIMA6sQ&amp;cb_client=search.gws-prod.gps&amp;w=408&amp;h=240&amp;yaw=103.721855&amp;pitch=0&amp;thumbfov=100</t>
  </si>
  <si>
    <t>Hogar Madre Encarnación</t>
  </si>
  <si>
    <t>2C5H+69 Lugo</t>
  </si>
  <si>
    <t>Rúa Músico, Rúa Falla, 16, 27004 Lugo</t>
  </si>
  <si>
    <t>982 22 53 70</t>
  </si>
  <si>
    <t>42.9984171</t>
  </si>
  <si>
    <t>-7.5805078</t>
  </si>
  <si>
    <t>https://goo.gl/maps/sGNm1P9zhpr6wDho9</t>
  </si>
  <si>
    <t>https://streetviewpixels-pa.googleapis.com/v1/thumbnail?panoid=5ca0-LfQgdr5ZLRX87pgDA&amp;cb_client=search.gws-prod.gps&amp;w=408&amp;h=240&amp;yaw=257.87152&amp;pitch=0&amp;thumbfov=100</t>
  </si>
  <si>
    <t>Auxilia</t>
  </si>
  <si>
    <t>2CCV+3C Lugo</t>
  </si>
  <si>
    <t>Avenida Infanta Elena Duquesa De Lugo, 11, 27003 Lugo</t>
  </si>
  <si>
    <t>lugoaccesible.net</t>
  </si>
  <si>
    <t>982 20 23 07</t>
  </si>
  <si>
    <t>43.02024</t>
  </si>
  <si>
    <t>-7.5739495</t>
  </si>
  <si>
    <t>https://goo.gl/maps/TFLMgwX9KCVNn9J6A</t>
  </si>
  <si>
    <t>https://lh5.googleusercontent.com/p/AF1QipMfzDDsLj9VcXojp2iQQ5J7jtWt61fGSQ_2tFdV=w408-h577-k-no</t>
  </si>
  <si>
    <t>Orense</t>
  </si>
  <si>
    <t>Ourense</t>
  </si>
  <si>
    <t>42.3413746</t>
  </si>
  <si>
    <t>-7.8823269</t>
  </si>
  <si>
    <t>Province of Ourense</t>
  </si>
  <si>
    <t>Fundación San Rosendo</t>
  </si>
  <si>
    <t>84PP+82 Orense</t>
  </si>
  <si>
    <t>Av. Pontevedra, 5, 32005 Ourense, Province of Ourense</t>
  </si>
  <si>
    <t>fundacionsanrosendo.es</t>
  </si>
  <si>
    <t>988 36 60 86</t>
  </si>
  <si>
    <t>admision@fundacionsanrosendo.es</t>
  </si>
  <si>
    <t>https://goo.gl/maps/aSpsEbr6PA88Lati8</t>
  </si>
  <si>
    <t>https://lh5.googleusercontent.com/p/AF1QipMmILltDC8rQ_DJMjLSzdX0dZKMO3QQjUYoUPt1=w648-h240-k-no</t>
  </si>
  <si>
    <t>Xulgado do Social Nº 4</t>
  </si>
  <si>
    <t>84VG+H6 Orense</t>
  </si>
  <si>
    <t>Rúa do Progreso, 161, 32003 Ourense</t>
  </si>
  <si>
    <t>988 68 74 16</t>
  </si>
  <si>
    <t>https://goo.gl/maps/hw9rXNpEum8MfPSx9</t>
  </si>
  <si>
    <t>https://streetviewpixels-pa.googleapis.com/v1/thumbnail?panoid=MhDsDPjB_S2Ve94L9iM40w&amp;cb_client=search.gws-prod.gps&amp;w=408&amp;h=240&amp;yaw=147.7412&amp;pitch=0&amp;thumbfov=100</t>
  </si>
  <si>
    <t>Asociación Xarela</t>
  </si>
  <si>
    <t>84QR+5F Orense</t>
  </si>
  <si>
    <t>Rúa Nuño de Ousende, 4, 32004 Ourense</t>
  </si>
  <si>
    <t>xarela.com</t>
  </si>
  <si>
    <t>988 25 08 47</t>
  </si>
  <si>
    <t>42.3308536</t>
  </si>
  <si>
    <t>-7.8841326</t>
  </si>
  <si>
    <t>https://goo.gl/maps/Ggt4sSfMpwPbhVnG9</t>
  </si>
  <si>
    <t>https://lh5.googleusercontent.com/p/AF1QipP-qRCo42y6bkL5YfgsV8vkI4YX09ZNL3MFTekh=w427-h240-k-no</t>
  </si>
  <si>
    <t>Rr. Adoratrices Esclavas Santísimo Sacramento y Caridad de Ourense</t>
  </si>
  <si>
    <t>84RM+54 Orense</t>
  </si>
  <si>
    <t>Rúa do Progreso, 121, 32003 Ourense</t>
  </si>
  <si>
    <t>988 37 11 53</t>
  </si>
  <si>
    <t>42.3404742</t>
  </si>
  <si>
    <t>-7.8846714</t>
  </si>
  <si>
    <t>https://goo.gl/maps/sJ3q7DMQSidFeryC8</t>
  </si>
  <si>
    <t>https://streetviewpixels-pa.googleapis.com/v1/thumbnail?panoid=8LkJRKahrRPOADLxuPCq0w&amp;cb_client=search.gws-prod.gps&amp;w=408&amp;h=240&amp;yaw=282.04196&amp;pitch=0&amp;thumbfov=100</t>
  </si>
  <si>
    <t>FADEMGA Plena inclusión Galicia</t>
  </si>
  <si>
    <t>84MR+7V Orense</t>
  </si>
  <si>
    <t>Rúa a Granxa, nº54, 32005 Ourense</t>
  </si>
  <si>
    <t>988 39 13 52</t>
  </si>
  <si>
    <t>42.3331545</t>
  </si>
  <si>
    <t>-7.8752743</t>
  </si>
  <si>
    <t>https://goo.gl/maps/HwpPhABim2KSrXQ37</t>
  </si>
  <si>
    <t>https://streetviewpixels-pa.googleapis.com/v1/thumbnail?panoid=7z304PkCcA0c0KT7bEAHmA&amp;cb_client=search.gws-prod.gps&amp;w=408&amp;h=240&amp;yaw=274.81934&amp;pitch=0&amp;thumbfov=100</t>
  </si>
  <si>
    <t>Asociación Autismo Ourense</t>
  </si>
  <si>
    <t>84GR+99 Orense</t>
  </si>
  <si>
    <t>Calle Ramón Puga Noguerol, s/n, 32005 Ourense, Province of Ourense</t>
  </si>
  <si>
    <t>autismourense.org</t>
  </si>
  <si>
    <t>988 21 93 89</t>
  </si>
  <si>
    <t>info@autismourense.org</t>
  </si>
  <si>
    <t>42.3259199</t>
  </si>
  <si>
    <t>-7.8766189</t>
  </si>
  <si>
    <t>https://goo.gl/maps/rJytzop2PgcNjAZ68</t>
  </si>
  <si>
    <t>https://streetviewpixels-pa.googleapis.com/v1/thumbnail?panoid=fT5tdGdZVCIaoxmzQuQd8w&amp;cb_client=search.gws-prod.gps&amp;w=408&amp;h=240&amp;yaw=184.59485&amp;pitch=0&amp;thumbfov=100</t>
  </si>
  <si>
    <t>84RM+H4 Orense</t>
  </si>
  <si>
    <t>Rúa Alameda do Cruceiro, 9, 32003 Ourense</t>
  </si>
  <si>
    <t>988 51 02 60</t>
  </si>
  <si>
    <t>https://goo.gl/maps/NCYp9DoPNBWyVE8V8</t>
  </si>
  <si>
    <t>https://streetviewpixels-pa.googleapis.com/v1/thumbnail?panoid=QB8_XTDg1KHZaQQvUHWbQQ&amp;cb_client=search.gws-prod.gps&amp;w=408&amp;h=240&amp;yaw=154.0387&amp;pitch=0&amp;thumbfov=100</t>
  </si>
  <si>
    <t>Integra-t Consultoria Social</t>
  </si>
  <si>
    <t>84QM+X6 Orense</t>
  </si>
  <si>
    <t>Rúa do Progreso, 113, 32003 Ourense</t>
  </si>
  <si>
    <t>661 62 69 70</t>
  </si>
  <si>
    <t>https://goo.gl/maps/xZo5u2kd7AJ5bjpv8</t>
  </si>
  <si>
    <t>https://streetviewpixels-pa.googleapis.com/v1/thumbnail?panoid=35NXIMd-8ej8HrOpihC7IA&amp;cb_client=search.gws-prod.gps&amp;w=408&amp;h=240&amp;yaw=250.27454&amp;pitch=0&amp;thumbfov=100</t>
  </si>
  <si>
    <t>Grupo 24 Horas de Alcohólicos Anónimos Ourense</t>
  </si>
  <si>
    <t>84RJ+24 Orense</t>
  </si>
  <si>
    <t>Rúa Jesús Soria, 5, 32002 Ourense</t>
  </si>
  <si>
    <t>aa24horas.com</t>
  </si>
  <si>
    <t>988 26 95 40</t>
  </si>
  <si>
    <t>info@aa24horas.com</t>
  </si>
  <si>
    <t>https://goo.gl/maps/bTuRy8wDyKrePzXj7</t>
  </si>
  <si>
    <t>https://lh5.googleusercontent.com/p/AF1QipP-oxjcBn5Cdu3E6fd3dvohsVS38LPdHOX_yJL1=w426-h240-k-no</t>
  </si>
  <si>
    <t>Cruz Vermella</t>
  </si>
  <si>
    <t>84WQ+M5 Orense</t>
  </si>
  <si>
    <t>Rúa Díaz de la Banda, 40, 32004 Ourense</t>
  </si>
  <si>
    <t>cruzvermella.gal</t>
  </si>
  <si>
    <t>988 23 21 65</t>
  </si>
  <si>
    <t>42.3496291</t>
  </si>
  <si>
    <t>-7.8879682</t>
  </si>
  <si>
    <t>https://goo.gl/maps/dd1j4q1FWmteuXnn8</t>
  </si>
  <si>
    <t>https://lh5.googleusercontent.com/p/AF1QipPF-yHxRc9AXcXy2tXPRzeIwQAINT9CdBnUAsk=w426-h240-k-no</t>
  </si>
  <si>
    <t>Fundación Barata Ojea Quiroga Villarino</t>
  </si>
  <si>
    <t>84GP+W6 Orense</t>
  </si>
  <si>
    <t>Rúa Manuel Murguía, 39, 32005 Ourense</t>
  </si>
  <si>
    <t>988 25 52 51</t>
  </si>
  <si>
    <t>42.327341</t>
  </si>
  <si>
    <t>-7.8819042</t>
  </si>
  <si>
    <t>https://goo.gl/maps/RCdhjZDFPRhrCBmH7</t>
  </si>
  <si>
    <t>https://streetviewpixels-pa.googleapis.com/v1/thumbnail?panoid=_uzpeBVZZGMyuP_rzXvbEQ&amp;cb_client=search.gws-prod.gps&amp;w=408&amp;h=240&amp;yaw=75.395454&amp;pitch=0&amp;thumbfov=100</t>
  </si>
  <si>
    <t>El Alba Asistencia Domiciliaria</t>
  </si>
  <si>
    <t>943J+G7 Orense</t>
  </si>
  <si>
    <t>Rúa Río Salas, 9, 32001 Ourense</t>
  </si>
  <si>
    <t>asistenciaelalba.wordpress.com</t>
  </si>
  <si>
    <t>672 30 73 49</t>
  </si>
  <si>
    <t>42.3538429</t>
  </si>
  <si>
    <t>-7.8868415</t>
  </si>
  <si>
    <t>https://goo.gl/maps/8wPdH1gWPi6Xhaui9</t>
  </si>
  <si>
    <t>https://streetviewpixels-pa.googleapis.com/v1/thumbnail?panoid=MCL2haR_9iDgwf-jv0daOw&amp;cb_client=search.gws-prod.gps&amp;w=408&amp;h=240&amp;yaw=239.71333&amp;pitch=0&amp;thumbfov=100</t>
  </si>
  <si>
    <t>FUNDACIÓN JUANSOÑADOR</t>
  </si>
  <si>
    <t>84MQ+RG Orense</t>
  </si>
  <si>
    <t>Rúa Pena Trevinca, 8, 32001 Ourense</t>
  </si>
  <si>
    <t>fundacionjuans.org</t>
  </si>
  <si>
    <t>988 51 16 73</t>
  </si>
  <si>
    <t>42.3383599</t>
  </si>
  <si>
    <t>-7.8636856</t>
  </si>
  <si>
    <t>https://goo.gl/maps/stdPT5DMrc5MKG6d8</t>
  </si>
  <si>
    <t>https://lh5.googleusercontent.com/p/AF1QipPPc2twRW-gDTO7IJdZ7nhlcTeUCvpc_wAeDHGq=w408-h544-k-no</t>
  </si>
  <si>
    <t>Compañía Hijas de la Caridad de San Vicente de Paúl</t>
  </si>
  <si>
    <t>84QP+CP Orense</t>
  </si>
  <si>
    <t>Rúa Santo Domingo, 32, 32003 Ourense</t>
  </si>
  <si>
    <t>988 22 88 92</t>
  </si>
  <si>
    <t>42.3357496</t>
  </si>
  <si>
    <t>-7.8813905</t>
  </si>
  <si>
    <t>https://goo.gl/maps/CQDcNitnob6wGKrT8</t>
  </si>
  <si>
    <t>https://streetviewpixels-pa.googleapis.com/v1/thumbnail?panoid=tTM-LL7rmykRe3kAxLoyWg&amp;cb_client=search.gws-prod.gps&amp;w=408&amp;h=240&amp;yaw=229.02855&amp;pitch=0&amp;thumbfov=100</t>
  </si>
  <si>
    <t>Federación Provincial De Asociaciones De Discapacitados Físicos</t>
  </si>
  <si>
    <t>849M+8M Orense</t>
  </si>
  <si>
    <t>Rúa Recaredo Paz, 1, 32005 Ourense</t>
  </si>
  <si>
    <t>discafiscogami.org</t>
  </si>
  <si>
    <t>988 24 87 69</t>
  </si>
  <si>
    <t>discafis@cogami.es</t>
  </si>
  <si>
    <t>42.318369</t>
  </si>
  <si>
    <t>-7.8833591</t>
  </si>
  <si>
    <t>https://goo.gl/maps/PCP5AREQn6qTv2nh7</t>
  </si>
  <si>
    <t>https://streetviewpixels-pa.googleapis.com/v1/thumbnail?panoid=CvL49Zm4-nlM_oju4UPA-g&amp;cb_client=search.gws-prod.gps&amp;w=408&amp;h=240&amp;yaw=86.10989&amp;pitch=0&amp;thumbfov=100</t>
  </si>
  <si>
    <t>Asociación Abeiro De Ayuda Al Toxicomano Luna</t>
  </si>
  <si>
    <t>84PQ+Q5 Orense</t>
  </si>
  <si>
    <t>Rúa da Lúa, 14, 32005 Ourense</t>
  </si>
  <si>
    <t>988 22 55 33</t>
  </si>
  <si>
    <t>42.3369121</t>
  </si>
  <si>
    <t>-7.8795326</t>
  </si>
  <si>
    <t>https://goo.gl/maps/Fr4agCEuMKBgWBRLA</t>
  </si>
  <si>
    <t>https://streetviewpixels-pa.googleapis.com/v1/thumbnail?panoid=RDi3EUhE_rxGdOmQt0Uuuw&amp;cb_client=search.gws-prod.gps&amp;w=408&amp;h=240&amp;yaw=220.6896&amp;pitch=0&amp;thumbfov=100</t>
  </si>
  <si>
    <t>Hogares y Apoyo Al Menor Lar</t>
  </si>
  <si>
    <t>84F7+CW Piñor</t>
  </si>
  <si>
    <t>Fca Fierro, Rúa Valdomiño, 11, 32930 Piñor, Province of Ourense</t>
  </si>
  <si>
    <t>Piñor</t>
  </si>
  <si>
    <t>988 22 24 25</t>
  </si>
  <si>
    <t>42.32357</t>
  </si>
  <si>
    <t>-7.9027595</t>
  </si>
  <si>
    <t>https://goo.gl/maps/pMPVhB5GZjjGDmbn8</t>
  </si>
  <si>
    <t>https://lh5.googleusercontent.com/p/AF1QipPJbEZbb4OxO8Mk8I3M2bUWccrE8G8J5wy3-QI_=w408-h306-k-no</t>
  </si>
  <si>
    <t>Camino dos Rapaces, 32004 Ourense, Province of Ourense</t>
  </si>
  <si>
    <t>Allariz</t>
  </si>
  <si>
    <t>988 25 52 36</t>
  </si>
  <si>
    <t>42.3372815</t>
  </si>
  <si>
    <t>-7.8515852</t>
  </si>
  <si>
    <t>https://goo.gl/maps/8q2T5kBpsdjcRwje7</t>
  </si>
  <si>
    <t>https://streetviewpixels-pa.googleapis.com/v1/thumbnail?panoid=qGa4h6aHdUzXZcDWqN0RiQ&amp;cb_client=search.gws-prod.gps&amp;w=408&amp;h=240&amp;yaw=127.1443&amp;pitch=0&amp;thumbfov=100</t>
  </si>
  <si>
    <t>Abueliños</t>
  </si>
  <si>
    <t>94CX+PJ O Viso</t>
  </si>
  <si>
    <t>Aldea O Viso, 5, 32103 O Viso, Province of Ourense</t>
  </si>
  <si>
    <t>O Viso</t>
  </si>
  <si>
    <t>42.371786</t>
  </si>
  <si>
    <t>-7.8684135</t>
  </si>
  <si>
    <t>https://goo.gl/maps/Fz5vg7m13NmUXebd8</t>
  </si>
  <si>
    <t>https://streetviewpixels-pa.googleapis.com/v1/thumbnail?panoid=D1kNuzHJheMm3JhylfJEVw&amp;cb_client=search.gws-prod.gps&amp;w=408&amp;h=240&amp;yaw=53.954643&amp;pitch=0&amp;thumbfov=100</t>
  </si>
  <si>
    <t>Centro de Información a Muller</t>
  </si>
  <si>
    <t>C4QJ+G7 A Pena</t>
  </si>
  <si>
    <t>32101 A Pena, Province of Ourense</t>
  </si>
  <si>
    <t>A Pena</t>
  </si>
  <si>
    <t>cimsantaagueda.blogspot.com</t>
  </si>
  <si>
    <t>988 28 61 84</t>
  </si>
  <si>
    <t>42.4387727</t>
  </si>
  <si>
    <t>-7.8868728</t>
  </si>
  <si>
    <t>https://g.page/cim-mancomunidade-santa-agueda?share</t>
  </si>
  <si>
    <t>https://lh5.googleusercontent.com/p/AF1QipMW6ejDvFZXvkQ5AejnzVx1LS9Yu-zPhsXZKmce=w426-h240-k-no</t>
  </si>
  <si>
    <t>523W+96 Celanova</t>
  </si>
  <si>
    <t>Estrada de Mourillos, 8, 32817 Celanova, Ourense</t>
  </si>
  <si>
    <t>Celanova</t>
  </si>
  <si>
    <t>988 45 14 38</t>
  </si>
  <si>
    <t>42.1534065</t>
  </si>
  <si>
    <t>-7.9719485</t>
  </si>
  <si>
    <t>https://goo.gl/maps/2QtFSZNTcuTapXsd7</t>
  </si>
  <si>
    <t>https://lh5.googleusercontent.com/p/AF1QipOD2axT_TnRNyR2rKpS7V-maTPqzcIijQ1vfG1a=w408-h544-k-no</t>
  </si>
  <si>
    <t>Pontevedra</t>
  </si>
  <si>
    <t>42.4286188</t>
  </si>
  <si>
    <t>-8.6647157</t>
  </si>
  <si>
    <t>ISFAS Pontevedra</t>
  </si>
  <si>
    <t>C9H3+V9 Pontevedra</t>
  </si>
  <si>
    <t>Rúa Arquitecto A. de la Sota, 7, 5, 36001 Pontevedra</t>
  </si>
  <si>
    <t>986 86 67 51</t>
  </si>
  <si>
    <t>https://goo.gl/maps/bNRb7DfhYZZcuBueA</t>
  </si>
  <si>
    <t>https://streetviewpixels-pa.googleapis.com/v1/thumbnail?panoid=iaAuk4UfysJ1wiV_ivGqaw&amp;cb_client=search.gws-prod.gps&amp;w=408&amp;h=240&amp;yaw=251.83673&amp;pitch=0&amp;thumbfov=100</t>
  </si>
  <si>
    <t>Oficina da Xuventude de Pontevedra</t>
  </si>
  <si>
    <t>C9J4+W9 Pontevedra</t>
  </si>
  <si>
    <t>Praza da Verdura, s/n, 36002 Pontevedra</t>
  </si>
  <si>
    <t>xuventude.pontevedra.gal</t>
  </si>
  <si>
    <t>986 84 03 67</t>
  </si>
  <si>
    <t>https://goo.gl/maps/z1bXQARkxX6nbPAh8</t>
  </si>
  <si>
    <t>https://streetviewpixels-pa.googleapis.com/v1/thumbnail?panoid=cOAKmkfAXG25B1RtN088IQ&amp;cb_client=search.gws-prod.gps&amp;w=408&amp;h=240&amp;yaw=219.82361&amp;pitch=0&amp;thumbfov=100</t>
  </si>
  <si>
    <t>Xulgado do Social Número 2</t>
  </si>
  <si>
    <t>C9H3+F7 Pontevedra</t>
  </si>
  <si>
    <t>Rúa Rosalía de Castro, 5, 36001 Pontevedra</t>
  </si>
  <si>
    <t>986 80 51 50</t>
  </si>
  <si>
    <t>https://goo.gl/maps/5FvcYH5NvU68NZbY8</t>
  </si>
  <si>
    <t>https://lh5.googleusercontent.com/p/AF1QipNIzWD5PGkzIt26LtB5As7h5v_PD6pkvKPvUjwK=w408-h306-k-no</t>
  </si>
  <si>
    <t>Oficina de Atención ás Migracions do Concello de Pontevedra</t>
  </si>
  <si>
    <t>C9M3+JG Pontevedra</t>
  </si>
  <si>
    <t>Casa Azul, Rúa Sor Lucía, 2 , 2, º, 36002 Pontevedra</t>
  </si>
  <si>
    <t>986 09 08 91</t>
  </si>
  <si>
    <t>https://goo.gl/maps/R2qonEG58y2wT6aKA</t>
  </si>
  <si>
    <t>https://streetviewpixels-pa.googleapis.com/v1/thumbnail?panoid=1SGrcfoP_ridqpqJkwvvXg&amp;cb_client=search.gws-prod.gps&amp;w=408&amp;h=240&amp;yaw=80.4776&amp;pitch=0&amp;thumbfov=100</t>
  </si>
  <si>
    <t>Centro Social O Burgo</t>
  </si>
  <si>
    <t>C9Q5+63 Pontevedra</t>
  </si>
  <si>
    <t>Av. da Coruña, 62, 36005 Pontevedra</t>
  </si>
  <si>
    <t>https://goo.gl/maps/6MWogt4RLH1Xp8ybA</t>
  </si>
  <si>
    <t>https://lh5.googleusercontent.com/p/AF1QipMoO_-iO_eqxPSvsqCqTMfF3oKeG9AOXwcogz0l=w426-h240-k-no</t>
  </si>
  <si>
    <t>Meniños Fundación Para La Infancia</t>
  </si>
  <si>
    <t>C9M3+JF Pontevedra</t>
  </si>
  <si>
    <t>Rúa Sor Lucía, 2, 36002 Pontevedra</t>
  </si>
  <si>
    <t>meninos.org</t>
  </si>
  <si>
    <t>986 85 01 56</t>
  </si>
  <si>
    <t>https://goo.gl/maps/1Nq2gWt6d6KvNWf4A</t>
  </si>
  <si>
    <t>https://lh5.googleusercontent.com/p/AF1QipPycElvhhW4MMNBSFIG4dpOcREkzoTwbDa_S58x=w426-h240-k-no</t>
  </si>
  <si>
    <t>Centro Principe Felipe</t>
  </si>
  <si>
    <t>C9FP+X3 Pontevedra</t>
  </si>
  <si>
    <t>Av. Montecelo, 12, 36161 Pontevedra</t>
  </si>
  <si>
    <t>986 80 41 00</t>
  </si>
  <si>
    <t>42.42488</t>
  </si>
  <si>
    <t>-8.6323755</t>
  </si>
  <si>
    <t>https://goo.gl/maps/CyncBE2MqARDuXUSA</t>
  </si>
  <si>
    <t>https://streetviewpixels-pa.googleapis.com/v1/thumbnail?panoid=An0BDjHHxfV_MT1FgQFHuQ&amp;cb_client=search.gws-prod.gps&amp;w=408&amp;h=240&amp;yaw=293.3688&amp;pitch=0&amp;thumbfov=100</t>
  </si>
  <si>
    <t>Xeneme Innovación Social</t>
  </si>
  <si>
    <t>Agolada</t>
  </si>
  <si>
    <t>xeneme.com</t>
  </si>
  <si>
    <t>626 31 95 38</t>
  </si>
  <si>
    <t>42.7999142</t>
  </si>
  <si>
    <t>-8.0351715</t>
  </si>
  <si>
    <t>https://goo.gl/maps/4Anze5RJaiDtNyY87</t>
  </si>
  <si>
    <t>https://lh5.googleusercontent.com/p/AF1QipPuOCm7RPV5j916HXuCZZJlXBnduOXNRRyqV0ua=w426-h240-k-no</t>
  </si>
  <si>
    <t>La Sociedad de Ciencias de Galicia</t>
  </si>
  <si>
    <t>C9H4+X6 Pontevedra</t>
  </si>
  <si>
    <t>6 A, Rúa García Camba, 3, 36001 Pontevedra</t>
  </si>
  <si>
    <t>scg.org.es</t>
  </si>
  <si>
    <t>616 63 28 11</t>
  </si>
  <si>
    <t>info@scg.org.es</t>
  </si>
  <si>
    <t>42.4299124</t>
  </si>
  <si>
    <t>-8.6619616</t>
  </si>
  <si>
    <t>https://goo.gl/maps/HH9oMXuAd7jwWokM8</t>
  </si>
  <si>
    <t>https://streetviewpixels-pa.googleapis.com/v1/thumbnail?panoid=-dBnGjVNhrrIJdyC4yOUkg&amp;cb_client=search.gws-prod.gps&amp;w=408&amp;h=240&amp;yaw=359.92224&amp;pitch=0&amp;thumbfov=100</t>
  </si>
  <si>
    <t>Cespa Compañía de Servicios Públicos Auxiliares S.A.</t>
  </si>
  <si>
    <t>C9H4+CC Pontevedra</t>
  </si>
  <si>
    <t>Calle de Andrés Muruais, 8, 36001 Pontevedra</t>
  </si>
  <si>
    <t>986 86 05 96</t>
  </si>
  <si>
    <t>42.4286186</t>
  </si>
  <si>
    <t>-8.6614488</t>
  </si>
  <si>
    <t>https://goo.gl/maps/HbEpo2hQKjoEns927</t>
  </si>
  <si>
    <t>https://streetviewpixels-pa.googleapis.com/v1/thumbnail?panoid=8k5kfn--5Wf8f9MzK33bjQ&amp;cb_client=search.gws-prod.gps&amp;w=408&amp;h=240&amp;yaw=194.27348&amp;pitch=0&amp;thumbfov=100</t>
  </si>
  <si>
    <t>Asociación Socio Cultural O Burgo</t>
  </si>
  <si>
    <t>C9Q5+H4 Pontevedra</t>
  </si>
  <si>
    <t>R. Juan Bautista Andrade, 2, 36005 Pontevedra</t>
  </si>
  <si>
    <t>https://goo.gl/maps/9tiwYbjMPccBN5AL6</t>
  </si>
  <si>
    <t>https://streetviewpixels-pa.googleapis.com/v1/thumbnail?panoid=MCfiyNiPTSx7-yjKxiNqMg&amp;cb_client=search.gws-prod.gps&amp;w=408&amp;h=240&amp;yaw=96.745476&amp;pitch=0&amp;thumbfov=100</t>
  </si>
  <si>
    <t>C9M6+2R Pontevedra</t>
  </si>
  <si>
    <t>Rúa do Padre Gaite, 5, 36002 Pontevedra</t>
  </si>
  <si>
    <t>986 85 21 15</t>
  </si>
  <si>
    <t>https://goo.gl/maps/jxUaeGvpfDKs2Xuf8</t>
  </si>
  <si>
    <t>https://lh5.googleusercontent.com/p/AF1QipObu5Mki4O-kj0_gn5W7BWteg5XZI2mljMYhiOn=w408-h725-k-no</t>
  </si>
  <si>
    <t>Fondo Galego de Cooperación e Solidariedade</t>
  </si>
  <si>
    <t>C9C4+WM Pontevedra</t>
  </si>
  <si>
    <t>Rúa Luís Braille, 40, 36003 Pontevedra</t>
  </si>
  <si>
    <t>fondogalego.gal</t>
  </si>
  <si>
    <t>698 14 45 36</t>
  </si>
  <si>
    <t>info@fondogalego.gal</t>
  </si>
  <si>
    <t>https://goo.gl/maps/ZWhvSkgJGRyJ4E7W8</t>
  </si>
  <si>
    <t>Asociación Alcoholicos Rehabilitados de Pontevedra</t>
  </si>
  <si>
    <t>C9XG+43 Pontevedra</t>
  </si>
  <si>
    <t>Rúa de Reino Unido, 17, 36162 Pontevedra</t>
  </si>
  <si>
    <t>wordpress.com</t>
  </si>
  <si>
    <t>986 84 13 30</t>
  </si>
  <si>
    <t>42.4478336</t>
  </si>
  <si>
    <t>-8.6423591</t>
  </si>
  <si>
    <t>https://goo.gl/maps/shkzarwJVGbt77yT7</t>
  </si>
  <si>
    <t>https://streetviewpixels-pa.googleapis.com/v1/thumbnail?panoid=v_eJ2m0EPyH1_R6rlBWf7g&amp;cb_client=search.gws-prod.gps&amp;w=408&amp;h=240&amp;yaw=328.72452&amp;pitch=0&amp;thumbfov=100</t>
  </si>
  <si>
    <t>Avelaiña</t>
  </si>
  <si>
    <t>C9W4+VR Gándara</t>
  </si>
  <si>
    <t>Travesía Capilla, 33, 36789 Gándara, Pontevedra</t>
  </si>
  <si>
    <t>Gándara</t>
  </si>
  <si>
    <t>986 61 00 02</t>
  </si>
  <si>
    <t>42.4471507</t>
  </si>
  <si>
    <t>-8.6604026</t>
  </si>
  <si>
    <t>https://goo.gl/maps/AJrh7XpoGQho5L2a8</t>
  </si>
  <si>
    <t>https://streetviewpixels-pa.googleapis.com/v1/thumbnail?panoid=pG8TOPMKVUUdUNslQpCTTw&amp;cb_client=search.gws-prod.gps&amp;w=408&amp;h=240&amp;yaw=145.21492&amp;pitch=0&amp;thumbfov=100</t>
  </si>
  <si>
    <t>Organización Nacional de Cegos Españois</t>
  </si>
  <si>
    <t>C9F4+47 Pontevedra</t>
  </si>
  <si>
    <t>986 85 62 00</t>
  </si>
  <si>
    <t>42.422843</t>
  </si>
  <si>
    <t>-8.661854</t>
  </si>
  <si>
    <t>https://goo.gl/maps/UfwUJeaiH14PyQyw8</t>
  </si>
  <si>
    <t>https://streetviewpixels-pa.googleapis.com/v1/thumbnail?panoid=T4TtVZvFrGpBlfuUv4R98g&amp;cb_client=search.gws-prod.gps&amp;w=408&amp;h=240&amp;yaw=230.61812&amp;pitch=0&amp;thumbfov=100</t>
  </si>
  <si>
    <t>Marín</t>
  </si>
  <si>
    <t>Servicios Sociais Marín</t>
  </si>
  <si>
    <t>97QV+XM Marín</t>
  </si>
  <si>
    <t>s/n (Finca Briz), Calle Cuesta, 36915 Marín, Pontevedra</t>
  </si>
  <si>
    <t>concellodemarin.es</t>
  </si>
  <si>
    <t>986 83 81 17</t>
  </si>
  <si>
    <t>alcaldia@concellodemarin.es</t>
  </si>
  <si>
    <t>42.389881</t>
  </si>
  <si>
    <t>-8.7233423</t>
  </si>
  <si>
    <t>https://goo.gl/maps/j2qdZE9RZgEyi2z47</t>
  </si>
  <si>
    <t>https://streetviewpixels-pa.googleapis.com/v1/thumbnail?panoid=fOHi644krFHWug42nH7sXQ&amp;cb_client=search.gws-prod.gps&amp;w=408&amp;h=240&amp;yaw=78.728516&amp;pitch=0&amp;thumbfov=100</t>
  </si>
  <si>
    <t>Vigo</t>
  </si>
  <si>
    <t>Centro Sociocomunitario en Redondela</t>
  </si>
  <si>
    <t>79JR+V3 Redondela</t>
  </si>
  <si>
    <t>Paseo da Xunqueira, 27, 36800 Redondela, Pontevedra</t>
  </si>
  <si>
    <t>Redondela</t>
  </si>
  <si>
    <t>42.2821899</t>
  </si>
  <si>
    <t>-8.6273283</t>
  </si>
  <si>
    <t>https://goo.gl/maps/ed9RfKzPQ8oueaBv8</t>
  </si>
  <si>
    <t>https://lh5.googleusercontent.com/p/AF1QipPmESIl_l5vZyBbGxt9Sn5KPqIXmAxM-mJns9e3=w420-h240-k-no</t>
  </si>
  <si>
    <t>Villagarcía de Arosa</t>
  </si>
  <si>
    <t>986 56 83 00</t>
  </si>
  <si>
    <t>Puenteareas</t>
  </si>
  <si>
    <t>Atención Social En Emergencias Grupo 5 S L</t>
  </si>
  <si>
    <t>67PF+HP Vigo</t>
  </si>
  <si>
    <t>Rúa do Pracer, 13, 36202 Vigo, Pontevedra</t>
  </si>
  <si>
    <t>986 22 99 11</t>
  </si>
  <si>
    <t>42.2364795</t>
  </si>
  <si>
    <t>-8.7432137</t>
  </si>
  <si>
    <t>https://goo.gl/maps/T2pwoGkz4om5ji3T8</t>
  </si>
  <si>
    <t>https://streetviewpixels-pa.googleapis.com/v1/thumbnail?panoid=9k3IEl3j5s7IqgSSSxSt4w&amp;cb_client=search.gws-prod.gps&amp;w=408&amp;h=240&amp;yaw=109.57126&amp;pitch=0&amp;thumbfov=100</t>
  </si>
  <si>
    <t>Concello de Vigo Oficina de Emigracion</t>
  </si>
  <si>
    <t>67GX+QG Vigo</t>
  </si>
  <si>
    <t>Avenida Alcalde Emilio Martínez Garrido, 21 Interior, 36205 Vigo, Pontevedra</t>
  </si>
  <si>
    <t>986 44 23 56</t>
  </si>
  <si>
    <t>42.2269859</t>
  </si>
  <si>
    <t>-8.7186685</t>
  </si>
  <si>
    <t>https://goo.gl/maps/fKgAMphLeiajTzoU8</t>
  </si>
  <si>
    <t>https://streetviewpixels-pa.googleapis.com/v1/thumbnail?panoid=469OipDS--caqwMvlR51rQ&amp;cb_client=search.gws-prod.gps&amp;w=408&amp;h=240&amp;yaw=24.103508&amp;pitch=0&amp;thumbfov=100</t>
  </si>
  <si>
    <t>Atención Social En Emergencias Grupo 5</t>
  </si>
  <si>
    <t>67M9+M6 Vigo</t>
  </si>
  <si>
    <t>Rúa Marqués de Valterra, 6, 36202 Vigo, Pontevedra</t>
  </si>
  <si>
    <t>42.2341851</t>
  </si>
  <si>
    <t>-8.7494601</t>
  </si>
  <si>
    <t>https://goo.gl/maps/A2QYiAWho31s16ZA8</t>
  </si>
  <si>
    <t>https://streetviewpixels-pa.googleapis.com/v1/thumbnail?panoid=MYWswK5X7IpAP2F3A1GBlw&amp;cb_client=search.gws-prod.gps&amp;w=408&amp;h=240&amp;yaw=291.72778&amp;pitch=0&amp;thumbfov=100</t>
  </si>
  <si>
    <t>Servizos Sociais de Chapela</t>
  </si>
  <si>
    <t>788M+P6 Redondela</t>
  </si>
  <si>
    <t>Av. Redondela, 17, 36320 Redondela, Pontevedra</t>
  </si>
  <si>
    <t>redondela.gal</t>
  </si>
  <si>
    <t>986 45 89 93</t>
  </si>
  <si>
    <t>info@redondela.gal</t>
  </si>
  <si>
    <t>42.2667887</t>
  </si>
  <si>
    <t>-8.6844758</t>
  </si>
  <si>
    <t>https://goo.gl/maps/Ukxon2HpH2zC156t7</t>
  </si>
  <si>
    <t>https://streetviewpixels-pa.googleapis.com/v1/thumbnail?panoid=6xPvCv9d7VyW3u4VS8JkCw&amp;cb_client=search.gws-prod.gps&amp;w=408&amp;h=240&amp;yaw=97.19592&amp;pitch=0&amp;thumbfov=100</t>
  </si>
  <si>
    <t>Instituto Social da Mariña - Casa do Mar</t>
  </si>
  <si>
    <t>H6XM+28 Villagarcía de Arosa</t>
  </si>
  <si>
    <t>Rúa Peirao Pasaxeiros, 3, 36600 Vilagarcía de Arousa, Pontevedra</t>
  </si>
  <si>
    <t>42.5975458</t>
  </si>
  <si>
    <t>-8.7841538</t>
  </si>
  <si>
    <t>https://goo.gl/maps/u8k7yTGvtAZtVt3MA</t>
  </si>
  <si>
    <t>https://lh5.googleusercontent.com/p/AF1QipO4-AlOoCkh6wkjsiAu14V5aCrPu2WalkVERWkr=w408-h306-k-no</t>
  </si>
  <si>
    <t>Complexo Residencial de Atención a Persoas Dependentes. Vigo II</t>
  </si>
  <si>
    <t>6889+7P Vigo</t>
  </si>
  <si>
    <t>Estrada Vella de Madrid, 190, 36214 Vigo, Pontevedra</t>
  </si>
  <si>
    <t>xunta.es</t>
  </si>
  <si>
    <t>886 12 10 45</t>
  </si>
  <si>
    <t>42.2156915</t>
  </si>
  <si>
    <t>-8.6981463</t>
  </si>
  <si>
    <t>https://goo.gl/maps/ka7zEk6PvoYzH6vU9</t>
  </si>
  <si>
    <t>https://streetviewpixels-pa.googleapis.com/v1/thumbnail?panoid=OFFtQmy7XyhUOwBMPT1TYw&amp;cb_client=search.gws-prod.gps&amp;w=408&amp;h=240&amp;yaw=225.93747&amp;pitch=0&amp;thumbfov=100</t>
  </si>
  <si>
    <t>COGAMI</t>
  </si>
  <si>
    <t>89</t>
  </si>
  <si>
    <t>666W+46 Vigo</t>
  </si>
  <si>
    <t>Rúa Teixugueiras, 15, 36212 Vigo, Pontevedra</t>
  </si>
  <si>
    <t>cogami.es</t>
  </si>
  <si>
    <t>986 28 18 93</t>
  </si>
  <si>
    <t>42.2103659</t>
  </si>
  <si>
    <t>-8.7719822</t>
  </si>
  <si>
    <t>https://goo.gl/maps/NHnpJyyPviSLDTqBA</t>
  </si>
  <si>
    <t>https://lh5.googleusercontent.com/p/AF1QipOWJK4Pe7Igpum_5ifQEBLPNCOkeAxFoynRv8yi=w408-h544-k-no</t>
  </si>
  <si>
    <t>87</t>
  </si>
  <si>
    <t>67MJ+8X Vigo</t>
  </si>
  <si>
    <t>Av. da Gran Vía, 16, 36203 Vigo, Pontevedra</t>
  </si>
  <si>
    <t>986 22 72 08</t>
  </si>
  <si>
    <t>42.2332839</t>
  </si>
  <si>
    <t>-8.7350643</t>
  </si>
  <si>
    <t>https://goo.gl/maps/jmQf6NFZi41XSV3YA</t>
  </si>
  <si>
    <t>https://lh5.googleusercontent.com/p/AF1QipONXn-mtUJv4iw8by66rGnsl9n0wGjGFmOCGRkY=w408-h502-k-no</t>
  </si>
  <si>
    <t>Agrupación de voluntarios de protección Civil de Vilagarcía de Arousa</t>
  </si>
  <si>
    <t>H6VF+XW Villagarcía de Arosa</t>
  </si>
  <si>
    <t>Puerto de Vilagarcía de Arousa, Muelle Comercial, 22, 36600 Vilagarcía de Arousa, Pontevedra</t>
  </si>
  <si>
    <t>986 51 20 20</t>
  </si>
  <si>
    <t>42.594906</t>
  </si>
  <si>
    <t>-8.7927315</t>
  </si>
  <si>
    <t>https://goo.gl/maps/vXeHhxm3yoNuE7WH9</t>
  </si>
  <si>
    <t>https://lh5.googleusercontent.com/p/AF1QipM19rUXLQ0FMOWL0tt6oTHWZpqOhdjv1CfFPFVZ=w408-h244-k-no</t>
  </si>
  <si>
    <t>Cáritas Diocesana de Tui Vigo</t>
  </si>
  <si>
    <t>104</t>
  </si>
  <si>
    <t>67QR+RV Vigo</t>
  </si>
  <si>
    <t>Rúa de García Barbón, 104, 36201 Vigo, Pontevedra</t>
  </si>
  <si>
    <t>986 44 33 10</t>
  </si>
  <si>
    <t>42.2395279</t>
  </si>
  <si>
    <t>-8.7253254</t>
  </si>
  <si>
    <t>https://goo.gl/maps/e9x9zQe6bVonV5wk8</t>
  </si>
  <si>
    <t>https://lh5.googleusercontent.com/p/AF1QipNanpjDe40kzjdRZm_HAj_RVi87qE4Pd3XJLSet=w426-h240-k-no</t>
  </si>
  <si>
    <t>Centro Social A Devesa</t>
  </si>
  <si>
    <t>3CXQ+QX Salceda de Caselas</t>
  </si>
  <si>
    <t>Rúa de Vigo, 36470 Salceda de Caselas, Pontevedra</t>
  </si>
  <si>
    <t>Salceda de Caselas</t>
  </si>
  <si>
    <t>42.0994633</t>
  </si>
  <si>
    <t>-8.577614</t>
  </si>
  <si>
    <t>https://goo.gl/maps/ACNvDsGKMQpGPBHK8</t>
  </si>
  <si>
    <t>https://lh5.googleusercontent.com/p/AF1QipO8nGuVAd6tzP2hSN-Q35Dc0Gp_X-NFpSszQH8G=w408-h306-k-no</t>
  </si>
  <si>
    <t>XENEME Intervencion Social</t>
  </si>
  <si>
    <t>42.7762634</t>
  </si>
  <si>
    <t>-8.4992192</t>
  </si>
  <si>
    <t>https://goo.gl/maps/Byfgf3CNDGkrqkSr6</t>
  </si>
  <si>
    <t>https://lh5.googleusercontent.com/p/AF1QipMt-2Iq6ZNu8gsVKKjUZyeno3hGPz_3LvYfxAX4=w426-h240-k-no</t>
  </si>
  <si>
    <t>Bata Bayón Asociación Tratamiento De Autismo</t>
  </si>
  <si>
    <t>H6WP+F5 Villagarcía de Arosa</t>
  </si>
  <si>
    <t>Pr. Ravella, 4, 36600 Vilagarcía de Arousa, Pontevedra</t>
  </si>
  <si>
    <t>986 50 99 71</t>
  </si>
  <si>
    <t>42.5961751</t>
  </si>
  <si>
    <t>-8.7820939</t>
  </si>
  <si>
    <t>https://goo.gl/maps/ZpF49UcWt1wvnSam8</t>
  </si>
  <si>
    <t>https://streetviewpixels-pa.googleapis.com/v1/thumbnail?panoid=a0gwFWsIhoRTxKSwZWyRRw&amp;cb_client=search.gws-prod.gps&amp;w=408&amp;h=240&amp;yaw=305.6821&amp;pitch=0&amp;thumbfov=100</t>
  </si>
  <si>
    <t>Centro de dia,Galeón</t>
  </si>
  <si>
    <t>5FCX+9V Puenteareas</t>
  </si>
  <si>
    <t>36860 Ponteareas, Pontevedra</t>
  </si>
  <si>
    <t>centrodia.es</t>
  </si>
  <si>
    <t>986 18 28 38</t>
  </si>
  <si>
    <t>42.1709691</t>
  </si>
  <si>
    <t>-8.517808</t>
  </si>
  <si>
    <t>https://goo.gl/maps/J1DaHugx44DJvM82A</t>
  </si>
  <si>
    <t>https://streetviewpixels-pa.googleapis.com/v1/thumbnail?panoid=MVcIkd9sLit8tdhMDaq_Ww&amp;cb_client=search.gws-prod.gps&amp;w=408&amp;h=240&amp;yaw=277.4939&amp;pitch=0&amp;thumbfov=100</t>
  </si>
  <si>
    <t>Centro de Servicios Sociales Pontevedra</t>
  </si>
  <si>
    <t>C7PQ+4Q Madrid</t>
  </si>
  <si>
    <t>Calle Pontevedra, 0, 28015 Madrid</t>
  </si>
  <si>
    <t>madrid.es</t>
  </si>
  <si>
    <t>915 49 99 34</t>
  </si>
  <si>
    <t>SET_cabecera-landing_1284x550@2x.png</t>
  </si>
  <si>
    <t>40.4352887</t>
  </si>
  <si>
    <t>-3.7806622</t>
  </si>
  <si>
    <t>https://goo.gl/maps/iyBsTp9FUkdHDTQH9</t>
  </si>
  <si>
    <t>https://streetviewpixels-pa.googleapis.com/v1/thumbnail?panoid=UhkOZfXZ9-4mxHKwFaKPUw&amp;cb_client=search.gws-prod.gps&amp;w=408&amp;h=240&amp;yaw=342.41293&amp;pitch=0&amp;thumbfov=100</t>
  </si>
  <si>
    <t>Logroño</t>
  </si>
  <si>
    <t>La Rioja</t>
  </si>
  <si>
    <t>42.4674715</t>
  </si>
  <si>
    <t>-3.0040893</t>
  </si>
  <si>
    <t>Asociación Riojana Comercio Social</t>
  </si>
  <si>
    <t>FH86+PF Logroño</t>
  </si>
  <si>
    <t>Calle Tricio, 3, 26001 Logroño, La Rioja</t>
  </si>
  <si>
    <t>941 24 97 15</t>
  </si>
  <si>
    <t>https://goo.gl/maps/owANjCkhHrEDbhRs7</t>
  </si>
  <si>
    <t>https://streetviewpixels-pa.googleapis.com/v1/thumbnail?panoid=DvfPBIPfFMNkvctleJeOBw&amp;cb_client=search.gws-prod.gps&amp;w=408&amp;h=240&amp;yaw=290.00476&amp;pitch=0&amp;thumbfov=100</t>
  </si>
  <si>
    <t>Foro Social de la Rioja</t>
  </si>
  <si>
    <t>FH83+GW Logroño</t>
  </si>
  <si>
    <t>Calle Portales, 27, 26001 Logroño, La Rioja</t>
  </si>
  <si>
    <t>941 23 86 47</t>
  </si>
  <si>
    <t>https://goo.gl/maps/GxDNHS58gDGNdsH47</t>
  </si>
  <si>
    <t>https://streetviewpixels-pa.googleapis.com/v1/thumbnail?panoid=QgvTj-Hli2cgwAB7oxcaHQ&amp;cb_client=search.gws-prod.gps&amp;w=408&amp;h=240&amp;yaw=155.9132&amp;pitch=0&amp;thumbfov=100</t>
  </si>
  <si>
    <t>Trabajo Social Y Servicios La Rioja</t>
  </si>
  <si>
    <t>FH72+FX Logroño</t>
  </si>
  <si>
    <t>Av. Gran Vía Juan Carlos I, 14, 15 A, 26002 Logroño, La Rioja</t>
  </si>
  <si>
    <t>tsys.es</t>
  </si>
  <si>
    <t>941 20 32 20</t>
  </si>
  <si>
    <t>info@tsys.es</t>
  </si>
  <si>
    <t>https://goo.gl/maps/1SUaqE5okQXcVWEi8</t>
  </si>
  <si>
    <t>https://streetviewpixels-pa.googleapis.com/v1/thumbnail?panoid=gNTzd2bXl4KJMEYI7C5XUQ&amp;cb_client=search.gws-prod.gps&amp;w=408&amp;h=240&amp;yaw=12.5594225&amp;pitch=0&amp;thumbfov=100</t>
  </si>
  <si>
    <t>Colegio Oficial de Trabajo Social de La Rioja</t>
  </si>
  <si>
    <t>FH88+FJ Logroño</t>
  </si>
  <si>
    <t>Plaza Fermín Gurbindo, 1, Bajo 4, 26004 Logroño, La Rioja</t>
  </si>
  <si>
    <t>941 25 74 52</t>
  </si>
  <si>
    <t>https://goo.gl/maps/L8o8ob2yNeBihPbA9</t>
  </si>
  <si>
    <t>https://streetviewpixels-pa.googleapis.com/v1/thumbnail?panoid=3E5yWHzUio2bDXALHK7grw&amp;cb_client=search.gws-prod.gps&amp;w=408&amp;h=240&amp;yaw=181.35469&amp;pitch=0&amp;thumbfov=100</t>
  </si>
  <si>
    <t>Comunidad Autónoma de la Rioja</t>
  </si>
  <si>
    <t>F39Q+8H Bañares</t>
  </si>
  <si>
    <t>Plaza España, 10, 26257 Bañares, La Rioja</t>
  </si>
  <si>
    <t>Bañares</t>
  </si>
  <si>
    <t>941 35 01 29</t>
  </si>
  <si>
    <t>https://goo.gl/maps/FwnH9QxQYSGVzeg57</t>
  </si>
  <si>
    <t>https://streetviewpixels-pa.googleapis.com/v1/thumbnail?panoid=FgYg4npkOlQ5-J4w3TboqA&amp;cb_client=search.gws-prod.gps&amp;w=408&amp;h=240&amp;yaw=331.1045&amp;pitch=0&amp;thumbfov=100</t>
  </si>
  <si>
    <t>Arnedo</t>
  </si>
  <si>
    <t>42.2269497</t>
  </si>
  <si>
    <t>-2.6582002</t>
  </si>
  <si>
    <t>FG7R+JJ Logroño</t>
  </si>
  <si>
    <t>Calle Marqués de Murrieta, 45, 47, 26005 Logroño, La Rioja</t>
  </si>
  <si>
    <t>941 29 66 37</t>
  </si>
  <si>
    <t>https://goo.gl/maps/xyuKaK1n63gRaH4x9</t>
  </si>
  <si>
    <t>https://lh5.googleusercontent.com/p/AF1QipMvir-UNirXfdQSfUmu4lh5m15f8HJ9H2YqJiFc=w408-h725-k-no</t>
  </si>
  <si>
    <t>Calahorra</t>
  </si>
  <si>
    <t>Haro</t>
  </si>
  <si>
    <t>42.5750437</t>
  </si>
  <si>
    <t>-3.4117406</t>
  </si>
  <si>
    <t>Centro Social &amp;quot;Las Fontanillas&amp;quot;</t>
  </si>
  <si>
    <t>FG9R+J3 Logroño</t>
  </si>
  <si>
    <t>Calle Poniente, 14, 26005 Logroño, La Rioja</t>
  </si>
  <si>
    <t>941 20 48 28</t>
  </si>
  <si>
    <t>https://goo.gl/maps/bvAZ5TshRMKAjbUZA</t>
  </si>
  <si>
    <t>https://streetviewpixels-pa.googleapis.com/v1/thumbnail?panoid=umrmYXYXCfEjDFrwM5IPvg&amp;cb_client=search.gws-prod.gps&amp;w=408&amp;h=240&amp;yaw=123.05038&amp;pitch=0&amp;thumbfov=100</t>
  </si>
  <si>
    <t>Centro de Servicios Sociales-Ayuntamiento De Arnedo</t>
  </si>
  <si>
    <t>6VGV+6F Arnedo</t>
  </si>
  <si>
    <t>Calle Carretas, 3, 26580 Arnedo, La Rioja</t>
  </si>
  <si>
    <t>941 38 57 66</t>
  </si>
  <si>
    <t>42.2789208</t>
  </si>
  <si>
    <t>-2.4064932</t>
  </si>
  <si>
    <t>https://goo.gl/maps/GYka6kKrwHqjHYWh7</t>
  </si>
  <si>
    <t>https://streetviewpixels-pa.googleapis.com/v1/thumbnail?panoid=kfy7XbGGR6VI6tDSAhcfYw&amp;cb_client=search.gws-prod.gps&amp;w=408&amp;h=240&amp;yaw=214.92691&amp;pitch=0&amp;thumbfov=100</t>
  </si>
  <si>
    <t>UNICEF Comité de La Rioja</t>
  </si>
  <si>
    <t>FH64+53 Logroño</t>
  </si>
  <si>
    <t>Av. Pío XII, 4, 26003 Logroño, La Rioja</t>
  </si>
  <si>
    <t>913 34 41 29</t>
  </si>
  <si>
    <t>42.4604175</t>
  </si>
  <si>
    <t>-3.0050671</t>
  </si>
  <si>
    <t>https://goo.gl/maps/1yMZu6qqh21meCjH8</t>
  </si>
  <si>
    <t>https://streetviewpixels-pa.googleapis.com/v1/thumbnail?panoid=myJcyinWFXO4QQvxQs5CGQ&amp;cb_client=search.gws-prod.gps&amp;w=408&amp;h=240&amp;yaw=200.58878&amp;pitch=0&amp;thumbfov=100</t>
  </si>
  <si>
    <t>Nájera</t>
  </si>
  <si>
    <t>42.0563514</t>
  </si>
  <si>
    <t>-2.4684776</t>
  </si>
  <si>
    <t>Asociación SALUD MENTAL LA RIOJA</t>
  </si>
  <si>
    <t>FH98+XW Logroño</t>
  </si>
  <si>
    <t>Calle Cantabria, 33 y 35, 26004 Logroño, La Rioja</t>
  </si>
  <si>
    <t>consaludmental.org</t>
  </si>
  <si>
    <t>941 23 62 33</t>
  </si>
  <si>
    <t>https://goo.gl/maps/ZLXuoUiYme5utaeV7</t>
  </si>
  <si>
    <t>https://lh5.googleusercontent.com/p/AF1QipPsBcDNHxDhdFC3LG7cvHc4CHYqcgcDNYPHAKbL=w426-h240-k-no</t>
  </si>
  <si>
    <t>Fundación Independiente de la Rioja F.I.R.</t>
  </si>
  <si>
    <t>FG5W+33 Logroño</t>
  </si>
  <si>
    <t>Calle Pintor Rosales, 4, 6, 26007 Logroño, La Rioja</t>
  </si>
  <si>
    <t>941 20 37 14</t>
  </si>
  <si>
    <t>https://goo.gl/maps/H5xuKVZmta9Arfdq7</t>
  </si>
  <si>
    <t>https://streetviewpixels-pa.googleapis.com/v1/thumbnail?panoid=YcZi9TrYIBkA4SVFTLuAnQ&amp;cb_client=search.gws-prod.gps&amp;w=408&amp;h=240&amp;yaw=270.39227&amp;pitch=0&amp;thumbfov=100</t>
  </si>
  <si>
    <t>Frvs Federación Riojana de Voluntariado Social</t>
  </si>
  <si>
    <t>FH83+4X Logroño</t>
  </si>
  <si>
    <t>Calle Muro de Francisco de la Mata, 8, 26001 Logroño, La Rioja</t>
  </si>
  <si>
    <t>voluntariadosocialrioja.org</t>
  </si>
  <si>
    <t>941 26 29 53</t>
  </si>
  <si>
    <t>info@voluntariadosocialrioja.org</t>
  </si>
  <si>
    <t>https://g.page/frvsocial?share</t>
  </si>
  <si>
    <t>https://streetviewpixels-pa.googleapis.com/v1/thumbnail?panoid=ntfSXaUXHS8QAx7h9R9fJg&amp;cb_client=search.gws-prod.gps&amp;w=408&amp;h=240&amp;yaw=33.12724&amp;pitch=0&amp;thumbfov=100</t>
  </si>
  <si>
    <t>Fundación Centro de Solidaridad de la Rioja</t>
  </si>
  <si>
    <t>FHC8+48 Logroño</t>
  </si>
  <si>
    <t>Paseo del Prior, 6, 26004 Logroño, La Rioja</t>
  </si>
  <si>
    <t>https://goo.gl/maps/Z6qmtG449YCBWdp27</t>
  </si>
  <si>
    <t>https://streetviewpixels-pa.googleapis.com/v1/thumbnail?panoid=--dxrgBJ2xt1DgvJRMYaxw&amp;cb_client=search.gws-prod.gps&amp;w=408&amp;h=240&amp;yaw=203.59712&amp;pitch=0&amp;thumbfov=100</t>
  </si>
  <si>
    <t>Asociación de Donantes de Sangre de la Rioja</t>
  </si>
  <si>
    <t>FH3F+HC Logroño</t>
  </si>
  <si>
    <t>Calle Piqueras, 98, 26006 Logroño, La Rioja</t>
  </si>
  <si>
    <t>941 23 71 68</t>
  </si>
  <si>
    <t>https://goo.gl/maps/D4ZyxkcFDjvCHTRV9</t>
  </si>
  <si>
    <t>https://streetviewpixels-pa.googleapis.com/v1/thumbnail?panoid=R0p3YNaayABS7YWIZKl1xg&amp;cb_client=search.gws-prod.gps&amp;w=408&amp;h=240&amp;yaw=286.22513&amp;pitch=0&amp;thumbfov=100</t>
  </si>
  <si>
    <t>ASPRODEMA-RIOJA (Servicios Asociativos y Centro de Recursos de Apoyo-Logroño)</t>
  </si>
  <si>
    <t>FH97+85 Logroño</t>
  </si>
  <si>
    <t>Plaza Martínez Flamarique, 11, bajo, 26004 Logroño, La Rioja</t>
  </si>
  <si>
    <t>asprodema.org</t>
  </si>
  <si>
    <t>941 26 07 37</t>
  </si>
  <si>
    <t>serviciosasociativos@asprodema.org</t>
  </si>
  <si>
    <t>https://g.page/asprodemarioja?share</t>
  </si>
  <si>
    <t>https://lh5.googleusercontent.com/p/AF1QipOtM3FlXh6DZN4IXPHo7Dldnf2__bfQaI6cW9UN=w408-h510-k-no</t>
  </si>
  <si>
    <t>Sed Rioja Solidaridad, Educación y Desarrollo</t>
  </si>
  <si>
    <t>CHW3+J8 Logroño</t>
  </si>
  <si>
    <t>Calleja Vieja, 15 De la Calleja Vieja, 15, 26006 Logroño</t>
  </si>
  <si>
    <t>941 50 10 80</t>
  </si>
  <si>
    <t>https://goo.gl/maps/ox3mLhbkg4Av7gnV7</t>
  </si>
  <si>
    <t>https://streetviewpixels-pa.googleapis.com/v1/thumbnail?panoid=dlun3ooB_x3ZoQy0-VAgNA&amp;cb_client=search.gws-prod.gps&amp;w=408&amp;h=240&amp;yaw=139.22235&amp;pitch=0&amp;thumbfov=100</t>
  </si>
  <si>
    <t>Anacaona Rioja</t>
  </si>
  <si>
    <t>FH78+4H Logroño</t>
  </si>
  <si>
    <t>Calle Padre Claret, 11, 26004 Logroño, La Rioja</t>
  </si>
  <si>
    <t>anacaonarioja.org</t>
  </si>
  <si>
    <t>anacaona@anacaonarioja.org</t>
  </si>
  <si>
    <t>https://goo.gl/maps/9tcs1uhDsjUBkopCA</t>
  </si>
  <si>
    <t>https://streetviewpixels-pa.googleapis.com/v1/thumbnail?panoid=d8f1HQkRzslboO590ghi0g&amp;cb_client=search.gws-prod.gps&amp;w=408&amp;h=240&amp;yaw=109.39829&amp;pitch=0&amp;thumbfov=100</t>
  </si>
  <si>
    <t>Delegación ONCE La RIOJA</t>
  </si>
  <si>
    <t>FG5V+59 Logroño</t>
  </si>
  <si>
    <t>Calle Chile, 31, 26007 Logroño, La Rioja</t>
  </si>
  <si>
    <t>941 27 01 72</t>
  </si>
  <si>
    <t>42.4579649</t>
  </si>
  <si>
    <t>-3.0169237</t>
  </si>
  <si>
    <t>https://goo.gl/maps/qVVeo2HkBg3BNw27A</t>
  </si>
  <si>
    <t>https://lh5.googleusercontent.com/p/AF1QipP7js2G-MIZQ-D8IPIEf3B1JygQgixk3qRW7g9u=w426-h240-k-no</t>
  </si>
  <si>
    <t>C798+23 Nájera</t>
  </si>
  <si>
    <t>Plaza San Miguel, 10, 26300 Nájera, La Rioja</t>
  </si>
  <si>
    <t>42.4176009</t>
  </si>
  <si>
    <t>-3.2951495</t>
  </si>
  <si>
    <t>https://goo.gl/maps/vqB1ZXhrgmD9iDMp8</t>
  </si>
  <si>
    <t>https://streetviewpixels-pa.googleapis.com/v1/thumbnail?panoid=NuWTVU1n7r7IsEVakUHR_A&amp;cb_client=search.gws-prod.gps&amp;w=408&amp;h=240&amp;yaw=101.11532&amp;pitch=0&amp;thumbfov=100</t>
  </si>
  <si>
    <t>HOGAR DE PERSONAS MAYORES DE NÁJERA</t>
  </si>
  <si>
    <t>C799+3C Nájera</t>
  </si>
  <si>
    <t>Av. La Rioja, 10C, 26300 Nájera, La Rioja</t>
  </si>
  <si>
    <t>najeraenred.es</t>
  </si>
  <si>
    <t>941 36 26 12</t>
  </si>
  <si>
    <t>https://goo.gl/maps/jwWFqPeUP67eF3uF6</t>
  </si>
  <si>
    <t>https://lh5.googleusercontent.com/p/AF1QipNkwBdsPm-9RnAklMrmrrPxcKG2hNat9vb7VDw8=w426-h240-k-no</t>
  </si>
  <si>
    <t>Centro Servicios Sociales Ayuntamiento</t>
  </si>
  <si>
    <t>822P+W2 Calahorra</t>
  </si>
  <si>
    <t>Calle Miguel de Cervantes, 5, 26500 Calahorra, La Rioja</t>
  </si>
  <si>
    <t>941 10 50 72</t>
  </si>
  <si>
    <t>42.3023613</t>
  </si>
  <si>
    <t>-2.5252612</t>
  </si>
  <si>
    <t>https://goo.gl/maps/6o3SG5CAHeaL13ph9</t>
  </si>
  <si>
    <t>https://streetviewpixels-pa.googleapis.com/v1/thumbnail?panoid=Zz6MlAzFqJtAaHBK6YQjfw&amp;cb_client=search.gws-prod.gps&amp;w=408&amp;h=240&amp;yaw=207.94534&amp;pitch=0&amp;thumbfov=100</t>
  </si>
  <si>
    <t>Instituto de Mayores y Servicios Sociales</t>
  </si>
  <si>
    <t>CGHR+GJ Lardero</t>
  </si>
  <si>
    <t>Calle Donantes de Sangre, 4, 26140 Lardero, La Rioja</t>
  </si>
  <si>
    <t>Lardero</t>
  </si>
  <si>
    <t>941 44 93 62</t>
  </si>
  <si>
    <t>42.0682831</t>
  </si>
  <si>
    <t>-2.5691721</t>
  </si>
  <si>
    <t>https://goo.gl/maps/RYHdWL4Re2ykNqPY8</t>
  </si>
  <si>
    <t>https://streetviewpixels-pa.googleapis.com/v1/thumbnail?panoid=YUvIP7JbXUS2jHTkLvJx6g&amp;cb_client=search.gws-prod.gps&amp;w=408&amp;h=240&amp;yaw=209.57826&amp;pitch=0&amp;thumbfov=100</t>
  </si>
  <si>
    <t>Servicios Sociales De Base</t>
  </si>
  <si>
    <t>64H6+QV Aldeanueva de Ebro</t>
  </si>
  <si>
    <t>Calle la Cava, 6, 26559 Aldeanueva de Ebro, La Rioja</t>
  </si>
  <si>
    <t>Aldeanueva de Ebro</t>
  </si>
  <si>
    <t>941 14 22 38</t>
  </si>
  <si>
    <t>https://goo.gl/maps/VdsXhXTMdJQxNaT46</t>
  </si>
  <si>
    <t>https://streetviewpixels-pa.googleapis.com/v1/thumbnail?panoid=mCP7aZtkF2bu537b0WS9Og&amp;cb_client=search.gws-prod.gps&amp;w=408&amp;h=240&amp;yaw=322.4553&amp;pitch=0&amp;thumbfov=100</t>
  </si>
  <si>
    <t>Asociación Riojana De Alcoholicos Rehabilitados</t>
  </si>
  <si>
    <t>FG6R+CV Logroño</t>
  </si>
  <si>
    <t>Calle Huesca, 61, 26005 Logroño, La Rioja</t>
  </si>
  <si>
    <t>941 22 66 74</t>
  </si>
  <si>
    <t>https://goo.gl/maps/CoYe9dw1nP9Qzgnz9</t>
  </si>
  <si>
    <t>https://streetviewpixels-pa.googleapis.com/v1/thumbnail?panoid=8vqyp6L4WX04QkXUxjfWpA&amp;cb_client=search.gws-prod.gps&amp;w=408&amp;h=240&amp;yaw=226.60666&amp;pitch=0&amp;thumbfov=100</t>
  </si>
  <si>
    <t>Asociación Pro Infancia Riojana</t>
  </si>
  <si>
    <t>FH94+36 Logroño</t>
  </si>
  <si>
    <t>Travesía Palacio, 7, 26001 Logroño, La Rioja</t>
  </si>
  <si>
    <t>apir.es</t>
  </si>
  <si>
    <t>941 23 07 25</t>
  </si>
  <si>
    <t>https://goo.gl/maps/rPkxsajMhCKi5jXb7</t>
  </si>
  <si>
    <t>https://lh5.googleusercontent.com/p/AF1QipPVEg8JmLSSPbeEkd8fWKBK8iD2xVppDa4uZASA=w427-h240-k-no</t>
  </si>
  <si>
    <t>Hospitalidad de Nuestra Señora de Lourdes de la Rioja</t>
  </si>
  <si>
    <t>FH6C+8H Logroño</t>
  </si>
  <si>
    <t>Calle Obispo Fidel García, 1, 26004 Logroño, La Rioja</t>
  </si>
  <si>
    <t>941 26 28 86</t>
  </si>
  <si>
    <t>https://goo.gl/maps/969DfZhuxz45JEaq9</t>
  </si>
  <si>
    <t>https://streetviewpixels-pa.googleapis.com/v1/thumbnail?panoid=23jj4eokUoMrdix0oo-oYg&amp;cb_client=search.gws-prod.gps&amp;w=408&amp;h=240&amp;yaw=299.93784&amp;pitch=0&amp;thumbfov=100</t>
  </si>
  <si>
    <t>Reas Rioja Red de Economía Alternativa y Solidaria de la Rioja</t>
  </si>
  <si>
    <t>FH95+9V Logroño</t>
  </si>
  <si>
    <t>Calle Capitán Gaona, 0, 26001 Logroño, La Rioja</t>
  </si>
  <si>
    <t>https://goo.gl/maps/9e6tZ6nUKLBekVeb8</t>
  </si>
  <si>
    <t>https://streetviewpixels-pa.googleapis.com/v1/thumbnail?panoid=ekzYbmn--IrMgP_r3rjIaA&amp;cb_client=search.gws-prod.gps&amp;w=408&amp;h=240&amp;yaw=116.31832&amp;pitch=0&amp;thumbfov=100</t>
  </si>
  <si>
    <t>57H2+C2 Alfaro</t>
  </si>
  <si>
    <t>Calle Tiendas, 10, 26540 Alfaro, La Rioja</t>
  </si>
  <si>
    <t>Alfaro</t>
  </si>
  <si>
    <t>alfaro.es</t>
  </si>
  <si>
    <t>941 18 00 32</t>
  </si>
  <si>
    <t>aytoalfaro@alfaro.es</t>
  </si>
  <si>
    <t>https://goo.gl/maps/51qyeBEJY1cj1Y4BA</t>
  </si>
  <si>
    <t>https://lh5.googleusercontent.com/p/AF1QipPt8qenCXG_ILNjoQKXk-y0Ytptay4QU_mVpTze=w408-h306-k-no</t>
  </si>
  <si>
    <t>Instituto de Desarrollo Comunitario</t>
  </si>
  <si>
    <t>CGWQ+Q9 Logroño</t>
  </si>
  <si>
    <t>Calle San Adrián, 22, 26008 Logroño, La Rioja</t>
  </si>
  <si>
    <t>42.3007179</t>
  </si>
  <si>
    <t>-2.518439</t>
  </si>
  <si>
    <t>https://goo.gl/maps/tuAwYp9NcTdLVLrYA</t>
  </si>
  <si>
    <t>https://streetviewpixels-pa.googleapis.com/v1/thumbnail?panoid=rQ4ZTBj3CDyhYX0SNcvTDQ&amp;cb_client=search.gws-prod.gps&amp;w=408&amp;h=240&amp;yaw=277.07742&amp;pitch=0&amp;thumbfov=100</t>
  </si>
  <si>
    <t>Edificio de Recursos Sociales Domingo Álvarez Ruiz de Viñaspre</t>
  </si>
  <si>
    <t>FH85+W3 Logroño</t>
  </si>
  <si>
    <t>Calle los Baños, 8, 10, 26001 Logroño, La Rioja</t>
  </si>
  <si>
    <t>42.4673314</t>
  </si>
  <si>
    <t>-3.0025735</t>
  </si>
  <si>
    <t>https://goo.gl/maps/vGetuGhAvXa6Mfoi8</t>
  </si>
  <si>
    <t>https://streetviewpixels-pa.googleapis.com/v1/thumbnail?panoid=Nn3xFpsrnQRnI6Ob1749bA&amp;cb_client=search.gws-prod.gps&amp;w=408&amp;h=240&amp;yaw=205.56693&amp;pitch=0&amp;thumbfov=100</t>
  </si>
  <si>
    <t>FH99+4M Logroño</t>
  </si>
  <si>
    <t>Calle Beatos Mena y Navarrete, 31, 26004 Logroño, La Rioja</t>
  </si>
  <si>
    <t>941 23 57 33</t>
  </si>
  <si>
    <t>42.1959057</t>
  </si>
  <si>
    <t>-3.0803864</t>
  </si>
  <si>
    <t>https://goo.gl/maps/baBaNmAds7XpJzH46</t>
  </si>
  <si>
    <t>https://streetviewpixels-pa.googleapis.com/v1/thumbnail?panoid=SHdDSCAlWc1MR4tiOzl_uQ&amp;cb_client=search.gws-prod.gps&amp;w=408&amp;h=240&amp;yaw=264.6007&amp;pitch=0&amp;thumbfov=100</t>
  </si>
  <si>
    <t>Enzigzag</t>
  </si>
  <si>
    <t>FH97+7F Logroño</t>
  </si>
  <si>
    <t>Nº, Plaza Martínez Flamarique, 1, 26004 Logroño, La Rioja</t>
  </si>
  <si>
    <t>enzigzag.com</t>
  </si>
  <si>
    <t>941 27 13 32</t>
  </si>
  <si>
    <t>https://goo.gl/maps/bbBG1ue5eceXKGCz7</t>
  </si>
  <si>
    <t>https://streetviewpixels-pa.googleapis.com/v1/thumbnail?panoid=acnsS_cBE0tZ5hkjqee9_Q&amp;cb_client=search.gws-prod.gps&amp;w=408&amp;h=240&amp;yaw=148.21689&amp;pitch=0&amp;thumbfov=100</t>
  </si>
  <si>
    <t>Amac Asociación de Minusválidos de Arnedo y Comarca</t>
  </si>
  <si>
    <t>6VFR+H3 Arnedo</t>
  </si>
  <si>
    <t>Calle la Paz, 14, 26580 Arnedo, La Rioja</t>
  </si>
  <si>
    <t>amacarnedo.es</t>
  </si>
  <si>
    <t>941 38 47 19</t>
  </si>
  <si>
    <t>https://goo.gl/maps/G8A5mW71Vv22V1Bt8</t>
  </si>
  <si>
    <t>https://streetviewpixels-pa.googleapis.com/v1/thumbnail?panoid=n27-tBUnczbXJdhyc_KEdg&amp;cb_client=search.gws-prod.gps&amp;w=408&amp;h=240&amp;yaw=358.54764&amp;pitch=0&amp;thumbfov=100</t>
  </si>
  <si>
    <t>H4GX+MV Haro</t>
  </si>
  <si>
    <t>C. de la Vega, 36, 26200 Haro, La Rioja</t>
  </si>
  <si>
    <t>941 30 40 08</t>
  </si>
  <si>
    <t>https://goo.gl/maps/DpYa3PRiyjxevzQi9</t>
  </si>
  <si>
    <t>https://streetviewpixels-pa.googleapis.com/v1/thumbnail?panoid=jNk3l0ArMI44q6HVuau0Dg&amp;cb_client=search.gws-prod.gps&amp;w=408&amp;h=240&amp;yaw=310.37994&amp;pitch=0&amp;thumbfov=100</t>
  </si>
  <si>
    <t>Centro de Servicios Sociales Casco Antiguo</t>
  </si>
  <si>
    <t>FH94+5F Logroño</t>
  </si>
  <si>
    <t>Calle Marqués de San Nicolás, 19, 27, 26001 Logroño, La Rioja</t>
  </si>
  <si>
    <t>941 25 55 87</t>
  </si>
  <si>
    <t>https://goo.gl/maps/yQdCMGQszAWZhRdy8</t>
  </si>
  <si>
    <t>https://lh5.googleusercontent.com/p/AF1QipO9QOH-IZDm9n_ugfrmn6f6TktfnNrOf4WN_ugU=w426-h240-k-no</t>
  </si>
  <si>
    <t>Minhaj-ul-Quran International, Spain (Logroño)</t>
  </si>
  <si>
    <t>FH98+CH Logroño</t>
  </si>
  <si>
    <t>Calle la Manzanera, 14, 26004 Logroño, La Rioja</t>
  </si>
  <si>
    <t>632 82 75 70</t>
  </si>
  <si>
    <t>https://goo.gl/maps/avSVn8TtLtA2QAdM9</t>
  </si>
  <si>
    <t>https://streetviewpixels-pa.googleapis.com/v1/thumbnail?panoid=R6WYk76-vy3lRvjr7U9grg&amp;cb_client=search.gws-prod.gps&amp;w=408&amp;h=240&amp;yaw=216.82481&amp;pitch=0&amp;thumbfov=100</t>
  </si>
  <si>
    <t>Proyecto Hombre</t>
  </si>
  <si>
    <t>FH98+V8 Logroño</t>
  </si>
  <si>
    <t>proyectohombrelarioja.es</t>
  </si>
  <si>
    <t>941 24 88 77</t>
  </si>
  <si>
    <t>phrioja@proyectohombrelarioja.es</t>
  </si>
  <si>
    <t>42.469654</t>
  </si>
  <si>
    <t>-2.9944686</t>
  </si>
  <si>
    <t>https://g.page/proyectohombrelarioja?share</t>
  </si>
  <si>
    <t>https://lh5.googleusercontent.com/p/AF1QipPFJW0Wqa3r_gGnt2UXdjWIRDYn3bMSXUDqGXPX=w648-h240-k-no</t>
  </si>
  <si>
    <t>Asamblea de Cooperación Por la Paz la Rioja Acpp</t>
  </si>
  <si>
    <t>FH65+R2 Logroño</t>
  </si>
  <si>
    <t>Av. Solidaridad, 22, 26003 Logroño, La Rioja</t>
  </si>
  <si>
    <t>647 49 44 34</t>
  </si>
  <si>
    <t>https://goo.gl/maps/TD13H1m5xQnKdwwZA</t>
  </si>
  <si>
    <t>https://streetviewpixels-pa.googleapis.com/v1/thumbnail?panoid=5xZv_IEPKzjZuYa8LN-PpA&amp;cb_client=search.gws-prod.gps&amp;w=408&amp;h=240&amp;yaw=204.06813&amp;pitch=0&amp;thumbfov=100</t>
  </si>
  <si>
    <t>Servicio de Orientación y Mediación Familiar</t>
  </si>
  <si>
    <t>FH63+4J Logroño</t>
  </si>
  <si>
    <t>Calle General Vara del Rey, 42 4 º Piso, 26002 Logroño</t>
  </si>
  <si>
    <t>941 27 13 51</t>
  </si>
  <si>
    <t>https://goo.gl/maps/HBVUESETWHZbyRFw6</t>
  </si>
  <si>
    <t>https://streetviewpixels-pa.googleapis.com/v1/thumbnail?panoid=9kv9gwvarVNq-wnU6sgcoA&amp;cb_client=search.gws-prod.gps&amp;w=408&amp;h=240&amp;yaw=164.53357&amp;pitch=0&amp;thumbfov=100</t>
  </si>
  <si>
    <t>Asociación Riojana de Daño Cerebral Adquirido Ardacea</t>
  </si>
  <si>
    <t>FH98+9P Logroño</t>
  </si>
  <si>
    <t>Plaza Fermín Gurbindo, 7, 26004 Logroño, La Rioja</t>
  </si>
  <si>
    <t>ardacea.es</t>
  </si>
  <si>
    <t>680 53 93 07</t>
  </si>
  <si>
    <t>https://goo.gl/maps/D96XNuTHC34gAhQK7</t>
  </si>
  <si>
    <t>https://lh5.googleusercontent.com/p/AF1QipOj-fVdYGqRuWrck3ugivrR-M3dlqJkqxObSnle=w408-h306-k-no</t>
  </si>
  <si>
    <t>Fundación Tutelar de la Rioja</t>
  </si>
  <si>
    <t>FH64+WX Logroño</t>
  </si>
  <si>
    <t>Av de Político Jorge Vigón, 15, 26003 Logroño, La Rioja</t>
  </si>
  <si>
    <t>941 29 11 00</t>
  </si>
  <si>
    <t>42.4623486</t>
  </si>
  <si>
    <t>-3.0028616</t>
  </si>
  <si>
    <t>https://goo.gl/maps/4JftvcDrUCQjbsEd8</t>
  </si>
  <si>
    <t>https://streetviewpixels-pa.googleapis.com/v1/thumbnail?panoid=p3uY9SKzejfXStG9JVMOOA&amp;cb_client=search.gws-prod.gps&amp;w=408&amp;h=240&amp;yaw=33.443916&amp;pitch=0&amp;thumbfov=100</t>
  </si>
  <si>
    <t>Teleasistencia en Logroño</t>
  </si>
  <si>
    <t>FH7C+P9 Logroño</t>
  </si>
  <si>
    <t>Calle la Cigüeña, 50, Bajo, 26004 Logroño, La Rioja</t>
  </si>
  <si>
    <t>900 835 840</t>
  </si>
  <si>
    <t>https://g.page/teleasistencia-en-logrono?share</t>
  </si>
  <si>
    <t>https://lh5.googleusercontent.com/p/AF1QipNnk0j_C5Q-9bwppfPOFCeV_Ul7YE7lhNywbuEL=w408-h408-k-no</t>
  </si>
  <si>
    <t>Servimar</t>
  </si>
  <si>
    <t>825J+39 Calahorra</t>
  </si>
  <si>
    <t>bajo, Calle de Longinos, 27, 26500 Calahorra, La Rioja</t>
  </si>
  <si>
    <t>servimarcalahorra.es</t>
  </si>
  <si>
    <t>941 14 58 73</t>
  </si>
  <si>
    <t>servimarcalahorra@gmail.com</t>
  </si>
  <si>
    <t>https://goo.gl/maps/qhsC7UkPj76QHsgU8</t>
  </si>
  <si>
    <t>https://streetviewpixels-pa.googleapis.com/v1/thumbnail?panoid=9hEv9Qbzmdvf-9HTXbJWuw&amp;cb_client=search.gws-prod.gps&amp;w=408&amp;h=240&amp;yaw=314.1069&amp;pitch=0&amp;thumbfov=100</t>
  </si>
  <si>
    <t>Centro Leo Kanner</t>
  </si>
  <si>
    <t>FG3R+8F Logroño</t>
  </si>
  <si>
    <t>26008 Logroño, La Rioja</t>
  </si>
  <si>
    <t>autismorioja.com</t>
  </si>
  <si>
    <t>941 21 78 74</t>
  </si>
  <si>
    <t>arpa@autismorioja.com</t>
  </si>
  <si>
    <t>https://goo.gl/maps/5Lj7LRLPzDACxuyt5</t>
  </si>
  <si>
    <t>https://lh5.googleusercontent.com/p/AF1QipMIv_M0ayPO9_NfsB2_Kw4ROjNuaxx0u--Os7Ku=w408-h306-k-no</t>
  </si>
  <si>
    <t>Servicios de Dinamización Comunitaria - EnZigZag</t>
  </si>
  <si>
    <t>FH97+8F Logroño</t>
  </si>
  <si>
    <t>Plaza Martínez Flamarique, 1, 26004 Logroño, La Rioja</t>
  </si>
  <si>
    <t>696 87 88 35</t>
  </si>
  <si>
    <t>https://goo.gl/maps/i67cJGE3i3mTsThg9</t>
  </si>
  <si>
    <t>https://streetviewpixels-pa.googleapis.com/v1/thumbnail?panoid=acnsS_cBE0tZ5hkjqee9_Q&amp;cb_client=search.gws-prod.gps&amp;w=408&amp;h=240&amp;yaw=134.27863&amp;pitch=0&amp;thumbfov=100</t>
  </si>
  <si>
    <t>Adlar Sociedad Cooperativa Limitada</t>
  </si>
  <si>
    <t>C2QV+WM Santo Domingo de la Calzada</t>
  </si>
  <si>
    <t>Av. Juan Carlos I, 40, 26250 Santo Domingo de la Calzada, La Rioja</t>
  </si>
  <si>
    <t>Santo Domingo de la Calzada</t>
  </si>
  <si>
    <t>941 34 00 74</t>
  </si>
  <si>
    <t>https://goo.gl/maps/j5XytAHK4VixfnRT6</t>
  </si>
  <si>
    <t>https://streetviewpixels-pa.googleapis.com/v1/thumbnail?panoid=0-iotvSSWyTIS5x_58mdww&amp;cb_client=search.gws-prod.gps&amp;w=408&amp;h=240&amp;yaw=358.51807&amp;pitch=0&amp;thumbfov=100</t>
  </si>
  <si>
    <t>Tales S.L. - Gestión de espacios</t>
  </si>
  <si>
    <t>FH72+QC Logroño</t>
  </si>
  <si>
    <t>Capitán Gallarza nº 11 1ºDcha, 1ª P, 26001 Logroño</t>
  </si>
  <si>
    <t>alberguesdelarioja.es</t>
  </si>
  <si>
    <t>https://goo.gl/maps/PmukDDUpMP99C31E9</t>
  </si>
  <si>
    <t>https://streetviewpixels-pa.googleapis.com/v1/thumbnail?panoid=324XeFAmvHctJxJNfJ5drA&amp;cb_client=search.gws-prod.gps&amp;w=408&amp;h=240&amp;yaw=196.36273&amp;pitch=0&amp;thumbfov=100</t>
  </si>
  <si>
    <t>Asociación Intercultural Por la Convivencia la Campa</t>
  </si>
  <si>
    <t>FG8V+MX Logroño</t>
  </si>
  <si>
    <t>Av. Bailén, 1, 26005 Logroño, La Rioja</t>
  </si>
  <si>
    <t>https://goo.gl/maps/PQ1S628MYFLipimY6</t>
  </si>
  <si>
    <t>https://streetviewpixels-pa.googleapis.com/v1/thumbnail?panoid=8AL0ArgUNoY0GFJedcHv3g&amp;cb_client=search.gws-prod.gps&amp;w=408&amp;h=240&amp;yaw=194.04462&amp;pitch=0&amp;thumbfov=100</t>
  </si>
  <si>
    <t>Asociación Benéfica Amigos de la Hucha Popular</t>
  </si>
  <si>
    <t>FH64+48 Logroño</t>
  </si>
  <si>
    <t>Av. Pío XII, 10, 26003 Logroño, La Rioja</t>
  </si>
  <si>
    <t>huchapopular.com</t>
  </si>
  <si>
    <t>941 25 50 30</t>
  </si>
  <si>
    <t>socios@huchapopular.com</t>
  </si>
  <si>
    <t>42.460288</t>
  </si>
  <si>
    <t>-3.0045147</t>
  </si>
  <si>
    <t>https://goo.gl/maps/dJPHzYocJrenEWo1A</t>
  </si>
  <si>
    <t>https://lh5.googleusercontent.com/p/AF1QipPdAX-MJjDDcrk-vQyoqupN0JMvV5BZRISjps-k=w408-h408-k-no</t>
  </si>
  <si>
    <t>H4CX+GH Haro</t>
  </si>
  <si>
    <t>Calle Mazo, 18, 26200 Haro, La Rioja</t>
  </si>
  <si>
    <t>941 31 19 08</t>
  </si>
  <si>
    <t>https://goo.gl/maps/uyAFMUUsCQ688rVP6</t>
  </si>
  <si>
    <t>https://streetviewpixels-pa.googleapis.com/v1/thumbnail?panoid=kskCHFJZUydfcuHm-HV2AQ&amp;cb_client=search.gws-prod.gps&amp;w=408&amp;h=240&amp;yaw=256.1804&amp;pitch=0&amp;thumbfov=100</t>
  </si>
  <si>
    <t>FH94+44 Logroño</t>
  </si>
  <si>
    <t>Calle Marqués de San Nicolás, 35, 26001 Logroño, La Rioja</t>
  </si>
  <si>
    <t>caritaslarioja.org</t>
  </si>
  <si>
    <t>941 25 23 40</t>
  </si>
  <si>
    <t>https://g.page/caritaslarioja?share</t>
  </si>
  <si>
    <t>https://lh5.googleusercontent.com/p/AF1QipO-jvPJgY1Db7Q5PeqVTkwDrkdPb4uP0L1altNI=w408-h306-k-no</t>
  </si>
  <si>
    <t>O.N.G. R.B.D. Rentas Básicas Dimensionales</t>
  </si>
  <si>
    <t>8GM7+P5 Nalda</t>
  </si>
  <si>
    <t>Calle Donantes de Sangre, 1, 26190 Nalda, La Rioja</t>
  </si>
  <si>
    <t>Nalda</t>
  </si>
  <si>
    <t>https://goo.gl/maps/4RRJamzpU75W4Q5Q8</t>
  </si>
  <si>
    <t>https://streetviewpixels-pa.googleapis.com/v1/thumbnail?panoid=1D-WKV_RuNLtnCaV65I-QA&amp;cb_client=search.gws-prod.gps&amp;w=408&amp;h=240&amp;yaw=305.4128&amp;pitch=0&amp;thumbfov=100</t>
  </si>
  <si>
    <t>CGPW+52 Lardero</t>
  </si>
  <si>
    <t>Calle Castilla, 38, 26140 Lardero, La Rioja</t>
  </si>
  <si>
    <t>941 49 95 12</t>
  </si>
  <si>
    <t>42.164434</t>
  </si>
  <si>
    <t>-3.3544611</t>
  </si>
  <si>
    <t>https://goo.gl/maps/SVzTRyiMJjjc5zDP6</t>
  </si>
  <si>
    <t>https://streetviewpixels-pa.googleapis.com/v1/thumbnail?panoid=Vidb1RTdIcbuvdvtDaT3Yg&amp;cb_client=search.gws-prod.gps&amp;w=408&amp;h=240&amp;yaw=120.09764&amp;pitch=0&amp;thumbfov=100</t>
  </si>
  <si>
    <t>¡Help! Piojitos Logroño</t>
  </si>
  <si>
    <t>FG3P+38 Logroño</t>
  </si>
  <si>
    <t>Calle Sorzano, Nº8, Bajo, 26008 Logroño, La Rioja</t>
  </si>
  <si>
    <t>piobioprevent.com</t>
  </si>
  <si>
    <t>627 21 35 30</t>
  </si>
  <si>
    <t>info.piobioprevent@gmail.com</t>
  </si>
  <si>
    <t>https://goo.gl/maps/grDQgQj8cfAanm278</t>
  </si>
  <si>
    <t>https://lh5.googleusercontent.com/p/AF1QipP5_dmSgTkPlHvhc_omYH014gA0qx9DpAzCSeSl=w426-h240-k-no</t>
  </si>
  <si>
    <t>Liberación Accionenred</t>
  </si>
  <si>
    <t>FH6R+HG Varea</t>
  </si>
  <si>
    <t>Calle Calahorra, 15, 26006 Varea, La Rioja</t>
  </si>
  <si>
    <t>Varea</t>
  </si>
  <si>
    <t>https://goo.gl/maps/zpYwrgGTuzg1PeAY7</t>
  </si>
  <si>
    <t>https://streetviewpixels-pa.googleapis.com/v1/thumbnail?panoid=5AjMREBLCEYpMI5w1Xlahw&amp;cb_client=search.gws-prod.gps&amp;w=408&amp;h=240&amp;yaw=20.31243&amp;pitch=0&amp;thumbfov=100</t>
  </si>
  <si>
    <t>Cruz Roja Mendavia - Mendabiako Gurutze Gorria</t>
  </si>
  <si>
    <t>CRR2+G4 Mendavia</t>
  </si>
  <si>
    <t>Calle Guardería, 1, 31587 Mendavia, Navarra</t>
  </si>
  <si>
    <t>Mendavia</t>
  </si>
  <si>
    <t>Navarra</t>
  </si>
  <si>
    <t>608 79 73 07</t>
  </si>
  <si>
    <t>42.215394</t>
  </si>
  <si>
    <t>-2.566776</t>
  </si>
  <si>
    <t>https://goo.gl/maps/ffgb7wTQb5e1uJQw9</t>
  </si>
  <si>
    <t>https://streetviewpixels-pa.googleapis.com/v1/thumbnail?panoid=nZsfKMR7Y1IaMXXiuan2Rw&amp;cb_client=search.gws-prod.gps&amp;w=408&amp;h=240&amp;yaw=351.18338&amp;pitch=0&amp;thumbfov=100</t>
  </si>
  <si>
    <t>R8VH+HC Vitoria-Gasteiz</t>
  </si>
  <si>
    <t>San Prudencio Kalea, 18, 01005 Gasteiz, Araba</t>
  </si>
  <si>
    <t>Vitoria-Gasteiz</t>
  </si>
  <si>
    <t>Araba</t>
  </si>
  <si>
    <t>945 15 06 70</t>
  </si>
  <si>
    <t>42.8439507</t>
  </si>
  <si>
    <t>-3.2317641</t>
  </si>
  <si>
    <t>https://goo.gl/maps/eyhvYVinFo7uUTbMA</t>
  </si>
  <si>
    <t>https://lh5.googleusercontent.com/p/AF1QipM1FwrZIU6tzYEdPl2550uwVwI2Jx3WpQZLERGE=w425-h240-k-no</t>
  </si>
  <si>
    <t>Cruz Roja Oyón - Oiongo Gurutze Gorria</t>
  </si>
  <si>
    <t>GH37+GR Oyón</t>
  </si>
  <si>
    <t>Eras de Abajo Beheko Larraineta Kalea, 1, 01320 Oion, Araba</t>
  </si>
  <si>
    <t>Oyón</t>
  </si>
  <si>
    <t>945 62 26 60</t>
  </si>
  <si>
    <t>42.452717</t>
  </si>
  <si>
    <t>-3.0099463</t>
  </si>
  <si>
    <t>https://g.page/cruzrojaoyon?share</t>
  </si>
  <si>
    <t>https://streetviewpixels-pa.googleapis.com/v1/thumbnail?panoid=dNB3Hq6feXelkEoB4gqetg&amp;cb_client=search.gws-prod.gps&amp;w=408&amp;h=240&amp;yaw=51.652805&amp;pitch=0&amp;thumbfov=100</t>
  </si>
  <si>
    <t>R987+72 Pamplona</t>
  </si>
  <si>
    <t>Calle de Aralar, 3, 31002 Pamplona, Navarra</t>
  </si>
  <si>
    <t>Pamplona</t>
  </si>
  <si>
    <t>948 20 63 11</t>
  </si>
  <si>
    <t>42.8157123</t>
  </si>
  <si>
    <t>-2.1977423</t>
  </si>
  <si>
    <t>https://goo.gl/maps/2qayPSpRMpFHA9zg9</t>
  </si>
  <si>
    <t>https://streetviewpixels-pa.googleapis.com/v1/thumbnail?panoid=06PhthCzw_llS2pdvNo78g&amp;cb_client=search.gws-prod.gps&amp;w=408&amp;h=240&amp;yaw=57.480198&amp;pitch=0&amp;thumbfov=100</t>
  </si>
  <si>
    <t>M2MW+RQ Miranda de Ebro</t>
  </si>
  <si>
    <t>Pl. del Mercado, 21, 09200 Miranda de Ebro, Burgos</t>
  </si>
  <si>
    <t>Miranda de Ebro</t>
  </si>
  <si>
    <t>947 31 40 40</t>
  </si>
  <si>
    <t>42.6845461</t>
  </si>
  <si>
    <t>-3.5133766</t>
  </si>
  <si>
    <t>https://goo.gl/maps/LddyTpHKPtCacstC6</t>
  </si>
  <si>
    <t>https://streetviewpixels-pa.googleapis.com/v1/thumbnail?panoid=rdJ7qiQxHAk0ySfqdI7uVg&amp;cb_client=search.gws-prod.gps&amp;w=408&amp;h=240&amp;yaw=123.60828&amp;pitch=0&amp;thumbfov=100</t>
  </si>
  <si>
    <t>Cruz Roja Cortes - Kortesko Gurutze Gorria</t>
  </si>
  <si>
    <t>WHCJ+69 Cortes</t>
  </si>
  <si>
    <t>Plaza Mayor, 9, 31530 Cortes, Navarra</t>
  </si>
  <si>
    <t>Cortes</t>
  </si>
  <si>
    <t>948 80 01 96</t>
  </si>
  <si>
    <t>41.9205052</t>
  </si>
  <si>
    <t>-1.9793388</t>
  </si>
  <si>
    <t>https://goo.gl/maps/CzNTWQdGQZ9zRw2G8</t>
  </si>
  <si>
    <t>https://streetviewpixels-pa.googleapis.com/v1/thumbnail?panoid=xVLm0-2O-3vN0gVW23VGSw&amp;cb_client=search.gws-prod.gps&amp;w=408&amp;h=240&amp;yaw=147.2086&amp;pitch=0&amp;thumbfov=100</t>
  </si>
  <si>
    <t>Cruz Roja Tafalla - Tafallako Gurutze Gorria</t>
  </si>
  <si>
    <t>G8G9+CW Tafalla</t>
  </si>
  <si>
    <t>Calle de la Madre Nicol, 15, 31300 Tafalla, Navarra</t>
  </si>
  <si>
    <t>Tafalla</t>
  </si>
  <si>
    <t>948 70 03 58</t>
  </si>
  <si>
    <t>https://goo.gl/maps/CdVt6v2kivsDgVxF6</t>
  </si>
  <si>
    <t>https://streetviewpixels-pa.googleapis.com/v1/thumbnail?panoid=PAwjMjgt77jOcxvR8xwLbw&amp;cb_client=search.gws-prod.gps&amp;w=408&amp;h=240&amp;yaw=53.987633&amp;pitch=0&amp;thumbfov=100</t>
  </si>
  <si>
    <t>40.4330418</t>
  </si>
  <si>
    <t>-3.8324227</t>
  </si>
  <si>
    <t>Samur Social</t>
  </si>
  <si>
    <t>C76P+CR Madrid</t>
  </si>
  <si>
    <t>Carrera de San Francisco, 10, 28005 Madrid</t>
  </si>
  <si>
    <t>914 80 20 20</t>
  </si>
  <si>
    <t>https://goo.gl/maps/dYpVUDYLTcE7b8VX9</t>
  </si>
  <si>
    <t>https://lh5.googleusercontent.com/p/AF1QipOQ_HEOem1Sp_xBzfQCD88FCIUiXn3wFJ0LrODk=w408-h725-k-no</t>
  </si>
  <si>
    <t>Consejería de Políticas Sociales y Familia</t>
  </si>
  <si>
    <t>C8CH+98 Madrid</t>
  </si>
  <si>
    <t>Calle de O&amp;apos;Donnell, 50, 28009 Madrid</t>
  </si>
  <si>
    <t>madrid.org</t>
  </si>
  <si>
    <t>913 92 53 00</t>
  </si>
  <si>
    <t>https://goo.gl/maps/NkijQooYscW2Pirg7</t>
  </si>
  <si>
    <t>https://lh5.googleusercontent.com/p/AF1QipMFmz0bscsWEZDqp3DJo1eZZdXv0CBqPqfRcLtd=w433-h240-k-no</t>
  </si>
  <si>
    <t>Centro Servicios Sociales Retiro</t>
  </si>
  <si>
    <t>C87J+VV Madrid</t>
  </si>
  <si>
    <t>C/ de José Martínez de Velasco, 22, 28007 Madrid</t>
  </si>
  <si>
    <t>915 57 13 00</t>
  </si>
  <si>
    <t>https://goo.gl/maps/DVRy576yqH8e5iTCA</t>
  </si>
  <si>
    <t>https://streetviewpixels-pa.googleapis.com/v1/thumbnail?panoid=tYGIsnwRaxbSoBC4hNi-GQ&amp;cb_client=search.gws-prod.gps&amp;w=408&amp;h=240&amp;yaw=356.80716&amp;pitch=0&amp;thumbfov=100</t>
  </si>
  <si>
    <t>Consejería de Asuntos Sociales</t>
  </si>
  <si>
    <t>C893+2W Madrid</t>
  </si>
  <si>
    <t>Calle de los Madrazo, 34, 28014 Madrid</t>
  </si>
  <si>
    <t>917 20 66 48</t>
  </si>
  <si>
    <t>https://goo.gl/maps/qhuicjhUPyhf4d5h8</t>
  </si>
  <si>
    <t>https://lh5.googleusercontent.com/p/AF1QipPCbov2G37TjiWgkAterNwT3uBMT_tvz2WvWnef=w408-h544-k-no</t>
  </si>
  <si>
    <t>40.4378825</t>
  </si>
  <si>
    <t>-3.8541522</t>
  </si>
  <si>
    <t>Centro de Servicios Sociales Torre Arias</t>
  </si>
  <si>
    <t>C9WQ+F2 Madrid</t>
  </si>
  <si>
    <t>Calle de Torre Arias, 2, 28022 Madrid</t>
  </si>
  <si>
    <t>915 29 82 10</t>
  </si>
  <si>
    <t>https://goo.gl/maps/CPdSNZCDrcwRLCdX8</t>
  </si>
  <si>
    <t>https://streetviewpixels-pa.googleapis.com/v1/thumbnail?panoid=2aROhaGtdI418NTAcZ0psQ&amp;cb_client=search.gws-prod.gps&amp;w=408&amp;h=240&amp;yaw=229.53705&amp;pitch=0&amp;thumbfov=100</t>
  </si>
  <si>
    <t>Centro de Servicios Sociales Zaida</t>
  </si>
  <si>
    <t>81</t>
  </si>
  <si>
    <t>97V7+8H Madrid</t>
  </si>
  <si>
    <t>Calle de Zaida, 36, 28019 Madrid</t>
  </si>
  <si>
    <t>915 25 61 00</t>
  </si>
  <si>
    <t>https://goo.gl/maps/4eoVLmz75HieeqYR8</t>
  </si>
  <si>
    <t>https://lh5.googleusercontent.com/p/AF1QipOvWO97iF0TzUta7YmeJOIMxKekxLMUeWvePpiP=w425-h240-k-no</t>
  </si>
  <si>
    <t>Centro de Servicios Sociales Vicente Ferrer</t>
  </si>
  <si>
    <t>F8F4+7C Madrid</t>
  </si>
  <si>
    <t>Calle de Matilde Landa, 40, 28029 Madrid</t>
  </si>
  <si>
    <t>913 14 89 92</t>
  </si>
  <si>
    <t>https://goo.gl/maps/J1LKCuSuyt3afmGr5</t>
  </si>
  <si>
    <t>https://lh5.googleusercontent.com/p/AF1QipPIJJc-MD8g62cdl7QW-QLpMI46GLyCEMENpuY6=w427-h240-k-no</t>
  </si>
  <si>
    <t>Centro de Servicios Sociales Ramón Pérez de Ayala</t>
  </si>
  <si>
    <t>C82W+FG Madrid</t>
  </si>
  <si>
    <t>Cl. de las Marismas, 24, 28038 Madrid</t>
  </si>
  <si>
    <t>915 02 19 15</t>
  </si>
  <si>
    <t>https://goo.gl/maps/wjUGnnBozZ2VCRsw9</t>
  </si>
  <si>
    <t>https://streetviewpixels-pa.googleapis.com/v1/thumbnail?panoid=Mp8RkduEyxJKM3yO1l3glw&amp;cb_client=search.gws-prod.gps&amp;w=408&amp;h=240&amp;yaw=224.97772&amp;pitch=0&amp;thumbfov=100</t>
  </si>
  <si>
    <t>Centro de Servicios Sociales Entrevías</t>
  </si>
  <si>
    <t>98GJ+7J Madrid</t>
  </si>
  <si>
    <t>Calle Yuste, 8, 28053 Madrid</t>
  </si>
  <si>
    <t>915 07 92 71</t>
  </si>
  <si>
    <t>40.3756868</t>
  </si>
  <si>
    <t>-3.8085734</t>
  </si>
  <si>
    <t>https://goo.gl/maps/zkuuu3m8z1bigrHM9</t>
  </si>
  <si>
    <t>https://streetviewpixels-pa.googleapis.com/v1/thumbnail?panoid=iBshPwXVH4H8gDs-N1JVPA&amp;cb_client=search.gws-prod.gps&amp;w=408&amp;h=240&amp;yaw=235.83649&amp;pitch=0&amp;thumbfov=100</t>
  </si>
  <si>
    <t>Concejalía de Servicios Sociales y Mayores</t>
  </si>
  <si>
    <t>CCGX+GR Coslada</t>
  </si>
  <si>
    <t>Av. de los Príncipes de España, 12, 28823 Coslada, Madrid</t>
  </si>
  <si>
    <t>Coslada</t>
  </si>
  <si>
    <t>coslada.es</t>
  </si>
  <si>
    <t>916 27 82 00</t>
  </si>
  <si>
    <t>https://goo.gl/maps/bn6stto4aPhqJFhDA</t>
  </si>
  <si>
    <t>https://lh5.googleusercontent.com/p/AF1QipO0gnNCwzoOQsW4v4ZQQHDd8gVxjIuY2TWZg18s=w408-h306-k-no</t>
  </si>
  <si>
    <t>Centro de Servicios Sociales Marta Esquivias Tallada</t>
  </si>
  <si>
    <t>C7MQ+WR Madrid</t>
  </si>
  <si>
    <t>Calle de Galileo, 47, 28015 Madrid</t>
  </si>
  <si>
    <t>915 49 99 00</t>
  </si>
  <si>
    <t>https://goo.gl/maps/pcDxto9iC5yWCpyB7</t>
  </si>
  <si>
    <t>https://lh5.googleusercontent.com/p/AF1QipMsVTqVmMm7nnSTNUFDyijOJAq5YwMv2iceQ5rx=w408-h839-k-no</t>
  </si>
  <si>
    <t>Centro de Servicios Sociales San Diego</t>
  </si>
  <si>
    <t>191</t>
  </si>
  <si>
    <t>98QP+GF Madrid</t>
  </si>
  <si>
    <t>Calle de Javier de Miguel, 10, 28018 Madrid</t>
  </si>
  <si>
    <t>917 57 19 00</t>
  </si>
  <si>
    <t>https://goo.gl/maps/CiP1abbiK7u5gGQp8</t>
  </si>
  <si>
    <t>https://lh5.googleusercontent.com/p/AF1QipPipppnZPsnXDSDm_3LMJVdLUeAXHfvDt_7jm_s=w408-h306-k-no</t>
  </si>
  <si>
    <t>Servicios Sociales Huerta de Villaverde</t>
  </si>
  <si>
    <t>87XQ+9G Madrid</t>
  </si>
  <si>
    <t>Calle Huerta de Villaverde, 14, 28021 Madrid</t>
  </si>
  <si>
    <t>915 88 77 94</t>
  </si>
  <si>
    <t>40.3484176</t>
  </si>
  <si>
    <t>-3.8512113</t>
  </si>
  <si>
    <t>https://goo.gl/maps/cpWYxV2QCUwhkmkp7</t>
  </si>
  <si>
    <t>https://streetviewpixels-pa.googleapis.com/v1/thumbnail?panoid=b0zO15vgDKEuaV81v1ho4g&amp;cb_client=search.gws-prod.gps&amp;w=408&amp;h=240&amp;yaw=16.010227&amp;pitch=0&amp;thumbfov=100</t>
  </si>
  <si>
    <t>Juzgado de Lo Social 1</t>
  </si>
  <si>
    <t>C7GP+2P Madrid</t>
  </si>
  <si>
    <t>C. de la Princesa, 3, 28008 Madrid</t>
  </si>
  <si>
    <t>914 43 82 09</t>
  </si>
  <si>
    <t>https://goo.gl/maps/b5aZBbRpPrrdHSUr9</t>
  </si>
  <si>
    <t>https://lh5.googleusercontent.com/p/AF1QipNs3ng-ewsluW7TtIvzLqNzes0aX8niJvDYTKB8=w408-h613-k-no</t>
  </si>
  <si>
    <t>Servicios Sociales Luis Vives, Madrid</t>
  </si>
  <si>
    <t>C9FC+HM Madrid</t>
  </si>
  <si>
    <t>Av. de la Institución Libre de Enseñanza, 160, 28017 Madrid</t>
  </si>
  <si>
    <t>914 40 23 61</t>
  </si>
  <si>
    <t>https://goo.gl/maps/7EYfiteASaVNpsUE7</t>
  </si>
  <si>
    <t>https://lh5.googleusercontent.com/p/AF1QipMkD7XQwRp4gYo1yrw9a7V0P_Q5HHXkjmkZirLm=w426-h240-k-no</t>
  </si>
  <si>
    <t>Centro de Servicios Sociales San Filiberto</t>
  </si>
  <si>
    <t>70</t>
  </si>
  <si>
    <t>97PM+9W Madrid</t>
  </si>
  <si>
    <t>Calle San Filiberto, 7, 28026 Madrid</t>
  </si>
  <si>
    <t>915 65 60 21</t>
  </si>
  <si>
    <t>https://goo.gl/maps/LTLqRYRp3mCcrzUJ6</t>
  </si>
  <si>
    <t>https://streetviewpixels-pa.googleapis.com/v1/thumbnail?panoid=4iiwCpCJvH_sbenoP6L7rw&amp;cb_client=search.gws-prod.gps&amp;w=408&amp;h=240&amp;yaw=3.4848828&amp;pitch=0&amp;thumbfov=100</t>
  </si>
  <si>
    <t>Centro de Servicios Sociales de Vicálvaro</t>
  </si>
  <si>
    <t>C94P+WX Madrid</t>
  </si>
  <si>
    <t>Calle de Calahorra, 3, 28032 Madrid</t>
  </si>
  <si>
    <t>917 75 31 50</t>
  </si>
  <si>
    <t>https://goo.gl/maps/jEGxCCVjw3JAyfwGA</t>
  </si>
  <si>
    <t>https://lh5.googleusercontent.com/p/AF1QipOkixnKHXxpWWVrpQkSY_5-4K5L-vazLyM_GPdy=w408-h306-k-no</t>
  </si>
  <si>
    <t>Comedor Social - San Juan Bautista - Orden de Malta España</t>
  </si>
  <si>
    <t>F893+9Q Madrid</t>
  </si>
  <si>
    <t>Calle de la Costa Verde, 15, 28029 Madrid</t>
  </si>
  <si>
    <t>917 08 70 74</t>
  </si>
  <si>
    <t>40.4684526</t>
  </si>
  <si>
    <t>-3.8356675</t>
  </si>
  <si>
    <t>https://goo.gl/maps/DqzqvzGqSTs9Epud8</t>
  </si>
  <si>
    <t>https://lh5.googleusercontent.com/p/AF1QipO0ArftmZhr_WJSSlmfwIuN74fZ_Co79u2-xMLj=w408-h306-k-no</t>
  </si>
  <si>
    <t>Servicios Sociales Santa Hortensia</t>
  </si>
  <si>
    <t>90</t>
  </si>
  <si>
    <t>C8VJ+W8 Madrid</t>
  </si>
  <si>
    <t>Calle de Sta Hortensia, 15, 28002 Madrid</t>
  </si>
  <si>
    <t>915 10 68 50</t>
  </si>
  <si>
    <t>https://goo.gl/maps/e3qsyK2o7rj8eXHa7</t>
  </si>
  <si>
    <t>https://streetviewpixels-pa.googleapis.com/v1/thumbnail?panoid=tdB7aM7RR5HKxf6cTG0r8Q&amp;cb_client=search.gws-prod.gps&amp;w=408&amp;h=240&amp;yaw=23.227186&amp;pitch=0&amp;thumbfov=100</t>
  </si>
  <si>
    <t>40.3986227</t>
  </si>
  <si>
    <t>-3.8347384</t>
  </si>
  <si>
    <t>Grupo 5 Acción y Gestión Social</t>
  </si>
  <si>
    <t>C89P+97 Madrid</t>
  </si>
  <si>
    <t>Calle Juan Esplandiú, 11, Planta 11, 28007 Madrid</t>
  </si>
  <si>
    <t>914 02 60 12</t>
  </si>
  <si>
    <t>https://goo.gl/maps/rAjNQboW3hxNhntA6</t>
  </si>
  <si>
    <t>https://lh5.googleusercontent.com/p/AF1QipMcwNK6gkD__i8Lq-YD0X1HFLp-pr9oSqgZZJXC=w408-h271-k-no</t>
  </si>
  <si>
    <t>ONCE Delegación Territorial de Madrid</t>
  </si>
  <si>
    <t>383</t>
  </si>
  <si>
    <t>C8C4+Q4 Madrid</t>
  </si>
  <si>
    <t>Calle de Prim, 3, 28004 Madrid</t>
  </si>
  <si>
    <t>915 32 50 00</t>
  </si>
  <si>
    <t>https://goo.gl/maps/c1yBvFZDBpwx2SCv5</t>
  </si>
  <si>
    <t>https://lh5.googleusercontent.com/p/AF1QipMq6im31A7J4eFjei-KLUb3jmMvtlIUoA2t3vIP=w408-h544-k-no</t>
  </si>
  <si>
    <t>Centro de Servicios Sociales Fuerte de Navidad</t>
  </si>
  <si>
    <t>96JM+6P Madrid</t>
  </si>
  <si>
    <t>C. Fuerte de Navidad, 15, 28044 Madrid</t>
  </si>
  <si>
    <t>914 80 03 67</t>
  </si>
  <si>
    <t>https://goo.gl/maps/UYdwXfESTA2DP9zv6</t>
  </si>
  <si>
    <t>https://streetviewpixels-pa.googleapis.com/v1/thumbnail?panoid=vlNcKNxbvTDXGou8qStKlw&amp;cb_client=search.gws-prod.gps&amp;w=408&amp;h=240&amp;yaw=185.50987&amp;pitch=0&amp;thumbfov=100</t>
  </si>
  <si>
    <t>Punto de atención social Infante Don Juan.</t>
  </si>
  <si>
    <t>C7MG+7M Madrid</t>
  </si>
  <si>
    <t>Paseo de Moret, 3C, 28008 Madrid</t>
  </si>
  <si>
    <t>915 88 69 13</t>
  </si>
  <si>
    <t>https://goo.gl/maps/vWwfv9sUgVW9zP3v7</t>
  </si>
  <si>
    <t>https://lh5.googleusercontent.com/p/AF1QipN5muvMy4txsXb7p5eeUMbSS3zM6M4Wyru27wiG=w426-h240-k-no</t>
  </si>
  <si>
    <t>Centro de Servicios Sociales Loyola de Palacio</t>
  </si>
  <si>
    <t>9885+H7 Madrid</t>
  </si>
  <si>
    <t>Calle de La Silvina, 10, 2ª Planta, 28041 Madrid</t>
  </si>
  <si>
    <t>915 00 68 46</t>
  </si>
  <si>
    <t>40.4132442</t>
  </si>
  <si>
    <t>-3.8354043</t>
  </si>
  <si>
    <t>https://goo.gl/maps/5hvuc44U4D2kHKHAA</t>
  </si>
  <si>
    <t>https://lh5.googleusercontent.com/p/AF1QipNiH4a7xoSc3O_XPTQSWamEpkjEc30A7lXiANJm=w408-h725-k-no</t>
  </si>
  <si>
    <t>Centro de servicios sociales Gallur</t>
  </si>
  <si>
    <t>97X5+4F Madrid</t>
  </si>
  <si>
    <t>C. de Gallur, 24, 28047 Madrid</t>
  </si>
  <si>
    <t>914 22 03 40</t>
  </si>
  <si>
    <t>https://goo.gl/maps/PbQNSeWp2pUy6BCp9</t>
  </si>
  <si>
    <t>https://streetviewpixels-pa.googleapis.com/v1/thumbnail?panoid=NOcLNW2xm4C1cyFpgEOx4A&amp;cb_client=search.gws-prod.gps&amp;w=408&amp;h=240&amp;yaw=344.4808&amp;pitch=0&amp;thumbfov=100</t>
  </si>
  <si>
    <t>111</t>
  </si>
  <si>
    <t>Centro de Servicios Sociales Fuente Carrantona Madrid</t>
  </si>
  <si>
    <t>99X7+RF Madrid</t>
  </si>
  <si>
    <t>Calle de la Fuente Carrantona, 12, 28030 Madrid</t>
  </si>
  <si>
    <t>915 88 04 62</t>
  </si>
  <si>
    <t>https://goo.gl/maps/6Fa5GZufUKGUf3Fr5</t>
  </si>
  <si>
    <t>https://lh5.googleusercontent.com/p/AF1QipPqFer0vjs03fgTKHp2wCZIelxWyAzrLBUeFpU=w408-h306-k-no</t>
  </si>
  <si>
    <t>ONCE Consejo General</t>
  </si>
  <si>
    <t>C8J8+39 Madrid</t>
  </si>
  <si>
    <t>Calle de José Ortega y Gasset, 18, 28006 Madrid</t>
  </si>
  <si>
    <t>914 36 53 00</t>
  </si>
  <si>
    <t>https://goo.gl/maps/pvnqhxT9Jy4yFT9f8</t>
  </si>
  <si>
    <t>https://lh5.googleusercontent.com/p/AF1QipNPz-mDK49vaqBr0AHKAMjJS_VcclJIXgE2Og0=w408-h544-k-no</t>
  </si>
  <si>
    <t>Fundación ONCE</t>
  </si>
  <si>
    <t>C832+J6 Madrid</t>
  </si>
  <si>
    <t>Calle de Sebastián Herrera, 15, 28012 Madrid</t>
  </si>
  <si>
    <t>fundaciononce.es</t>
  </si>
  <si>
    <t>915 06 89 18</t>
  </si>
  <si>
    <t>fundaciononce@fundaciononce.es</t>
  </si>
  <si>
    <t>https://goo.gl/maps/Z49UKQJQTy3pvRpr6</t>
  </si>
  <si>
    <t>https://lh5.googleusercontent.com/p/AF1QipP4l7EjRjpAb_Wa-cYfW8C0K1_v4vafiDH2RhgE=w408-h306-k-no</t>
  </si>
  <si>
    <t>Comedor Social - Virgen de la Candelaria - Orden de Malta España</t>
  </si>
  <si>
    <t>C9JG+M8 Madrid</t>
  </si>
  <si>
    <t>Calle Virgen de la Oliva, 69, 28037 Madrid</t>
  </si>
  <si>
    <t>915 41 70 65</t>
  </si>
  <si>
    <t>40.4077285</t>
  </si>
  <si>
    <t>-3.8432732</t>
  </si>
  <si>
    <t>https://goo.gl/maps/MsXzNzRZsxNthF1x7</t>
  </si>
  <si>
    <t>https://lh5.googleusercontent.com/p/AF1QipMsVVSZ3rgJBNaP8TgYo61rAzBdr9xG5gs-dkWf=w446-h240-k-no</t>
  </si>
  <si>
    <t>Centro Base 8 CENTRO BASE VIII</t>
  </si>
  <si>
    <t>97WM+84 Madrid</t>
  </si>
  <si>
    <t>24,, Calle de Jacinto Verdaguer, 22, 28019 Madrid</t>
  </si>
  <si>
    <t>914 28 04 21</t>
  </si>
  <si>
    <t>https://goo.gl/maps/ivGiCHgwLWUFaR399</t>
  </si>
  <si>
    <t>https://lh5.googleusercontent.com/p/AF1QipNcSDKD5I1KCtCApGh9FkLs0nDpCIDimqXkQs--=w426-h240-k-no</t>
  </si>
  <si>
    <t>Hartford, Intervención social, cultural y educativa</t>
  </si>
  <si>
    <t>C7CV+9X Madrid</t>
  </si>
  <si>
    <t>Plaza de Santa María Soledad Torres Acosta, 1, 2º, 28004 Madrid</t>
  </si>
  <si>
    <t>hartford.es</t>
  </si>
  <si>
    <t>913 50 03 00</t>
  </si>
  <si>
    <t>https://goo.gl/maps/1rEhK3kFandxTvW28</t>
  </si>
  <si>
    <t>https://streetviewpixels-pa.googleapis.com/v1/thumbnail?panoid=pGrZqWqRbLK2JKyjgOkuDA&amp;cb_client=search.gws-prod.gps&amp;w=408&amp;h=240&amp;yaw=285.46585&amp;pitch=0&amp;thumbfov=100</t>
  </si>
  <si>
    <t>Pan Bendito Plataforma social</t>
  </si>
  <si>
    <t>97G7+PQ Madrid</t>
  </si>
  <si>
    <t>Calle Besolla, 7, 28025 Madrid</t>
  </si>
  <si>
    <t>panben.org</t>
  </si>
  <si>
    <t>915 25 56 02</t>
  </si>
  <si>
    <t>https://goo.gl/maps/EmPdD8mrmRow2p447</t>
  </si>
  <si>
    <t>https://streetviewpixels-pa.googleapis.com/v1/thumbnail?panoid=gVo9fHofXRCpQtRDmF80TQ&amp;cb_client=search.gws-prod.gps&amp;w=408&amp;h=240&amp;yaw=44.115078&amp;pitch=0&amp;thumbfov=100</t>
  </si>
  <si>
    <t>Asociación PROGESTION</t>
  </si>
  <si>
    <t>97XJ+4C Madrid</t>
  </si>
  <si>
    <t>C/ Manuel Fernández Caballero, 4, 28019 Madrid</t>
  </si>
  <si>
    <t>progestion.org</t>
  </si>
  <si>
    <t>914 71 97 19</t>
  </si>
  <si>
    <t>pisosupervisado@progestion.org</t>
  </si>
  <si>
    <t>https://goo.gl/maps/uQGsrdXaXb2RTyYa9</t>
  </si>
  <si>
    <t>https://lh5.googleusercontent.com/p/AF1QipO-HtNsrnzeDLvSFQW_tnYRrVT6CQtX4hW1G21s=w408-h306-k-no</t>
  </si>
  <si>
    <t>Asociación Pro Derechos Humanos España</t>
  </si>
  <si>
    <t>C7QX+5J Madrid</t>
  </si>
  <si>
    <t>Calle de la Santísima Trinidad, 30, 28010 Madrid</t>
  </si>
  <si>
    <t>apdhe.org</t>
  </si>
  <si>
    <t>914 02 23 12</t>
  </si>
  <si>
    <t>info@apdhe.org</t>
  </si>
  <si>
    <t>https://goo.gl/maps/ywBpxLKp4T84iZLbA</t>
  </si>
  <si>
    <t>https://streetviewpixels-pa.googleapis.com/v1/thumbnail?panoid=EY29SWIUcDazbxZivF95hg&amp;cb_client=search.gws-prod.gps&amp;w=408&amp;h=240&amp;yaw=70.01357&amp;pitch=0&amp;thumbfov=100</t>
  </si>
  <si>
    <t>Cáritas Diocesana de Madrid</t>
  </si>
  <si>
    <t>97X3+9V Madrid</t>
  </si>
  <si>
    <t>Calle de Cuart de Poblet, 11, 28047 Madrid</t>
  </si>
  <si>
    <t>911 73 98 20</t>
  </si>
  <si>
    <t>https://goo.gl/maps/czskZwB9xtiM7rc19</t>
  </si>
  <si>
    <t>https://lh5.googleusercontent.com/p/AF1QipOFiOlfTvZwOuw1tEcUpfEaOV0Gi9QApP2fZXbM=w423-h240-k-no</t>
  </si>
  <si>
    <t>Centro De Servicios Sociales San Vicente De Paul</t>
  </si>
  <si>
    <t>F7CM+X9 Madrid</t>
  </si>
  <si>
    <t>Calle Buitrago del Lozoya, 28035 Madrid</t>
  </si>
  <si>
    <t>914 80 18 65</t>
  </si>
  <si>
    <t>https://goo.gl/maps/DqxUEMgV7dEgE6W27</t>
  </si>
  <si>
    <t>https://streetviewpixels-pa.googleapis.com/v1/thumbnail?panoid=XYDQJfNaVT8Y5U0LT7RXYQ&amp;cb_client=search.gws-prod.gps&amp;w=408&amp;h=240&amp;yaw=89.96006&amp;pitch=0&amp;thumbfov=100</t>
  </si>
  <si>
    <t>Fundación Diversitas Madrid</t>
  </si>
  <si>
    <t>C. Gral. Álvarez de Castro, 14, 28010 Madrid</t>
  </si>
  <si>
    <t>Acebeda, La</t>
  </si>
  <si>
    <t>fundaciondiversitasmadrid.org</t>
  </si>
  <si>
    <t>915 94 32 22</t>
  </si>
  <si>
    <t>info@fundaciondiversitasmadrid.org</t>
  </si>
  <si>
    <t>https://goo.gl/maps/aTaXmdKqRkKc34KQA</t>
  </si>
  <si>
    <t>https://lh5.googleusercontent.com/p/AF1QipMLz2mo-LzR5NyMYjM5bxJ6qscJFZJm222bN8iE=w408-h544-k-no</t>
  </si>
  <si>
    <t>C892+G4 Madrid</t>
  </si>
  <si>
    <t>Calle de la Virgen de los Peligros, 9, 28013 Madrid</t>
  </si>
  <si>
    <t>915 21 17 26</t>
  </si>
  <si>
    <t>40.4188171</t>
  </si>
  <si>
    <t>-3.8398057</t>
  </si>
  <si>
    <t>https://goo.gl/maps/yb6PXxESb13tLy5w5</t>
  </si>
  <si>
    <t>https://streetviewpixels-pa.googleapis.com/v1/thumbnail?panoid=BIr2hTPooQUbWWz9GxqmQw&amp;cb_client=search.gws-prod.gps&amp;w=408&amp;h=240&amp;yaw=257.82034&amp;pitch=0&amp;thumbfov=100</t>
  </si>
  <si>
    <t>Centro De Servicios Sociales Yébenes</t>
  </si>
  <si>
    <t>96RX+8W Madrid</t>
  </si>
  <si>
    <t>Cl. de los Yébenes, 241, 28047 Madrid</t>
  </si>
  <si>
    <t>915 40 32 33</t>
  </si>
  <si>
    <t>https://goo.gl/maps/X7VWBoiYo4671Mfy7</t>
  </si>
  <si>
    <t>ONCE Dirección General</t>
  </si>
  <si>
    <t>C882+2W Madrid</t>
  </si>
  <si>
    <t>Calle del Prado, 24, 28014 Madrid</t>
  </si>
  <si>
    <t>915 89 46 00</t>
  </si>
  <si>
    <t>https://goo.gl/maps/RwPuC7ALTRn9iv8d7</t>
  </si>
  <si>
    <t>https://lh5.googleusercontent.com/p/AF1QipPAJ9vMjeRNHwm_fy9KxvKxHtiNLgSwmEpRVCEg=w408-h306-k-no</t>
  </si>
  <si>
    <t>Centro de Servicios Sociales Valdebernardo</t>
  </si>
  <si>
    <t>C93G+6J Madrid</t>
  </si>
  <si>
    <t>Calle de Ladera de los Almendros, 28032 Madrid</t>
  </si>
  <si>
    <t>913 01 67 14</t>
  </si>
  <si>
    <t>https://goo.gl/maps/Rqt7Q1y17PWvw7hc6</t>
  </si>
  <si>
    <t>https://lh5.googleusercontent.com/p/AF1QipOp6AcVsvxu5B8dSrWksIF1cJVHLhDLik5xI0Gt=w408-h272-k-no</t>
  </si>
  <si>
    <t>Cáritas Española</t>
  </si>
  <si>
    <t>98W3+FC Madrid</t>
  </si>
  <si>
    <t>Calle de Embajadores, 162, 28045 Madrid</t>
  </si>
  <si>
    <t>914 44 10 00</t>
  </si>
  <si>
    <t>https://goo.gl/maps/xqRWj3woiSXTC95S7</t>
  </si>
  <si>
    <t>https://lh5.googleusercontent.com/p/AF1QipNcMiNqfUj9v4WiCBczAAO3Q5wMxLUp3mcbkk_-=w426-h240-k-no</t>
  </si>
  <si>
    <t>Sociedad San Vicente de Paúl en España</t>
  </si>
  <si>
    <t>C864+W3 Madrid</t>
  </si>
  <si>
    <t>Calle de San Pedro, 3, 2, 28014 Madrid</t>
  </si>
  <si>
    <t>913 69 79 90</t>
  </si>
  <si>
    <t>https://goo.gl/maps/tmSbSJjkZgmvMt9t7</t>
  </si>
  <si>
    <t>https://lh5.googleusercontent.com/p/AF1QipOk7ND_3xcxhobca8GKYfOL70LcPsxSMnP9q7uk=w408-h306-k-no</t>
  </si>
  <si>
    <t>ILUNION Lavandería Industrial Madrid</t>
  </si>
  <si>
    <t>98FX+HH Madrid</t>
  </si>
  <si>
    <t>Camino del Pozo del Tío Raimundo, 1B, 28031 Madrid</t>
  </si>
  <si>
    <t>ilunionlavanderia.com</t>
  </si>
  <si>
    <t>913 03 14 41</t>
  </si>
  <si>
    <t>https://goo.gl/maps/tkjQ5wj53SfG1pch6</t>
  </si>
  <si>
    <t>https://streetviewpixels-pa.googleapis.com/v1/thumbnail?panoid=KLZI8BHt3E0EJSDwuIzVIQ&amp;cb_client=search.gws-prod.gps&amp;w=408&amp;h=240&amp;yaw=81.954506&amp;pitch=0&amp;thumbfov=100</t>
  </si>
  <si>
    <t>Agencia ONCE Ciudad Lineal</t>
  </si>
  <si>
    <t>C9P4+GP Madrid</t>
  </si>
  <si>
    <t>Calle Dr. Vallejo, 4, 6, 28027 Madrid</t>
  </si>
  <si>
    <t>914 06 23 70</t>
  </si>
  <si>
    <t>40.4377852</t>
  </si>
  <si>
    <t>-3.6795371</t>
  </si>
  <si>
    <t>https://goo.gl/maps/futXFyaRpPDqqHUE9</t>
  </si>
  <si>
    <t>https://lh5.googleusercontent.com/p/AF1QipNxOB8gnQumyatCUZ6d_umPLKbtgt2_EB98d86w=w408-h302-k-no</t>
  </si>
  <si>
    <t>ONCE - CTI</t>
  </si>
  <si>
    <t>99G8+P8 Madrid</t>
  </si>
  <si>
    <t>Camino de las Hormigueras, 172, 28031 Madrid</t>
  </si>
  <si>
    <t>917 09 76 00</t>
  </si>
  <si>
    <t>40.3327589</t>
  </si>
  <si>
    <t>-3.8886504</t>
  </si>
  <si>
    <t>https://goo.gl/maps/kcFRgoiexDrByiiP6</t>
  </si>
  <si>
    <t>https://streetviewpixels-pa.googleapis.com/v1/thumbnail?panoid=bgM4-Sbsq1A4Jlqpme7KzQ&amp;cb_client=search.gws-prod.gps&amp;w=408&amp;h=240&amp;yaw=154.49858&amp;pitch=0&amp;thumbfov=100</t>
  </si>
  <si>
    <t>Atenzia Oficinas Centrales</t>
  </si>
  <si>
    <t>C8X4+32 Madrid</t>
  </si>
  <si>
    <t>Pl. de Manuel Gómez-Moreno, 2, 28020 Madrid</t>
  </si>
  <si>
    <t>atenzia.com</t>
  </si>
  <si>
    <t>915 63 22 89</t>
  </si>
  <si>
    <t>https://goo.gl/maps/uyj5Es4VtfoXHZKU8</t>
  </si>
  <si>
    <t>https://lh5.googleusercontent.com/p/AF1QipPJ7LDHGuUPPiYbPNfx5IxNCaGOketu4xMH0II0=w408-h272-k-no</t>
  </si>
  <si>
    <t>Asamblea De Madrid De Cruz Roja</t>
  </si>
  <si>
    <t>133</t>
  </si>
  <si>
    <t>C9MG+8P Madrid</t>
  </si>
  <si>
    <t>Calle de Valdecanillas, 112, 28037 Madrid</t>
  </si>
  <si>
    <t>913 04 00 16</t>
  </si>
  <si>
    <t>https://goo.gl/maps/pGsrs3f1umcEcS246</t>
  </si>
  <si>
    <t>https://lh5.googleusercontent.com/p/AF1QipNmbn7wEIKCQNPSKaYP7jX4qyv1fsOxhJXc9uPv=w426-h240-k-no</t>
  </si>
  <si>
    <t>9GW6+VJ Mejorada del Campo</t>
  </si>
  <si>
    <t>Plaza de España, 1, 28840 Mejorada del Campo, Madrid</t>
  </si>
  <si>
    <t>Mejorada del Campo</t>
  </si>
  <si>
    <t>ssmejoradavelilla.org</t>
  </si>
  <si>
    <t>916 79 33 56</t>
  </si>
  <si>
    <t>40.3971254</t>
  </si>
  <si>
    <t>-3.6284545</t>
  </si>
  <si>
    <t>https://goo.gl/maps/5i62ZX4hxZ6quZod7</t>
  </si>
  <si>
    <t>https://lh5.googleusercontent.com/p/AF1QipMVCguql8PpOdgLF-z0b9qDBRGLtAA_vaNcRAoh=w408-h306-k-no</t>
  </si>
  <si>
    <t>Centro de Acogida e Integración Social Santiago Masarnau de la Sociedad de San Vicente de Paúl</t>
  </si>
  <si>
    <t>C64X+7H Madrid</t>
  </si>
  <si>
    <t>Calle Serafín de Asís, 7, A, 28011 Madrid</t>
  </si>
  <si>
    <t>914 70 13 50</t>
  </si>
  <si>
    <t>40.316966</t>
  </si>
  <si>
    <t>-3.8671551</t>
  </si>
  <si>
    <t>https://goo.gl/maps/4YSy7cWphFRJFEUW8</t>
  </si>
  <si>
    <t>https://lh5.googleusercontent.com/p/AF1QipM2Zr9ziS8ChgZs_Tp37fMMfU9C0uaJLa_T2hZG=w408-h725-k-no</t>
  </si>
  <si>
    <t>98RM+8W Madrid</t>
  </si>
  <si>
    <t>Calle Sierra Carbonera, 70, 28053 Madrid</t>
  </si>
  <si>
    <t>913 60 96 65</t>
  </si>
  <si>
    <t>40.3908184</t>
  </si>
  <si>
    <t>-3.805265</t>
  </si>
  <si>
    <t>https://goo.gl/maps/k5jCg9JNFToHL9nJ6</t>
  </si>
  <si>
    <t>https://lh5.googleusercontent.com/p/AF1QipM4bHkxXGZjNF02rBrihk98h_Gmy5fRDTyBed6E=w408-h306-k-no</t>
  </si>
  <si>
    <t>IMSERSO</t>
  </si>
  <si>
    <t>177</t>
  </si>
  <si>
    <t>F7JW+F9 Madrid</t>
  </si>
  <si>
    <t>Calle Ginzo de Limia Nº58 c/v s/n, Av. de la Ilustración, 28029 Madrid</t>
  </si>
  <si>
    <t>imserso.es</t>
  </si>
  <si>
    <t>912 66 77 13</t>
  </si>
  <si>
    <t>buzon@imserso.es</t>
  </si>
  <si>
    <t>https://goo.gl/maps/mmr4VrsQ3cLhRKfCA</t>
  </si>
  <si>
    <t>https://lh5.googleusercontent.com/p/AF1QipOINa0vSq_IPgYwIiNTcPAHQvFVrAj8AuyZih0a=w408-h306-k-no</t>
  </si>
  <si>
    <t>Arci Nature Intervención Social</t>
  </si>
  <si>
    <t>C82J+23 Madrid</t>
  </si>
  <si>
    <t>C. de Los Mesejo, 15, 28007 Madrid</t>
  </si>
  <si>
    <t>arcinature.com</t>
  </si>
  <si>
    <t>914 34 33 88</t>
  </si>
  <si>
    <t>informacion@arcinature.com</t>
  </si>
  <si>
    <t>https://goo.gl/maps/s9ovxcLnT59qxX9X6</t>
  </si>
  <si>
    <t>https://streetviewpixels-pa.googleapis.com/v1/thumbnail?panoid=YdWoIA_Bu09j9NMkfvRJoA&amp;cb_client=search.gws-prod.gps&amp;w=408&amp;h=240&amp;yaw=280.73053&amp;pitch=0&amp;thumbfov=100</t>
  </si>
  <si>
    <t>Centro De Servicios Sociales Badalona</t>
  </si>
  <si>
    <t>F8V3+F5 Madrid</t>
  </si>
  <si>
    <t>Calle de Badalona, 122, 28034 Madrid</t>
  </si>
  <si>
    <t>917 35 55 10</t>
  </si>
  <si>
    <t>40.4490353</t>
  </si>
  <si>
    <t>-3.8377105</t>
  </si>
  <si>
    <t>https://goo.gl/maps/7koFWphk9ePVx5Zc7</t>
  </si>
  <si>
    <t>https://streetviewpixels-pa.googleapis.com/v1/thumbnail?panoid=6LMVaMAaLD1KeKOuADKcWg&amp;cb_client=search.gws-prod.gps&amp;w=408&amp;h=240&amp;yaw=341.61505&amp;pitch=0&amp;thumbfov=100</t>
  </si>
  <si>
    <t>40.3424866</t>
  </si>
  <si>
    <t>-3.82712</t>
  </si>
  <si>
    <t>972M+4R Madrid</t>
  </si>
  <si>
    <t>Calle de las Islas, 33, 28021 Madrid</t>
  </si>
  <si>
    <t>915 05 45 63</t>
  </si>
  <si>
    <t>https://goo.gl/maps/dqmTwDA6qJB6Lyau7</t>
  </si>
  <si>
    <t>https://streetviewpixels-pa.googleapis.com/v1/thumbnail?panoid=8xg9MeOnoI-VyH1UXfJ9mg&amp;cb_client=search.gws-prod.gps&amp;w=408&amp;h=240&amp;yaw=110.31933&amp;pitch=0&amp;thumbfov=100</t>
  </si>
  <si>
    <t>Centro de Servicios Sociales Dehesa de la Villa</t>
  </si>
  <si>
    <t>63</t>
  </si>
  <si>
    <t>F78J+R6 Madrid</t>
  </si>
  <si>
    <t>Calle de Antonio Machado, 22, 28035 Madrid</t>
  </si>
  <si>
    <t>913 73 02 24</t>
  </si>
  <si>
    <t>40.4075102</t>
  </si>
  <si>
    <t>-3.8209209</t>
  </si>
  <si>
    <t>https://goo.gl/maps/V4VWJqWYCawev9it5</t>
  </si>
  <si>
    <t>https://lh5.googleusercontent.com/p/AF1QipMiMlZW2-NlSnRblbc3F5TkP5E2koPDQYl54Nc8=w408-h306-k-no</t>
  </si>
  <si>
    <t>Cáritas Diocesana de Getafe</t>
  </si>
  <si>
    <t>85WV+86 Alcorcón</t>
  </si>
  <si>
    <t>Calle Tablas de Daimiel, 2, 28922 Alcorcón, Madrid</t>
  </si>
  <si>
    <t>Alcorcón</t>
  </si>
  <si>
    <t>916 43 37 16</t>
  </si>
  <si>
    <t>40.34581</t>
  </si>
  <si>
    <t>-3.9469517</t>
  </si>
  <si>
    <t>https://goo.gl/maps/yEyLhDvXiuamqAwk7</t>
  </si>
  <si>
    <t>https://streetviewpixels-pa.googleapis.com/v1/thumbnail?panoid=yQcSEPxsZ3OKnZjaEIJVAQ&amp;cb_client=search.gws-prod.gps&amp;w=408&amp;h=240&amp;yaw=130.0951&amp;pitch=0&amp;thumbfov=100</t>
  </si>
  <si>
    <t>Torrejón de Ardoz</t>
  </si>
  <si>
    <t>Juzgado de lo Social Nº 1</t>
  </si>
  <si>
    <t>84FP+9R Móstoles</t>
  </si>
  <si>
    <t>Calle de San Antonio, 4-6, 28931 Móstoles, Madrid, Madrid</t>
  </si>
  <si>
    <t>Móstoles</t>
  </si>
  <si>
    <t>912 76 05 10</t>
  </si>
  <si>
    <t>40.3234324</t>
  </si>
  <si>
    <t>-4.0030415</t>
  </si>
  <si>
    <t>https://goo.gl/maps/DVMVYRCTEHZ7Z7gq6</t>
  </si>
  <si>
    <t>https://streetviewpixels-pa.googleapis.com/v1/thumbnail?panoid=Ywzm5BTDEtRIDMMoV4DTkg&amp;cb_client=search.gws-prod.gps&amp;w=408&amp;h=240&amp;yaw=97.82483&amp;pitch=0&amp;thumbfov=100</t>
  </si>
  <si>
    <t>Av Francisco Fernandez Ordoñez, 2, 28903 Getafe, Madrid</t>
  </si>
  <si>
    <t>916 84 00 86</t>
  </si>
  <si>
    <t>40.3156239</t>
  </si>
  <si>
    <t>-3.8582004</t>
  </si>
  <si>
    <t>https://goo.gl/maps/QsCfAAJdLPSbppCT8</t>
  </si>
  <si>
    <t>https://streetviewpixels-pa.googleapis.com/v1/thumbnail?panoid=rVCCL5ymr3Iw9PTMz1wW_g&amp;cb_client=search.gws-prod.gps&amp;w=408&amp;h=240&amp;yaw=118.49949&amp;pitch=0&amp;thumbfov=100</t>
  </si>
  <si>
    <t>Centro Base IV Móstoles</t>
  </si>
  <si>
    <t>290</t>
  </si>
  <si>
    <t>84HW+WV Móstoles</t>
  </si>
  <si>
    <t>Av. de Alcorcón, 3, 28936 Móstoles, Madrid</t>
  </si>
  <si>
    <t>916 46 30 68</t>
  </si>
  <si>
    <t>40.3389828</t>
  </si>
  <si>
    <t>-3.9506338</t>
  </si>
  <si>
    <t>https://goo.gl/maps/19AJK9wrkvW8VGh98</t>
  </si>
  <si>
    <t>https://lh5.googleusercontent.com/p/AF1QipPS08lc3FEno5ShPu17aQH8pMr6c2pQ0wlRSPHK=w408-h544-k-no</t>
  </si>
  <si>
    <t>66</t>
  </si>
  <si>
    <t>F4FG+98 Majadahonda</t>
  </si>
  <si>
    <t>Calle de las Mieses, 8, 28220 Majadahonda, Madrid</t>
  </si>
  <si>
    <t>Majadahonda</t>
  </si>
  <si>
    <t>916 39 74 93</t>
  </si>
  <si>
    <t>40.4734255</t>
  </si>
  <si>
    <t>-4.0142836</t>
  </si>
  <si>
    <t>https://goo.gl/maps/qtaoc8rmoMg3kMKh8</t>
  </si>
  <si>
    <t>https://streetviewpixels-pa.googleapis.com/v1/thumbnail?panoid=akRbkyRlz76VpdeGXJWgWg&amp;cb_client=search.gws-prod.gps&amp;w=408&amp;h=240&amp;yaw=290.92856&amp;pitch=0&amp;thumbfov=100</t>
  </si>
  <si>
    <t>Pisos Tutelados personas Mayores</t>
  </si>
  <si>
    <t>CGWH+2J Torrejón de Ardoz</t>
  </si>
  <si>
    <t>Av. de los Fresnos, 11, 28850 Torrejón de Ardoz, Madrid</t>
  </si>
  <si>
    <t>913 43 68 00</t>
  </si>
  <si>
    <t>40.445078</t>
  </si>
  <si>
    <t>-3.611058</t>
  </si>
  <si>
    <t>https://goo.gl/maps/bZSzRTWecAoJo7pq9</t>
  </si>
  <si>
    <t>https://streetviewpixels-pa.googleapis.com/v1/thumbnail?panoid=YJt9CZDv2xhPlEdHmgbyuw&amp;cb_client=search.gws-prod.gps&amp;w=408&amp;h=240&amp;yaw=107.425735&amp;pitch=0&amp;thumbfov=100</t>
  </si>
  <si>
    <t>Cáritas Diocesana De Madrid</t>
  </si>
  <si>
    <t>JXHQ+5R Collado Villalba</t>
  </si>
  <si>
    <t>Calle Cervantes, 1, 28400 Collado Villalba, Madrid</t>
  </si>
  <si>
    <t>Collado Villalba</t>
  </si>
  <si>
    <t>40.6279064</t>
  </si>
  <si>
    <t>-4.1504794</t>
  </si>
  <si>
    <t>https://goo.gl/maps/nXJKocnUMjVrkYv16</t>
  </si>
  <si>
    <t>https://streetviewpixels-pa.googleapis.com/v1/thumbnail?panoid=R6d8csuRb5FKeSTx3cqkgw&amp;cb_client=search.gws-prod.gps&amp;w=408&amp;h=240&amp;yaw=264.12378&amp;pitch=0&amp;thumbfov=100</t>
  </si>
  <si>
    <t>FJPV+P7 Alcalá de Henares</t>
  </si>
  <si>
    <t>Calle Luis de Torres, 6, 28805 Alcalá de Henares, Madrid</t>
  </si>
  <si>
    <t>Alcalá de Henares</t>
  </si>
  <si>
    <t>918 88 03 18</t>
  </si>
  <si>
    <t>40.4868748</t>
  </si>
  <si>
    <t>-3.4968968</t>
  </si>
  <si>
    <t>https://goo.gl/maps/2P4WKMPmVSX3zVSZ9</t>
  </si>
  <si>
    <t>https://lh5.googleusercontent.com/p/AF1QipPDUzPD9lo1rCgTNfrhNm_9jMyuqxPWcJTP_peM=w426-h240-k-no</t>
  </si>
  <si>
    <t>Asociacion Civil Venezolanos en España</t>
  </si>
  <si>
    <t>C232+3C Brunete</t>
  </si>
  <si>
    <t>Calle Cardeñas, 6, 1B, 28690 Brunete, Madrid</t>
  </si>
  <si>
    <t>Brunete</t>
  </si>
  <si>
    <t>652 07 96 52</t>
  </si>
  <si>
    <t>40.4027118</t>
  </si>
  <si>
    <t>-4.1390612</t>
  </si>
  <si>
    <t>https://goo.gl/maps/H1d1dkUkwKMP1Vxp9</t>
  </si>
  <si>
    <t>https://lh5.googleusercontent.com/p/AF1QipNf-h4xB5Ru04gi23N6Ijsh9MH-7bReMbbX5Sk=w408-h305-k-no</t>
  </si>
  <si>
    <t>Melilla</t>
  </si>
  <si>
    <t>35.2862798</t>
  </si>
  <si>
    <t>-2.9445265</t>
  </si>
  <si>
    <t>73Q7+XF Melilla</t>
  </si>
  <si>
    <t>Centro Asistencial De Melilla</t>
  </si>
  <si>
    <t>73Q5+44 Melilla</t>
  </si>
  <si>
    <t>Calle Músico Granados, 2, 52004 Melilla</t>
  </si>
  <si>
    <t>952 67 37 41</t>
  </si>
  <si>
    <t>https://goo.gl/maps/6ieui62riKYvEBsQ6</t>
  </si>
  <si>
    <t>https://lh5.googleusercontent.com/p/AF1QipPaFXhg-U7KT4m-z4hTxQEkZZ3elfIUVWai4Jv2=w493-h240-k-no</t>
  </si>
  <si>
    <t>Calle Cuerpo Nacional de Policía, 5, 52004 Melilla</t>
  </si>
  <si>
    <t>952 67 90 65</t>
  </si>
  <si>
    <t>https://goo.gl/maps/JzmE2fiEMZHb4eiU7</t>
  </si>
  <si>
    <t>Cáritas Interparroquial Melilla</t>
  </si>
  <si>
    <t>73X4+HV Melilla</t>
  </si>
  <si>
    <t>Calle Río Llobregat, 2, 52002 Melilla</t>
  </si>
  <si>
    <t>952 68 10 53</t>
  </si>
  <si>
    <t>https://goo.gl/maps/L7NK7iwwo3eYFs55A</t>
  </si>
  <si>
    <t>Instituo de Mayores y Servicios Sociales</t>
  </si>
  <si>
    <t>73Q4+G6 Melilla</t>
  </si>
  <si>
    <t>Calle Querol, 31, 52004 Melilla</t>
  </si>
  <si>
    <t>952 67 07 28</t>
  </si>
  <si>
    <t>35.2905619</t>
  </si>
  <si>
    <t>-2.9538274</t>
  </si>
  <si>
    <t>https://goo.gl/maps/NyBAwf4rjiRKsgFi9</t>
  </si>
  <si>
    <t>Plaza Del Mar, 0 S/N, 52004 Melilla</t>
  </si>
  <si>
    <t>952 69 90 30</t>
  </si>
  <si>
    <t>https://goo.gl/maps/ANtM7p7P4EEKFqQP6</t>
  </si>
  <si>
    <t>Plataformas Melilla Sl</t>
  </si>
  <si>
    <t>73V2+5J Melilla</t>
  </si>
  <si>
    <t>Ctra. Hidum, 0, 52001 Melilla</t>
  </si>
  <si>
    <t>https://goo.gl/maps/DtZ4e1AEPThuVtpR7</t>
  </si>
  <si>
    <t>Sociedad para el desarrollo de Melilla S.L.</t>
  </si>
  <si>
    <t>73C4+JQ Melilla</t>
  </si>
  <si>
    <t>C/ La Espiga, 52006 Melilla</t>
  </si>
  <si>
    <t>sociedadparaeldesarrollo.es</t>
  </si>
  <si>
    <t>952 69 00 00</t>
  </si>
  <si>
    <t>35.2716101</t>
  </si>
  <si>
    <t>-2.9606318</t>
  </si>
  <si>
    <t>https://goo.gl/maps/rNimu56DnfbvDmX59</t>
  </si>
  <si>
    <t>Aspanies - Asociación de Padres de Niños Especiales</t>
  </si>
  <si>
    <t>73Q4+6V Melilla</t>
  </si>
  <si>
    <t>Calle Músico Granados, 0, 52004 Melilla</t>
  </si>
  <si>
    <t>952 67 81 51</t>
  </si>
  <si>
    <t>https://goo.gl/maps/bFZfm2L9CbwwNDu4A</t>
  </si>
  <si>
    <t>Asociación Autismo Melilla</t>
  </si>
  <si>
    <t>73G2+F5 Melilla</t>
  </si>
  <si>
    <t>Calle Escultor Mustafá Arruf, 1, 52005 Melilla</t>
  </si>
  <si>
    <t>autismomelilla.org</t>
  </si>
  <si>
    <t>951 76 84 02</t>
  </si>
  <si>
    <t>info@autismomelilla.org</t>
  </si>
  <si>
    <t>https://goo.gl/maps/9ry5YrEeGJivVPDb6</t>
  </si>
  <si>
    <t>73V5+79 Melilla</t>
  </si>
  <si>
    <t>Calle Gral. O&amp;apos;Donnell, 24, 26, 52001 Melilla</t>
  </si>
  <si>
    <t>952 68 32 19</t>
  </si>
  <si>
    <t>35.2931883</t>
  </si>
  <si>
    <t>-2.9590532</t>
  </si>
  <si>
    <t>https://goo.gl/maps/5mXKLEXeLprSU3Qi9</t>
  </si>
  <si>
    <t>https://lh5.googleusercontent.com/p/AF1QipMTYI57PT-8F2Auh0HGqgNib_zAGA6oLGTCQR21=w426-h240-k-no</t>
  </si>
  <si>
    <t>Dirección General de Tráfico</t>
  </si>
  <si>
    <t>73F5+5Q Melilla</t>
  </si>
  <si>
    <t>Calle Azucena, 52006 Melilla</t>
  </si>
  <si>
    <t>952 67 94 73</t>
  </si>
  <si>
    <t>35.2729916</t>
  </si>
  <si>
    <t>-2.9580957</t>
  </si>
  <si>
    <t>https://goo.gl/maps/huMFUPtJR4wjG16B6</t>
  </si>
  <si>
    <t>Murcia</t>
  </si>
  <si>
    <t>Unidad Técnica de Servicios Sociales de Aljucer</t>
  </si>
  <si>
    <t>XV73+MR Aljucer</t>
  </si>
  <si>
    <t>Paseo Doctor José Gil Ortiz, 8, 30152 Aljucer</t>
  </si>
  <si>
    <t>Aljucer</t>
  </si>
  <si>
    <t>968 25 01 57</t>
  </si>
  <si>
    <t>37.96418</t>
  </si>
  <si>
    <t>-1.1804789</t>
  </si>
  <si>
    <t>https://goo.gl/maps/P5A16RDzWhxfqGcZ9</t>
  </si>
  <si>
    <t>https://streetviewpixels-pa.googleapis.com/v1/thumbnail?panoid=cpguH37VJ6mqAEqmb0HdZA&amp;cb_client=search.gws-prod.gps&amp;w=408&amp;h=240&amp;yaw=239.2542&amp;pitch=0&amp;thumbfov=100</t>
  </si>
  <si>
    <t>Once Delegación Territorial de Murcia</t>
  </si>
  <si>
    <t>XVP6+CJ Murcia</t>
  </si>
  <si>
    <t>Pl. de S. Agustín, 1, A, 30005 Murcia</t>
  </si>
  <si>
    <t>968 28 08 90</t>
  </si>
  <si>
    <t>https://goo.gl/maps/p7rsGGMaEF2osCR56</t>
  </si>
  <si>
    <t>https://lh5.googleusercontent.com/p/AF1QipM5KTUMzzHxcup08UAg0WHdEpzx3QM9ZOn9S40Z=w408-h322-k-no</t>
  </si>
  <si>
    <t>37.9920183</t>
  </si>
  <si>
    <t>-1.1503905</t>
  </si>
  <si>
    <t>Asociación Murcia Acoge</t>
  </si>
  <si>
    <t>XVHM+G6 Murcia</t>
  </si>
  <si>
    <t>Calle Alberto Sevilla, 1, Bloque 1, Escalera 5, 30007 Murcia</t>
  </si>
  <si>
    <t>murcia-acoge.com</t>
  </si>
  <si>
    <t>968 27 16 52</t>
  </si>
  <si>
    <t>https://goo.gl/maps/5DHVzUCoLtkYJfwW7</t>
  </si>
  <si>
    <t>https://lh5.googleusercontent.com/p/AF1QipMKpXe5_lxy-HOqizoCYu1gHuhzloCk8OURo2GJ=w408-h270-k-no</t>
  </si>
  <si>
    <t>Centro Social de Personas Mayores Murcia ll</t>
  </si>
  <si>
    <t>XVW7+28 Murcia</t>
  </si>
  <si>
    <t>Travesía Mar Menor, s/nº, 30009 Murcia</t>
  </si>
  <si>
    <t>968 23 50 21</t>
  </si>
  <si>
    <t>https://goo.gl/maps/XRVxrVN6hSu8moo78</t>
  </si>
  <si>
    <t>https://lh5.googleusercontent.com/p/AF1QipMw2A8aDvfKZ4_i9k19folu0yUm9QSkaLQR1aI=w408-h301-k-no</t>
  </si>
  <si>
    <t>Juzgado de lo Social Nº 7</t>
  </si>
  <si>
    <t>XVHP+HG Murcia</t>
  </si>
  <si>
    <t>Av. de la Justicia, s/n, 30011 Murcia</t>
  </si>
  <si>
    <t>968 22 91 00</t>
  </si>
  <si>
    <t>https://goo.gl/maps/N2dVGdmQQ22rFgLn7</t>
  </si>
  <si>
    <t>https://lh5.googleusercontent.com/p/AF1QipNb0xElGampKGi8Az7Tilza9vQXvl9PWPtE6LMu=w408-h288-k-no</t>
  </si>
  <si>
    <t>Servicio De Protección De Menores Región De Murcia</t>
  </si>
  <si>
    <t>XVQJ+F6 Murcia</t>
  </si>
  <si>
    <t>Av. de la Fama, 3?, 30003 Murcia</t>
  </si>
  <si>
    <t>carm.es</t>
  </si>
  <si>
    <t>968 27 32 09</t>
  </si>
  <si>
    <t>logo46x38@2x.png</t>
  </si>
  <si>
    <t>37.9789288</t>
  </si>
  <si>
    <t>-1.148714</t>
  </si>
  <si>
    <t>https://goo.gl/maps/7uG9XwXR8HF7uQ1k7</t>
  </si>
  <si>
    <t>https://streetviewpixels-pa.googleapis.com/v1/thumbnail?panoid=DnJJVvptEub1-OhTDykNrQ&amp;cb_client=search.gws-prod.gps&amp;w=408&amp;h=240&amp;yaw=82.59543&amp;pitch=0&amp;thumbfov=100</t>
  </si>
  <si>
    <t>Proyecto Luz</t>
  </si>
  <si>
    <t>XVMH+QX Murcia</t>
  </si>
  <si>
    <t>Av. de la Fama, 3, 30006 Murcia</t>
  </si>
  <si>
    <t>968 27 31 74</t>
  </si>
  <si>
    <t>37.9844834</t>
  </si>
  <si>
    <t>-1.1551068</t>
  </si>
  <si>
    <t>https://goo.gl/maps/VqMqzK5n26JDjuLg7</t>
  </si>
  <si>
    <t>https://streetviewpixels-pa.googleapis.com/v1/thumbnail?panoid=6TBII1i047rwvyQ5ICdiLQ&amp;cb_client=search.gws-prod.gps&amp;w=408&amp;h=240&amp;yaw=275.62927&amp;pitch=0&amp;thumbfov=100</t>
  </si>
  <si>
    <t>CENTRO DE BIENESTAR MURCIA</t>
  </si>
  <si>
    <t>XVX8+3G Murcia</t>
  </si>
  <si>
    <t>Calle Condes de Barcelona, 30007 Murcia</t>
  </si>
  <si>
    <t>https://goo.gl/maps/AhdimQmJjK7MvhFDA</t>
  </si>
  <si>
    <t>https://streetviewpixels-pa.googleapis.com/v1/thumbnail?panoid=Uo6lSk0Y5t6KiZQRDo2lKQ&amp;cb_client=search.gws-prod.gps&amp;w=408&amp;h=240&amp;yaw=12.672044&amp;pitch=0&amp;thumbfov=100</t>
  </si>
  <si>
    <t>Fundación Patronato Jesús Abandonado De Murcia</t>
  </si>
  <si>
    <t>XVMF+72 Murcia</t>
  </si>
  <si>
    <t>Calle Baraundillo, 0, 30001 Murcia</t>
  </si>
  <si>
    <t>968 22 55 59</t>
  </si>
  <si>
    <t>https://goo.gl/maps/2WXqyWTNR2D7GVkw7</t>
  </si>
  <si>
    <t>https://streetviewpixels-pa.googleapis.com/v1/thumbnail?panoid=e9ssBN8I3fZT2hhsdP4qQA&amp;cb_client=search.gws-prod.gps&amp;w=408&amp;h=240&amp;yaw=47.219013&amp;pitch=0&amp;thumbfov=100</t>
  </si>
  <si>
    <t>Federación de Centros Sociales de Mayores del Municipio de Murcia</t>
  </si>
  <si>
    <t>XVV4+PV Murcia</t>
  </si>
  <si>
    <t>Av. Miguel de Cervantes, 1, 30009 Murcia</t>
  </si>
  <si>
    <t>968 29 56 90</t>
  </si>
  <si>
    <t>https://goo.gl/maps/T8pZoj67XrzRrppk8</t>
  </si>
  <si>
    <t>https://streetviewpixels-pa.googleapis.com/v1/thumbnail?panoid=aQKS4kjpX2ggNHgLipCJ9w&amp;cb_client=search.gws-prod.gps&amp;w=408&amp;h=240&amp;yaw=245.16098&amp;pitch=0&amp;thumbfov=100</t>
  </si>
  <si>
    <t>Centro de la mujer</t>
  </si>
  <si>
    <t>XVGM+G5 Murcia</t>
  </si>
  <si>
    <t>Calle Vicente Aleixandre, 18, 30011 Murcia</t>
  </si>
  <si>
    <t>968 34 04 95</t>
  </si>
  <si>
    <t>37.975928</t>
  </si>
  <si>
    <t>-1.1650928</t>
  </si>
  <si>
    <t>https://goo.gl/maps/sYQGmfQiM542AVeu6</t>
  </si>
  <si>
    <t>https://streetviewpixels-pa.googleapis.com/v1/thumbnail?panoid=_EF9m_STATy5mbO9Ttz8qw&amp;cb_client=search.gws-prod.gps&amp;w=408&amp;h=240&amp;yaw=283.00958&amp;pitch=0&amp;thumbfov=100</t>
  </si>
  <si>
    <t>Asociación On Off Parkinson de la Región de Murcia</t>
  </si>
  <si>
    <t>XRQX+6F Murcia</t>
  </si>
  <si>
    <t>Av. de la Ñora, 96, 30009 Murcia</t>
  </si>
  <si>
    <t>parkinsonmurcia.com</t>
  </si>
  <si>
    <t>968 34 49 91</t>
  </si>
  <si>
    <t>parkinson-kgjB-U110145392367BOG-624x385@La-Verdad.jpg</t>
  </si>
  <si>
    <t>https://goo.gl/maps/vFuFpdZP1Aghmx4R8</t>
  </si>
  <si>
    <t>https://streetviewpixels-pa.googleapis.com/v1/thumbnail?panoid=-xbnTGd_8PM97a9IV3aaFw&amp;cb_client=search.gws-prod.gps&amp;w=408&amp;h=240&amp;yaw=12.0313835&amp;pitch=0&amp;thumbfov=100</t>
  </si>
  <si>
    <t>Fundacion Murciana Para La Tutela Y Defensa Judicial De Adultos</t>
  </si>
  <si>
    <t>XVWC+PG Murcia</t>
  </si>
  <si>
    <t>Calle Dr. Alonso de Espejo, 7, 30007 Murcia</t>
  </si>
  <si>
    <t>968 20 43 88</t>
  </si>
  <si>
    <t>https://goo.gl/maps/ZqMqsTyqdUXuGCRE6</t>
  </si>
  <si>
    <t>https://streetviewpixels-pa.googleapis.com/v1/thumbnail?panoid=9a6KIoe53ZQZ__Rx2Ca8fg&amp;cb_client=search.gws-prod.gps&amp;w=408&amp;h=240&amp;yaw=332.9069&amp;pitch=0&amp;thumbfov=100</t>
  </si>
  <si>
    <t>Centro Mayores Infante</t>
  </si>
  <si>
    <t>XVGM+F4 Murcia</t>
  </si>
  <si>
    <t>968 25 91 21</t>
  </si>
  <si>
    <t>https://goo.gl/maps/s8XhskpEgXdKaFPJ6</t>
  </si>
  <si>
    <t>https://lh5.googleusercontent.com/p/AF1QipPJYCD3c3hrT0q-y_aNR-KKJfJ9xapixhpA6IQQ=w408-h544-k-no</t>
  </si>
  <si>
    <t>Asociación Auxilia Murcia</t>
  </si>
  <si>
    <t>XVG9+MR Murcia</t>
  </si>
  <si>
    <t>Calle Mateos, 34, 30002 Murcia</t>
  </si>
  <si>
    <t>sid-inico.usal.es</t>
  </si>
  <si>
    <t>648 06 49 62</t>
  </si>
  <si>
    <t>37.9767203</t>
  </si>
  <si>
    <t>-1.165402</t>
  </si>
  <si>
    <t>https://goo.gl/maps/fudSKMfa14VNjdE48</t>
  </si>
  <si>
    <t>https://lh5.googleusercontent.com/p/AF1QipNL5UM_l3avyHeEgNcktW_W9v7kUavk6XRqSvaF=w408-h544-k-no</t>
  </si>
  <si>
    <t>Cadakual Iniciativa Social</t>
  </si>
  <si>
    <t>XVJG+2J Murcia</t>
  </si>
  <si>
    <t>Calle Poeta Andrés Bolarín, 1, 30011 Murcia</t>
  </si>
  <si>
    <t>https://goo.gl/maps/xCbY4Ggsizq5qzNQ8</t>
  </si>
  <si>
    <t>https://streetviewpixels-pa.googleapis.com/v1/thumbnail?panoid=mIvlH7wmydDeyDHCeXR5Fg&amp;cb_client=search.gws-prod.gps&amp;w=408&amp;h=240&amp;yaw=102.141014&amp;pitch=0&amp;thumbfov=100</t>
  </si>
  <si>
    <t>Centro Social de los Mayores</t>
  </si>
  <si>
    <t>XVP6+V2 Murcia</t>
  </si>
  <si>
    <t>Calle Sierra de Gredos, 6, 30005 Murcia</t>
  </si>
  <si>
    <t>968 90 01 13</t>
  </si>
  <si>
    <t>https://goo.gl/maps/bvx1rzyJyoRp2oei8</t>
  </si>
  <si>
    <t>https://streetviewpixels-pa.googleapis.com/v1/thumbnail?panoid=Yo2odUn37k64JA9Js0fA9A&amp;cb_client=search.gws-prod.gps&amp;w=408&amp;h=240&amp;yaw=313.20087&amp;pitch=0&amp;thumbfov=100</t>
  </si>
  <si>
    <t>Fundación Jesús Abandonado Murcia</t>
  </si>
  <si>
    <t>XV67+Q2 Murcia</t>
  </si>
  <si>
    <t>Av. de Sta. Catalina, 55, 30012 Murcia</t>
  </si>
  <si>
    <t>jesusabandonado.org</t>
  </si>
  <si>
    <t>968 34 50 01</t>
  </si>
  <si>
    <t>comunicacion@jesusabandonado.org</t>
  </si>
  <si>
    <t>37.9619427</t>
  </si>
  <si>
    <t>-1.1724569</t>
  </si>
  <si>
    <t>https://g.page/FJAbandonado?share</t>
  </si>
  <si>
    <t>https://lh5.googleusercontent.com/p/AF1QipP0CdfrbEFBiD2vLm93HHuPRQprsnB1EnLouC6e=w425-h240-k-no</t>
  </si>
  <si>
    <t>2W4H+7Q Llano de Brujas</t>
  </si>
  <si>
    <t>Calle Mayor, 20, 30161 Llano de Brujas, Murcia</t>
  </si>
  <si>
    <t>Llano de Brujas</t>
  </si>
  <si>
    <t>968 87 20 21</t>
  </si>
  <si>
    <t>37.980522</t>
  </si>
  <si>
    <t>-1.1271753</t>
  </si>
  <si>
    <t>https://goo.gl/maps/8NEc3CUV3WrLF3ox5</t>
  </si>
  <si>
    <t>https://streetviewpixels-pa.googleapis.com/v1/thumbnail?panoid=zEvmMZyjMAu6ypkhpDhz2A&amp;cb_client=search.gws-prod.gps&amp;w=408&amp;h=240&amp;yaw=155.96259&amp;pitch=0&amp;thumbfov=100</t>
  </si>
  <si>
    <t>Asamblea Local Cruz Roja</t>
  </si>
  <si>
    <t>XVMG+32 Murcia</t>
  </si>
  <si>
    <t>Calle Gral. Sanmartín, 2, 30003 Murcia</t>
  </si>
  <si>
    <t>cruzrojamurcia.es</t>
  </si>
  <si>
    <t>968 35 53 39</t>
  </si>
  <si>
    <t>37.9827368</t>
  </si>
  <si>
    <t>-1.1599577</t>
  </si>
  <si>
    <t>https://goo.gl/maps/BHCWFCpZptJrGXXE9</t>
  </si>
  <si>
    <t>https://lh5.googleusercontent.com/p/AF1QipPBEW-gPzu_JEFdEmyWUEwFYquPOveQB0hIEKo8=w408-h544-k-no</t>
  </si>
  <si>
    <t>Centro de la mujer. Santa Eulalia / San Juan</t>
  </si>
  <si>
    <t>XVPG+66 Murcia</t>
  </si>
  <si>
    <t>Plaza Candelaria, 30003 Murcia</t>
  </si>
  <si>
    <t>968 21 01 98</t>
  </si>
  <si>
    <t>37.9824047</t>
  </si>
  <si>
    <t>-1.1598121</t>
  </si>
  <si>
    <t>https://goo.gl/maps/wvsdWSWUou4fbrb37</t>
  </si>
  <si>
    <t>https://lh5.googleusercontent.com/p/AF1QipOiG77_Omju8HgxgQwwC5atZsL5Ps7Wdf-Dqwh1=w408-h544-k-no</t>
  </si>
  <si>
    <t>Cáritas</t>
  </si>
  <si>
    <t>XVHG+6X Murcia</t>
  </si>
  <si>
    <t>Calle Poeta Andrés Bolarín, 30011 Murcia</t>
  </si>
  <si>
    <t>https://goo.gl/maps/AmBpm1sHyHwaBuvi8</t>
  </si>
  <si>
    <t>https://lh5.googleusercontent.com/p/AF1QipOYl_GwMN9PEbUrWZs4tuHPaV2c8mHqoIhL8Zle=w426-h240-k-no</t>
  </si>
  <si>
    <t>115</t>
  </si>
  <si>
    <t>XVJF+RV Murcia</t>
  </si>
  <si>
    <t>Calle Ánimas, 0, 30003 Murcia</t>
  </si>
  <si>
    <t>968 81 73 68</t>
  </si>
  <si>
    <t>https://goo.gl/maps/gtS27PhyajRUv6ZSA</t>
  </si>
  <si>
    <t>https://lh5.googleusercontent.com/p/AF1QipMKS2zCnr_MfULV9VoFSMJw9_46cIWzzPkZGucC=w426-h240-k-no</t>
  </si>
  <si>
    <t>MANZANERA Despacho de Trabajo Social. Perito Social</t>
  </si>
  <si>
    <t>2V77+WH Murcia</t>
  </si>
  <si>
    <t>Natura, Ctra. de Churra, 168, 30110 Murcia</t>
  </si>
  <si>
    <t>619 87 89 75</t>
  </si>
  <si>
    <t>38.0148526</t>
  </si>
  <si>
    <t>-1.1711236</t>
  </si>
  <si>
    <t>https://goo.gl/maps/TAFHhiXg9bNxncbZA</t>
  </si>
  <si>
    <t>https://streetviewpixels-pa.googleapis.com/v1/thumbnail?panoid=cGLaYrwtyUMHtM3RF6jmYw&amp;cb_client=search.gws-prod.gps&amp;w=408&amp;h=240&amp;yaw=154.45021&amp;pitch=0&amp;thumbfov=100</t>
  </si>
  <si>
    <t>Federación de Asociaciones de Parkinson de la Región de Murcia (FEPAMUR)</t>
  </si>
  <si>
    <t>Av. de la Ñora, nº 96, 30009 Murcia</t>
  </si>
  <si>
    <t>fepamur.org</t>
  </si>
  <si>
    <t>37.9716807</t>
  </si>
  <si>
    <t>-1.1556039</t>
  </si>
  <si>
    <t>https://goo.gl/maps/SvJh9hqoWaNmic5M7</t>
  </si>
  <si>
    <t>Centro Hera - Atención Integral a la Familia</t>
  </si>
  <si>
    <t>XV8H+GG Murcia</t>
  </si>
  <si>
    <t>Calle Belén Muñoz, 1, BAJO, 30012 Murcia</t>
  </si>
  <si>
    <t>centrohera.es</t>
  </si>
  <si>
    <t>868 30 02 58</t>
  </si>
  <si>
    <t>37.972487</t>
  </si>
  <si>
    <t>-1.1626168</t>
  </si>
  <si>
    <t>https://g.page/CentroHera?share</t>
  </si>
  <si>
    <t>https://lh5.googleusercontent.com/p/AF1QipO7BLbAI12Dq0X5zSQyamwWasX36QpxzVue08JE=w426-h240-k-no</t>
  </si>
  <si>
    <t>Centro Social De Personas Mayores Murcia I</t>
  </si>
  <si>
    <t>XVGC+W4 Murcia</t>
  </si>
  <si>
    <t>30002 Murcia</t>
  </si>
  <si>
    <t>968 25 54 11</t>
  </si>
  <si>
    <t>https://goo.gl/maps/SsRwFUp9yuCca1Au9</t>
  </si>
  <si>
    <t>https://streetviewpixels-pa.googleapis.com/v1/thumbnail?panoid=DTfKna8R68iIgN4fy5hB8w&amp;cb_client=search.gws-prod.gps&amp;w=408&amp;h=240&amp;yaw=137.85838&amp;pitch=0&amp;thumbfov=100</t>
  </si>
  <si>
    <t>Fundación Red De Apoyo A La Integración Sociolaboral</t>
  </si>
  <si>
    <t>XVQF+PH Murcia</t>
  </si>
  <si>
    <t>Calle San Martín de Porres, 2, 30001 Murcia</t>
  </si>
  <si>
    <t>968 22 19 11</t>
  </si>
  <si>
    <t>37.9893127</t>
  </si>
  <si>
    <t>-1.1610269</t>
  </si>
  <si>
    <t>https://goo.gl/maps/2DbrYSGf96EwuCi87</t>
  </si>
  <si>
    <t>https://lh5.googleusercontent.com/p/AF1QipP_2i4tI0Y1_3XzIu_z5u9W-Q-HmN2sPmzuCbMY=w408-h306-k-no</t>
  </si>
  <si>
    <t>Iuventus</t>
  </si>
  <si>
    <t>XVM9+PR Murcia</t>
  </si>
  <si>
    <t>Calle Zarandona, 4, 30004 Murcia</t>
  </si>
  <si>
    <t>https://goo.gl/maps/AM2GaQ8DedtNUXvx8</t>
  </si>
  <si>
    <t>https://streetviewpixels-pa.googleapis.com/v1/thumbnail?panoid=KRB4MezRltkDJy27W_cWcg&amp;cb_client=search.gws-prod.gps&amp;w=408&amp;h=240&amp;yaw=73.30036&amp;pitch=0&amp;thumbfov=100</t>
  </si>
  <si>
    <t>Servicios Generales Complejo De El Palmar del IMAS</t>
  </si>
  <si>
    <t>WRVJ+5Q El Palmar</t>
  </si>
  <si>
    <t>Cl. Lorca, 62, 30120 El Palmar, Murcia</t>
  </si>
  <si>
    <t>El Palmar</t>
  </si>
  <si>
    <t>968 36 21 00</t>
  </si>
  <si>
    <t>37.9429283</t>
  </si>
  <si>
    <t>-1.203054</t>
  </si>
  <si>
    <t>https://goo.gl/maps/P9jGzpukx1yoQfpW9</t>
  </si>
  <si>
    <t>https://lh5.googleusercontent.com/p/AF1QipMvdwK0_8eaOwfmXj00GRP7h9c9JYbFi3CLhHg=w408-h306-k-no</t>
  </si>
  <si>
    <t>Asociación Mediacción</t>
  </si>
  <si>
    <t>XVQ7+FV Murcia</t>
  </si>
  <si>
    <t>Calle Jerónimo de Roda, nº 1 Edif. Jaime I, 1º P, 30005 Murcia</t>
  </si>
  <si>
    <t>669 51 76 81</t>
  </si>
  <si>
    <t>37.9887061</t>
  </si>
  <si>
    <t>-1.1703805</t>
  </si>
  <si>
    <t>https://goo.gl/maps/7V87dZ1HN17CcYMq5</t>
  </si>
  <si>
    <t>https://streetviewpixels-pa.googleapis.com/v1/thumbnail?panoid=2ZCrwh0i8iJY1q98zpZTzg&amp;cb_client=search.gws-prod.gps&amp;w=408&amp;h=240&amp;yaw=141.262&amp;pitch=0&amp;thumbfov=100</t>
  </si>
  <si>
    <t>Programa Pares</t>
  </si>
  <si>
    <t>XVJC+6F Murcia</t>
  </si>
  <si>
    <t>Calle Corbalán, 10, bajo, 30002 Murcia</t>
  </si>
  <si>
    <t>programapares.org</t>
  </si>
  <si>
    <t>968 82 89 42</t>
  </si>
  <si>
    <t>info.pares@programapares.org</t>
  </si>
  <si>
    <t>37.9805325</t>
  </si>
  <si>
    <t>-1.1638185</t>
  </si>
  <si>
    <t>https://goo.gl/maps/4hXg7okCGiwxFkFe6</t>
  </si>
  <si>
    <t>https://streetviewpixels-pa.googleapis.com/v1/thumbnail?panoid=HhvwFYyFcnDDO15mNISpmg&amp;cb_client=search.gws-prod.gps&amp;w=408&amp;h=240&amp;yaw=111.42675&amp;pitch=0&amp;thumbfov=100</t>
  </si>
  <si>
    <t>Centro social, Portón de los jerónimos</t>
  </si>
  <si>
    <t>XRW5+G8 La Ñora</t>
  </si>
  <si>
    <t>Paseo del Portón, 30830, Murcia</t>
  </si>
  <si>
    <t>La Ñora</t>
  </si>
  <si>
    <t>38.0017753</t>
  </si>
  <si>
    <t>-1.2080888</t>
  </si>
  <si>
    <t>https://goo.gl/maps/2ojTq38RUJQhEkhR9</t>
  </si>
  <si>
    <t>Misioneras de la Caridad</t>
  </si>
  <si>
    <t>XVFJ+6C Murcia</t>
  </si>
  <si>
    <t>C. Orilla de la Vía, 15, 30011 Murcia</t>
  </si>
  <si>
    <t>968 35 17 25</t>
  </si>
  <si>
    <t>37.9731173</t>
  </si>
  <si>
    <t>-1.1539453</t>
  </si>
  <si>
    <t>https://goo.gl/maps/i2KBMiH1Lm1qtpGi8</t>
  </si>
  <si>
    <t>https://streetviewpixels-pa.googleapis.com/v1/thumbnail?panoid=H7hupJDVvjf3XHWQUOPr4g&amp;cb_client=search.gws-prod.gps&amp;w=408&amp;h=240&amp;yaw=197.25854&amp;pitch=0&amp;thumbfov=100</t>
  </si>
  <si>
    <t>Comedor Social Jesús Abandonado</t>
  </si>
  <si>
    <t>XVMF+C2 Murcia</t>
  </si>
  <si>
    <t>Calle Baraundillo, 1, 30001 Murcia</t>
  </si>
  <si>
    <t>968 22 55 98</t>
  </si>
  <si>
    <t>37.984534</t>
  </si>
  <si>
    <t>-1.17099</t>
  </si>
  <si>
    <t>https://goo.gl/maps/SAxE6HNtDg462VPy5</t>
  </si>
  <si>
    <t>https://lh5.googleusercontent.com/p/AF1QipPRhdK3opLyBNU_TxdYRy2S9snfkaLoCa5LgxMT=w426-h240-k-no</t>
  </si>
  <si>
    <t>Prayforamazonas</t>
  </si>
  <si>
    <t>XVH9+V8 Murcia</t>
  </si>
  <si>
    <t>prayforamazonas.ueniweb.com</t>
  </si>
  <si>
    <t>642 16 16 70</t>
  </si>
  <si>
    <t>wilsao1985@gmail.com</t>
  </si>
  <si>
    <t>37.9796506</t>
  </si>
  <si>
    <t>-1.1667136</t>
  </si>
  <si>
    <t>https://goo.gl/maps/pKYRMBfhwhU7DR8x8</t>
  </si>
  <si>
    <t>https://streetviewpixels-pa.googleapis.com/v1/thumbnail?panoid=6odCOU9X5pa-LjSYnxI0lQ&amp;cb_client=search.gws-prod.gps&amp;w=408&amp;h=240&amp;yaw=208.70381&amp;pitch=0&amp;thumbfov=100</t>
  </si>
  <si>
    <t>Asociación Amigos Mira España</t>
  </si>
  <si>
    <t>XVC7+JR Murcia</t>
  </si>
  <si>
    <t>Calle Río Pliego, 22, 30010 Murcia</t>
  </si>
  <si>
    <t>968 30 44 13</t>
  </si>
  <si>
    <t>https://goo.gl/maps/3r4wq6TNCNqmiLhp7</t>
  </si>
  <si>
    <t>https://streetviewpixels-pa.googleapis.com/v1/thumbnail?panoid=Xvi7jr68N4a6RN85CTttxg&amp;cb_client=search.gws-prod.gps&amp;w=408&amp;h=240&amp;yaw=105.73224&amp;pitch=0&amp;thumbfov=100</t>
  </si>
  <si>
    <t>Caritas</t>
  </si>
  <si>
    <t>XVG6+35 Murcia</t>
  </si>
  <si>
    <t>Calle Orilla de la Vía, 66, 30010 Murcia</t>
  </si>
  <si>
    <t>37.981525</t>
  </si>
  <si>
    <t>-1.1646549</t>
  </si>
  <si>
    <t>https://goo.gl/maps/9vsyaymqrErpj9CW9</t>
  </si>
  <si>
    <t>https://lh5.googleusercontent.com/p/AF1QipMvSyP8z5dPc0PaF4fY6oVMBW4EoJoKyxZ4JOeS=w426-h240-k-no</t>
  </si>
  <si>
    <t>Asistenta Social Lorena</t>
  </si>
  <si>
    <t>XVF4+RH Murcia</t>
  </si>
  <si>
    <t>Calle Orilla de la Vía, 257, 30010 Murcia</t>
  </si>
  <si>
    <t>868 08 03 00</t>
  </si>
  <si>
    <t>https://goo.gl/maps/K5cW18kCTdiiY9K68</t>
  </si>
  <si>
    <t>https://streetviewpixels-pa.googleapis.com/v1/thumbnail?panoid=UvMd63pGFo5tTFtDMuq1eA&amp;cb_client=search.gws-prod.gps&amp;w=408&amp;h=240&amp;yaw=179.89034&amp;pitch=0&amp;thumbfov=100</t>
  </si>
  <si>
    <t>ICARO S.L.</t>
  </si>
  <si>
    <t>XW7F+P4 Murcia</t>
  </si>
  <si>
    <t>Calle Diego Almagro, 33, 30570 Murcia</t>
  </si>
  <si>
    <t>37.9642928</t>
  </si>
  <si>
    <t>-1.112209</t>
  </si>
  <si>
    <t>https://goo.gl/maps/AavckKgVdjFDj57k9</t>
  </si>
  <si>
    <t>https://streetviewpixels-pa.googleapis.com/v1/thumbnail?panoid=LdUFXhU09V9OP17wUPKzQg&amp;cb_client=search.gws-prod.gps&amp;w=408&amp;h=240&amp;yaw=164.05428&amp;pitch=0&amp;thumbfov=100</t>
  </si>
  <si>
    <t>2VJ2+PJ Murcia</t>
  </si>
  <si>
    <t>Av. Juan de Borbón, 30110 Murcia</t>
  </si>
  <si>
    <t>38.0318488</t>
  </si>
  <si>
    <t>-1.183446</t>
  </si>
  <si>
    <t>https://goo.gl/maps/KXkM85wi2StnS5xu7</t>
  </si>
  <si>
    <t>P3W2+W9 Torre-Pacheco</t>
  </si>
  <si>
    <t>Calle Río Turia, 7, 30700 Torre-Pacheco, Murcia</t>
  </si>
  <si>
    <t>Torre-Pacheco</t>
  </si>
  <si>
    <t>968 58 53 52</t>
  </si>
  <si>
    <t>37.747314</t>
  </si>
  <si>
    <t>-0.9840743</t>
  </si>
  <si>
    <t>https://goo.gl/maps/ufUTi3BPBus55tMA7</t>
  </si>
  <si>
    <t>https://streetviewpixels-pa.googleapis.com/v1/thumbnail?panoid=w9lFzUKFS61G98ldTGiLSQ&amp;cb_client=search.gws-prod.gps&amp;w=408&amp;h=240&amp;yaw=281.23337&amp;pitch=0&amp;thumbfov=100</t>
  </si>
  <si>
    <t>P4VV+JJ Los Alcázares</t>
  </si>
  <si>
    <t>Calle de Ciudad Real, 52, 30201 Lomas (las), Murcia</t>
  </si>
  <si>
    <t>Los Alcázares</t>
  </si>
  <si>
    <t>968 50 53 01</t>
  </si>
  <si>
    <t>37.744092</t>
  </si>
  <si>
    <t>-0.8909564</t>
  </si>
  <si>
    <t>https://goo.gl/maps/yXRtHuynkRKtdkm96</t>
  </si>
  <si>
    <t>https://streetviewpixels-pa.googleapis.com/v1/thumbnail?panoid=_4MktUceNvfGq1eAKmF6aQ&amp;cb_client=search.gws-prod.gps&amp;w=408&amp;h=240&amp;yaw=63.949207&amp;pitch=0&amp;thumbfov=100</t>
  </si>
  <si>
    <t>Mancomunidad de Servicios Sociales Río Mula</t>
  </si>
  <si>
    <t>2GQ5+XM Mula</t>
  </si>
  <si>
    <t>Av. Juan Antonio Perea, 43, 30170 Mula, Murcia</t>
  </si>
  <si>
    <t>Mula</t>
  </si>
  <si>
    <t>mancomunidadriomula.es</t>
  </si>
  <si>
    <t>968 66 14 78</t>
  </si>
  <si>
    <t>mancomunidad@mancomunidadriomula.es</t>
  </si>
  <si>
    <t>38.0398908</t>
  </si>
  <si>
    <t>-1.5258231</t>
  </si>
  <si>
    <t>https://goo.gl/maps/ng8T6GE8vTrqtTsa9</t>
  </si>
  <si>
    <t>https://streetviewpixels-pa.googleapis.com/v1/thumbnail?panoid=FSBXVUARVjNMoQECPoSurg&amp;cb_client=search.gws-prod.gps&amp;w=408&amp;h=240&amp;yaw=156.46431&amp;pitch=0&amp;thumbfov=100</t>
  </si>
  <si>
    <t>Centro Servicios Sociales</t>
  </si>
  <si>
    <t>R6J5+MQ San Pedro del Pinatar</t>
  </si>
  <si>
    <t>Calle Dr. Mirón de Castro, 13, 30740 San Pedro del Pinatar, Murcia</t>
  </si>
  <si>
    <t>San Pedro del Pinatar</t>
  </si>
  <si>
    <t>968 18 03 88</t>
  </si>
  <si>
    <t>37.8317458</t>
  </si>
  <si>
    <t>-0.8255671</t>
  </si>
  <si>
    <t>https://goo.gl/maps/TEm9ijc2WoMpM8ry9</t>
  </si>
  <si>
    <t>https://lh5.googleusercontent.com/p/AF1QipMv8V5-mhUAIXPtBCNxSKo_hcDa8xFbjKH3jyvb=w408-h544-k-no</t>
  </si>
  <si>
    <t>Cartagena</t>
  </si>
  <si>
    <t>P2VV+9X Torre-Pacheco</t>
  </si>
  <si>
    <t>Calle Pedro Cerdán, s/n, 30700 Torre-Pacheco, Murcia</t>
  </si>
  <si>
    <t>968 57 82 52</t>
  </si>
  <si>
    <t>37.743449</t>
  </si>
  <si>
    <t>-0.9901279</t>
  </si>
  <si>
    <t>https://goo.gl/maps/ayddHi3Vfr1enm8y8</t>
  </si>
  <si>
    <t>https://lh5.googleusercontent.com/p/AF1QipPySddU7GSW2uXpfWeqRug6CXajMUVQqtpBALQK=w426-h240-k-no</t>
  </si>
  <si>
    <t>33M2+CW Orihuela</t>
  </si>
  <si>
    <t>Calle San Agustín, 22, 03300 Orihuela, Alicante</t>
  </si>
  <si>
    <t>Orihuela</t>
  </si>
  <si>
    <t>965 30 57 57</t>
  </si>
  <si>
    <t>38.0835073</t>
  </si>
  <si>
    <t>-0.9827555</t>
  </si>
  <si>
    <t>https://goo.gl/maps/gNp9qRB6KQa7pAHw7</t>
  </si>
  <si>
    <t>https://streetviewpixels-pa.googleapis.com/v1/thumbnail?panoid=w-yh79tTEhFpp0MY4F7Zbg&amp;cb_client=search.gws-prod.gps&amp;w=408&amp;h=240&amp;yaw=310.85745&amp;pitch=0&amp;thumbfov=100</t>
  </si>
  <si>
    <t>Asamblea Local de Cruz Roja Totana</t>
  </si>
  <si>
    <t>QF7W+5Q Totana</t>
  </si>
  <si>
    <t>Av. de Juan Carlos I, 1, 30850 Totana, Murcia</t>
  </si>
  <si>
    <t>Totana</t>
  </si>
  <si>
    <t>968 42 18 25</t>
  </si>
  <si>
    <t>37.7629297</t>
  </si>
  <si>
    <t>-1.5381106</t>
  </si>
  <si>
    <t>https://goo.gl/maps/8rnHhropPLYuv7WN7</t>
  </si>
  <si>
    <t>https://lh5.googleusercontent.com/p/AF1QipPl3NOPDCe-vYUVznkaI24iItTHmGisRatwgLb3=w427-h240-k-no</t>
  </si>
  <si>
    <t>J229+QM Cartagena</t>
  </si>
  <si>
    <t>Calle Calafate, 1, 30202 Cartagena, Murcia</t>
  </si>
  <si>
    <t>968 50 90 11</t>
  </si>
  <si>
    <t>37.6019444</t>
  </si>
  <si>
    <t>-1.0158522</t>
  </si>
  <si>
    <t>https://goo.gl/maps/SAQMmBXw3JDf9bZx6</t>
  </si>
  <si>
    <t>https://lh5.googleusercontent.com/p/AF1QipPrdnPJ6Vcw0YyX1MG43xQPTNX6WZuNOd_EbkA2=w408-h306-k-no</t>
  </si>
  <si>
    <t>33P6+G6 Orihuela</t>
  </si>
  <si>
    <t>Calle Los Azotes, 2, 03300 Orihuela, Alicante</t>
  </si>
  <si>
    <t>966 73 70 25</t>
  </si>
  <si>
    <t>38.0862808</t>
  </si>
  <si>
    <t>-0.9745173</t>
  </si>
  <si>
    <t>https://goo.gl/maps/KKJZrpPZqH8qRZ6o7</t>
  </si>
  <si>
    <t>https://streetviewpixels-pa.googleapis.com/v1/thumbnail?panoid=Grms9cbARDvEQHNYy6xKgA&amp;cb_client=search.gws-prod.gps&amp;w=408&amp;h=240&amp;yaw=179.4113&amp;pitch=0&amp;thumbfov=100</t>
  </si>
  <si>
    <t>Departamento de Derechos Sociales</t>
  </si>
  <si>
    <t>R956+FQ Pamplona</t>
  </si>
  <si>
    <t>Calle González Tablas, 7, 31005 Pamplona, Navarra</t>
  </si>
  <si>
    <t>848 42 69 00</t>
  </si>
  <si>
    <t>42.8087313</t>
  </si>
  <si>
    <t>-2.1983142</t>
  </si>
  <si>
    <t>https://goo.gl/maps/nPAJPrAXkGaKvRqSA</t>
  </si>
  <si>
    <t>https://lh5.googleusercontent.com/p/AF1QipO02ILF2mTwpLPSoC9Z7N7sbhEiAgJC30fb4xrV=w408-h306-k-no</t>
  </si>
  <si>
    <t>Asamblea Local de Navarra</t>
  </si>
  <si>
    <t>R987+66 Pamplona</t>
  </si>
  <si>
    <t>Calle Leyre, 6, 31002 Pamplona, Navarra</t>
  </si>
  <si>
    <t>948 20 63 50</t>
  </si>
  <si>
    <t>https://goo.gl/maps/mS62Ma25YLTujVSi7</t>
  </si>
  <si>
    <t>https://streetviewpixels-pa.googleapis.com/v1/thumbnail?panoid=VKyDlhjZIYIxiGUGTIwUaQ&amp;cb_client=search.gws-prod.gps&amp;w=408&amp;h=240&amp;yaw=347.13623&amp;pitch=0&amp;thumbfov=100</t>
  </si>
  <si>
    <t>Asociación Colectivo Alaiz</t>
  </si>
  <si>
    <t>R87Q+PW Pamplona</t>
  </si>
  <si>
    <t>Avenida de Bayona 30 bajo (pasadizo, 31011 Pamplona, Navarra</t>
  </si>
  <si>
    <t>colectivoalaiz.org</t>
  </si>
  <si>
    <t>948 25 24 85</t>
  </si>
  <si>
    <t>ccalaiz@gmail.com</t>
  </si>
  <si>
    <t>https://goo.gl/maps/86zpBCombjBnEd2NA</t>
  </si>
  <si>
    <t>https://lh5.googleusercontent.com/p/AF1QipPsB38qSh5Jyx5Et2Ny6cEuzJAOTojFPK08zDpy=w408-h306-k-no</t>
  </si>
  <si>
    <t>Mancomunidad de Servicios Sociales de Cintruenigo y Fitero</t>
  </si>
  <si>
    <t>35MV+HH Cintruénigo</t>
  </si>
  <si>
    <t>Plaza de los Capuchinos, 0, 31592 Cintruénigo, Navarra</t>
  </si>
  <si>
    <t>Cintruénigo</t>
  </si>
  <si>
    <t>cintruenigo.com</t>
  </si>
  <si>
    <t>948 81 14 75</t>
  </si>
  <si>
    <t>ayuntamiento@cintruenigo.com</t>
  </si>
  <si>
    <t>42.0839009</t>
  </si>
  <si>
    <t>-2.3663678</t>
  </si>
  <si>
    <t>https://goo.gl/maps/sNLShAypYp5UT5166</t>
  </si>
  <si>
    <t>https://lh5.googleusercontent.com/p/AF1QipPNpItHfL-lmvfRZHaxdipbmBCPm7hHnoqKXPOb=w408-h272-k-no</t>
  </si>
  <si>
    <t>Unicef - Comité Navarra</t>
  </si>
  <si>
    <t>Q9X5+9Q Pamplona</t>
  </si>
  <si>
    <t>Calle Valle de Aranguren, 2, 31006 Pamplona, Navarra</t>
  </si>
  <si>
    <t>913 34 41 33</t>
  </si>
  <si>
    <t>42.8131027</t>
  </si>
  <si>
    <t>-2.2023537</t>
  </si>
  <si>
    <t>https://goo.gl/maps/BPZkveWKxGZhSMTH6</t>
  </si>
  <si>
    <t>https://streetviewpixels-pa.googleapis.com/v1/thumbnail?panoid=wcMG8LGFyDCneCZ-nIdqUA&amp;cb_client=search.gws-prod.gps&amp;w=408&amp;h=240&amp;yaw=199.51384&amp;pitch=0&amp;thumbfov=100</t>
  </si>
  <si>
    <t>Noáin</t>
  </si>
  <si>
    <t>Servicio Social de Base</t>
  </si>
  <si>
    <t>Q8Q2+GH Zizur Mayor</t>
  </si>
  <si>
    <t>Plaza de la Mujer, 2, 31180 Zizur Mayor, Navarra</t>
  </si>
  <si>
    <t>Zizur Mayor</t>
  </si>
  <si>
    <t>zizurmayor.es</t>
  </si>
  <si>
    <t>948 18 26 63</t>
  </si>
  <si>
    <t>ayuntamiento@zizurmayor.es</t>
  </si>
  <si>
    <t>https://goo.gl/maps/ACUxACY8Hj9dmRK28</t>
  </si>
  <si>
    <t>https://streetviewpixels-pa.googleapis.com/v1/thumbnail?panoid=tcmfSnX4x95IXLDvGLdh-g&amp;cb_client=search.gws-prod.gps&amp;w=408&amp;h=240&amp;yaw=304.62634&amp;pitch=0&amp;thumbfov=100</t>
  </si>
  <si>
    <t>Acción Familiar Navarra</t>
  </si>
  <si>
    <t>R974+PM Pamplona</t>
  </si>
  <si>
    <t>Av. de Carlos III el Noble Etorbidea, 3, 31002 Pamplona, Navarra</t>
  </si>
  <si>
    <t>familianavarra.org</t>
  </si>
  <si>
    <t>948 22 15 17</t>
  </si>
  <si>
    <t>info@familianavarra.org</t>
  </si>
  <si>
    <t>https://goo.gl/maps/gFXHpCG6kWA11WNH9</t>
  </si>
  <si>
    <t>https://streetviewpixels-pa.googleapis.com/v1/thumbnail?panoid=e-xBrFPRtTji1jHkgNuP4g&amp;cb_client=search.gws-prod.gps&amp;w=408&amp;h=240&amp;yaw=267.87323&amp;pitch=0&amp;thumbfov=100</t>
  </si>
  <si>
    <t>42.9185357</t>
  </si>
  <si>
    <t>-2.3891507</t>
  </si>
  <si>
    <t>BORTZIRIETAKO GIZARTE ZERBITZUAK - SERVICIOS SOCIALES BORTZIRIAK Arantza Bera Etxalar Igantzi Lesaka</t>
  </si>
  <si>
    <t>69M7+J5 Echalar</t>
  </si>
  <si>
    <t>Calle Andutzeta, 15, 3, 31760 solairua, Navarra</t>
  </si>
  <si>
    <t>Echalar</t>
  </si>
  <si>
    <t>bortziriakgz.eus</t>
  </si>
  <si>
    <t>948 63 50 36</t>
  </si>
  <si>
    <t>https://goo.gl/maps/k5oupagFHNXMFvHX7</t>
  </si>
  <si>
    <t>https://streetviewpixels-pa.googleapis.com/v1/thumbnail?panoid=Y5GeXtHmIwPEQx9LJzrNaA&amp;cb_client=search.gws-prod.gps&amp;w=408&amp;h=240&amp;yaw=323.68423&amp;pitch=0&amp;thumbfov=100</t>
  </si>
  <si>
    <t>Feaps - Federacion de Asociaciones Y Entidades Navarras En Favor de Las Personas Con Discapacidad Intelectual</t>
  </si>
  <si>
    <t>R86V+QX Pamplona</t>
  </si>
  <si>
    <t>Av. de Pío XII, 5, 31008 Pamplona, Navarra</t>
  </si>
  <si>
    <t>feapsnavarra.org</t>
  </si>
  <si>
    <t>948 19 60 14</t>
  </si>
  <si>
    <t>info@feapsnavarra.org</t>
  </si>
  <si>
    <t>https://goo.gl/maps/zb4mfHWPE2qTswhDA</t>
  </si>
  <si>
    <t>https://streetviewpixels-pa.googleapis.com/v1/thumbnail?panoid=XjfAreeYCcj8mmTIok-lWg&amp;cb_client=search.gws-prod.gps&amp;w=408&amp;h=240&amp;yaw=149.11348&amp;pitch=0&amp;thumbfov=100</t>
  </si>
  <si>
    <t>Mancomunidad de Servicios Sociales</t>
  </si>
  <si>
    <t>83M8+94 San Adrián</t>
  </si>
  <si>
    <t>Plaza Fueros, 1, 31570 San Adrián, Navarra</t>
  </si>
  <si>
    <t>San Adrián</t>
  </si>
  <si>
    <t>ssociales.com</t>
  </si>
  <si>
    <t>948 67 15 39</t>
  </si>
  <si>
    <t>administracion@ssociales.com</t>
  </si>
  <si>
    <t>42.3334041</t>
  </si>
  <si>
    <t>-2.4949823</t>
  </si>
  <si>
    <t>https://goo.gl/maps/iunY3LPR5TPDb2q48</t>
  </si>
  <si>
    <t>https://streetviewpixels-pa.googleapis.com/v1/thumbnail?panoid=x1y4VTFD1CjQZbUS9zMFwQ&amp;cb_client=search.gws-prod.gps&amp;w=408&amp;h=240&amp;yaw=344.498&amp;pitch=0&amp;thumbfov=100</t>
  </si>
  <si>
    <t>Tudela</t>
  </si>
  <si>
    <t>Tribunal Laboral de Navarra</t>
  </si>
  <si>
    <t>R983+G2 Pamplona</t>
  </si>
  <si>
    <t>Calle Nueva, 30, 31001 Pamplona, Navarra</t>
  </si>
  <si>
    <t>tlnavarra.es</t>
  </si>
  <si>
    <t>948 22 82 87</t>
  </si>
  <si>
    <t>42.8163104</t>
  </si>
  <si>
    <t>-2.2077146</t>
  </si>
  <si>
    <t>https://goo.gl/maps/JD9VDCxgQ2z9qiKBA</t>
  </si>
  <si>
    <t>https://streetviewpixels-pa.googleapis.com/v1/thumbnail?panoid=_mqykYrr9pmmsMUstR5b_w&amp;cb_client=search.gws-prod.gps&amp;w=408&amp;h=240&amp;yaw=326.36374&amp;pitch=0&amp;thumbfov=100</t>
  </si>
  <si>
    <t>Asociación Navarra En Favor de las Personas Con Discapacidad Psiqui</t>
  </si>
  <si>
    <t>R9FQ+83 Burlada</t>
  </si>
  <si>
    <t>Plaza San Juan, 1, 31600 Burlada, Navarra</t>
  </si>
  <si>
    <t>Burlada</t>
  </si>
  <si>
    <t>948 17 49 10</t>
  </si>
  <si>
    <t>https://goo.gl/maps/xUWg8nZFXYzJYNXm8</t>
  </si>
  <si>
    <t>https://streetviewpixels-pa.googleapis.com/v1/thumbnail?panoid=fcSFycz6SPn04pDHLQcaAA&amp;cb_client=search.gws-prod.gps&amp;w=408&amp;h=240&amp;yaw=314.7933&amp;pitch=0&amp;thumbfov=100</t>
  </si>
  <si>
    <t>ACODIFNA-Coordinadora Personas con Discapacidad física Navarra</t>
  </si>
  <si>
    <t>R89M+V6 Pamplona</t>
  </si>
  <si>
    <t>Calle del Dr. Ildefonso Labayen, 15, 31012 Pamplona, Navarra</t>
  </si>
  <si>
    <t>acodifna.org</t>
  </si>
  <si>
    <t>948 36 67 39</t>
  </si>
  <si>
    <t>42.3276631</t>
  </si>
  <si>
    <t>-2.3007838</t>
  </si>
  <si>
    <t>https://goo.gl/maps/jAvM8QAM1srAXRvs9</t>
  </si>
  <si>
    <t>https://lh5.googleusercontent.com/p/AF1QipMdgKU59PYwVIQHDQGcgo1VudyRAjOhDq9odVS3=w408-h273-k-no</t>
  </si>
  <si>
    <t>Servicios Sociales - Ayuntamiento de Burlada</t>
  </si>
  <si>
    <t>R9HM+6J Burlada</t>
  </si>
  <si>
    <t>Calle Landazábal, 5, 31600 Burlada, Navarra</t>
  </si>
  <si>
    <t>burlada.es</t>
  </si>
  <si>
    <t>948 13 66 36</t>
  </si>
  <si>
    <t>https://goo.gl/maps/kqPXQ4YSQ6Dy8azy5</t>
  </si>
  <si>
    <t>https://streetviewpixels-pa.googleapis.com/v1/thumbnail?panoid=lzF1CRvcFr6NgCQ0L58jtg&amp;cb_client=search.gws-prod.gps&amp;w=408&amp;h=240&amp;yaw=242.07542&amp;pitch=0&amp;thumbfov=100</t>
  </si>
  <si>
    <t>9HH3+WX Carcastillo</t>
  </si>
  <si>
    <t>Plaza la Iglesia, 3, 31310 Carcastillo, Navarra</t>
  </si>
  <si>
    <t>Carcastillo</t>
  </si>
  <si>
    <t>948 72 54 01</t>
  </si>
  <si>
    <t>41.9985468</t>
  </si>
  <si>
    <t>-2.2394068</t>
  </si>
  <si>
    <t>https://goo.gl/maps/phsyxuXiFSkiUPuP9</t>
  </si>
  <si>
    <t>https://streetviewpixels-pa.googleapis.com/v1/thumbnail?panoid=aFV8F7QSQyyCFpTmF6MRGA&amp;cb_client=search.gws-prod.gps&amp;w=408&amp;h=240&amp;yaw=276.68906&amp;pitch=0&amp;thumbfov=100</t>
  </si>
  <si>
    <t>42.5319882</t>
  </si>
  <si>
    <t>-2.2328081</t>
  </si>
  <si>
    <t>Phn Proyecto Hombre Navarra</t>
  </si>
  <si>
    <t>MX8M+FW Estella</t>
  </si>
  <si>
    <t>Av. Pamplona, 45, 31200 Estella, Navarra</t>
  </si>
  <si>
    <t>Estella</t>
  </si>
  <si>
    <t>https://goo.gl/maps/NM6eEBSe5HGmEpQv5</t>
  </si>
  <si>
    <t>https://lh5.googleusercontent.com/p/AF1QipMhlP7MfPzOBPHXqh9NlnVaOXY1RZl33U_w-eof=w408-h305-k-no</t>
  </si>
  <si>
    <t>Asociación Navarra Nuevo Futuro</t>
  </si>
  <si>
    <t>3C43+9Q Tudela</t>
  </si>
  <si>
    <t>Camino Caritat, 19, 31500 Tudela, Navarra</t>
  </si>
  <si>
    <t>948 82 72 07</t>
  </si>
  <si>
    <t>42.055945</t>
  </si>
  <si>
    <t>-2.155874</t>
  </si>
  <si>
    <t>https://goo.gl/maps/iXbjXBwXCoPjL1247</t>
  </si>
  <si>
    <t>https://streetviewpixels-pa.googleapis.com/v1/thumbnail?panoid=ti7IFYNYs2qZ5VSVHvJDWQ&amp;cb_client=search.gws-prod.gps&amp;w=408&amp;h=240&amp;yaw=23.287872&amp;pitch=0&amp;thumbfov=100</t>
  </si>
  <si>
    <t>OSADLAN</t>
  </si>
  <si>
    <t>Q968+VH Noáin</t>
  </si>
  <si>
    <t>Ctra. Jaca, 4, 31110 Noáin, Navarra</t>
  </si>
  <si>
    <t>42.8185696</t>
  </si>
  <si>
    <t>-2.207577</t>
  </si>
  <si>
    <t>https://goo.gl/maps/11JhZhJXQt54YVXd6</t>
  </si>
  <si>
    <t>https://streetviewpixels-pa.googleapis.com/v1/thumbnail?panoid=t30CVH4wMNZtssQ-UyRFoQ&amp;cb_client=search.gws-prod.gps&amp;w=408&amp;h=240&amp;yaw=205.50783&amp;pitch=0&amp;thumbfov=100</t>
  </si>
  <si>
    <t>Servicio Social De Base / Gizarte Zerbitzua</t>
  </si>
  <si>
    <t>R84C+CJ Barañáin</t>
  </si>
  <si>
    <t>Plaza de la Paz, 31010 Barañáin, Navarra</t>
  </si>
  <si>
    <t>Barañáin</t>
  </si>
  <si>
    <t>baranain.es</t>
  </si>
  <si>
    <t>948 19 98 70</t>
  </si>
  <si>
    <t>https://goo.gl/maps/ApCSpAwzey7wFSPp8</t>
  </si>
  <si>
    <t>https://lh5.googleusercontent.com/p/AF1QipN97dVnnozwm9Oih2spMPiqkbT2DdfEXvP5y9-D=w408-h544-k-no</t>
  </si>
  <si>
    <t>Fundación Proyecto Hombre Navarra</t>
  </si>
  <si>
    <t>R954+FJ Pamplona</t>
  </si>
  <si>
    <t>Av. de Zaragoza, 23, 31005 Pamplona, Navarra</t>
  </si>
  <si>
    <t>proyectohombrenavarra.org</t>
  </si>
  <si>
    <t>948 29 18 65</t>
  </si>
  <si>
    <t>info@proyectohombrenavarra.org</t>
  </si>
  <si>
    <t>https://goo.gl/maps/dMdoeS4BhpBFWigM8</t>
  </si>
  <si>
    <t>https://lh5.googleusercontent.com/p/AF1QipPuDPpRYk7Ak8JMldyorcGURyHNvkD_NDI7dqU0=w408-h306-k-no</t>
  </si>
  <si>
    <t>Asociación Navarra En Favor de las Personas Con Discapacidad Psiquica</t>
  </si>
  <si>
    <t>MXF9+9V Estella</t>
  </si>
  <si>
    <t>Callizo de los Cordeleros, 8, 31200 Estella, Navarra</t>
  </si>
  <si>
    <t>948 55 50 27</t>
  </si>
  <si>
    <t>https://goo.gl/maps/aXQdRPRydCnesG6p6</t>
  </si>
  <si>
    <t>https://streetviewpixels-pa.googleapis.com/v1/thumbnail?panoid=HcvvF_7m6xS9JTGTKMo9dA&amp;cb_client=search.gws-prod.gps&amp;w=408&amp;h=240&amp;yaw=344.84467&amp;pitch=0&amp;thumbfov=100</t>
  </si>
  <si>
    <t>Mancomunidad Servicio Social De Base</t>
  </si>
  <si>
    <t>6883+XW Cadreita</t>
  </si>
  <si>
    <t>Plaza Ayuntamiento, 3, 31515 Cadreita, Navarra</t>
  </si>
  <si>
    <t>Cadreita</t>
  </si>
  <si>
    <t>sedesocial.es</t>
  </si>
  <si>
    <t>948 84 48 02</t>
  </si>
  <si>
    <t>ssbcadreita@sedesocial.es</t>
  </si>
  <si>
    <t>42.1145922</t>
  </si>
  <si>
    <t>-2.3446368</t>
  </si>
  <si>
    <t>https://goo.gl/maps/ehc5g61deizqmrYD9</t>
  </si>
  <si>
    <t>https://streetviewpixels-pa.googleapis.com/v1/thumbnail?panoid=c6El6NlKMNpOJo9DxdcOJA&amp;cb_client=search.gws-prod.gps&amp;w=408&amp;h=240&amp;yaw=168.66101&amp;pitch=0&amp;thumbfov=100</t>
  </si>
  <si>
    <t>Centro Municipal de Servicios Sociales / Gizarte Zerbitzuen Udal Zentroa</t>
  </si>
  <si>
    <t>42.8280822</t>
  </si>
  <si>
    <t>-2.1762251</t>
  </si>
  <si>
    <t>https://goo.gl/maps/3DYsjoKbPtqq6v3P8</t>
  </si>
  <si>
    <t>https://streetviewpixels-pa.googleapis.com/v1/thumbnail?panoid=lzF1CRvcFr6NgCQ0L58jtg&amp;cb_client=search.gws-prod.gps&amp;w=408&amp;h=240&amp;yaw=243.18594&amp;pitch=0&amp;thumbfov=100</t>
  </si>
  <si>
    <t>Afadena</t>
  </si>
  <si>
    <t>R924+99 Pamplona</t>
  </si>
  <si>
    <t>Calle de Miguel Astráin, 15, 31006 Pamplona, Navarra</t>
  </si>
  <si>
    <t>afadena.es</t>
  </si>
  <si>
    <t>621 21 56 17</t>
  </si>
  <si>
    <t>secretaria@afadena.es</t>
  </si>
  <si>
    <t>https://goo.gl/maps/Jwmy6f7oiqUQNK5GA</t>
  </si>
  <si>
    <t>https://streetviewpixels-pa.googleapis.com/v1/thumbnail?panoid=c6Z8SXZNZvZl10qiz-sR2g&amp;cb_client=search.gws-prod.gps&amp;w=408&amp;h=240&amp;yaw=121.28693&amp;pitch=0&amp;thumbfov=100</t>
  </si>
  <si>
    <t>Servisar Servicios Sociales S.L</t>
  </si>
  <si>
    <t>396R+2M Tudela</t>
  </si>
  <si>
    <t>Calle Misericordia, 8, 31500 Tudela, Navarra</t>
  </si>
  <si>
    <t>948 82 70 08</t>
  </si>
  <si>
    <t>42.0601207</t>
  </si>
  <si>
    <t>-2.1686258</t>
  </si>
  <si>
    <t>https://goo.gl/maps/G8Ab3fZQhTuEryLJ7</t>
  </si>
  <si>
    <t>https://streetviewpixels-pa.googleapis.com/v1/thumbnail?panoid=VwnPCsgA2yHsbDKan9gNng&amp;cb_client=search.gws-prod.gps&amp;w=408&amp;h=240&amp;yaw=72.184044&amp;pitch=0&amp;thumbfov=100</t>
  </si>
  <si>
    <t>LARES Asociación Navarra Residencias Ancianos</t>
  </si>
  <si>
    <t>R947+9P Pamplona</t>
  </si>
  <si>
    <t>Parque Tomás Caballero, 2, 31006 Pamplona, Navarra</t>
  </si>
  <si>
    <t>laresnavarra.org</t>
  </si>
  <si>
    <t>948 25 55 10</t>
  </si>
  <si>
    <t>info@laresnavarra.org</t>
  </si>
  <si>
    <t>42.8059327</t>
  </si>
  <si>
    <t>-2.195956</t>
  </si>
  <si>
    <t>https://goo.gl/maps/RSLvoYzWFEULuLzH9</t>
  </si>
  <si>
    <t>https://streetviewpixels-pa.googleapis.com/v1/thumbnail?panoid=Ct53FCbN5uvVXB_puHqMDQ&amp;cb_client=search.gws-prod.gps&amp;w=408&amp;h=240&amp;yaw=270.35742&amp;pitch=0&amp;thumbfov=100</t>
  </si>
  <si>
    <t>Asociación Navarra de Ayuda A la Parálisis Cerebral</t>
  </si>
  <si>
    <t>R84V+2V Pamplona</t>
  </si>
  <si>
    <t>Calle Pintor Asarta, 1, 31007 Pamplona, Navarra</t>
  </si>
  <si>
    <t>948 25 21 09</t>
  </si>
  <si>
    <t>https://goo.gl/maps/6U4BVyVYUQpcDmLy6</t>
  </si>
  <si>
    <t>https://streetviewpixels-pa.googleapis.com/v1/thumbnail?panoid=7q11mSS_FzcmUQo9aX2vcQ&amp;cb_client=search.gws-prod.gps&amp;w=408&amp;h=240&amp;yaw=197.61745&amp;pitch=0&amp;thumbfov=100</t>
  </si>
  <si>
    <t>Fundación Aspace Navarra Para El Empleo (Montajes industriales y Servicio de Ayudas Técnicas)</t>
  </si>
  <si>
    <t>Q937+C5 Noáin</t>
  </si>
  <si>
    <t>Calle Noáin, 2, 31110 Noáin, Navarra</t>
  </si>
  <si>
    <t>aspacenavarra.org</t>
  </si>
  <si>
    <t>948 31 23 63</t>
  </si>
  <si>
    <t>https://goo.gl/maps/FbSq3kpALbBPrjYK9</t>
  </si>
  <si>
    <t>https://lh5.googleusercontent.com/p/AF1QipP0FOOdFtazUetpG7dp_olR2fz8yFsYVrkJ_DJ_=w408-h271-k-no</t>
  </si>
  <si>
    <t>Unidad de Barrio Iturrama</t>
  </si>
  <si>
    <t>R943+52 Pamplona</t>
  </si>
  <si>
    <t>trasera,, Calle Serafín Olave, 6, 31007 Pamplona, Navarra</t>
  </si>
  <si>
    <t>948 42 07 72</t>
  </si>
  <si>
    <t>https://goo.gl/maps/7osSSPMn3yKQuUPH6</t>
  </si>
  <si>
    <t>https://streetviewpixels-pa.googleapis.com/v1/thumbnail?panoid=j94TZoB1HeC_Lh17iQ4qgQ&amp;cb_client=search.gws-prod.gps&amp;w=408&amp;h=240&amp;yaw=30.186256&amp;pitch=0&amp;thumbfov=100</t>
  </si>
  <si>
    <t>Asociación Navarra Sin Fronteras</t>
  </si>
  <si>
    <t>R9C5+XX Pamplona</t>
  </si>
  <si>
    <t>Calle Vergel, 2, 31014 Pamplona, Navarra</t>
  </si>
  <si>
    <t>948 22 37 83</t>
  </si>
  <si>
    <t>42.8224705</t>
  </si>
  <si>
    <t>-2.2003605</t>
  </si>
  <si>
    <t>https://goo.gl/maps/Aq412mCHM3657Cbz7</t>
  </si>
  <si>
    <t>https://streetviewpixels-pa.googleapis.com/v1/thumbnail?panoid=OVS--7xC_yBeOoZr5TkCtA&amp;cb_client=search.gws-prod.gps&amp;w=408&amp;h=240&amp;yaw=54.28928&amp;pitch=0&amp;thumbfov=100</t>
  </si>
  <si>
    <t>Asociación Navarra de Familias Numerosas</t>
  </si>
  <si>
    <t>R97Q+3R Pamplona</t>
  </si>
  <si>
    <t>Calle Señorío de Egulbati, 19, 31016 Pamplona, Navarra</t>
  </si>
  <si>
    <t>familiasnumerosasnav.org</t>
  </si>
  <si>
    <t>948 16 37 97</t>
  </si>
  <si>
    <t>https://g.page/familiasnumerosasnavarra?share</t>
  </si>
  <si>
    <t>https://lh5.googleusercontent.com/p/AF1QipNNVKqwd__jHpUKo6tNqVchgTemcYq2rJQuY8OD=w408-h272-k-no</t>
  </si>
  <si>
    <t>Mancomunidad Servicios Sociales de Base Valdizarbe</t>
  </si>
  <si>
    <t>M5CJ+JW Puente la Reina</t>
  </si>
  <si>
    <t>Calle Mayor, 97, 31100 Puente la Reina, Navarra</t>
  </si>
  <si>
    <t>Puente la Reina</t>
  </si>
  <si>
    <t>serviciosocialvaldizarbe.blogspot.com.es</t>
  </si>
  <si>
    <t>948 34 08 79</t>
  </si>
  <si>
    <t>ssbpuente@infolocal.org</t>
  </si>
  <si>
    <t>https://goo.gl/maps/3FmBQJQEPhtBWar9A</t>
  </si>
  <si>
    <t>https://lh5.googleusercontent.com/p/AF1QipNqpnNYmlPdyWyK8cOJ8q1W2NmtT_aPoIJBpFke=w408-h305-k-no</t>
  </si>
  <si>
    <t>Cruz Roja Navarra - Nafarroako Gurutze Gorria</t>
  </si>
  <si>
    <t>230</t>
  </si>
  <si>
    <t>R987+55 Pamplona</t>
  </si>
  <si>
    <t>948 20 65 70</t>
  </si>
  <si>
    <t>https://goo.gl/maps/zpY5beyaaUBgZ4qv9</t>
  </si>
  <si>
    <t>https://lh5.googleusercontent.com/p/AF1QipODjybowMeiAKJkFLKB0dd8EODSRNS4cHEto0rq=w408-h306-k-no</t>
  </si>
  <si>
    <t>Anfas Asociación Navarra En Favor de las Personas Con Discapacidad Psiquica</t>
  </si>
  <si>
    <t>R83C+M3 Barañáin</t>
  </si>
  <si>
    <t>Calle de San Esteban, 7, 31010 Barañáin, Navarra</t>
  </si>
  <si>
    <t>948 26 03 71</t>
  </si>
  <si>
    <t>42.8042435</t>
  </si>
  <si>
    <t>-2.2401267</t>
  </si>
  <si>
    <t>https://goo.gl/maps/iksxegsrDZnXJpf59</t>
  </si>
  <si>
    <t>https://streetviewpixels-pa.googleapis.com/v1/thumbnail?panoid=zFBOX21vWe9hf8c_inrO1g&amp;cb_client=search.gws-prod.gps&amp;w=408&amp;h=240&amp;yaw=254.32574&amp;pitch=0&amp;thumbfov=100</t>
  </si>
  <si>
    <t>Adacen</t>
  </si>
  <si>
    <t>Q9PR+C7 Mutilva</t>
  </si>
  <si>
    <t>Calle Zolina, 31192 Mutilva, Navarra</t>
  </si>
  <si>
    <t>Mutilva</t>
  </si>
  <si>
    <t>adacen.org</t>
  </si>
  <si>
    <t>948 17 65 60</t>
  </si>
  <si>
    <t>info@adacen.org</t>
  </si>
  <si>
    <t>https://goo.gl/maps/xAWixDSXNmVfo1Br6</t>
  </si>
  <si>
    <t>https://lh5.googleusercontent.com/p/AF1QipNvN5K6gDGri8LKpv7feD9Au_kwE3D2BJh7gRte=w408-h306-k-no</t>
  </si>
  <si>
    <t>Calle Aguas del Alhama, 0, 31500 Tudela, Navarra</t>
  </si>
  <si>
    <t>Abáigar</t>
  </si>
  <si>
    <t>anfasnavarra.org</t>
  </si>
  <si>
    <t>948 82 27 37</t>
  </si>
  <si>
    <t>v.alonso@anfasnavarra.org</t>
  </si>
  <si>
    <t>42.0544345</t>
  </si>
  <si>
    <t>-2.1629751</t>
  </si>
  <si>
    <t>https://goo.gl/maps/RP1XzGnpFNfZZj1h6</t>
  </si>
  <si>
    <t>https://streetviewpixels-pa.googleapis.com/v1/thumbnail?panoid=JONxoHNc8QAJAiojW04Bsw&amp;cb_client=search.gws-prod.gps&amp;w=408&amp;h=240&amp;yaw=54.58327&amp;pitch=0&amp;thumbfov=100</t>
  </si>
  <si>
    <t>42.8046498</t>
  </si>
  <si>
    <t>-2.202193</t>
  </si>
  <si>
    <t>MXC8+QC Estella</t>
  </si>
  <si>
    <t>Paseo de la Inmaculada, 66, 31200 Estella, Navarra</t>
  </si>
  <si>
    <t>948 54 82 23</t>
  </si>
  <si>
    <t>https://goo.gl/maps/HhsE4uRNDBDUZnnB6</t>
  </si>
  <si>
    <t>https://streetviewpixels-pa.googleapis.com/v1/thumbnail?panoid=UBTkv--7NUPEIfOJlnRMdA&amp;cb_client=search.gws-prod.gps&amp;w=408&amp;h=240&amp;yaw=66.33772&amp;pitch=0&amp;thumbfov=100</t>
  </si>
  <si>
    <t>G8HF+CM Tafalla</t>
  </si>
  <si>
    <t>Calle San Salvador, 11, 31300 Tafalla, Navarra</t>
  </si>
  <si>
    <t>948 70 29 70</t>
  </si>
  <si>
    <t>42.5285791</t>
  </si>
  <si>
    <t>-2.2360899</t>
  </si>
  <si>
    <t>https://goo.gl/maps/Je5TqV3hgBhCx1DK7</t>
  </si>
  <si>
    <t>https://streetviewpixels-pa.googleapis.com/v1/thumbnail?panoid=ZG9TB1CYta_lrX_pPgA3_Q&amp;cb_client=search.gws-prod.gps&amp;w=408&amp;h=240&amp;yaw=299.52728&amp;pitch=0&amp;thumbfov=100</t>
  </si>
  <si>
    <t>ANFAS - Centro de desarrollo intantil y juvenil</t>
  </si>
  <si>
    <t>R84V+29 Pamplona</t>
  </si>
  <si>
    <t>Calle Pedro I, 9, 31007 Pamplona, Navarra</t>
  </si>
  <si>
    <t>948 26 37 87</t>
  </si>
  <si>
    <t>https://goo.gl/maps/KBmKbekEqEkyHHmk6</t>
  </si>
  <si>
    <t>https://lh5.googleusercontent.com/p/AF1QipPq-OQUwhUrTHqjYJXyia0kRzxbkgjCtKCXTSU7=w408-h544-k-no</t>
  </si>
  <si>
    <t>HERBALIFE TUDELA</t>
  </si>
  <si>
    <t>398R+42 Tudela</t>
  </si>
  <si>
    <t>Calle Vicente Berdusán, 5, 31500 Tudela, Navarra</t>
  </si>
  <si>
    <t>606 51 52 68</t>
  </si>
  <si>
    <t>42.0653627</t>
  </si>
  <si>
    <t>-2.1702383</t>
  </si>
  <si>
    <t>https://g.page/cristina-arano-herbalife?share</t>
  </si>
  <si>
    <t>https://lh5.googleusercontent.com/p/AF1QipMnMEJyX5eAv-fg5MMLm4MkeqraMz256oyo8QwI=w426-h240-k-no</t>
  </si>
  <si>
    <t>Pauma</t>
  </si>
  <si>
    <t>R9MC+6G Pamplona</t>
  </si>
  <si>
    <t>Calle Valtierra, 13, 31015 Pamplona, Navarra</t>
  </si>
  <si>
    <t>pauma.es</t>
  </si>
  <si>
    <t>948 38 33 52</t>
  </si>
  <si>
    <t>comunicacion@pauma.es</t>
  </si>
  <si>
    <t>42.8330725</t>
  </si>
  <si>
    <t>-2.1889662</t>
  </si>
  <si>
    <t>https://goo.gl/maps/Bm5f5ZVcMvY7Vshd6</t>
  </si>
  <si>
    <t>https://streetviewpixels-pa.googleapis.com/v1/thumbnail?panoid=Zg2uG0oJTjEWJi6dXQDdtQ&amp;cb_client=search.gws-prod.gps&amp;w=408&amp;h=240&amp;yaw=162.38397&amp;pitch=0&amp;thumbfov=100</t>
  </si>
  <si>
    <t>ASOCIACIÓN ANTOX, Investigación, Prevención y Tratamiento de Adicciones</t>
  </si>
  <si>
    <t>R977+2J Pamplona</t>
  </si>
  <si>
    <t>Asociación ANTOX: Centro Ambulatorio de Atención a las Adicciones de, A, Calle de Olite, 26, 31004 Pamplona, Navarra</t>
  </si>
  <si>
    <t>antox.es</t>
  </si>
  <si>
    <t>948 24 23 89</t>
  </si>
  <si>
    <t>info@antox.es</t>
  </si>
  <si>
    <t>https://g.page/ANTOX?share</t>
  </si>
  <si>
    <t>https://lh5.googleusercontent.com/p/AF1QipMz-fLn6UMCQFzQGZJCuFyeDbfFxVhsCMVvKtuq=w408-h272-k-no</t>
  </si>
  <si>
    <t>Rehavital</t>
  </si>
  <si>
    <t>396W+JF Tudela</t>
  </si>
  <si>
    <t>Plaza Sancho VII el Fuerte, 13, 31500 Tudela, Navarra</t>
  </si>
  <si>
    <t>rehavital.es</t>
  </si>
  <si>
    <t>948 40 23 94</t>
  </si>
  <si>
    <t>info@rehavital.es</t>
  </si>
  <si>
    <t>42.0615943</t>
  </si>
  <si>
    <t>-2.1640835</t>
  </si>
  <si>
    <t>https://goo.gl/maps/yPw2Z1rKUUhjGsAFA</t>
  </si>
  <si>
    <t>https://lh5.googleusercontent.com/p/AF1QipPx99ToU6CyPgJrfnBaRJqw_eeg1JaJLVL1SbVw=w426-h240-k-no</t>
  </si>
  <si>
    <t>Cruz Roja Burlada - Burlatako Gurutze Gorria</t>
  </si>
  <si>
    <t>R9GM+XG Burlada</t>
  </si>
  <si>
    <t>Calle Concejo de Olaz, 1, 31600 Burlada, Navarra</t>
  </si>
  <si>
    <t>948 14 32 21</t>
  </si>
  <si>
    <t>42.818428</t>
  </si>
  <si>
    <t>-2.2044437</t>
  </si>
  <si>
    <t>https://goo.gl/maps/MUWpYuCRyEQo3ZLE7</t>
  </si>
  <si>
    <t>https://streetviewpixels-pa.googleapis.com/v1/thumbnail?panoid=QOeas6JOfw6VnST6OCoN8w&amp;cb_client=search.gws-prod.gps&amp;w=408&amp;h=240&amp;yaw=352.3486&amp;pitch=0&amp;thumbfov=100</t>
  </si>
  <si>
    <t>Anafe Cite</t>
  </si>
  <si>
    <t>R9H2+J5 Pamplona</t>
  </si>
  <si>
    <t>Edificio Iwer, Av. Marcelo Celayeta, 75, 31014 Pamplona, Navarra</t>
  </si>
  <si>
    <t>anafe-cite.org</t>
  </si>
  <si>
    <t>948 13 60 78</t>
  </si>
  <si>
    <t>https://goo.gl/maps/U72LUjVcsqnbKWoB7</t>
  </si>
  <si>
    <t>https://lh5.googleusercontent.com/p/AF1QipNu55zuDLP1UDdIkkylbeGzYS5Babc0FgYtngUg=w426-h240-k-no</t>
  </si>
  <si>
    <t>Cruz Roja Sangüesa - Zangozako Gurutze Gorria</t>
  </si>
  <si>
    <t>HPG9+QH Sangüesa</t>
  </si>
  <si>
    <t>Plaza San Vicente de Paul, 2, 31400 Sangüesa, Navarra</t>
  </si>
  <si>
    <t>Sangüesa</t>
  </si>
  <si>
    <t>948 87 05 27</t>
  </si>
  <si>
    <t>42.6096115</t>
  </si>
  <si>
    <t>-1.6120233</t>
  </si>
  <si>
    <t>https://goo.gl/maps/2qqQKro5z6VwX1JM7</t>
  </si>
  <si>
    <t>https://streetviewpixels-pa.googleapis.com/v1/thumbnail?panoid=cK--VoW3ruyqG9zpoDzQkg&amp;cb_client=search.gws-prod.gps&amp;w=408&amp;h=240&amp;yaw=179.33603&amp;pitch=0&amp;thumbfov=100</t>
  </si>
  <si>
    <t>Comedor Solidario Paris 365</t>
  </si>
  <si>
    <t>R992+5F Pamplona</t>
  </si>
  <si>
    <t>Calle San Lorenzo, 31, 31001 Pamplona, Navarra</t>
  </si>
  <si>
    <t>paris365.org</t>
  </si>
  <si>
    <t>948 22 24 25</t>
  </si>
  <si>
    <t>paris365@paris365.org</t>
  </si>
  <si>
    <t>42.7825867</t>
  </si>
  <si>
    <t>-2.2488901</t>
  </si>
  <si>
    <t>https://goo.gl/maps/PBgoCAii9MMHrUHU8</t>
  </si>
  <si>
    <t>https://lh5.googleusercontent.com/p/AF1QipO0SMGy1U8AXDczeSkXwAlXyE9P1CXJAmnpbtU9=w408-h306-k-no</t>
  </si>
  <si>
    <t>Cruz Roja Buñuel - Buñuelgo Gurutze Gorria</t>
  </si>
  <si>
    <t>XHJ3+HG Buñuel</t>
  </si>
  <si>
    <t>Calle Mayor, 5, 31540 Buñuel, Navarra</t>
  </si>
  <si>
    <t>Buñuel</t>
  </si>
  <si>
    <t>948 83 35 87</t>
  </si>
  <si>
    <t>41.9814137</t>
  </si>
  <si>
    <t>-2.006473</t>
  </si>
  <si>
    <t>https://goo.gl/maps/5WuYfqHjLvyR3sKf7</t>
  </si>
  <si>
    <t>https://streetviewpixels-pa.googleapis.com/v1/thumbnail?panoid=ju2tHlqweq2lpK9TXZB3Bg&amp;cb_client=search.gws-prod.gps&amp;w=408&amp;h=240&amp;yaw=276.04077&amp;pitch=0&amp;thumbfov=100</t>
  </si>
  <si>
    <t>Federación de Asociaciones Gitanas de Navarra Gaz Calo</t>
  </si>
  <si>
    <t>R9GM+VF Burlada</t>
  </si>
  <si>
    <t>C/ Merindad de Sangüesa, 10, 31600 Burlada, Navarra</t>
  </si>
  <si>
    <t>gazkalo.org</t>
  </si>
  <si>
    <t>948 13 10 01</t>
  </si>
  <si>
    <t>info@gazkalo.org</t>
  </si>
  <si>
    <t>42.8165399</t>
  </si>
  <si>
    <t>-2.2060352</t>
  </si>
  <si>
    <t>https://goo.gl/maps/FHV6nTuhkTy56rKj8</t>
  </si>
  <si>
    <t>https://streetviewpixels-pa.googleapis.com/v1/thumbnail?panoid=ihamxOMqL1jX-40o9hBaOg&amp;cb_client=search.gws-prod.gps&amp;w=408&amp;h=240&amp;yaw=63.982536&amp;pitch=0&amp;thumbfov=100</t>
  </si>
  <si>
    <t>Cruz Roja Lekunberri - Lekunberriko Gurutze Gorria</t>
  </si>
  <si>
    <t>2433+VV Lekunberri</t>
  </si>
  <si>
    <t>Herriko Enparantza, 2, 31870 Lekunberri, Navarra</t>
  </si>
  <si>
    <t>Lekunberri</t>
  </si>
  <si>
    <t>948 50 40 07</t>
  </si>
  <si>
    <t>42.5311343</t>
  </si>
  <si>
    <t>-2.2328698</t>
  </si>
  <si>
    <t>https://goo.gl/maps/SNsYXSvsPywDrjoo6</t>
  </si>
  <si>
    <t>https://streetviewpixels-pa.googleapis.com/v1/thumbnail?panoid=WjNMifBzVAgD2dzZVw8fwg&amp;cb_client=search.gws-prod.gps&amp;w=408&amp;h=240&amp;yaw=66.371544&amp;pitch=0&amp;thumbfov=100</t>
  </si>
  <si>
    <t>Instituto Foral de Asistencia Social de Vizcaya</t>
  </si>
  <si>
    <t>739H+GC Bilbao</t>
  </si>
  <si>
    <t>Uribarri Kalea, 1, 48007 Bilbo, Bizkaia</t>
  </si>
  <si>
    <t>Bilbao</t>
  </si>
  <si>
    <t>Bizkaia</t>
  </si>
  <si>
    <t>944 45 53 54</t>
  </si>
  <si>
    <t>43.218878</t>
  </si>
  <si>
    <t>-2.9309414</t>
  </si>
  <si>
    <t>https://goo.gl/maps/bfgN8mDeQwvZ91KV7</t>
  </si>
  <si>
    <t>https://streetviewpixels-pa.googleapis.com/v1/thumbnail?panoid=bSa6MixJwRB8q41FoWQK_w&amp;cb_client=search.gws-prod.gps&amp;w=408&amp;h=240&amp;yaw=116.79034&amp;pitch=0&amp;thumbfov=100</t>
  </si>
  <si>
    <t>Instituto Foral De Asistencia Social De Bizkaia</t>
  </si>
  <si>
    <t>72W7+GC Baracaldo</t>
  </si>
  <si>
    <t>Los Fueros Ibilbidea, 3, 48901 Barakaldo, Bizkaia</t>
  </si>
  <si>
    <t>Baracaldo</t>
  </si>
  <si>
    <t>43.2962659</t>
  </si>
  <si>
    <t>-3.266646</t>
  </si>
  <si>
    <t>https://goo.gl/maps/2AuEmpRfaJg9vuiUA</t>
  </si>
  <si>
    <t>https://streetviewpixels-pa.googleapis.com/v1/thumbnail?panoid=E-_SnsZ-GDV_P3U9RmbAog&amp;cb_client=search.gws-prod.gps&amp;w=408&amp;h=240&amp;yaw=204.01671&amp;pitch=0&amp;thumbfov=100</t>
  </si>
  <si>
    <t>Instituto Foral de Asistencia Social</t>
  </si>
  <si>
    <t>8228+32 Baracaldo</t>
  </si>
  <si>
    <t>Murrieta Kalea, 6, 48901 Barakaldo, Bizkaia</t>
  </si>
  <si>
    <t>944 06 78 01</t>
  </si>
  <si>
    <t>https://goo.gl/maps/PYsneUmJ23V7Qic7A</t>
  </si>
  <si>
    <t>https://streetviewpixels-pa.googleapis.com/v1/thumbnail?panoid=6Pr4d97ho90BorVTF-taKQ&amp;cb_client=search.gws-prod.gps&amp;w=408&amp;h=240&amp;yaw=3.3195283&amp;pitch=0&amp;thumbfov=100</t>
  </si>
  <si>
    <t>Instituto Foral de Asistencia Social de Bizkaia</t>
  </si>
  <si>
    <t>4FH6+82 Elorrio</t>
  </si>
  <si>
    <t>Balendin Berrio-Otxoa Kalea, 40, 48230 Elorrio, Bizkaia</t>
  </si>
  <si>
    <t>Elorrio</t>
  </si>
  <si>
    <t>946 82 10 13</t>
  </si>
  <si>
    <t>43.1282801</t>
  </si>
  <si>
    <t>-2.8201221</t>
  </si>
  <si>
    <t>https://goo.gl/maps/Q5c6PxVo3RvGF58d6</t>
  </si>
  <si>
    <t>https://streetviewpixels-pa.googleapis.com/v1/thumbnail?panoid=x3uQtnpL9tPGgMLjb6zsIA&amp;cb_client=search.gws-prod.gps&amp;w=408&amp;h=240&amp;yaw=253.73434&amp;pitch=0&amp;thumbfov=100</t>
  </si>
  <si>
    <t>8X9F+62 Portugalete</t>
  </si>
  <si>
    <t>Grumete Diego Kalea, 38, 48920 Portugalete, Bizkaia</t>
  </si>
  <si>
    <t>Portugalete</t>
  </si>
  <si>
    <t>944 83 64 71</t>
  </si>
  <si>
    <t>43.2947117</t>
  </si>
  <si>
    <t>-3.2783371</t>
  </si>
  <si>
    <t>https://goo.gl/maps/JBmKn67UGQBdat9v9</t>
  </si>
  <si>
    <t>https://streetviewpixels-pa.googleapis.com/v1/thumbnail?panoid=xEh1HG-uXUn39B88JdtIhQ&amp;cb_client=search.gws-prod.gps&amp;w=408&amp;h=240&amp;yaw=115.35206&amp;pitch=0&amp;thumbfov=100</t>
  </si>
  <si>
    <t>Grupo SSI Servicios Sociales Integrados</t>
  </si>
  <si>
    <t>7363+9M Bilbao</t>
  </si>
  <si>
    <t>Simón Bolívar Kalea, 28, 48013 Bilbo, Bizkaia</t>
  </si>
  <si>
    <t>grupossi.es</t>
  </si>
  <si>
    <t>944 79 51 70</t>
  </si>
  <si>
    <t>info@grupossi.es</t>
  </si>
  <si>
    <t>https://g.page/grupo_ssi?share</t>
  </si>
  <si>
    <t>https://lh5.googleusercontent.com/p/AF1QipPEYh0ibzd4tXIvq_rbZ5xyxrKsB5wKVf0znbQ0=w426-h240-k-no</t>
  </si>
  <si>
    <t>Salhaketa Bizkaia</t>
  </si>
  <si>
    <t>738H+C4 Bilbao</t>
  </si>
  <si>
    <t>Uribarri Kalea, 2, 48007 Bilbo, Bizkaia</t>
  </si>
  <si>
    <t>salhaketa.org</t>
  </si>
  <si>
    <t>944 46 41 00</t>
  </si>
  <si>
    <t>salhaketa-araba@salhaketa.org</t>
  </si>
  <si>
    <t>https://goo.gl/maps/ALsChF64VnN9cLEKA</t>
  </si>
  <si>
    <t>https://streetviewpixels-pa.googleapis.com/v1/thumbnail?panoid=JYsvbxvrnyyUCBBt2La5Dg&amp;cb_client=search.gws-prod.gps&amp;w=408&amp;h=240&amp;yaw=0.8979658&amp;pitch=0&amp;thumbfov=100</t>
  </si>
  <si>
    <t>Colegio Oficial de Diplomados En Trabajo Social y Asistentes Sociales de Vizcaya</t>
  </si>
  <si>
    <t>735G+93 Bilbao</t>
  </si>
  <si>
    <t>Jardines Kalea, 11, 48005 Bilbo, Bizkaia</t>
  </si>
  <si>
    <t>944 16 07 40</t>
  </si>
  <si>
    <t>https://goo.gl/maps/e5YKx6s3tKtxsQPDA</t>
  </si>
  <si>
    <t>https://lh5.googleusercontent.com/p/AF1QipN6PafXoAgziDeHepYxF6rZlbBV45Cy46YnpAqY=w408-h544-k-no</t>
  </si>
  <si>
    <t>Agintzari</t>
  </si>
  <si>
    <t>73C4+CG Bilbao</t>
  </si>
  <si>
    <t>Madariaga Etorbidea, 1, 48014 Bilbo, Bizkaia</t>
  </si>
  <si>
    <t>agintzari.com</t>
  </si>
  <si>
    <t>944 75 70 05</t>
  </si>
  <si>
    <t>email@email.es</t>
  </si>
  <si>
    <t>https://goo.gl/maps/RNfbtNw6Lq3Ko7456</t>
  </si>
  <si>
    <t>https://streetviewpixels-pa.googleapis.com/v1/thumbnail?panoid=P4I5a7lUyyXwUqLuo4VKXg&amp;cb_client=search.gws-prod.gps&amp;w=408&amp;h=240&amp;yaw=153.66566&amp;pitch=0&amp;thumbfov=100</t>
  </si>
  <si>
    <t>Federación Coordinadora de Personas Con Discapacidad Física de Bizkaia</t>
  </si>
  <si>
    <t>734W+H3 Bilbao</t>
  </si>
  <si>
    <t>Garat Txomin Hiribidea, 42, 48004 Bilbo, Bizkaia</t>
  </si>
  <si>
    <t>944 00 82 04</t>
  </si>
  <si>
    <t>https://goo.gl/maps/yexgyUCZwWnGK5jB7</t>
  </si>
  <si>
    <t>https://streetviewpixels-pa.googleapis.com/v1/thumbnail?panoid=7Q7PZnDpBNXKZ0iWs8Jl_g&amp;cb_client=search.gws-prod.gps&amp;w=408&amp;h=240&amp;yaw=207.87721&amp;pitch=0&amp;thumbfov=100</t>
  </si>
  <si>
    <t>Ifas</t>
  </si>
  <si>
    <t>73C5+P5 Bilbao</t>
  </si>
  <si>
    <t>Ugasko Bidea, 5, 48014 Bilbo, Bizkaia</t>
  </si>
  <si>
    <t>ifas.bizkaia.eus</t>
  </si>
  <si>
    <t>944 06 76 75</t>
  </si>
  <si>
    <t>gufe@bizkaia.eus</t>
  </si>
  <si>
    <t>https://goo.gl/maps/MKcNKfmbApruPPKg6</t>
  </si>
  <si>
    <t>https://streetviewpixels-pa.googleapis.com/v1/thumbnail?panoid=jw_exsVKfbYe_S33XUczzA&amp;cb_client=search.gws-prod.gps&amp;w=408&amp;h=240&amp;yaw=304.46243&amp;pitch=0&amp;thumbfov=100</t>
  </si>
  <si>
    <t>Centro de Incorporación Social, Hiranka</t>
  </si>
  <si>
    <t>7392+W5 Bilbao</t>
  </si>
  <si>
    <t>Blas de Otero Kalea, nº 39, 48014 Bilbo, Bizkaia</t>
  </si>
  <si>
    <t>elkarbanatuz.org</t>
  </si>
  <si>
    <t>944 76 41 36</t>
  </si>
  <si>
    <t>https://goo.gl/maps/1JNT7usB3kdAnGEH7</t>
  </si>
  <si>
    <t>https://lh5.googleusercontent.com/p/AF1QipOQJMd_C90b4FQAm2CNqTFu-yzufJ2AzXY416DE=w408-h263-k-no</t>
  </si>
  <si>
    <t>43.2718009</t>
  </si>
  <si>
    <t>-3.222264</t>
  </si>
  <si>
    <t>Servicio Social de Base de Irala</t>
  </si>
  <si>
    <t>7327+CF Bilbao</t>
  </si>
  <si>
    <t>Jaro de Arana Plaza, 0, 48012 Bilbo, Bizkaia</t>
  </si>
  <si>
    <t>944 21 02 05</t>
  </si>
  <si>
    <t>https://goo.gl/maps/dMap62DMDJ2P27Ht9</t>
  </si>
  <si>
    <t>https://lh5.googleusercontent.com/p/AF1QipO4kAYHDOepSgTj8R0IWgk4LhC1J__I306zh48=w408-h305-k-no</t>
  </si>
  <si>
    <t>Servicio Social de Base de Rekalde Peñascal</t>
  </si>
  <si>
    <t>63X3+FM Bilbao</t>
  </si>
  <si>
    <t>Altube Zeharkalea, 6, 48002 Bilbo, Bizkaia</t>
  </si>
  <si>
    <t>944 10 51 52</t>
  </si>
  <si>
    <t>https://goo.gl/maps/tnJiR6hyw48TRd9h9</t>
  </si>
  <si>
    <t>https://streetviewpixels-pa.googleapis.com/v1/thumbnail?panoid=K6nlG5hjPhy0oF04jAQzxQ&amp;cb_client=search.gws-prod.gps&amp;w=408&amp;h=240&amp;yaw=180.28429&amp;pitch=0&amp;thumbfov=100</t>
  </si>
  <si>
    <t>Servicios Sociales Municipales de Getxo</t>
  </si>
  <si>
    <t>9X2Q+2V Guecho</t>
  </si>
  <si>
    <t>Urgull Kalea, s/n, 48991 Algorta, Vizcaya, Bizkaia</t>
  </si>
  <si>
    <t>Guecho</t>
  </si>
  <si>
    <t>getxo.eus</t>
  </si>
  <si>
    <t>944 66 01 01</t>
  </si>
  <si>
    <t>alkatetza@getxo.eus</t>
  </si>
  <si>
    <t>https://goo.gl/maps/n9RqvdC4vZQUprhy6</t>
  </si>
  <si>
    <t>https://streetviewpixels-pa.googleapis.com/v1/thumbnail?panoid=WB0PtuYpcvOWZNLks_ohdw&amp;cb_client=search.gws-prod.gps&amp;w=408&amp;h=240&amp;yaw=36.420662&amp;pitch=0&amp;thumbfov=100</t>
  </si>
  <si>
    <t>Biscay</t>
  </si>
  <si>
    <t>Calle de Indalecio Prieto, 48004 Bilbo, Bizkaia</t>
  </si>
  <si>
    <t>Abadiño</t>
  </si>
  <si>
    <t>944 02 47 49</t>
  </si>
  <si>
    <t>https://goo.gl/maps/Je7dbtGRGvJ2fZVw7</t>
  </si>
  <si>
    <t>https://streetviewpixels-pa.googleapis.com/v1/thumbnail?panoid=_oIF0jmy_6VBl65cVkdAgQ&amp;cb_client=search.gws-prod.gps&amp;w=408&amp;h=240&amp;yaw=260.8192&amp;pitch=0&amp;thumbfov=100</t>
  </si>
  <si>
    <t>Basauri</t>
  </si>
  <si>
    <t>Centro Nafarroa Bienestar Social</t>
  </si>
  <si>
    <t>6798+FF Amorebieta-Echano</t>
  </si>
  <si>
    <t>Nafarroa Kalea, 0, 48340 Amorebieta-Etxano, Bizkaia</t>
  </si>
  <si>
    <t>Amorebieta-Echano</t>
  </si>
  <si>
    <t>946 30 01 90</t>
  </si>
  <si>
    <t>https://goo.gl/maps/QQ67daZqaeMSRiiQA</t>
  </si>
  <si>
    <t>https://streetviewpixels-pa.googleapis.com/v1/thumbnail?panoid=x4-IOW9nks0_Bz1I2zm3wA&amp;cb_client=search.gws-prod.gps&amp;w=408&amp;h=240&amp;yaw=120.05244&amp;pitch=0&amp;thumbfov=100</t>
  </si>
  <si>
    <t>BBK Kuna | La casa de los Objetivos de Desarrollo Sostenible (ODS) de Bizkaia</t>
  </si>
  <si>
    <t>733G+HQ Bilbao</t>
  </si>
  <si>
    <t>Urazurrutia Kalea, 1, 48003 Bilbo, Bizkaia</t>
  </si>
  <si>
    <t>kuna.bbk.eus</t>
  </si>
  <si>
    <t>946 85 94 00</t>
  </si>
  <si>
    <t>https://g.page/BBKKuna?share</t>
  </si>
  <si>
    <t>https://lh5.googleusercontent.com/p/AF1QipPc9uycGJr1CfmsXMqKXMmEL14lhIEm_Tj2elO_=w408-h544-k-no</t>
  </si>
  <si>
    <t>Bienestar Social y Educación</t>
  </si>
  <si>
    <t>8WCG+5X Gallarta</t>
  </si>
  <si>
    <t>Bizkaia Plaza, 1, 48500 Gallarta, Bizkaia</t>
  </si>
  <si>
    <t>Gallarta</t>
  </si>
  <si>
    <t>946 36 20 00</t>
  </si>
  <si>
    <t>43.3203954</t>
  </si>
  <si>
    <t>-3.3526888</t>
  </si>
  <si>
    <t>https://goo.gl/maps/UZjyecHFMmmA9TJE8</t>
  </si>
  <si>
    <t>https://lh5.googleusercontent.com/p/AF1QipNY9Jf9Mny0yP7aWVa6PeyANpHvZFps1OjSjny1=w408-h544-k-no</t>
  </si>
  <si>
    <t>Módulo de Asistencia Psico Social Auzolan</t>
  </si>
  <si>
    <t>735C+5W Bilbao</t>
  </si>
  <si>
    <t>Naxa Kalea, 5, 48003 Bilbo, Bizkaia</t>
  </si>
  <si>
    <t>moduloauzolan.org</t>
  </si>
  <si>
    <t>944 16 36 22</t>
  </si>
  <si>
    <t>info@moduloauzolan.org</t>
  </si>
  <si>
    <t>https://goo.gl/maps/1uWUwwnBhE5JskKg9</t>
  </si>
  <si>
    <t>https://streetviewpixels-pa.googleapis.com/v1/thumbnail?panoid=GOT6my08CjFTm9iCIm_vXg&amp;cb_client=search.gws-prod.gps&amp;w=408&amp;h=240&amp;yaw=208.50925&amp;pitch=0&amp;thumbfov=100</t>
  </si>
  <si>
    <t>Cáritas Diocesana de Bilbao</t>
  </si>
  <si>
    <t>735F+GH Bilbao</t>
  </si>
  <si>
    <t>Erribera Kalea, 8, 48005 Bilbo, Bizkaia</t>
  </si>
  <si>
    <t>caritasbi.org</t>
  </si>
  <si>
    <t>944 02 00 99</t>
  </si>
  <si>
    <t>caritasbi@caritasbi.org</t>
  </si>
  <si>
    <t>https://goo.gl/maps/T4176myr2p3c4ey69</t>
  </si>
  <si>
    <t>https://lh5.googleusercontent.com/p/AF1QipMaXsPasS4DV4IhU_cB7-jgdRGd0509bSoNzkZQ=w408-h272-k-no</t>
  </si>
  <si>
    <t>Servicios Sociales Ayuda A Domicilio</t>
  </si>
  <si>
    <t>737G+63 Bilbao</t>
  </si>
  <si>
    <t>Venezuela Plaza, 2, 48001 Bilbo, Bizkaia</t>
  </si>
  <si>
    <t>944 20 48 14</t>
  </si>
  <si>
    <t>https://goo.gl/maps/qdoM5LUKnHTXUGYv9</t>
  </si>
  <si>
    <t>https://lh5.googleusercontent.com/p/AF1QipPvwbrIs1vHiLepZThIQQsa1PAzUcGw-8nClynY=w408-h306-k-no</t>
  </si>
  <si>
    <t>Servicios Sociales Etxebarri. Gizarte Zerbitzuak</t>
  </si>
  <si>
    <t>64W5+C8 Doneztebe</t>
  </si>
  <si>
    <t>Bajo,48450, Santa Ana Kalea, 1, 48450 Doneztebe, Biscay</t>
  </si>
  <si>
    <t>Doneztebe</t>
  </si>
  <si>
    <t>944 40 42 25</t>
  </si>
  <si>
    <t>https://goo.gl/maps/oMhLaQTq4KUQby6p9</t>
  </si>
  <si>
    <t>https://streetviewpixels-pa.googleapis.com/v1/thumbnail?panoid=Z5N_Ycv8c3Fm5isWo8UnFw&amp;cb_client=search.gws-prod.gps&amp;w=408&amp;h=240&amp;yaw=129.10292&amp;pitch=0&amp;thumbfov=100</t>
  </si>
  <si>
    <t>SERVICIOS SOCIALES MUNICIPALES</t>
  </si>
  <si>
    <t>82G6+VM Lejona</t>
  </si>
  <si>
    <t>Iñaurratzaga Kalea, 1, 48940 Leioa, Bizkaia</t>
  </si>
  <si>
    <t>Lejona</t>
  </si>
  <si>
    <t>944 80 13 36</t>
  </si>
  <si>
    <t>https://goo.gl/maps/t4bnUwZKkNEw3QEH7</t>
  </si>
  <si>
    <t>https://lh5.googleusercontent.com/p/AF1QipNjulDhjnmNgNof4XrldGDj-o_tGjIwy9fZpGuh=w408-h725-k-no</t>
  </si>
  <si>
    <t>Fundación Integrando Erandio</t>
  </si>
  <si>
    <t>824H+4V Erandio</t>
  </si>
  <si>
    <t>nº, Desanexion Kalea, 4, 48950 Erandio, Biscay</t>
  </si>
  <si>
    <t>Erandio</t>
  </si>
  <si>
    <t>fundacionintegrando.com</t>
  </si>
  <si>
    <t>688 64 05 22</t>
  </si>
  <si>
    <t>https://goo.gl/maps/sexTqyM7x4NBntPR8</t>
  </si>
  <si>
    <t>https://streetviewpixels-pa.googleapis.com/v1/thumbnail?panoid=B3RJ3V1bql5i4laBbSdkVg&amp;cb_client=search.gws-prod.gps&amp;w=408&amp;h=240&amp;yaw=82.1577&amp;pitch=0&amp;thumbfov=100</t>
  </si>
  <si>
    <t>Aspanovas - Asociación de Madres y Padres de Niñas, Niños y Adolescentes con Cáncer de Bizkaia</t>
  </si>
  <si>
    <t>732Q+74 Bilbao</t>
  </si>
  <si>
    <t>Eguiluz Antonio Médico Kalea, 22, 48004 Bilbo, Bizkaia</t>
  </si>
  <si>
    <t>aspanovasbizkaia.org</t>
  </si>
  <si>
    <t>944 11 05 56</t>
  </si>
  <si>
    <t>aspanovas@aspanovasbizkaia.org</t>
  </si>
  <si>
    <t>https://goo.gl/maps/Uz73W5dDSxk7sVpt5</t>
  </si>
  <si>
    <t>https://lh5.googleusercontent.com/p/AF1QipMmPKOzt8mkD8AijsMdLsubdACxPyG656_as-Tu=w428-h240-k-no</t>
  </si>
  <si>
    <t>Fundación Integrando Sede Central</t>
  </si>
  <si>
    <t>8XHV+XG Guecho</t>
  </si>
  <si>
    <t>C/Luís López Osés nº 18 Bajo, 48930 Getxo, Biscay</t>
  </si>
  <si>
    <t>944 91 43 75</t>
  </si>
  <si>
    <t>info@fundacionintegrando.com</t>
  </si>
  <si>
    <t>43.329911</t>
  </si>
  <si>
    <t>-3.2863514</t>
  </si>
  <si>
    <t>https://goo.gl/maps/JPhTx8Lf3YSG6Ujk6</t>
  </si>
  <si>
    <t>https://streetviewpixels-pa.googleapis.com/v1/thumbnail?panoid=_tNaZIv5fzxfsIRl3SHCIw&amp;cb_client=search.gws-prod.gps&amp;w=408&amp;h=240&amp;yaw=69.16156&amp;pitch=0&amp;thumbfov=100</t>
  </si>
  <si>
    <t>Santurce</t>
  </si>
  <si>
    <t>Guernica y Luno</t>
  </si>
  <si>
    <t>43.3336044</t>
  </si>
  <si>
    <t>-3.2858801</t>
  </si>
  <si>
    <t>3D Social Movement</t>
  </si>
  <si>
    <t>729X+8M Bilbao</t>
  </si>
  <si>
    <t>Calle Jon Arrospide Kalea, 11, 5ª planta, derecha, 2ª lonja, 48014 Bilbo, Bizkaia</t>
  </si>
  <si>
    <t>3d-social.es</t>
  </si>
  <si>
    <t>667 93 43 52</t>
  </si>
  <si>
    <t>info@3d-social.es</t>
  </si>
  <si>
    <t>https://goo.gl/maps/uji3QSu1fjgFNg6L8</t>
  </si>
  <si>
    <t>https://lh5.googleusercontent.com/p/AF1QipOz11fn09EMv1q9Q4nIbQwl6TXZ407wnlq1cNc2=w408-h272-k-no</t>
  </si>
  <si>
    <t>Durango</t>
  </si>
  <si>
    <t>Ayuntamiento de Ortuella Bienestar Social</t>
  </si>
  <si>
    <t>8W5X+R7 Ortuella</t>
  </si>
  <si>
    <t>Av del Minero, 7, 48530 Ortuella, Bizkaia</t>
  </si>
  <si>
    <t>Ortuella</t>
  </si>
  <si>
    <t>946 32 10 35</t>
  </si>
  <si>
    <t>43.3095683</t>
  </si>
  <si>
    <t>-3.3319912</t>
  </si>
  <si>
    <t>https://goo.gl/maps/9qK1t1XquzsA15cw9</t>
  </si>
  <si>
    <t>https://streetviewpixels-pa.googleapis.com/v1/thumbnail?panoid=YYdWddHCGLKglgERIbzqLQ&amp;cb_client=search.gws-prod.gps&amp;w=408&amp;h=240&amp;yaw=4.414306&amp;pitch=0&amp;thumbfov=100</t>
  </si>
  <si>
    <t>Fundación Integrando Delegación Zalla</t>
  </si>
  <si>
    <t>6V69+RQ Mimetiz</t>
  </si>
  <si>
    <t>Juan Francisco Estefanía y Prieto nº 8 Bajo, 48860 Mimetiz, Biscay</t>
  </si>
  <si>
    <t>Mimetiz</t>
  </si>
  <si>
    <t>946 08 67 04</t>
  </si>
  <si>
    <t>43.2120428</t>
  </si>
  <si>
    <t>-3.4107666</t>
  </si>
  <si>
    <t>https://goo.gl/maps/259e55UVhMUSAtCG8</t>
  </si>
  <si>
    <t>La Asociación Lagun Artean</t>
  </si>
  <si>
    <t>729W+QF Bilbao</t>
  </si>
  <si>
    <t>Julio Urquijo Kalea, 9, 48014 Bilbo, Bizkaia</t>
  </si>
  <si>
    <t>lagun-artean.org</t>
  </si>
  <si>
    <t>944 47 24 87</t>
  </si>
  <si>
    <t>lagun-artean@lagun-artean.org</t>
  </si>
  <si>
    <t>https://goo.gl/maps/C533hJ8T4Rsf6eTZ8</t>
  </si>
  <si>
    <t>https://lh5.googleusercontent.com/p/AF1QipMa2OABT6QqFt9mE0EJmTMUf1qL25yNFhmMaemF=w408-h579-k-no</t>
  </si>
  <si>
    <t>Gorabide Asociación Vizcaína En Favor de las Personas Con Deficiencia</t>
  </si>
  <si>
    <t>8XGR+H9 Guecho</t>
  </si>
  <si>
    <t>Santa Eugenia Kalea, 12, 48930 Getxo, Bizkaia</t>
  </si>
  <si>
    <t>944 80 38 48</t>
  </si>
  <si>
    <t>https://goo.gl/maps/YAYuRGMqa81uxLT56</t>
  </si>
  <si>
    <t>https://streetviewpixels-pa.googleapis.com/v1/thumbnail?panoid=duQmjxgcjSB0IqSsrRUHng&amp;cb_client=search.gws-prod.gps&amp;w=408&amp;h=240&amp;yaw=216.07469&amp;pitch=0&amp;thumbfov=100</t>
  </si>
  <si>
    <t>Centro Social Repelega Alonso Allende</t>
  </si>
  <si>
    <t>8X6M+V4 Portugalete</t>
  </si>
  <si>
    <t>Alonso Allende Etxetaldea, 1, 48920 Portugalete, Bizkaia</t>
  </si>
  <si>
    <t>944 36 10 41</t>
  </si>
  <si>
    <t>https://goo.gl/maps/UTK8ckcW34SKUC2v5</t>
  </si>
  <si>
    <t>https://streetviewpixels-pa.googleapis.com/v1/thumbnail?panoid=tOWcSB2E11fcz-O80K7jnw&amp;cb_client=search.gws-prod.gps&amp;w=408&amp;h=240&amp;yaw=76.23444&amp;pitch=0&amp;thumbfov=100</t>
  </si>
  <si>
    <t>APNABI LAN Autismo Bizkaia Empleo</t>
  </si>
  <si>
    <t>725X+5G Bilbao</t>
  </si>
  <si>
    <t>Basurtuko Geltokiko Kalea, 1, 48002 Bilbo, Bizkaia</t>
  </si>
  <si>
    <t>lan.apnabi.eus</t>
  </si>
  <si>
    <t>944 75 44 17</t>
  </si>
  <si>
    <t>dpo@apnabi.eus</t>
  </si>
  <si>
    <t>https://g.page/apnabilan?share</t>
  </si>
  <si>
    <t>https://streetviewpixels-pa.googleapis.com/v1/thumbnail?panoid=RjAzt1NUTq2HKTxx5WnKRQ&amp;cb_client=search.gws-prod.gps&amp;w=408&amp;h=240&amp;yaw=96.21743&amp;pitch=0&amp;thumbfov=100</t>
  </si>
  <si>
    <t>43.3199287</t>
  </si>
  <si>
    <t>-3.3007524</t>
  </si>
  <si>
    <t>Fundación Integrando Sestao</t>
  </si>
  <si>
    <t>8X5V+C8 Sestao</t>
  </si>
  <si>
    <t>Alameda las Llanas Kalea, nº 3, BAJO, 48910 Sestao, Biscay</t>
  </si>
  <si>
    <t>Sestao</t>
  </si>
  <si>
    <t>944 00 22 80</t>
  </si>
  <si>
    <t>https://goo.gl/maps/mq89MgTgASGQgR6g8</t>
  </si>
  <si>
    <t>https://lh5.googleusercontent.com/p/AF1QipPhyglb8u0wF9ON-utHEgfgVhhNj6BQDDGSil7Z=w408-h306-k-no</t>
  </si>
  <si>
    <t>Avifes</t>
  </si>
  <si>
    <t>732M+JP Bilbao</t>
  </si>
  <si>
    <t>Santutxu Kalea, 40, 48004 Bilbo, Bizkaia</t>
  </si>
  <si>
    <t>avifes.org</t>
  </si>
  <si>
    <t>944 45 62 56</t>
  </si>
  <si>
    <t>https://goo.gl/maps/kGmZeYu4CrQQ2S3n7</t>
  </si>
  <si>
    <t>https://streetviewpixels-pa.googleapis.com/v1/thumbnail?panoid=nv1YqihM9J0Ey1i1-6NcLA&amp;cb_client=search.gws-prod.gps&amp;w=408&amp;h=240&amp;yaw=247.76181&amp;pitch=0&amp;thumbfov=100</t>
  </si>
  <si>
    <t>Asociación Goiztiri</t>
  </si>
  <si>
    <t>72X5+Q3 Baracaldo</t>
  </si>
  <si>
    <t>Muguruza Kalea, 14, 48901 Barakaldo, Bizkaia</t>
  </si>
  <si>
    <t>goiztiri.org</t>
  </si>
  <si>
    <t>946 85 04 63</t>
  </si>
  <si>
    <t>goiztiri@goiztiri.org</t>
  </si>
  <si>
    <t>https://goo.gl/maps/PLZVWRGJyQvtASYB8</t>
  </si>
  <si>
    <t>https://streetviewpixels-pa.googleapis.com/v1/thumbnail?panoid=wlE7y7cyiS-i_JQOmg4cAQ&amp;cb_client=search.gws-prod.gps&amp;w=408&amp;h=240&amp;yaw=51.0464&amp;pitch=0&amp;thumbfov=100</t>
  </si>
  <si>
    <t>ILUNION Lavandería Industrial - Vizcaya</t>
  </si>
  <si>
    <t>6667+H8 Lemona</t>
  </si>
  <si>
    <t>Polígono Industrial Pozueta pabellón 16-E, 48330 Lemoa, Biscay</t>
  </si>
  <si>
    <t>Lemona</t>
  </si>
  <si>
    <t>946 30 87 68</t>
  </si>
  <si>
    <t>https://goo.gl/maps/jP6CcKjPWewZBfaS7</t>
  </si>
  <si>
    <t>https://streetviewpixels-pa.googleapis.com/v1/thumbnail?panoid=FAufQxmN76jofAZjUkm1Qg&amp;cb_client=search.gws-prod.gps&amp;w=408&amp;h=240&amp;yaw=74.887146&amp;pitch=0&amp;thumbfov=100</t>
  </si>
  <si>
    <t>Lan Servicios Graduados Sociales S.L.</t>
  </si>
  <si>
    <t>8XF7+28 Santurce</t>
  </si>
  <si>
    <t>Grupo Bizkaia, 2, 48980 Santurtzi, Bizkaia</t>
  </si>
  <si>
    <t>944 83 26 32</t>
  </si>
  <si>
    <t>https://goo.gl/maps/vKiaAAj5PFiCax7Z7</t>
  </si>
  <si>
    <t>https://streetviewpixels-pa.googleapis.com/v1/thumbnail?panoid=j9-Q5xCtD-ex9dUcg0cQNw&amp;cb_client=search.gws-prod.gps&amp;w=408&amp;h=240&amp;yaw=203.21884&amp;pitch=0&amp;thumbfov=100</t>
  </si>
  <si>
    <t>Jubilados de Plenzia</t>
  </si>
  <si>
    <t>C332+GR Plencia</t>
  </si>
  <si>
    <t>Erribera Kalea, 20, 48620 Plentzia, Bizkaia</t>
  </si>
  <si>
    <t>Plencia</t>
  </si>
  <si>
    <t>https://goo.gl/maps/6eKQPXWC7hvm3iEw5</t>
  </si>
  <si>
    <t>https://streetviewpixels-pa.googleapis.com/v1/thumbnail?panoid=LsIGDDcEtAWNrwQFyIIOIw&amp;cb_client=search.gws-prod.gps&amp;w=408&amp;h=240&amp;yaw=357.90622&amp;pitch=0&amp;thumbfov=100</t>
  </si>
  <si>
    <t>43.30771</t>
  </si>
  <si>
    <t>-2.9606614</t>
  </si>
  <si>
    <t>Gizarte Ekintza - Acción Social Galdakao</t>
  </si>
  <si>
    <t>65J5+HW Galdácano</t>
  </si>
  <si>
    <t>Doctor Pontzi Zabala Kalea, 3, A, 48960 Galdakao, Biscay</t>
  </si>
  <si>
    <t>Galdácano</t>
  </si>
  <si>
    <t>944 01 05 45</t>
  </si>
  <si>
    <t>https://goo.gl/maps/RE2Qh8MCTC1XK8qn7</t>
  </si>
  <si>
    <t>https://streetviewpixels-pa.googleapis.com/v1/thumbnail?panoid=lFhn9GFy1Z5ppW9mEFU7og&amp;cb_client=search.gws-prod.gps&amp;w=408&amp;h=240&amp;yaw=343.40317&amp;pitch=0&amp;thumbfov=100</t>
  </si>
  <si>
    <t>Bermeo</t>
  </si>
  <si>
    <t>Asoc Peña Uribarri de Bilbao</t>
  </si>
  <si>
    <t>738G+VP Bilbao</t>
  </si>
  <si>
    <t>Matiko Kalea, 21, 48007 Bilbo, Bizkaia</t>
  </si>
  <si>
    <t>43.2669201</t>
  </si>
  <si>
    <t>-3.2128206</t>
  </si>
  <si>
    <t>https://goo.gl/maps/Wv7V38rmt8SCkWXY8</t>
  </si>
  <si>
    <t>https://streetviewpixels-pa.googleapis.com/v1/thumbnail?panoid=ixpdRhufxg34AtwStaXJ7Q&amp;cb_client=search.gws-prod.gps&amp;w=408&amp;h=240&amp;yaw=15.410559&amp;pitch=0&amp;thumbfov=100</t>
  </si>
  <si>
    <t>Fundación Esclerosis Multiple Eugenia Epalza</t>
  </si>
  <si>
    <t>72FW+99 Bilbao</t>
  </si>
  <si>
    <t>Ibarrekolanda Kalea, 17 trasera, 48015 Bilbo, Bizkaia</t>
  </si>
  <si>
    <t>emfundazioa.org</t>
  </si>
  <si>
    <t>944 76 51 38</t>
  </si>
  <si>
    <t>https://goo.gl/maps/A8zumq5uLufr5AQHA</t>
  </si>
  <si>
    <t>https://streetviewpixels-pa.googleapis.com/v1/thumbnail?panoid=DpZdpAoQGGVraUai0AX_mQ&amp;cb_client=search.gws-prod.gps&amp;w=408&amp;h=240&amp;yaw=203.30066&amp;pitch=0&amp;thumbfov=100</t>
  </si>
  <si>
    <t>Módulo Psicosocial de Deusto - San Ignacio</t>
  </si>
  <si>
    <t>72HQ+6P Bilbao</t>
  </si>
  <si>
    <t>Agoitz Plaza, S/N, 48015 Bilbo, Bizkaia</t>
  </si>
  <si>
    <t>modulodeustosanignacio.org</t>
  </si>
  <si>
    <t>944 75 94 72</t>
  </si>
  <si>
    <t>https://goo.gl/maps/69SG2nRsm2pF453q8</t>
  </si>
  <si>
    <t>https://streetviewpixels-pa.googleapis.com/v1/thumbnail?panoid=XoBGxVVBWKfs3nY56cxRVA&amp;cb_client=search.gws-prod.gps&amp;w=408&amp;h=240&amp;yaw=109.67396&amp;pitch=0&amp;thumbfov=100</t>
  </si>
  <si>
    <t>Asociación Askabide - Liberación</t>
  </si>
  <si>
    <t>7349+85 Bilbao</t>
  </si>
  <si>
    <t>Babes Kalea, 1, 48003 Bilbo, Bizkaia</t>
  </si>
  <si>
    <t>askabide.org</t>
  </si>
  <si>
    <t>944 16 48 28</t>
  </si>
  <si>
    <t>https://goo.gl/maps/T6baLtSRzx7a5EueA</t>
  </si>
  <si>
    <t>https://streetviewpixels-pa.googleapis.com/v1/thumbnail?panoid=JcwUZC47lIPGA3QPALuV3w&amp;cb_client=search.gws-prod.gps&amp;w=408&amp;h=240&amp;yaw=142.62479&amp;pitch=0&amp;thumbfov=100</t>
  </si>
  <si>
    <t>7354+JW Bilbao</t>
  </si>
  <si>
    <t>Pérez Galdós Kalea, 11, 48010 Bilbo, Bizkaia</t>
  </si>
  <si>
    <t>944 70 20 44</t>
  </si>
  <si>
    <t>https://goo.gl/maps/th2bDMqxcDNbvZjp8</t>
  </si>
  <si>
    <t>https://lh5.googleusercontent.com/p/AF1QipOx3gHqyW9NEHU-li5T9G22piYTbDtPeALTz4sD=w408-h544-k-no</t>
  </si>
  <si>
    <t>FUNDACIÓN ARGIA: Hospital de Dia de Getxo</t>
  </si>
  <si>
    <t>9X3P+CV Guecho</t>
  </si>
  <si>
    <t>Trinidad Kalea, 11, 48993 Getxo, Bizkaia</t>
  </si>
  <si>
    <t>fundacionargia.org</t>
  </si>
  <si>
    <t>944 91 19 46</t>
  </si>
  <si>
    <t>contacta@argiafundazioa.org</t>
  </si>
  <si>
    <t>https://goo.gl/maps/YHLk3yDmFcgb8kek9</t>
  </si>
  <si>
    <t>https://lh5.googleusercontent.com/p/AF1QipP6vAQwsTPFbAnNBKx4Hui1YpWeUrXz742rXOjq=w408-h306-k-no</t>
  </si>
  <si>
    <t>Itxarobide</t>
  </si>
  <si>
    <t>7356+FJ Bilbao</t>
  </si>
  <si>
    <t>Iparraguirre Kalea, 54, 48010 Bilbo, Bizkaia</t>
  </si>
  <si>
    <t>944 44 92 50</t>
  </si>
  <si>
    <t>43.2586794</t>
  </si>
  <si>
    <t>-3.2186043</t>
  </si>
  <si>
    <t>https://goo.gl/maps/XZm864GGqsqDXWHn8</t>
  </si>
  <si>
    <t>https://streetviewpixels-pa.googleapis.com/v1/thumbnail?panoid=oEo-QG-Xpy0mHWg5G5mGmw&amp;cb_client=search.gws-prod.gps&amp;w=408&amp;h=240&amp;yaw=245.98877&amp;pitch=0&amp;thumbfov=100</t>
  </si>
  <si>
    <t>3G85+5X Arrasate</t>
  </si>
  <si>
    <t>Iturriotz Kalea, 21, 20500 Arrasate, Gipuzkoa</t>
  </si>
  <si>
    <t>Arrasate</t>
  </si>
  <si>
    <t>Gipuzkoa</t>
  </si>
  <si>
    <t>944 79 51 77</t>
  </si>
  <si>
    <t>43.0654743</t>
  </si>
  <si>
    <t>-2.7702579</t>
  </si>
  <si>
    <t>https://goo.gl/maps/8cVVCpr7bSuYMu51A</t>
  </si>
  <si>
    <t>https://lh5.googleusercontent.com/p/AF1QipPesJ-f6iHQYvBCAyvI9eyNN8zVgo9rEJHXzpMG=w720-h240-k-no</t>
  </si>
  <si>
    <t>43.2125423</t>
  </si>
  <si>
    <t>-3.1697249</t>
  </si>
  <si>
    <t>EISE Muskiz</t>
  </si>
  <si>
    <t>8VCM+CJ San Julián de Musques o Somorrostro</t>
  </si>
  <si>
    <t>Antonio Trueba Hiribidea, 8, 48550 Muskiz, Bizkaia</t>
  </si>
  <si>
    <t>San Julián de Musques o Somorrostro</t>
  </si>
  <si>
    <t>946 55 28 73</t>
  </si>
  <si>
    <t>https://goo.gl/maps/3V4XrXYSkAzAF3U67</t>
  </si>
  <si>
    <t>https://lh5.googleusercontent.com/p/AF1QipNgNsBVqIKOh6CA575vJ0qREO1MZ6nXfKOZtsYq=w408-h306-k-no</t>
  </si>
  <si>
    <t>Asociación De Esclerosis Multiple De Bizkaia Adembi</t>
  </si>
  <si>
    <t>72FW+54 Bilbao</t>
  </si>
  <si>
    <t>Agirre Lehendakariaren Etorb., 52, 48014 Bilbo, Bizkaia</t>
  </si>
  <si>
    <t>944 06 55 86</t>
  </si>
  <si>
    <t>https://goo.gl/maps/WFNfwSD4nTuguGL38</t>
  </si>
  <si>
    <t>https://streetviewpixels-pa.googleapis.com/v1/thumbnail?panoid=Z8B3r7pJvctHUuzrYrinOg&amp;cb_client=search.gws-prod.gps&amp;w=408&amp;h=240&amp;yaw=37.38761&amp;pitch=0&amp;thumbfov=100</t>
  </si>
  <si>
    <t>Cruz Roja Margen Derecha- Eskuinaldeko Gurutze Gorria</t>
  </si>
  <si>
    <t>8XQP+RH Guecho</t>
  </si>
  <si>
    <t>Muelle de Arriluze, s/n, 48992 Getxo, Biscay</t>
  </si>
  <si>
    <t>cruzrojabizkaia.org</t>
  </si>
  <si>
    <t>944 60 92 95</t>
  </si>
  <si>
    <t>43.3396208</t>
  </si>
  <si>
    <t>-3.2936528</t>
  </si>
  <si>
    <t>https://goo.gl/maps/dqb4BxxwdYmbwVC28</t>
  </si>
  <si>
    <t>https://lh5.googleusercontent.com/p/AF1QipOChsrk5NS81CURofZqG5PGEWg7PdqfKItvVdb2=w408-h305-k-no</t>
  </si>
  <si>
    <t>Grupo Babesten</t>
  </si>
  <si>
    <t>7355+QM Bilbao</t>
  </si>
  <si>
    <t>Alda, Gregorio de la Revilla Zumarkalea, 27, 3º, 48010 Bilbo, Bizkaia</t>
  </si>
  <si>
    <t>grupobabesten.eus</t>
  </si>
  <si>
    <t>944 21 29 18</t>
  </si>
  <si>
    <t>info@grupobabesten.eus</t>
  </si>
  <si>
    <t>https://goo.gl/maps/gapbpdheQhQXeykA6</t>
  </si>
  <si>
    <t>https://lh5.googleusercontent.com/p/AF1QipO4muLRDt_iMYl1d2Bm4vaQMwtifLGC7Xacdc0=w408-h272-k-no</t>
  </si>
  <si>
    <t>Grupo Urgatzi</t>
  </si>
  <si>
    <t>8XGM+9Q Guecho</t>
  </si>
  <si>
    <t>nº, Areetako Etorb., 2B, 48930 Getxo, Bizkaia</t>
  </si>
  <si>
    <t>grupourgatzi.eus</t>
  </si>
  <si>
    <t>944 80 40 78</t>
  </si>
  <si>
    <t>enteryour@addresshere.com</t>
  </si>
  <si>
    <t>https://goo.gl/maps/KMWsCVBdaLKqYwMm7</t>
  </si>
  <si>
    <t>https://streetviewpixels-pa.googleapis.com/v1/thumbnail?panoid=TymhrKzvha7GmxCgl9GbWw&amp;cb_client=search.gws-prod.gps&amp;w=408&amp;h=240&amp;yaw=91.951546&amp;pitch=0&amp;thumbfov=100</t>
  </si>
  <si>
    <t>5GPM+9P Éibar</t>
  </si>
  <si>
    <t>Arragüeta Kalea, 7, 20600 Eibar, Gipuzkoa</t>
  </si>
  <si>
    <t>Éibar</t>
  </si>
  <si>
    <t>943 82 18 87</t>
  </si>
  <si>
    <t>43.1859923</t>
  </si>
  <si>
    <t>-2.7458486</t>
  </si>
  <si>
    <t>https://goo.gl/maps/KwEZ5vA5KMD6Pfx46</t>
  </si>
  <si>
    <t>https://streetviewpixels-pa.googleapis.com/v1/thumbnail?panoid=Xob1ou5cDAyU3pboMSXupQ&amp;cb_client=search.gws-prod.gps&amp;w=408&amp;h=240&amp;yaw=26.87437&amp;pitch=0&amp;thumbfov=100</t>
  </si>
  <si>
    <t>Asociación Alcoholicos de Santutxu</t>
  </si>
  <si>
    <t>63XR+87 Bilbao</t>
  </si>
  <si>
    <t>Guisasola Juan Kalea, 7, 48004 Bilbo, Bizkaia</t>
  </si>
  <si>
    <t>arsantutxu.es</t>
  </si>
  <si>
    <t>944 73 03 00</t>
  </si>
  <si>
    <t>arsantutxu@gmail.com</t>
  </si>
  <si>
    <t>43.2483502</t>
  </si>
  <si>
    <t>-3.1894726</t>
  </si>
  <si>
    <t>https://goo.gl/maps/JEGSR3VuTNY4dKnr7</t>
  </si>
  <si>
    <t>https://lh5.googleusercontent.com/p/AF1QipPhSNNZ9VCUSA6HqAEgF0XNFgFyj4AzRIajFQq2=w426-h240-k-no</t>
  </si>
  <si>
    <t>Comedor Social San Antonio Franciscanos</t>
  </si>
  <si>
    <t>7347+3F Bilbao</t>
  </si>
  <si>
    <t>Irala Kalea, 8, 48012 Bilbo, Bizkaia</t>
  </si>
  <si>
    <t>944 43 40 94</t>
  </si>
  <si>
    <t>https://goo.gl/maps/UhmMNuH67tTkGL5YA</t>
  </si>
  <si>
    <t>https://lh5.googleusercontent.com/p/AF1QipOGZ0IcHRSBv4wyCqkrBM1Yd5hM9z4NXY6_g60d=w408-h306-k-no</t>
  </si>
  <si>
    <t>Cruz Roja Gernika - Gernikako Gurutze Gorria</t>
  </si>
  <si>
    <t>888G+P4 Guernica y Luno</t>
  </si>
  <si>
    <t>Aldape Kalea, 6, 48300 Gernika-Lumo, Bizkaia</t>
  </si>
  <si>
    <t>946 25 19 88</t>
  </si>
  <si>
    <t>43.2639689</t>
  </si>
  <si>
    <t>-3.2141812</t>
  </si>
  <si>
    <t>https://goo.gl/maps/TVBC7L1A8vjpprMQA</t>
  </si>
  <si>
    <t>https://lh5.googleusercontent.com/p/AF1QipNyXp1ypfE_8PeMLOnWYMusDwpjfjugIFeH85E-=w408-h306-k-no</t>
  </si>
  <si>
    <t>5999+6W Durango</t>
  </si>
  <si>
    <t>Kanpatorrosteta Kalea, 9, 48200 Durango, Bizkaia</t>
  </si>
  <si>
    <t>946 81 00 14</t>
  </si>
  <si>
    <t>43.1680828</t>
  </si>
  <si>
    <t>-2.9103383</t>
  </si>
  <si>
    <t>https://goo.gl/maps/noQ5MWnfPskggAg18</t>
  </si>
  <si>
    <t>https://streetviewpixels-pa.googleapis.com/v1/thumbnail?panoid=v7bYqSxHzKPXsJUKUR-qBw&amp;cb_client=search.gws-prod.gps&amp;w=408&amp;h=240&amp;yaw=358.54764&amp;pitch=0&amp;thumbfov=100</t>
  </si>
  <si>
    <t>Servicio de Día PAI BITARTEAN Emaús Fundación social</t>
  </si>
  <si>
    <t>74X7+V2 Derio</t>
  </si>
  <si>
    <t>Butron Kalea, 7, 48160 Derio, Bizkaia</t>
  </si>
  <si>
    <t>Derio</t>
  </si>
  <si>
    <t>944 65 60 15</t>
  </si>
  <si>
    <t>43.2972445</t>
  </si>
  <si>
    <t>-3.2705016</t>
  </si>
  <si>
    <t>https://goo.gl/maps/QeTShV3qPaLWWmEL6</t>
  </si>
  <si>
    <t>736F+83 Bilbao</t>
  </si>
  <si>
    <t>Plaza Biribila, 2, 48008 Bilbo, Bizkaia</t>
  </si>
  <si>
    <t>https://goo.gl/maps/zhf59HeHVnabYpyH8</t>
  </si>
  <si>
    <t>https://streetviewpixels-pa.googleapis.com/v1/thumbnail?panoid=skO53lm_SQUJl876yHKI-g&amp;cb_client=search.gws-prod.gps&amp;w=408&amp;h=240&amp;yaw=266.21445&amp;pitch=0&amp;thumbfov=100</t>
  </si>
  <si>
    <t>72X5+29 Baracaldo</t>
  </si>
  <si>
    <t>Askatasun Etorbidea, 27, 48901 Barakaldo, Bizkaia</t>
  </si>
  <si>
    <t>944 18 80 33</t>
  </si>
  <si>
    <t>https://goo.gl/maps/nb2gvmFAv4mDmGC2A</t>
  </si>
  <si>
    <t>https://lh5.googleusercontent.com/p/AF1QipPm-TKo90pVB5Z_UW9Ee59CiZ1U36L2y4XehIbR=w408-h725-k-no</t>
  </si>
  <si>
    <t>Asociación Benéfica Bikarte</t>
  </si>
  <si>
    <t>8W7G+7H Gallarta</t>
  </si>
  <si>
    <t>Lugar Grupo Peñucas, 0 S/N, 48500 Gallarta, Biscay</t>
  </si>
  <si>
    <t>946 36 04 31</t>
  </si>
  <si>
    <t>43.2599494</t>
  </si>
  <si>
    <t>-3.2100373</t>
  </si>
  <si>
    <t>https://goo.gl/maps/phoci6L8awbSkwWn8</t>
  </si>
  <si>
    <t>https://streetviewpixels-pa.googleapis.com/v1/thumbnail?panoid=Zyp5shDE4NASXclNIFOp9g&amp;cb_client=search.gws-prod.gps&amp;w=408&amp;h=240&amp;yaw=53.377544&amp;pitch=0&amp;thumbfov=100</t>
  </si>
  <si>
    <t>Llodio</t>
  </si>
  <si>
    <t>Álava</t>
  </si>
  <si>
    <t>43.1446375</t>
  </si>
  <si>
    <t>-3.2431309</t>
  </si>
  <si>
    <t>FiSS</t>
  </si>
  <si>
    <t>734G+GG Bilbao</t>
  </si>
  <si>
    <t>Dendarikale, 14, 48005 Bilbo, Bizkaia</t>
  </si>
  <si>
    <t>fiss.es</t>
  </si>
  <si>
    <t>902 02 18 99</t>
  </si>
  <si>
    <t>info@fiss.es</t>
  </si>
  <si>
    <t>https://goo.gl/maps/a8726gL89pZ8PPBh7</t>
  </si>
  <si>
    <t>https://streetviewpixels-pa.googleapis.com/v1/thumbnail?panoid=9HMvVso2ldd6qfCmjhbVaw&amp;cb_client=search.gws-prod.gps&amp;w=408&amp;h=240&amp;yaw=33.738575&amp;pitch=0&amp;thumbfov=100</t>
  </si>
  <si>
    <t>Cruz Roja Valle del Nervión - Nerbioi Haraneko Gurutze Gorria</t>
  </si>
  <si>
    <t>64V8+JH Basauri</t>
  </si>
  <si>
    <t>Azbarren Kalea, 2, 48970 Basauri, Bizkaia</t>
  </si>
  <si>
    <t>944 26 37 30</t>
  </si>
  <si>
    <t>https://goo.gl/maps/CSVHrkGiq29kZFGC9</t>
  </si>
  <si>
    <t>https://streetviewpixels-pa.googleapis.com/v1/thumbnail?panoid=Vh8U0Ic_qdo0IHxlPoSxQw&amp;cb_client=search.gws-prod.gps&amp;w=408&amp;h=240&amp;yaw=235.46437&amp;pitch=0&amp;thumbfov=100</t>
  </si>
  <si>
    <t>Emaus Fundación Social</t>
  </si>
  <si>
    <t>734M+PJ Bilbao</t>
  </si>
  <si>
    <t>Aurrekoetxea Kalea, 1, 48006 Bilbo, Bizkaia</t>
  </si>
  <si>
    <t>944 05 16 44</t>
  </si>
  <si>
    <t>https://goo.gl/maps/hzFV4SKFJXZR8yqS8</t>
  </si>
  <si>
    <t>https://streetviewpixels-pa.googleapis.com/v1/thumbnail?panoid=d_pdbTMXmnk0trPF1RI73w&amp;cb_client=search.gws-prod.gps&amp;w=408&amp;h=240&amp;yaw=324.95282&amp;pitch=0&amp;thumbfov=100</t>
  </si>
  <si>
    <t>Asociación Askabide Liberación</t>
  </si>
  <si>
    <t>63RJ+WR Santa Isabel</t>
  </si>
  <si>
    <t>Calle Santa Isabel, 35, 48003 Santa Isabel, Biscay</t>
  </si>
  <si>
    <t>Santa Isabel</t>
  </si>
  <si>
    <t>944 15 37 89</t>
  </si>
  <si>
    <t>https://goo.gl/maps/2vDraCGNnBbjkvbg9</t>
  </si>
  <si>
    <t>https://streetviewpixels-pa.googleapis.com/v1/thumbnail?panoid=c0svTTaxTR7M10YmwCNcyQ&amp;cb_client=search.gws-prod.gps&amp;w=408&amp;h=240&amp;yaw=296.5102&amp;pitch=0&amp;thumbfov=100</t>
  </si>
  <si>
    <t>43.1445137</t>
  </si>
  <si>
    <t>-3.2432089</t>
  </si>
  <si>
    <t>Cruz Roja Bermeo - Bermeoko Gurutze Gorria</t>
  </si>
  <si>
    <t>C78H+RP Bermeo</t>
  </si>
  <si>
    <t>Kai Bidea, 5, 48370 Bermeo, Bizkaia</t>
  </si>
  <si>
    <t>946 88 36 16</t>
  </si>
  <si>
    <t>https://goo.gl/maps/yt5JGxhMiekJkbfU7</t>
  </si>
  <si>
    <t>https://lh5.googleusercontent.com/p/AF1QipOztbNgKU52N89EP-UbrtKKZYCDcEo_-M2uhbmW=w426-h240-k-no</t>
  </si>
  <si>
    <t>Cruz Roja Margen Izquierda - Ezkerraldeko Gurutze Gorria</t>
  </si>
  <si>
    <t>8X8H+WV Portugalete</t>
  </si>
  <si>
    <t>Maestro Zubeldia Kalea, 9, 48920 Portugalete, Bizkaia</t>
  </si>
  <si>
    <t>944 62 83 97</t>
  </si>
  <si>
    <t>https://goo.gl/maps/4B5HURrRNJdZNpPN9</t>
  </si>
  <si>
    <t>https://lh5.googleusercontent.com/p/AF1QipMzFfV2prXP7o3OQNBM-AJ-1aqDuyw-0GqOvIEP=w408-h544-k-no</t>
  </si>
  <si>
    <t>Emaús Fundación Social</t>
  </si>
  <si>
    <t>8577+HR Berreaga-Mendi</t>
  </si>
  <si>
    <t>Caserío Errekalde, 99, 48113 Gamiz, Fika, Vizcaya, Biscay</t>
  </si>
  <si>
    <t>Berreaga-Mendi</t>
  </si>
  <si>
    <t>946 15 35 27</t>
  </si>
  <si>
    <t>https://goo.gl/maps/k1NbXgFTtZAakbQc8</t>
  </si>
  <si>
    <t>https://lh5.googleusercontent.com/p/AF1QipOFsGjLblrerF4Vq2sHyhCDeqmOXF1Z2yAiuLW4=w426-h240-k-no</t>
  </si>
  <si>
    <t>Franciscanos Iralabarri</t>
  </si>
  <si>
    <t>944 21 19 36</t>
  </si>
  <si>
    <t>https://goo.gl/maps/jME6zdesvc3388UdA</t>
  </si>
  <si>
    <t>https://lh5.googleusercontent.com/p/AF1QipM-hGd_VBvrvbF9tdTmPvgsGG-ulHF-4MGPoUae=w408-h306-k-no</t>
  </si>
  <si>
    <t>instituto foral de bienestar social</t>
  </si>
  <si>
    <t>65</t>
  </si>
  <si>
    <t>R8VH+GR Vitoria-Gasteiz</t>
  </si>
  <si>
    <t>C, San Prudencio Kalea, 30, 01005 Vitoria-Gasteiz, Álava</t>
  </si>
  <si>
    <t>araba.eus</t>
  </si>
  <si>
    <t>945 15 10 15</t>
  </si>
  <si>
    <t>42.8438737</t>
  </si>
  <si>
    <t>-2.9505759</t>
  </si>
  <si>
    <t>https://goo.gl/maps/omWcePz7Hpq8Vc5A8</t>
  </si>
  <si>
    <t>https://lh5.googleusercontent.com/p/AF1QipPErTmmWCg3acHPBEIaowf3IWog-Vm-PnPv5YA4=w408-h306-k-no</t>
  </si>
  <si>
    <t>Atención al menor. Diputación Foral de Álava</t>
  </si>
  <si>
    <t>V85P+GP Vitoria-Gasteiz</t>
  </si>
  <si>
    <t>Gamarrako Atea, 1, 01010 Gasteiz, Araba</t>
  </si>
  <si>
    <t>vitoria-gasteiz.org</t>
  </si>
  <si>
    <t>945 12 10 60</t>
  </si>
  <si>
    <t>informacion@vitoria-gasteiz.org</t>
  </si>
  <si>
    <t>42.843929</t>
  </si>
  <si>
    <t>-2.7597287</t>
  </si>
  <si>
    <t>https://goo.gl/maps/SMG4eRTz8pN7WoCi8</t>
  </si>
  <si>
    <t>https://streetviewpixels-pa.googleapis.com/v1/thumbnail?panoid=Uy4fDJd7OCB1j_2b0r8_LA&amp;cb_client=search.gws-prod.gps&amp;w=408&amp;h=240&amp;yaw=300.61633&amp;pitch=0&amp;thumbfov=100</t>
  </si>
  <si>
    <t>Centro de Orientación y Valoración</t>
  </si>
  <si>
    <t>R8VH+GQ Vitoria-Gasteiz</t>
  </si>
  <si>
    <t>San Prudencio Kalea, 30, 01005 Gasteiz, Araba</t>
  </si>
  <si>
    <t>945 23 34 25</t>
  </si>
  <si>
    <t>https://goo.gl/maps/UTCewzmYwjwjrKiy5</t>
  </si>
  <si>
    <t>https://streetviewpixels-pa.googleapis.com/v1/thumbnail?panoid=RoQc6D7fYOq0ciIw3XP41Q&amp;cb_client=search.gws-prod.gps&amp;w=408&amp;h=240&amp;yaw=161.61963&amp;pitch=0&amp;thumbfov=100</t>
  </si>
  <si>
    <t>V82G+49 Vitoria-Gasteiz</t>
  </si>
  <si>
    <t>Zapatari Kalea, 81, 01001 Gasteiz, Araba</t>
  </si>
  <si>
    <t>945 14 83 67</t>
  </si>
  <si>
    <t>https://goo.gl/maps/zj1SBZinK3uvwuh18</t>
  </si>
  <si>
    <t>https://lh5.googleusercontent.com/p/AF1QipPkxSNfBzdeYvriZ3kVDlH9fen3nSRVIJsYz0BB=w426-h240-k-no</t>
  </si>
  <si>
    <t>ATERPE</t>
  </si>
  <si>
    <t>R8XH+25 Vitoria-Gasteiz</t>
  </si>
  <si>
    <t>Pl. del Matxete, 3, 01001 Vitoria-Gasteiz, Álava</t>
  </si>
  <si>
    <t>945 20 63 79</t>
  </si>
  <si>
    <t>https://goo.gl/maps/hMMxrfHCTJ1BtQk8A</t>
  </si>
  <si>
    <t>https://lh5.googleusercontent.com/p/AF1QipOJD_E0Fek2ow3ywda2xwQa14teNNW3CUlnO2NN=w408-h271-k-no</t>
  </si>
  <si>
    <t>Cruz Roja Álava - Arabako Gurutze Gorria</t>
  </si>
  <si>
    <t>166</t>
  </si>
  <si>
    <t>R8R7+PF Vitoria-Gasteiz</t>
  </si>
  <si>
    <t>Gaztelako Atea, 52, 01007 Gasteiz, Araba</t>
  </si>
  <si>
    <t>cruzrojaalava.es</t>
  </si>
  <si>
    <t>945 22 22 22</t>
  </si>
  <si>
    <t>https://goo.gl/maps/WhwmB9KyDt1Hm34v9</t>
  </si>
  <si>
    <t>https://lh5.googleusercontent.com/p/AF1QipNtrfg_ZWZPjx7WHf-nivMGoAW_EjsfXI6sttsn=w408-h305-k-no</t>
  </si>
  <si>
    <t>INDESA 2010 SL - CENTRO OCUPACIONAL ARBULO</t>
  </si>
  <si>
    <t>VC9J+4F Arbulo</t>
  </si>
  <si>
    <t>Carretera Nacional 104, km 360 +34) 945 29 33 07, 01192 Arbulu, Álava</t>
  </si>
  <si>
    <t>Arbulo</t>
  </si>
  <si>
    <t>indesa2010.eus</t>
  </si>
  <si>
    <t>945 29 33 07</t>
  </si>
  <si>
    <t>indesa2010sl@araba.eus</t>
  </si>
  <si>
    <t>https://goo.gl/maps/Hj4GMtyUo1RAbn596</t>
  </si>
  <si>
    <t>https://streetviewpixels-pa.googleapis.com/v1/thumbnail?panoid=pRu29wmY6BgbT_y8tD9n1w&amp;cb_client=search.gws-prod.gps&amp;w=408&amp;h=240&amp;yaw=192.59344&amp;pitch=0&amp;thumbfov=100</t>
  </si>
  <si>
    <t>Arquisocial</t>
  </si>
  <si>
    <t>R8WG+2R Vitoria-Gasteiz</t>
  </si>
  <si>
    <t>Calle del Gral Álava, 10, 01005 Vitoria-Gasteiz, Álava</t>
  </si>
  <si>
    <t>945 14 07 64</t>
  </si>
  <si>
    <t>42.845026</t>
  </si>
  <si>
    <t>-2.9530894</t>
  </si>
  <si>
    <t>https://goo.gl/maps/FTM4yKirUGntapVX6</t>
  </si>
  <si>
    <t>https://streetviewpixels-pa.googleapis.com/v1/thumbnail?panoid=xnAwXwkfYEGxLlphoZuzOA&amp;cb_client=search.gws-prod.gps&amp;w=408&amp;h=240&amp;yaw=220.34381&amp;pitch=0&amp;thumbfov=100</t>
  </si>
  <si>
    <t>Ascesoramiento y Gestión Asistencial Sl</t>
  </si>
  <si>
    <t>V862+28 Vitoria-Gasteiz</t>
  </si>
  <si>
    <t>Calle Sierra de Urbasa, 8, 01010 Gasteiz, Araba</t>
  </si>
  <si>
    <t>https://goo.gl/maps/EK1yonRP2JR9cZ228</t>
  </si>
  <si>
    <t>https://streetviewpixels-pa.googleapis.com/v1/thumbnail?panoid=yJLYWu3LapXC472Db9JCGg&amp;cb_client=search.gws-prod.gps&amp;w=408&amp;h=240&amp;yaw=152.735&amp;pitch=0&amp;thumbfov=100</t>
  </si>
  <si>
    <t>Ayuntamiento De Lanciego</t>
  </si>
  <si>
    <t>HGG2+MX Viñaspre</t>
  </si>
  <si>
    <t>Las Escuelas Kalea, 7, 01308 Viñaspre, Araba</t>
  </si>
  <si>
    <t>Viñaspre</t>
  </si>
  <si>
    <t>945 60 88 29</t>
  </si>
  <si>
    <t>42.5766554</t>
  </si>
  <si>
    <t>-2.7776601</t>
  </si>
  <si>
    <t>https://goo.gl/maps/L64XDRgqJZCdDRp48</t>
  </si>
  <si>
    <t>https://streetviewpixels-pa.googleapis.com/v1/thumbnail?panoid=DNSyCsLBbudyKQs296EonQ&amp;cb_client=search.gws-prod.gps&amp;w=408&amp;h=240&amp;yaw=211.38086&amp;pitch=0&amp;thumbfov=100</t>
  </si>
  <si>
    <t>12Nubes</t>
  </si>
  <si>
    <t>V84C+3H Vitoria-Gasteiz</t>
  </si>
  <si>
    <t>Konstituzio plaza, 3, 01012 Gasteiz, Araba</t>
  </si>
  <si>
    <t>12nubes.kalezkalevg.org</t>
  </si>
  <si>
    <t>ayuda@gari.eus</t>
  </si>
  <si>
    <t>42.8454711</t>
  </si>
  <si>
    <t>-2.948531</t>
  </si>
  <si>
    <t>https://goo.gl/maps/Piiuzawq85DPtNZD7</t>
  </si>
  <si>
    <t>https://streetviewpixels-pa.googleapis.com/v1/thumbnail?panoid=uejRF__PSJhN2h102OlE5Q&amp;cb_client=search.gws-prod.gps&amp;w=408&amp;h=240&amp;yaw=80.46006&amp;pitch=0&amp;thumbfov=100</t>
  </si>
  <si>
    <t>Gea Gabinete de trabajo social</t>
  </si>
  <si>
    <t>R8W8+G3 Vitoria-Gasteiz</t>
  </si>
  <si>
    <t>Salvador de Azpiazu Ibilbidea, 12, bajo, 01008 Vitoria-Gasteiz, Álava</t>
  </si>
  <si>
    <t>geatrabajosocial.com</t>
  </si>
  <si>
    <t>655 71 92 38</t>
  </si>
  <si>
    <t>https://goo.gl/maps/WnNDARjs39GSQ1o17</t>
  </si>
  <si>
    <t>https://streetviewpixels-pa.googleapis.com/v1/thumbnail?panoid=F_5CdDg2THekDHE_FZJypQ&amp;cb_client=search.gws-prod.gps&amp;w=408&amp;h=240&amp;yaw=111.10543&amp;pitch=0&amp;thumbfov=100</t>
  </si>
  <si>
    <t>CASA ABIERTA</t>
  </si>
  <si>
    <t>945 27 69 99</t>
  </si>
  <si>
    <t>42.8476186</t>
  </si>
  <si>
    <t>-2.9522006</t>
  </si>
  <si>
    <t>https://goo.gl/maps/jaGeonXEFpDqGsfaA</t>
  </si>
  <si>
    <t>https://lh5.googleusercontent.com/p/AF1QipPe1xQr6lYdIkOGldi0ggOFQZrJfOAaW3u4Erw=w408-h240-k-no-pi0-ya328.10434-ro-0-fo100</t>
  </si>
  <si>
    <t>R8VJ+M2 Vitoria-Gasteiz</t>
  </si>
  <si>
    <t>San Prudencio Kalea, 31, 01005 Gasteiz, Araba</t>
  </si>
  <si>
    <t>945 00 00 00</t>
  </si>
  <si>
    <t>42.8442146</t>
  </si>
  <si>
    <t>-2.9501031</t>
  </si>
  <si>
    <t>https://goo.gl/maps/VxYPmHaMVnZ3kz9p6</t>
  </si>
  <si>
    <t>https://streetviewpixels-pa.googleapis.com/v1/thumbnail?panoid=Jsp7h59miXViE2mdmR77qw&amp;cb_client=search.gws-prod.gps&amp;w=408&amp;h=240&amp;yaw=18.676268&amp;pitch=0&amp;thumbfov=100</t>
  </si>
  <si>
    <t>Asociación Teléfono de Esperanza y Amistad de Álava</t>
  </si>
  <si>
    <t>R8PQ+M6 Vitoria-Gasteiz</t>
  </si>
  <si>
    <t>Calle de Heraclio Fournier, 33, 01006 Vitoria-Gasteiz, Álava</t>
  </si>
  <si>
    <t>945 14 70 14</t>
  </si>
  <si>
    <t>42.836688</t>
  </si>
  <si>
    <t>-2.9420754</t>
  </si>
  <si>
    <t>https://goo.gl/maps/hEETayjMqfxMC3Wk7</t>
  </si>
  <si>
    <t>https://streetviewpixels-pa.googleapis.com/v1/thumbnail?panoid=JGvoYP_mrL01ZtxQYDQTMg&amp;cb_client=search.gws-prod.gps&amp;w=408&amp;h=240&amp;yaw=42.645626&amp;pitch=0&amp;thumbfov=100</t>
  </si>
  <si>
    <t>Avaim Asociación Vasca Para Ayuda A la Infancia Maltratada</t>
  </si>
  <si>
    <t>V82Q+6X Vitoria-Gasteiz</t>
  </si>
  <si>
    <t>Zalburu Kalea, 0, 01003 Gasteiz, Araba</t>
  </si>
  <si>
    <t>avaim.org</t>
  </si>
  <si>
    <t>945 25 93 66</t>
  </si>
  <si>
    <t>avaim@outlook.com</t>
  </si>
  <si>
    <t>https://goo.gl/maps/opUbfjKXzmSfZFmk7</t>
  </si>
  <si>
    <t>https://streetviewpixels-pa.googleapis.com/v1/thumbnail?panoid=aYv54jRG234NCNqmXA6FmQ&amp;cb_client=search.gws-prod.gps&amp;w=408&amp;h=240&amp;yaw=180.52103&amp;pitch=0&amp;thumbfov=100</t>
  </si>
  <si>
    <t>Etorkizun-bide</t>
  </si>
  <si>
    <t>R8VH+JJ Vitoria-Gasteiz</t>
  </si>
  <si>
    <t>San Prudencio Kalea, 27, 01005 Gasteiz, Araba</t>
  </si>
  <si>
    <t>945 23 33 01</t>
  </si>
  <si>
    <t>42.844055</t>
  </si>
  <si>
    <t>-2.9511207</t>
  </si>
  <si>
    <t>https://goo.gl/maps/JupJnh2LWjerfkwK8</t>
  </si>
  <si>
    <t>https://streetviewpixels-pa.googleapis.com/v1/thumbnail?panoid=AT8mM7Y_1sSkpWlZQYLQfw&amp;cb_client=search.gws-prod.gps&amp;w=408&amp;h=240&amp;yaw=49.958435&amp;pitch=0&amp;thumbfov=100</t>
  </si>
  <si>
    <t>Sirimiri Servicios Socioculturales S.L.</t>
  </si>
  <si>
    <t>V82G+27 Vitoria-Gasteiz</t>
  </si>
  <si>
    <t>Zapatari Kalea, 77, bajo, 01001 Gasteiz, Araba</t>
  </si>
  <si>
    <t>sirimiri.eus</t>
  </si>
  <si>
    <t>945 27 68 00</t>
  </si>
  <si>
    <t>info@sirimiri.eus</t>
  </si>
  <si>
    <t>https://goo.gl/maps/5PWqCgw6QNnW5beG9</t>
  </si>
  <si>
    <t>https://lh5.googleusercontent.com/p/AF1QipNsjcBYjbnoBSrw30WCKD4AsJbe3QK1wE007oHk=w408-h272-k-no</t>
  </si>
  <si>
    <t>Saregune</t>
  </si>
  <si>
    <t>V82H+JP Vitoria-Gasteiz</t>
  </si>
  <si>
    <t>Santa Maria Kantoia, 4 zenbakia, Cantón de Santa María, 4, 01001 Vitoria-Gasteiz, Álava</t>
  </si>
  <si>
    <t>saregune.net</t>
  </si>
  <si>
    <t>945 03 99 81</t>
  </si>
  <si>
    <t>info@saregune.net</t>
  </si>
  <si>
    <t>42.8516196</t>
  </si>
  <si>
    <t>-2.9508512</t>
  </si>
  <si>
    <t>https://goo.gl/maps/FRmBfo4chBZhAn2t5</t>
  </si>
  <si>
    <t>https://lh5.googleusercontent.com/p/AF1QipPyailAHDzpJhiNty1P7xoVvhlDKqg_O0R9YVut=w408-h306-k-no</t>
  </si>
  <si>
    <t>SOS Racismo Araba</t>
  </si>
  <si>
    <t>R8WG+VF Vitoria-Gasteiz</t>
  </si>
  <si>
    <t>Zapatari Kalea, 15, Bajo, 01001 Vitoria-Gasteiz, Álava</t>
  </si>
  <si>
    <t>sos-racismo-araba.ueniweb.com</t>
  </si>
  <si>
    <t>649 74 30 00</t>
  </si>
  <si>
    <t>sosracismointernacional@gmail.com</t>
  </si>
  <si>
    <t>42.8471552</t>
  </si>
  <si>
    <t>-2.9539947</t>
  </si>
  <si>
    <t>https://goo.gl/maps/Vy4YUwiUiBq6AJDXA</t>
  </si>
  <si>
    <t>https://streetviewpixels-pa.googleapis.com/v1/thumbnail?panoid=aua_aluByw9GqUHleiI9LA&amp;cb_client=search.gws-prod.gps&amp;w=408&amp;h=240&amp;yaw=113.02224&amp;pitch=0&amp;thumbfov=100</t>
  </si>
  <si>
    <t>Asociación de Diabetes de Álava</t>
  </si>
  <si>
    <t>R8X8+VG Vitoria-Gasteiz</t>
  </si>
  <si>
    <t>Vicente Abreu Margolariaren Kalea, 7, 01008 Gasteiz, Araba</t>
  </si>
  <si>
    <t>adalava.es</t>
  </si>
  <si>
    <t>945 24 86 86</t>
  </si>
  <si>
    <t>https://g.page/adalava?share</t>
  </si>
  <si>
    <t>https://lh5.googleusercontent.com/p/AF1QipOiIq4mRqEigllHxmuvYzzj7Aq_3qoqJsdvn0xy=w408-h306-k-no</t>
  </si>
  <si>
    <t>Agurain/Salvatierra</t>
  </si>
  <si>
    <t>650 26 93 08</t>
  </si>
  <si>
    <t>https://g.page/gea-gabinete-de-trabajo-social?share</t>
  </si>
  <si>
    <t>https://lh5.googleusercontent.com/p/AF1QipNtzmnzDMb27WuxsJV3z_q_Wrg7vE0GC3smkJdx=w427-h240-k-no</t>
  </si>
  <si>
    <t>Lore Maitea</t>
  </si>
  <si>
    <t>R8VM+8W Vitoria-Gasteiz</t>
  </si>
  <si>
    <t>Canciller Ayala Kalea, 11, 01004 Gasteiz, Araba</t>
  </si>
  <si>
    <t>https://goo.gl/maps/npyrBFY9T1LCnnJKA</t>
  </si>
  <si>
    <t>https://streetviewpixels-pa.googleapis.com/v1/thumbnail?panoid=BYAPlgv8wSFP1bifTrrzOQ&amp;cb_client=search.gws-prod.gps&amp;w=408&amp;h=240&amp;yaw=35.927845&amp;pitch=0&amp;thumbfov=100</t>
  </si>
  <si>
    <t>R8R9+C2 Vitoria-Gasteiz</t>
  </si>
  <si>
    <t>Paseo Fray Francisco De Vitoria, 20, 01007 Vitoria-Gasteiz, Álava</t>
  </si>
  <si>
    <t>42.8410534</t>
  </si>
  <si>
    <t>-2.9626282</t>
  </si>
  <si>
    <t>https://goo.gl/maps/28r7vNpscrY93hKXA</t>
  </si>
  <si>
    <t>https://streetviewpixels-pa.googleapis.com/v1/thumbnail?panoid=SxlTuNXz4TM9hQoKQNhkBg&amp;cb_client=search.gws-prod.gps&amp;w=408&amp;h=240&amp;yaw=29.56729&amp;pitch=0&amp;thumbfov=100</t>
  </si>
  <si>
    <t>Siervas de Jesús de la Caridad Curia General</t>
  </si>
  <si>
    <t>R8XG+X6 Vitoria-Gasteiz</t>
  </si>
  <si>
    <t>Errementari K., 82, 01001 Gasteiz, Araba</t>
  </si>
  <si>
    <t>945 12 19 86</t>
  </si>
  <si>
    <t>https://goo.gl/maps/1mbPv6Rsjr8JrhHb8</t>
  </si>
  <si>
    <t>https://streetviewpixels-pa.googleapis.com/v1/thumbnail?panoid=YlDH7nNxs0qTjZSE65hQmw&amp;cb_client=search.gws-prod.gps&amp;w=408&amp;h=240&amp;yaw=54.057602&amp;pitch=0&amp;thumbfov=100</t>
  </si>
  <si>
    <t>Cáritas Diocesana De Vitoria</t>
  </si>
  <si>
    <t>V82Q+3M Vitoria-Gasteiz</t>
  </si>
  <si>
    <t>San Jose Plaza, 0, 01003 Gasteiz, Araba</t>
  </si>
  <si>
    <t>caritasvitoria.org</t>
  </si>
  <si>
    <t>945 28 85 92</t>
  </si>
  <si>
    <t>caritas@caritasvitoria.org</t>
  </si>
  <si>
    <t>https://goo.gl/maps/UtDnQUh2W9zjnmoi9</t>
  </si>
  <si>
    <t>https://streetviewpixels-pa.googleapis.com/v1/thumbnail?panoid=00XlIXXQGdcpc2W5v6HPmA&amp;cb_client=search.gws-prod.gps&amp;w=408&amp;h=240&amp;yaw=231.48488&amp;pitch=0&amp;thumbfov=100</t>
  </si>
  <si>
    <t>Casa de Actividades Diocesanas</t>
  </si>
  <si>
    <t>R8VC+QQ Vitoria-Gasteiz</t>
  </si>
  <si>
    <t>Monseñor Cadena y Eleta Kalea, 4, 01008 Gasteiz, Araba</t>
  </si>
  <si>
    <t>42.8444288</t>
  </si>
  <si>
    <t>-2.9582137</t>
  </si>
  <si>
    <t>https://goo.gl/maps/Dz69TRHvxaRKVaQp9</t>
  </si>
  <si>
    <t>https://lh5.googleusercontent.com/p/AF1QipMqIZYq5z8DD-iEAJjB952znOTo0PvGJ56kmryP=w408-h306-k-no</t>
  </si>
  <si>
    <t>Cáritas Diocesana de Vitoria</t>
  </si>
  <si>
    <t>R8VJ+GR Vitoria-Gasteiz</t>
  </si>
  <si>
    <t>Nuestra Señora de los Desamparados Plaza, 1, 1º, 01004 Vitoria-Gasteiz, Álava</t>
  </si>
  <si>
    <t>945 23 28 50</t>
  </si>
  <si>
    <t>42.843817</t>
  </si>
  <si>
    <t>-2.9481284</t>
  </si>
  <si>
    <t>https://goo.gl/maps/YNTeJxWdNMWtEYF87</t>
  </si>
  <si>
    <t>https://lh5.googleusercontent.com/p/AF1QipMuASNJzr3vF7nlhO8yzPrqClblXaBNrJ7XEK7A=w408-h271-k-no</t>
  </si>
  <si>
    <t>Centro Social Zubillaga</t>
  </si>
  <si>
    <t>P28F+G8 Zubillaga</t>
  </si>
  <si>
    <t>01213 Zubillaga, Álava</t>
  </si>
  <si>
    <t>Zubillaga</t>
  </si>
  <si>
    <t>42.7163661</t>
  </si>
  <si>
    <t>-3.2568361</t>
  </si>
  <si>
    <t>https://goo.gl/maps/XwRfCSRACdsfnaq48</t>
  </si>
  <si>
    <t>https://streetviewpixels-pa.googleapis.com/v1/thumbnail?panoid=aA6kKwKtSmVz5VfcPHcD1A&amp;cb_client=search.gws-prod.gps&amp;w=408&amp;h=240&amp;yaw=337.638&amp;pitch=0&amp;thumbfov=100</t>
  </si>
  <si>
    <t>Asasam</t>
  </si>
  <si>
    <t>42MH+JM Llodio</t>
  </si>
  <si>
    <t>Tres Cruces Kalea, 14, 01400 Laudio, Araba</t>
  </si>
  <si>
    <t>asasam.org</t>
  </si>
  <si>
    <t>946 72 64 46</t>
  </si>
  <si>
    <t>info@asasam.org</t>
  </si>
  <si>
    <t>43.1340783</t>
  </si>
  <si>
    <t>-3.2509632</t>
  </si>
  <si>
    <t>https://goo.gl/maps/zPyMaWwXhBk1FUzX9</t>
  </si>
  <si>
    <t>https://streetviewpixels-pa.googleapis.com/v1/thumbnail?panoid=UezhGgQfs1xL7QBWofDfVQ&amp;cb_client=search.gws-prod.gps&amp;w=408&amp;h=240&amp;yaw=308.96143&amp;pitch=0&amp;thumbfov=100</t>
  </si>
  <si>
    <t>Asamblea local de Cruz Roja en Campezo</t>
  </si>
  <si>
    <t>MJ9X+XG Santa Cruz de Campezo</t>
  </si>
  <si>
    <t>Samuel Picaza Plaza, 1, 01110 Santikurutze Kanpezu, Araba</t>
  </si>
  <si>
    <t>Santa Cruz de Campezo</t>
  </si>
  <si>
    <t>945 41 51 12</t>
  </si>
  <si>
    <t>42.6699846</t>
  </si>
  <si>
    <t>-2.6313935</t>
  </si>
  <si>
    <t>https://goo.gl/maps/GZvpRvjkeP9TfRaQ8</t>
  </si>
  <si>
    <t>Colegio Oficial de Trabajo Social de Gipuzkoa</t>
  </si>
  <si>
    <t>8249+56 San Sebastián</t>
  </si>
  <si>
    <t>Calle, Javier Barkaiztegi Kalea, 21, entlo.C, 20010 Donostia-San Sebastian, Gipuzkoa</t>
  </si>
  <si>
    <t>San Sebastián</t>
  </si>
  <si>
    <t>trabajosocialgipuzkoa.org</t>
  </si>
  <si>
    <t>943 47 32 87</t>
  </si>
  <si>
    <t>43.1448941</t>
  </si>
  <si>
    <t>-2.1660152</t>
  </si>
  <si>
    <t>https://goo.gl/maps/ipLw2EbvofEradW26</t>
  </si>
  <si>
    <t>https://streetviewpixels-pa.googleapis.com/v1/thumbnail?panoid=BiWyA9nyZ9uVQCMl0yb-eg&amp;cb_client=search.gws-prod.gps&amp;w=408&amp;h=240&amp;yaw=161.22855&amp;pitch=0&amp;thumbfov=100</t>
  </si>
  <si>
    <t>Diputación Foral de Gipuzkoa</t>
  </si>
  <si>
    <t>5WJV+V3 Villabona</t>
  </si>
  <si>
    <t>Lugar Barrio Legarreta, 0 S/N, 20150 Villabona, Gipuzkoa</t>
  </si>
  <si>
    <t>Villabona</t>
  </si>
  <si>
    <t>943 69 36 06</t>
  </si>
  <si>
    <t>43.18224</t>
  </si>
  <si>
    <t>-2.3375014</t>
  </si>
  <si>
    <t>https://goo.gl/maps/FXbnBUjJ1wWVQybK7</t>
  </si>
  <si>
    <t>https://streetviewpixels-pa.googleapis.com/v1/thumbnail?panoid=hYZoZiQT1afgQdiZ6zoh7Q&amp;cb_client=search.gws-prod.gps&amp;w=408&amp;h=240&amp;yaw=154.11052&amp;pitch=0&amp;thumbfov=100</t>
  </si>
  <si>
    <t>Bienestar Social</t>
  </si>
  <si>
    <t>3R3C+MH Villafranca de Ordicia</t>
  </si>
  <si>
    <t>Plaza de Nikolás Lekuona, 20240 Ordizia, Gipuzkoa</t>
  </si>
  <si>
    <t>Villafranca de Ordicia</t>
  </si>
  <si>
    <t>943 80 56 10</t>
  </si>
  <si>
    <t>43.0541819</t>
  </si>
  <si>
    <t>-2.4586826</t>
  </si>
  <si>
    <t>https://goo.gl/maps/Qif3g2DjcmHJqw5XA</t>
  </si>
  <si>
    <t>https://streetviewpixels-pa.googleapis.com/v1/thumbnail?panoid=odLYkhF3Hc7bKpfFE2JM9w&amp;cb_client=search.gws-prod.gps&amp;w=408&amp;h=240&amp;yaw=262.4097&amp;pitch=0&amp;thumbfov=100</t>
  </si>
  <si>
    <t>Branka (Gizarte Zerbitzuak/Servicios Sociales) Zumaiako Udala</t>
  </si>
  <si>
    <t>7PRW+G9 Zumaya</t>
  </si>
  <si>
    <t>Aizkorri Kalea, 6, 20750 Zumaia, Gipuzkoa</t>
  </si>
  <si>
    <t>Zumaya</t>
  </si>
  <si>
    <t>zumaia.eus</t>
  </si>
  <si>
    <t>943 86 22 00</t>
  </si>
  <si>
    <t>turismoa@zumaia.eus</t>
  </si>
  <si>
    <t>https://goo.gl/maps/wxjQNKWhh5evsYgp9</t>
  </si>
  <si>
    <t>https://streetviewpixels-pa.googleapis.com/v1/thumbnail?panoid=wVnS2dUrKrzw6IydhrAwEg&amp;cb_client=search.gws-prod.gps&amp;w=408&amp;h=240&amp;yaw=227.59688&amp;pitch=0&amp;thumbfov=100</t>
  </si>
  <si>
    <t>Beasain</t>
  </si>
  <si>
    <t>6X9H+HW Andoáin</t>
  </si>
  <si>
    <t>Polígono Industrial Karrika, 0 S/N, 20140 Andoain, Gipuzkoa</t>
  </si>
  <si>
    <t>Andoáin</t>
  </si>
  <si>
    <t>943 30 55 24</t>
  </si>
  <si>
    <t>https://goo.gl/maps/w4EWoQ3RPrZ53LQj7</t>
  </si>
  <si>
    <t>https://streetviewpixels-pa.googleapis.com/v1/thumbnail?panoid=TWqkDWbFkNeLMPinfLJEbg&amp;cb_client=search.gws-prod.gps&amp;w=408&amp;h=240&amp;yaw=292.19443&amp;pitch=0&amp;thumbfov=100</t>
  </si>
  <si>
    <t>Centro De Servicios Sociales De Zumaia</t>
  </si>
  <si>
    <t>Aizkorri Kalea, 4, 20750 Zumaia, Gipuzkoa</t>
  </si>
  <si>
    <t>https://goo.gl/maps/fTUvv7Zfk2LLSQdU6</t>
  </si>
  <si>
    <t>https://streetviewpixels-pa.googleapis.com/v1/thumbnail?panoid=wVnS2dUrKrzw6IydhrAwEg&amp;cb_client=search.gws-prod.gps&amp;w=408&amp;h=240&amp;yaw=227.55751&amp;pitch=0&amp;thumbfov=100</t>
  </si>
  <si>
    <t>Tolosa</t>
  </si>
  <si>
    <t>Xera Gestión y Desarrollo de Proyectos Socioeducativos S.L.</t>
  </si>
  <si>
    <t>6X7G+JX Andoáin</t>
  </si>
  <si>
    <t>Zumea Kalea, 15, 20140 Andoain, Gipuzkoa</t>
  </si>
  <si>
    <t>943 30 35 73</t>
  </si>
  <si>
    <t>https://goo.gl/maps/QJbo5Jivwhhyqo4J8</t>
  </si>
  <si>
    <t>https://streetviewpixels-pa.googleapis.com/v1/thumbnail?panoid=Q6JMI41VNqFyNVgcebPY8Q&amp;cb_client=search.gws-prod.gps&amp;w=408&amp;h=240&amp;yaw=89.31649&amp;pitch=0&amp;thumbfov=100</t>
  </si>
  <si>
    <t>Fundación Uliazpi</t>
  </si>
  <si>
    <t>8X6V+43 San Sebastián</t>
  </si>
  <si>
    <t>Oihenart Kalea, 2, 20018 Donostia, Gipuzkoa</t>
  </si>
  <si>
    <t>uliazpi.net</t>
  </si>
  <si>
    <t>943 00 50 90</t>
  </si>
  <si>
    <t>uliazpi@gipuzkoa.eus</t>
  </si>
  <si>
    <t>https://goo.gl/maps/eew8bsEntUdAPXhGA</t>
  </si>
  <si>
    <t>https://streetviewpixels-pa.googleapis.com/v1/thumbnail?panoid=mPkwtw-R_hKLz2a8ZaEMuQ&amp;cb_client=search.gws-prod.gps&amp;w=408&amp;h=240&amp;yaw=344.13437&amp;pitch=0&amp;thumbfov=100</t>
  </si>
  <si>
    <t>43.3052067</t>
  </si>
  <si>
    <t>-2.483095</t>
  </si>
  <si>
    <t>Cáritas Diocesana Asociación de San Sebastián</t>
  </si>
  <si>
    <t>82CV+C4 San Sebastián</t>
  </si>
  <si>
    <t>Intxaurrondo Kalea, 30, 20015 Donostia, Gipuzkoa</t>
  </si>
  <si>
    <t>caritasgipuzkoa.org</t>
  </si>
  <si>
    <t>943 29 10 40</t>
  </si>
  <si>
    <t>idazkari@caritasgi.org</t>
  </si>
  <si>
    <t>https://goo.gl/maps/D74z5GyYTWabw7wX6</t>
  </si>
  <si>
    <t>https://streetviewpixels-pa.googleapis.com/v1/thumbnail?panoid=Hrnaoe9WE3J5rzzm82xLGw&amp;cb_client=search.gws-prod.gps&amp;w=408&amp;h=240&amp;yaw=208.17738&amp;pitch=0&amp;thumbfov=100</t>
  </si>
  <si>
    <t>Asociación Donantes de Sangre de Guipúzcoa</t>
  </si>
  <si>
    <t>2QWX+MH Beasain</t>
  </si>
  <si>
    <t>Avenida Nafarroa, 1, 20200 Beasain, Gipuzkoa</t>
  </si>
  <si>
    <t>943 88 03 10</t>
  </si>
  <si>
    <t>43.04664</t>
  </si>
  <si>
    <t>-2.4812414</t>
  </si>
  <si>
    <t>https://goo.gl/maps/MTwbtxY72rkVYTUF6</t>
  </si>
  <si>
    <t>https://streetviewpixels-pa.googleapis.com/v1/thumbnail?panoid=db6lNSo6O2A9PxowX8vEnQ&amp;cb_client=search.gws-prod.gps&amp;w=408&amp;h=240&amp;yaw=42.364723&amp;pitch=0&amp;thumbfov=100</t>
  </si>
  <si>
    <t>Centro de Servicios Sociales de Errenteria</t>
  </si>
  <si>
    <t>8463+P8 Rentería</t>
  </si>
  <si>
    <t>Santa Klara Kalea, 16, 20100 Errenteria, Gipuzkoa</t>
  </si>
  <si>
    <t>Rentería</t>
  </si>
  <si>
    <t>errenteria.eus</t>
  </si>
  <si>
    <t>943 44 96 04</t>
  </si>
  <si>
    <t>zu@errenteria.eus</t>
  </si>
  <si>
    <t>43.3117551</t>
  </si>
  <si>
    <t>-2.1768044</t>
  </si>
  <si>
    <t>https://goo.gl/maps/yqCZQfKEMQ9PxCbr9</t>
  </si>
  <si>
    <t>https://streetviewpixels-pa.googleapis.com/v1/thumbnail?panoid=EyV5s9-GNZ3kdQ_M4ca6vA&amp;cb_client=search.gws-prod.gps&amp;w=408&amp;h=240&amp;yaw=201.03326&amp;pitch=0&amp;thumbfov=100</t>
  </si>
  <si>
    <t>Fundación Larratxo</t>
  </si>
  <si>
    <t>8386+23 San Sebastián</t>
  </si>
  <si>
    <t>Larratxo pasealekua, 17, Bajo, 20017 Donostia-San Sebastian, Gipuzkoa</t>
  </si>
  <si>
    <t>fundacionlarratxo.eus</t>
  </si>
  <si>
    <t>943 39 60 96</t>
  </si>
  <si>
    <t>info@fundacionlarratxo.eus</t>
  </si>
  <si>
    <t>43.3150755</t>
  </si>
  <si>
    <t>-2.2199697</t>
  </si>
  <si>
    <t>https://goo.gl/maps/6kTRnfnuXp9Lsq4s6</t>
  </si>
  <si>
    <t>https://streetviewpixels-pa.googleapis.com/v1/thumbnail?panoid=gfRPsaXEkxpB2dvr_H79nA&amp;cb_client=search.gws-prod.gps&amp;w=408&amp;h=240&amp;yaw=5.0160017&amp;pitch=0&amp;thumbfov=100</t>
  </si>
  <si>
    <t>Asociación Educativa Berriztu</t>
  </si>
  <si>
    <t>72WX+XR San Sebastián</t>
  </si>
  <si>
    <t>Calle Magdalena Jauregiberri, 4, 20014 Donostia-San Sebastian, Gipuzkoa</t>
  </si>
  <si>
    <t>943 27 39 43</t>
  </si>
  <si>
    <t>https://goo.gl/maps/2BKbCaeT88SpXe799</t>
  </si>
  <si>
    <t>https://streetviewpixels-pa.googleapis.com/v1/thumbnail?panoid=0lY40wnEbW5BlLWEkImt9g&amp;cb_client=search.gws-prod.gps&amp;w=408&amp;h=240&amp;yaw=351.59317&amp;pitch=0&amp;thumbfov=100</t>
  </si>
  <si>
    <t>Residencia Loistarain Infancia y Juventud</t>
  </si>
  <si>
    <t>8X3M+MQ San Sebastián</t>
  </si>
  <si>
    <t>Loistarain Kalea, 8, 20018 Donostia, Gipuzkoa</t>
  </si>
  <si>
    <t>943 31 15 16</t>
  </si>
  <si>
    <t>https://goo.gl/maps/4dVxv2ooYkzikji76</t>
  </si>
  <si>
    <t>https://streetviewpixels-pa.googleapis.com/v1/thumbnail?panoid=qvYf-R37SnIQ-58Icc8S-g&amp;cb_client=search.gws-prod.gps&amp;w=408&amp;h=240&amp;yaw=257.0301&amp;pitch=0&amp;thumbfov=100</t>
  </si>
  <si>
    <t>Fepas Fundación Para El Estudio Y Promoción De La Acción Social</t>
  </si>
  <si>
    <t>5WRQ+JQ Cizúrquil</t>
  </si>
  <si>
    <t>Ernio Bidea, 25, 20150 Zizurkil, Gipuzkoa</t>
  </si>
  <si>
    <t>Cizúrquil</t>
  </si>
  <si>
    <t>43.1915262</t>
  </si>
  <si>
    <t>-2.3407093</t>
  </si>
  <si>
    <t>https://goo.gl/maps/vQwc3C2nguGw3ZwL9</t>
  </si>
  <si>
    <t>https://streetviewpixels-pa.googleapis.com/v1/thumbnail?panoid=Vf-zGWqEvq72S2BbTXCOTg&amp;cb_client=search.gws-prod.gps&amp;w=408&amp;h=240&amp;yaw=24.181515&amp;pitch=0&amp;thumbfov=100</t>
  </si>
  <si>
    <t>Gizarte Zerbitzuak</t>
  </si>
  <si>
    <t>3G78+73 Mondragón</t>
  </si>
  <si>
    <t>Txaeta Kalea, 3, 20500 Arrasate, Gipuzkoa</t>
  </si>
  <si>
    <t>Mondragón</t>
  </si>
  <si>
    <t>arrasate.eus</t>
  </si>
  <si>
    <t>943 25 20 07</t>
  </si>
  <si>
    <t>udala@arrasate.eus</t>
  </si>
  <si>
    <t>43.0632425</t>
  </si>
  <si>
    <t>-2.764995</t>
  </si>
  <si>
    <t>https://goo.gl/maps/9k15XHQynNa28vjX8</t>
  </si>
  <si>
    <t>https://streetviewpixels-pa.googleapis.com/v1/thumbnail?panoid=k5lVlsS23XUyUM5a_N_yfw&amp;cb_client=search.gws-prod.gps&amp;w=408&amp;h=240&amp;yaw=43.315186&amp;pitch=0&amp;thumbfov=100</t>
  </si>
  <si>
    <t>43.3120607</t>
  </si>
  <si>
    <t>-2.2619608</t>
  </si>
  <si>
    <t>Centro de Servicios Sociales Altza Larratxo</t>
  </si>
  <si>
    <t>8376+C7 San Sebastián</t>
  </si>
  <si>
    <t>De Larratxo Ibilbidea, 22, 20017 Donostia, Gipuzkoa</t>
  </si>
  <si>
    <t>donostia.eus</t>
  </si>
  <si>
    <t>943 39 06 21</t>
  </si>
  <si>
    <t>https://goo.gl/maps/gNoqzj9tpNwvYmqw5</t>
  </si>
  <si>
    <t>https://streetviewpixels-pa.googleapis.com/v1/thumbnail?panoid=wyBQL1_ChAkh5cXVqG5Grg&amp;cb_client=search.gws-prod.gps&amp;w=408&amp;h=240&amp;yaw=126.50227&amp;pitch=0&amp;thumbfov=100</t>
  </si>
  <si>
    <t>Asociación Erroak-Sartu</t>
  </si>
  <si>
    <t>8323+96 San Sebastián</t>
  </si>
  <si>
    <t>Ubarburu Pasealekua, 30, 20014 Donostia, Gipuzkoa</t>
  </si>
  <si>
    <t>erroaksartu.org</t>
  </si>
  <si>
    <t>943 47 24 26</t>
  </si>
  <si>
    <t>erroak@erroak.sartu.org</t>
  </si>
  <si>
    <t>https://goo.gl/maps/51bEMXRpYq2JAwvw6</t>
  </si>
  <si>
    <t>https://streetviewpixels-pa.googleapis.com/v1/thumbnail?panoid=dCp5fgwI6n7eBu4MUshPvA&amp;cb_client=search.gws-prod.gps&amp;w=408&amp;h=240&amp;yaw=224.89714&amp;pitch=0&amp;thumbfov=100</t>
  </si>
  <si>
    <t>Asociación Loiola Etxea para la Integración Social</t>
  </si>
  <si>
    <t>82FP+66 San Sebastián</t>
  </si>
  <si>
    <t>Ategorrietako Galtzada Zaharra, 34, 20013 Donostia, Gipuzkoa</t>
  </si>
  <si>
    <t>943 28 56 76</t>
  </si>
  <si>
    <t>https://goo.gl/maps/td7TwWab2AbhdbTK6</t>
  </si>
  <si>
    <t>https://lh5.googleusercontent.com/p/AF1QipOH4vzwUTEQohugds3ZZVwJBAcTXeTbP2mb2mfS=w426-h240-k-no</t>
  </si>
  <si>
    <t>Asociación Ostomizados De Gipuzkoa-Aosgi</t>
  </si>
  <si>
    <t>827V+J9 San Sebastián</t>
  </si>
  <si>
    <t>Zarategi Pasealekua, 100, 20015 Donostia, Gipuzkoa</t>
  </si>
  <si>
    <t>943 24 55 60</t>
  </si>
  <si>
    <t>https://goo.gl/maps/zX79ZkdFmN6XfGXu8</t>
  </si>
  <si>
    <t>https://streetviewpixels-pa.googleapis.com/v1/thumbnail?panoid=nQ7mse3F_0nI4wQBFRFyoA&amp;cb_client=search.gws-prod.gps&amp;w=408&amp;h=240&amp;yaw=306.38953&amp;pitch=0&amp;thumbfov=100</t>
  </si>
  <si>
    <t>Dk Zubillaga Zentroa/ Centro Dr Zubillaga</t>
  </si>
  <si>
    <t>4H7P+54 Vergara</t>
  </si>
  <si>
    <t>Tokieder Plaza, 1, 20570 Bergara, Gipuzkoa</t>
  </si>
  <si>
    <t>Vergara</t>
  </si>
  <si>
    <t>uliazpi.eus</t>
  </si>
  <si>
    <t>943 76 97 87</t>
  </si>
  <si>
    <t>43.112918</t>
  </si>
  <si>
    <t>-2.6947953</t>
  </si>
  <si>
    <t>https://goo.gl/maps/BYXuZ2CMHwukFd5e9</t>
  </si>
  <si>
    <t>https://streetviewpixels-pa.googleapis.com/v1/thumbnail?panoid=hoTBdE9VAOh0yo3FIy0LgA&amp;cb_client=search.gws-prod.gps&amp;w=408&amp;h=240&amp;yaw=15.7274275&amp;pitch=0&amp;thumbfov=100</t>
  </si>
  <si>
    <t>Viviendas Tuteladas</t>
  </si>
  <si>
    <t>72HX+86 Astigarraga</t>
  </si>
  <si>
    <t>Arrobitxulo Bidea, 43, 20115 Astigarraga, Gipuzkoa</t>
  </si>
  <si>
    <t>Astigarraga</t>
  </si>
  <si>
    <t>943 33 44 53</t>
  </si>
  <si>
    <t>43.2782806</t>
  </si>
  <si>
    <t>-2.2321181</t>
  </si>
  <si>
    <t>https://goo.gl/maps/YAE49xECyDePq4Ue9</t>
  </si>
  <si>
    <t>https://streetviewpixels-pa.googleapis.com/v1/thumbnail?panoid=vmh6Eo4QtzmaHFRsdWQ8QA&amp;cb_client=search.gws-prod.gps&amp;w=408&amp;h=240&amp;yaw=342.7123&amp;pitch=0&amp;thumbfov=100</t>
  </si>
  <si>
    <t>829C+M4 San Sebastián</t>
  </si>
  <si>
    <t>Etxaide Kalea, 14, 20005 Donostia, Gipuzkoa</t>
  </si>
  <si>
    <t>943 42 01 01</t>
  </si>
  <si>
    <t>43.319203</t>
  </si>
  <si>
    <t>-2.259841</t>
  </si>
  <si>
    <t>https://goo.gl/maps/iebyt61SeKFZ74WB7</t>
  </si>
  <si>
    <t>https://lh5.googleusercontent.com/p/AF1QipPUTHUbAvck-3MArPZEoUlxDYqYcN2CRFsbaa6D=w408-h839-k-no</t>
  </si>
  <si>
    <t>Gaindegia</t>
  </si>
  <si>
    <t>6XFP+H3 Andoáin</t>
  </si>
  <si>
    <t>Gudarien Hiribidea, 8, 20140 Andoain, Gipuzkoa</t>
  </si>
  <si>
    <t>gaindegia.eus</t>
  </si>
  <si>
    <t>943 30 43 65</t>
  </si>
  <si>
    <t>gaindegia@gaindegia.eus</t>
  </si>
  <si>
    <t>https://goo.gl/maps/cWdD4C8w29RP1Ahw8</t>
  </si>
  <si>
    <t>Hogares Nuevo Futuro</t>
  </si>
  <si>
    <t>829J+4M San Sebastián</t>
  </si>
  <si>
    <t>Calle Virgen del Carmen, 42, 20012 Donostia-San Sebastian, Gipuzkoa</t>
  </si>
  <si>
    <t>943 29 70 97</t>
  </si>
  <si>
    <t>https://goo.gl/maps/d6paDbYst6UEx2KX7</t>
  </si>
  <si>
    <t>https://streetviewpixels-pa.googleapis.com/v1/thumbnail?panoid=z4zJ2g0RCMrqwDVLz1_XqQ&amp;cb_client=search.gws-prod.gps&amp;w=408&amp;h=240&amp;yaw=158.06616&amp;pitch=0&amp;thumbfov=100</t>
  </si>
  <si>
    <t>82CF+XG San Sebastián</t>
  </si>
  <si>
    <t>Kale Berria, 10, 20001 Donostia, Gipuzkoa</t>
  </si>
  <si>
    <t>943 44 00 74</t>
  </si>
  <si>
    <t>https://goo.gl/maps/9P9w7mubG31YKWth8</t>
  </si>
  <si>
    <t>https://streetviewpixels-pa.googleapis.com/v1/thumbnail?panoid=OTFZIsGyqUcLeQt-4Row5A&amp;cb_client=search.gws-prod.gps&amp;w=408&amp;h=240&amp;yaw=146.4468&amp;pitch=0&amp;thumbfov=100</t>
  </si>
  <si>
    <t>43.141827</t>
  </si>
  <si>
    <t>-2.3517298</t>
  </si>
  <si>
    <t>Remar Gipuzkoa</t>
  </si>
  <si>
    <t>8386+P4 San Sebastián</t>
  </si>
  <si>
    <t>Larratxo pasealekua, 6, 20017 Donostia, Gipuzkoa</t>
  </si>
  <si>
    <t>remargipuzkoa.com</t>
  </si>
  <si>
    <t>943 39 45 11</t>
  </si>
  <si>
    <t>https://g.page/RemarGipuzkoa?share</t>
  </si>
  <si>
    <t>https://lh5.googleusercontent.com/p/AF1QipN2TaYV2eYXkpxSBezPKVstKvzeQxLtXfin6cBf=w686-h240-k-no</t>
  </si>
  <si>
    <t>Irún</t>
  </si>
  <si>
    <t>43.340113</t>
  </si>
  <si>
    <t>-2.0665374</t>
  </si>
  <si>
    <t>Hezizerb</t>
  </si>
  <si>
    <t>829R+W6 San Sebastián</t>
  </si>
  <si>
    <t>Zubiaurre Pasealekua, 30, 20013 behea, Gipuzkoa</t>
  </si>
  <si>
    <t>hezizerb.net</t>
  </si>
  <si>
    <t>943 32 67 84</t>
  </si>
  <si>
    <t>hezizerb@hezizerb.net</t>
  </si>
  <si>
    <t>https://goo.gl/maps/uxyxjhaVqQTr4V6a7</t>
  </si>
  <si>
    <t>Retinosis Gipuzkoa Begisare</t>
  </si>
  <si>
    <t>Gizagune en Txara I, Zarategi Pasealekua, 100, 20015 Donostia-San Sebastian, Gipuzkoa</t>
  </si>
  <si>
    <t>begisare.org</t>
  </si>
  <si>
    <t>676 89 41 57</t>
  </si>
  <si>
    <t>info@begisare.org</t>
  </si>
  <si>
    <t>https://goo.gl/maps/gkseGro6a56DS12d8</t>
  </si>
  <si>
    <t>https://lh5.googleusercontent.com/p/AF1QipNLz9C0LPySDr0HYvZWplpo06IUW2HfLJxaQ6Hq=w426-h240-k-no</t>
  </si>
  <si>
    <t>Emaús Fundación Social EkoCenter Irún</t>
  </si>
  <si>
    <t>199</t>
  </si>
  <si>
    <t>85JQ+PM Irún</t>
  </si>
  <si>
    <t>Auzolan Kalea, 44, 20303 Irun, Gipuzkoa</t>
  </si>
  <si>
    <t>943 63 09 99</t>
  </si>
  <si>
    <t>https://goo.gl/maps/pCGJvVSev233osi69</t>
  </si>
  <si>
    <t>https://lh5.googleusercontent.com/p/AF1QipOzyLPF-sOaAVkJsg0_IhpnL1IH9KWjWHwi4oXS=w426-h240-k-no</t>
  </si>
  <si>
    <t>4HCH+WM Vergara</t>
  </si>
  <si>
    <t>Calle Leizariako San Lorentzo, 17, 20570 Bergara, Gipuzkoa</t>
  </si>
  <si>
    <t>943 76 27 61</t>
  </si>
  <si>
    <t>43.1223585</t>
  </si>
  <si>
    <t>-2.7009069</t>
  </si>
  <si>
    <t>https://goo.gl/maps/YkdYfkPAH7e5CpmDA</t>
  </si>
  <si>
    <t>https://streetviewpixels-pa.googleapis.com/v1/thumbnail?panoid=e0mbLGGBaDwE8sQRyyzSAw&amp;cb_client=search.gws-prod.gps&amp;w=408&amp;h=240&amp;yaw=192.29102&amp;pitch=0&amp;thumbfov=100</t>
  </si>
  <si>
    <t>Centro De Jubilados Y Pensionistas Untzaga</t>
  </si>
  <si>
    <t>5GMG+CQ Éibar</t>
  </si>
  <si>
    <t>Untzaga Plaza, 6, 20600 Eibar, Gipuzkoa</t>
  </si>
  <si>
    <t>943 20 33 32</t>
  </si>
  <si>
    <t>43.1835715</t>
  </si>
  <si>
    <t>-2.7532494</t>
  </si>
  <si>
    <t>https://goo.gl/maps/e41K8PLFUvCqwcQF8</t>
  </si>
  <si>
    <t>https://streetviewpixels-pa.googleapis.com/v1/thumbnail?panoid=y2aQx3npJtyNlAKR1mazpg&amp;cb_client=search.gws-prod.gps&amp;w=408&amp;h=240&amp;yaw=109.89108&amp;pitch=0&amp;thumbfov=100</t>
  </si>
  <si>
    <t>Cruz Roja Gipuzkoa - Gipuzkoako Gurutze Gorria</t>
  </si>
  <si>
    <t>822M+24 San Sebastián</t>
  </si>
  <si>
    <t>Zorroaga Pasealekua, 23-27, 20011 Donostia, Gipuzkoa</t>
  </si>
  <si>
    <t>943 22 22 22</t>
  </si>
  <si>
    <t>43.3051409</t>
  </si>
  <si>
    <t>-2.2952519</t>
  </si>
  <si>
    <t>https://goo.gl/maps/H8b1BZdJ2LsgUBNSA</t>
  </si>
  <si>
    <t>https://lh5.googleusercontent.com/p/AF1QipPgjxmubd-0oxZ2QoEwygwNJTRewCRns13-EtC6=w426-h240-k-no</t>
  </si>
  <si>
    <t>Socialistas de Irun</t>
  </si>
  <si>
    <t>86Q4+P2 Irún</t>
  </si>
  <si>
    <t>Gipuzkoa Hiribidea, 20305 Irun, Gipuzkoa</t>
  </si>
  <si>
    <t>socialistasdeirun.com</t>
  </si>
  <si>
    <t>943 61 17 22</t>
  </si>
  <si>
    <t>agrupacion@socialistasdeirun.com</t>
  </si>
  <si>
    <t>43.3392566</t>
  </si>
  <si>
    <t>-2.0751205</t>
  </si>
  <si>
    <t>https://goo.gl/maps/gxgzxf8anY1qossE7</t>
  </si>
  <si>
    <t>https://streetviewpixels-pa.googleapis.com/v1/thumbnail?panoid=t1IRDe3zFO2ZUUF8u4SdYw&amp;cb_client=search.gws-prod.gps&amp;w=408&amp;h=240&amp;yaw=283.42105&amp;pitch=0&amp;thumbfov=100</t>
  </si>
  <si>
    <t>Horbel Sociedad Cooperativa</t>
  </si>
  <si>
    <t>8X2Q+J6 San Sebastián</t>
  </si>
  <si>
    <t>Portuetxe 23A 4º Oficinas 14-15, 20018 Donostia, Gipuzkoa</t>
  </si>
  <si>
    <t>horbel.eus</t>
  </si>
  <si>
    <t>943 32 60 78</t>
  </si>
  <si>
    <t>info@horbel.eus</t>
  </si>
  <si>
    <t>https://goo.gl/maps/VzVi5EUTgHCyrojj6</t>
  </si>
  <si>
    <t>https://streetviewpixels-pa.googleapis.com/v1/thumbnail?panoid=RYj2qBT_YEZ1ieqzNYbZQQ&amp;cb_client=search.gws-prod.gps&amp;w=408&amp;h=240&amp;yaw=328.16733&amp;pitch=0&amp;thumbfov=100</t>
  </si>
  <si>
    <t>Cp Pío Baroja</t>
  </si>
  <si>
    <t>836R+M3 Rentería</t>
  </si>
  <si>
    <t>Urdaburu Kalea, 2, 20100 Errenteria, Gipuzkoa</t>
  </si>
  <si>
    <t>943 51 32 96</t>
  </si>
  <si>
    <t>https://goo.gl/maps/3vYeX2kdnMmBh9qZA</t>
  </si>
  <si>
    <t>https://streetviewpixels-pa.googleapis.com/v1/thumbnail?panoid=TXLkcaD8HaUQ-WTswrappg&amp;cb_client=search.gws-prod.gps&amp;w=408&amp;h=240&amp;yaw=31.667007&amp;pitch=0&amp;thumbfov=100</t>
  </si>
  <si>
    <t>Cruz Roja Tolosa - Tolosako Gurutze Gorria</t>
  </si>
  <si>
    <t>4WVH+WM Tolosa</t>
  </si>
  <si>
    <t>Madalen Kalea, 20400 Tolosa, Gipuzkoa</t>
  </si>
  <si>
    <t>943 67 48 88</t>
  </si>
  <si>
    <t>43.0482107</t>
  </si>
  <si>
    <t>-2.4779409</t>
  </si>
  <si>
    <t>https://goo.gl/maps/huQSsxanf8ZrjFCh8</t>
  </si>
  <si>
    <t>https://streetviewpixels-pa.googleapis.com/v1/thumbnail?panoid=DydVMonZ4G2PgC-VTnY6WQ&amp;cb_client=search.gws-prod.gps&amp;w=408&amp;h=240&amp;yaw=145.3001&amp;pitch=0&amp;thumbfov=100</t>
  </si>
  <si>
    <t>Cruz Roja - Gurutze Gorria Eibar-Ermua</t>
  </si>
  <si>
    <t>5FMX+XP Ermua</t>
  </si>
  <si>
    <t>Gipuzkoa Hiribidea, 0, 48260 Ermua, Bizkaia</t>
  </si>
  <si>
    <t>Ermua</t>
  </si>
  <si>
    <t>943 17 17 17</t>
  </si>
  <si>
    <t>43.1849507</t>
  </si>
  <si>
    <t>-2.7808799</t>
  </si>
  <si>
    <t>https://goo.gl/maps/dVox2nqoExhDjG1y8</t>
  </si>
  <si>
    <t>https://streetviewpixels-pa.googleapis.com/v1/thumbnail?panoid=oYV5hEFqBB1OBTbO-AqX9Q&amp;cb_client=search.gws-prod.gps&amp;w=408&amp;h=240&amp;yaw=32.383156&amp;pitch=0&amp;thumbfov=100</t>
  </si>
  <si>
    <t>Cruz Roja - Gurutze Gorria</t>
  </si>
  <si>
    <t>4WRH+QV Tolosa</t>
  </si>
  <si>
    <t>Uzturre Kalea, 25, 20400 Tolosa, Gipuzkoa</t>
  </si>
  <si>
    <t>943 59 87 58</t>
  </si>
  <si>
    <t>https://goo.gl/maps/BUjgLukvqmZFqbSx8</t>
  </si>
  <si>
    <t>https://streetviewpixels-pa.googleapis.com/v1/thumbnail?panoid=KFuT-cXMQ0hNojQXbDu77A&amp;cb_client=search.gws-prod.gps&amp;w=408&amp;h=240&amp;yaw=286.90363&amp;pitch=0&amp;thumbfov=100</t>
  </si>
  <si>
    <t>Once Organización Nacional De Ciegos De España</t>
  </si>
  <si>
    <t>837X+43 Rentería</t>
  </si>
  <si>
    <t>Morrongilleta Kalea, 10, 20100 Errenteria, Gipuzkoa</t>
  </si>
  <si>
    <t>943 52 77 53</t>
  </si>
  <si>
    <t>43.3127685</t>
  </si>
  <si>
    <t>-2.1824454</t>
  </si>
  <si>
    <t>https://goo.gl/maps/VMm6zBfS3KAcQMB38</t>
  </si>
  <si>
    <t>https://streetviewpixels-pa.googleapis.com/v1/thumbnail?panoid=hcr9fUpl7LvbYt7xylwJfg&amp;cb_client=search.gws-prod.gps&amp;w=408&amp;h=240&amp;yaw=312.58984&amp;pitch=0&amp;thumbfov=100</t>
  </si>
  <si>
    <t>Gurutze Gorria - Cruz Roja Urola Garaia</t>
  </si>
  <si>
    <t>3MMG+82 Urretxu</t>
  </si>
  <si>
    <t>Pol., Mugitegi-B Pol., 33, 20700 Urretxu, Gipuzkoa</t>
  </si>
  <si>
    <t>Urretxu</t>
  </si>
  <si>
    <t>43.0832824</t>
  </si>
  <si>
    <t>-2.6050906</t>
  </si>
  <si>
    <t>https://goo.gl/maps/tMvQhGTSBiCN9L857</t>
  </si>
  <si>
    <t>https://lh5.googleusercontent.com/p/AF1QipMgQSDTFR07MOQ-XkUZw3KLsJuMwJN1IBlmVfpX=w408-h544-k-no</t>
  </si>
  <si>
    <t>Anaidia Fraternidad Cristiana Personas Con Discapacidad</t>
  </si>
  <si>
    <t>8277+FP San Sebastián</t>
  </si>
  <si>
    <t>Amara Kalea, 25, 20006 Donostia, Gipuzkoa</t>
  </si>
  <si>
    <t>666 88 45 59</t>
  </si>
  <si>
    <t>43.2693205</t>
  </si>
  <si>
    <t>-2.3123799</t>
  </si>
  <si>
    <t>https://goo.gl/maps/fv7mohxeQu4G3LeG6</t>
  </si>
  <si>
    <t>https://streetviewpixels-pa.googleapis.com/v1/thumbnail?panoid=PLsoC5ZFe6bgm3uDwmvDaQ&amp;cb_client=search.gws-prod.gps&amp;w=408&amp;h=240&amp;yaw=151.97113&amp;pitch=0&amp;thumbfov=100</t>
  </si>
  <si>
    <t>Cruz Roja Irun - Irungo Gurutze Gorria</t>
  </si>
  <si>
    <t>86M4+QG Irún</t>
  </si>
  <si>
    <t>Euskal-Herria Hiribidea, 14, 20303 Irun, Gipuzkoa</t>
  </si>
  <si>
    <t>943 62 11 62</t>
  </si>
  <si>
    <t>https://goo.gl/maps/hY3t3gyVbb8rXaVM9</t>
  </si>
  <si>
    <t>https://streetviewpixels-pa.googleapis.com/v1/thumbnail?panoid=gvPebjoUyOnRzc4cMr_TpA&amp;cb_client=search.gws-prod.gps&amp;w=408&amp;h=240&amp;yaw=51.816235&amp;pitch=0&amp;thumbfov=100</t>
  </si>
  <si>
    <t>Cruz Roja Alto Urola - Urola Garaiko Gurutze Gorria</t>
  </si>
  <si>
    <t>3MQJ+M8 Urretxu</t>
  </si>
  <si>
    <t>Labeaga Kalea, 41, 20700 Urretxu, Gipuzkoa</t>
  </si>
  <si>
    <t>943 72 53 64</t>
  </si>
  <si>
    <t>43.089197</t>
  </si>
  <si>
    <t>-2.5992909</t>
  </si>
  <si>
    <t>https://goo.gl/maps/6iPBYYxcwYmmxfYu6</t>
  </si>
  <si>
    <t>https://streetviewpixels-pa.googleapis.com/v1/thumbnail?panoid=4sgHdlNeFkEwa3ft7Qpuxw&amp;cb_client=search.gws-prod.gps&amp;w=408&amp;h=240&amp;yaw=187.90332&amp;pitch=0&amp;thumbfov=100</t>
  </si>
  <si>
    <t>Hogar de Jubilados Zaharren Biltokia</t>
  </si>
  <si>
    <t>83GF+2C Pasajes</t>
  </si>
  <si>
    <t>Esnabide Kalea, 4, 20110 Pasai San Pedro, Gipuzkoa</t>
  </si>
  <si>
    <t>Pasajes</t>
  </si>
  <si>
    <t>943 39 66 89</t>
  </si>
  <si>
    <t>43.3250287</t>
  </si>
  <si>
    <t>-2.206527</t>
  </si>
  <si>
    <t>https://goo.gl/maps/y5LpffTxtdiHYnum8</t>
  </si>
  <si>
    <t>https://streetviewpixels-pa.googleapis.com/v1/thumbnail?panoid=LXkS_8jvIBUSBlKjfJuW0A&amp;cb_client=search.gws-prod.gps&amp;w=408&amp;h=240&amp;yaw=320.34964&amp;pitch=0&amp;thumbfov=100</t>
  </si>
  <si>
    <t>K Zentroa</t>
  </si>
  <si>
    <t>5PHH+XC Azpeitia</t>
  </si>
  <si>
    <t>Loiolako Inazio Hiribidea, 33, 20730 Azpeitia, Gipuzkoa</t>
  </si>
  <si>
    <t>Azpeitia</t>
  </si>
  <si>
    <t>kzentroa.com</t>
  </si>
  <si>
    <t>648 85 47 93</t>
  </si>
  <si>
    <t>info@kzentroa.com</t>
  </si>
  <si>
    <t>43.1799662</t>
  </si>
  <si>
    <t>-2.5516013</t>
  </si>
  <si>
    <t>https://goo.gl/maps/VQhDYMpnEttAwpUw6</t>
  </si>
  <si>
    <t>https://lh5.googleusercontent.com/p/AF1QipMz1E3CwHgqULhFjqIZDOUHFOjXoLrD7Wox9p9Z=w425-h240-k-no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</si>
  <si>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</si>
  <si>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</si>
  <si>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</si>
  <si>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</si>
  <si>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</si>
  <si>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</si>
  <si>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</si>
  <si>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</si>
  <si>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Virtual Data SLU</t>
  </si>
  <si>
    <t>Edoras Ilimitado</t>
  </si>
  <si>
    <t>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</si>
</sst>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Servicios</a:t>
            </a:r>
            <a:r>
              <a:rPr lang="es-ES" baseline="0"/>
              <a:t> sociales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09-4F59-AD1F-7860E3366C3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09-4F59-AD1F-7860E3366C3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09-4F59-AD1F-7860E3366C3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09-4F59-AD1F-7860E3366C3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09-4F59-AD1F-7860E3366C3C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1561</c:v>
                </c:pt>
                <c:pt idx="1">
                  <c:v>611</c:v>
                </c:pt>
                <c:pt idx="2">
                  <c:v>928</c:v>
                </c:pt>
                <c:pt idx="3">
                  <c:v>1395</c:v>
                </c:pt>
                <c:pt idx="4">
                  <c:v>1274</c:v>
                </c:pt>
                <c:pt idx="5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9-4F59-AD1F-7860E3366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123151"/>
        <c:axId val="1343146447"/>
      </c:barChart>
      <c:catAx>
        <c:axId val="134312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3146447"/>
        <c:crosses val="autoZero"/>
        <c:auto val="1"/>
        <c:lblAlgn val="ctr"/>
        <c:lblOffset val="100"/>
        <c:noMultiLvlLbl val="0"/>
      </c:catAx>
      <c:valAx>
        <c:axId val="134314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312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</xdr:row>
      <xdr:rowOff>120650</xdr:rowOff>
    </xdr:from>
    <xdr:to>
      <xdr:col>5</xdr:col>
      <xdr:colOff>1162050</xdr:colOff>
      <xdr:row>28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C096EC-A6D0-3D4C-34E1-62EF64DCA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FDE0-1FBE-4295-B47F-13663F806379}">
  <dimension ref="A1:P1562"/>
  <sheetViews>
    <sheetView workbookViewId="0">
      <selection activeCell="G5" sqref="G5"/>
    </sheetView>
  </sheetViews>
  <sheetFormatPr baseColWidth="10" defaultColWidth="8.7265625" defaultRowHeight="14.5" x14ac:dyDescent="0.35"/>
  <cols>
    <col min="1" max="1" width="51.08984375" customWidth="1"/>
    <col min="2" max="2" width="30.1796875" customWidth="1"/>
    <col min="3" max="3" width="9.54296875" customWidth="1"/>
    <col min="4" max="4" width="11.7265625" customWidth="1"/>
    <col min="5" max="5" width="14.1796875" customWidth="1"/>
    <col min="6" max="6" width="11.6328125" customWidth="1"/>
    <col min="7" max="7" width="11.453125" customWidth="1"/>
    <col min="8" max="8" width="12.1796875" customWidth="1"/>
    <col min="9" max="9" width="11.453125" customWidth="1"/>
    <col min="10" max="10" width="13.08984375" customWidth="1"/>
    <col min="12" max="12" width="10.90625" customWidth="1"/>
    <col min="13" max="13" width="12.81640625" customWidth="1"/>
    <col min="14" max="14" width="12.1796875" customWidth="1"/>
    <col min="15" max="15" width="13.54296875" customWidth="1"/>
    <col min="16" max="16" width="13.08984375" customWidth="1"/>
  </cols>
  <sheetData>
    <row r="1" spans="1:1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11939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5">
      <c r="A2" t="s">
        <v>31</v>
      </c>
      <c r="B2" t="s">
        <v>32</v>
      </c>
      <c r="C2" t="s">
        <v>28</v>
      </c>
      <c r="D2" t="s">
        <v>28</v>
      </c>
      <c r="E2" t="s">
        <v>33</v>
      </c>
      <c r="F2" t="s">
        <v>34</v>
      </c>
      <c r="G2" t="s">
        <v>17</v>
      </c>
      <c r="H2" t="s">
        <v>17</v>
      </c>
      <c r="I2" t="s">
        <v>28</v>
      </c>
      <c r="J2" t="s">
        <v>35</v>
      </c>
      <c r="K2" t="s">
        <v>19</v>
      </c>
      <c r="L2" t="s">
        <v>20</v>
      </c>
      <c r="M2" t="s">
        <v>29</v>
      </c>
      <c r="N2" t="s">
        <v>30</v>
      </c>
      <c r="O2" t="s">
        <v>36</v>
      </c>
      <c r="P2" t="s">
        <v>37</v>
      </c>
    </row>
    <row r="3" spans="1:16" x14ac:dyDescent="0.35">
      <c r="A3" t="s">
        <v>38</v>
      </c>
      <c r="B3" t="s">
        <v>32</v>
      </c>
      <c r="C3" t="s">
        <v>15</v>
      </c>
      <c r="D3" t="s">
        <v>16</v>
      </c>
      <c r="E3" t="s">
        <v>39</v>
      </c>
      <c r="F3" t="s">
        <v>40</v>
      </c>
      <c r="G3" t="s">
        <v>17</v>
      </c>
      <c r="H3" t="s">
        <v>17</v>
      </c>
      <c r="I3" t="s">
        <v>28</v>
      </c>
      <c r="J3" t="s">
        <v>41</v>
      </c>
      <c r="K3" t="s">
        <v>19</v>
      </c>
      <c r="L3" t="s">
        <v>20</v>
      </c>
      <c r="M3" t="s">
        <v>42</v>
      </c>
      <c r="N3" t="s">
        <v>43</v>
      </c>
      <c r="O3" t="s">
        <v>44</v>
      </c>
      <c r="P3" t="s">
        <v>45</v>
      </c>
    </row>
    <row r="4" spans="1:16" x14ac:dyDescent="0.35">
      <c r="A4" t="s">
        <v>46</v>
      </c>
      <c r="B4" t="s">
        <v>32</v>
      </c>
      <c r="C4" t="s">
        <v>28</v>
      </c>
      <c r="D4" t="s">
        <v>28</v>
      </c>
      <c r="E4" t="s">
        <v>47</v>
      </c>
      <c r="F4" t="s">
        <v>48</v>
      </c>
      <c r="G4" t="s">
        <v>17</v>
      </c>
      <c r="H4" t="s">
        <v>17</v>
      </c>
      <c r="I4" t="s">
        <v>28</v>
      </c>
      <c r="J4" t="s">
        <v>49</v>
      </c>
      <c r="K4" t="s">
        <v>19</v>
      </c>
      <c r="L4" t="s">
        <v>20</v>
      </c>
      <c r="M4" t="s">
        <v>50</v>
      </c>
      <c r="N4" t="s">
        <v>51</v>
      </c>
      <c r="O4" t="s">
        <v>52</v>
      </c>
      <c r="P4" t="s">
        <v>53</v>
      </c>
    </row>
    <row r="5" spans="1:16" x14ac:dyDescent="0.35">
      <c r="A5" t="s">
        <v>54</v>
      </c>
      <c r="B5" t="s">
        <v>55</v>
      </c>
      <c r="C5" t="s">
        <v>28</v>
      </c>
      <c r="D5" t="s">
        <v>28</v>
      </c>
      <c r="E5" t="s">
        <v>56</v>
      </c>
      <c r="F5" t="s">
        <v>57</v>
      </c>
      <c r="G5" t="s">
        <v>17</v>
      </c>
      <c r="H5" t="s">
        <v>17</v>
      </c>
      <c r="I5" t="s">
        <v>28</v>
      </c>
      <c r="J5" t="s">
        <v>28</v>
      </c>
      <c r="K5" t="s">
        <v>19</v>
      </c>
      <c r="L5" t="s">
        <v>20</v>
      </c>
      <c r="M5" t="s">
        <v>50</v>
      </c>
      <c r="N5" t="s">
        <v>51</v>
      </c>
      <c r="O5" t="s">
        <v>58</v>
      </c>
      <c r="P5" t="s">
        <v>59</v>
      </c>
    </row>
    <row r="6" spans="1:16" x14ac:dyDescent="0.35">
      <c r="A6" t="s">
        <v>62</v>
      </c>
      <c r="B6" t="s">
        <v>55</v>
      </c>
      <c r="C6" t="s">
        <v>15</v>
      </c>
      <c r="D6" t="s">
        <v>16</v>
      </c>
      <c r="E6" t="s">
        <v>63</v>
      </c>
      <c r="F6" t="s">
        <v>64</v>
      </c>
      <c r="G6" t="s">
        <v>17</v>
      </c>
      <c r="H6" t="s">
        <v>17</v>
      </c>
      <c r="I6" t="s">
        <v>28</v>
      </c>
      <c r="J6" t="s">
        <v>28</v>
      </c>
      <c r="K6" t="s">
        <v>19</v>
      </c>
      <c r="L6" t="s">
        <v>20</v>
      </c>
      <c r="M6" t="s">
        <v>60</v>
      </c>
      <c r="N6" t="s">
        <v>61</v>
      </c>
      <c r="O6" t="s">
        <v>65</v>
      </c>
      <c r="P6" t="s">
        <v>66</v>
      </c>
    </row>
    <row r="7" spans="1:16" x14ac:dyDescent="0.35">
      <c r="A7" t="s">
        <v>67</v>
      </c>
      <c r="B7" t="s">
        <v>32</v>
      </c>
      <c r="C7" t="s">
        <v>15</v>
      </c>
      <c r="D7" t="s">
        <v>68</v>
      </c>
      <c r="E7" t="s">
        <v>69</v>
      </c>
      <c r="F7" t="s">
        <v>70</v>
      </c>
      <c r="G7" t="s">
        <v>17</v>
      </c>
      <c r="H7" t="s">
        <v>17</v>
      </c>
      <c r="I7" t="s">
        <v>71</v>
      </c>
      <c r="J7" t="s">
        <v>28</v>
      </c>
      <c r="K7" t="s">
        <v>72</v>
      </c>
      <c r="L7" t="s">
        <v>20</v>
      </c>
      <c r="M7" t="s">
        <v>73</v>
      </c>
      <c r="N7" t="s">
        <v>74</v>
      </c>
      <c r="O7" t="s">
        <v>75</v>
      </c>
      <c r="P7" t="s">
        <v>76</v>
      </c>
    </row>
    <row r="8" spans="1:16" x14ac:dyDescent="0.35">
      <c r="A8" t="s">
        <v>77</v>
      </c>
      <c r="B8" t="s">
        <v>55</v>
      </c>
      <c r="C8" t="s">
        <v>78</v>
      </c>
      <c r="D8" t="s">
        <v>79</v>
      </c>
      <c r="E8" t="s">
        <v>80</v>
      </c>
      <c r="F8" t="s">
        <v>81</v>
      </c>
      <c r="G8" t="s">
        <v>17</v>
      </c>
      <c r="H8" t="s">
        <v>17</v>
      </c>
      <c r="I8" t="s">
        <v>82</v>
      </c>
      <c r="J8" t="s">
        <v>83</v>
      </c>
      <c r="K8" t="s">
        <v>84</v>
      </c>
      <c r="L8" t="s">
        <v>20</v>
      </c>
      <c r="M8" t="s">
        <v>73</v>
      </c>
      <c r="N8" t="s">
        <v>74</v>
      </c>
      <c r="O8" t="s">
        <v>85</v>
      </c>
      <c r="P8" t="s">
        <v>86</v>
      </c>
    </row>
    <row r="9" spans="1:16" x14ac:dyDescent="0.35">
      <c r="A9" t="s">
        <v>87</v>
      </c>
      <c r="B9" t="s">
        <v>88</v>
      </c>
      <c r="C9" t="s">
        <v>28</v>
      </c>
      <c r="D9" t="s">
        <v>28</v>
      </c>
      <c r="E9" t="s">
        <v>89</v>
      </c>
      <c r="F9" t="s">
        <v>90</v>
      </c>
      <c r="G9" t="s">
        <v>17</v>
      </c>
      <c r="H9" t="s">
        <v>17</v>
      </c>
      <c r="I9" t="s">
        <v>91</v>
      </c>
      <c r="J9" t="s">
        <v>92</v>
      </c>
      <c r="K9" t="s">
        <v>19</v>
      </c>
      <c r="L9" t="s">
        <v>20</v>
      </c>
      <c r="M9" t="s">
        <v>73</v>
      </c>
      <c r="N9" t="s">
        <v>74</v>
      </c>
      <c r="O9" t="s">
        <v>93</v>
      </c>
      <c r="P9" t="s">
        <v>94</v>
      </c>
    </row>
    <row r="10" spans="1:16" x14ac:dyDescent="0.35">
      <c r="A10" t="s">
        <v>95</v>
      </c>
      <c r="B10" t="s">
        <v>55</v>
      </c>
      <c r="C10" t="s">
        <v>96</v>
      </c>
      <c r="D10" t="s">
        <v>97</v>
      </c>
      <c r="E10" t="s">
        <v>98</v>
      </c>
      <c r="F10" t="s">
        <v>99</v>
      </c>
      <c r="G10" t="s">
        <v>17</v>
      </c>
      <c r="H10" t="s">
        <v>17</v>
      </c>
      <c r="I10" t="s">
        <v>100</v>
      </c>
      <c r="J10" t="s">
        <v>101</v>
      </c>
      <c r="K10" t="s">
        <v>19</v>
      </c>
      <c r="L10" t="s">
        <v>20</v>
      </c>
      <c r="M10" t="s">
        <v>102</v>
      </c>
      <c r="N10" t="s">
        <v>103</v>
      </c>
      <c r="O10" t="s">
        <v>104</v>
      </c>
      <c r="P10" t="s">
        <v>105</v>
      </c>
    </row>
    <row r="11" spans="1:16" x14ac:dyDescent="0.35">
      <c r="A11" t="s">
        <v>106</v>
      </c>
      <c r="B11" t="s">
        <v>107</v>
      </c>
      <c r="C11" t="s">
        <v>28</v>
      </c>
      <c r="D11" t="s">
        <v>28</v>
      </c>
      <c r="E11" t="s">
        <v>108</v>
      </c>
      <c r="F11" t="s">
        <v>109</v>
      </c>
      <c r="G11" t="s">
        <v>17</v>
      </c>
      <c r="H11" t="s">
        <v>17</v>
      </c>
      <c r="I11" t="s">
        <v>110</v>
      </c>
      <c r="J11" t="s">
        <v>111</v>
      </c>
      <c r="K11" t="s">
        <v>19</v>
      </c>
      <c r="L11" t="s">
        <v>20</v>
      </c>
      <c r="M11" t="s">
        <v>112</v>
      </c>
      <c r="N11" t="s">
        <v>113</v>
      </c>
      <c r="O11" t="s">
        <v>114</v>
      </c>
      <c r="P11" t="s">
        <v>115</v>
      </c>
    </row>
    <row r="12" spans="1:16" x14ac:dyDescent="0.35">
      <c r="A12" t="s">
        <v>116</v>
      </c>
      <c r="B12" t="s">
        <v>55</v>
      </c>
      <c r="C12" t="s">
        <v>117</v>
      </c>
      <c r="D12" t="s">
        <v>27</v>
      </c>
      <c r="E12" t="s">
        <v>118</v>
      </c>
      <c r="F12" t="s">
        <v>119</v>
      </c>
      <c r="G12" t="s">
        <v>17</v>
      </c>
      <c r="H12" t="s">
        <v>17</v>
      </c>
      <c r="I12" t="s">
        <v>28</v>
      </c>
      <c r="J12" t="s">
        <v>120</v>
      </c>
      <c r="K12" t="s">
        <v>19</v>
      </c>
      <c r="L12" t="s">
        <v>20</v>
      </c>
      <c r="M12" t="s">
        <v>112</v>
      </c>
      <c r="N12" t="s">
        <v>113</v>
      </c>
      <c r="O12" t="s">
        <v>121</v>
      </c>
      <c r="P12" t="s">
        <v>122</v>
      </c>
    </row>
    <row r="13" spans="1:16" x14ac:dyDescent="0.35">
      <c r="A13" t="s">
        <v>123</v>
      </c>
      <c r="B13" t="s">
        <v>55</v>
      </c>
      <c r="C13" t="s">
        <v>78</v>
      </c>
      <c r="D13" t="s">
        <v>124</v>
      </c>
      <c r="E13" t="s">
        <v>125</v>
      </c>
      <c r="F13" t="s">
        <v>126</v>
      </c>
      <c r="G13" t="s">
        <v>17</v>
      </c>
      <c r="H13" t="s">
        <v>17</v>
      </c>
      <c r="I13" t="s">
        <v>28</v>
      </c>
      <c r="J13" t="s">
        <v>127</v>
      </c>
      <c r="K13" t="s">
        <v>19</v>
      </c>
      <c r="L13" t="s">
        <v>20</v>
      </c>
      <c r="M13" t="s">
        <v>128</v>
      </c>
      <c r="N13" t="s">
        <v>129</v>
      </c>
      <c r="O13" t="s">
        <v>130</v>
      </c>
      <c r="P13" t="s">
        <v>131</v>
      </c>
    </row>
    <row r="14" spans="1:16" x14ac:dyDescent="0.35">
      <c r="A14" t="s">
        <v>132</v>
      </c>
      <c r="B14" t="s">
        <v>55</v>
      </c>
      <c r="C14" t="s">
        <v>117</v>
      </c>
      <c r="D14" t="s">
        <v>124</v>
      </c>
      <c r="E14" t="s">
        <v>133</v>
      </c>
      <c r="F14" t="s">
        <v>134</v>
      </c>
      <c r="G14" t="s">
        <v>17</v>
      </c>
      <c r="H14" t="s">
        <v>17</v>
      </c>
      <c r="I14" t="s">
        <v>135</v>
      </c>
      <c r="J14" t="s">
        <v>136</v>
      </c>
      <c r="K14" t="s">
        <v>19</v>
      </c>
      <c r="L14" t="s">
        <v>20</v>
      </c>
      <c r="M14" t="s">
        <v>128</v>
      </c>
      <c r="N14" t="s">
        <v>129</v>
      </c>
      <c r="O14" t="s">
        <v>137</v>
      </c>
      <c r="P14" t="s">
        <v>138</v>
      </c>
    </row>
    <row r="15" spans="1:16" x14ac:dyDescent="0.35">
      <c r="A15" t="s">
        <v>139</v>
      </c>
      <c r="B15" t="s">
        <v>55</v>
      </c>
      <c r="C15" t="s">
        <v>140</v>
      </c>
      <c r="D15" t="s">
        <v>141</v>
      </c>
      <c r="E15" t="s">
        <v>142</v>
      </c>
      <c r="F15" t="s">
        <v>143</v>
      </c>
      <c r="G15" t="s">
        <v>17</v>
      </c>
      <c r="H15" t="s">
        <v>17</v>
      </c>
      <c r="I15" t="s">
        <v>144</v>
      </c>
      <c r="J15" t="s">
        <v>145</v>
      </c>
      <c r="K15" t="s">
        <v>146</v>
      </c>
      <c r="L15" t="s">
        <v>20</v>
      </c>
      <c r="M15" t="s">
        <v>147</v>
      </c>
      <c r="N15" t="s">
        <v>148</v>
      </c>
      <c r="O15" t="s">
        <v>149</v>
      </c>
      <c r="P15" t="s">
        <v>150</v>
      </c>
    </row>
    <row r="16" spans="1:16" x14ac:dyDescent="0.35">
      <c r="A16" t="s">
        <v>116</v>
      </c>
      <c r="B16" t="s">
        <v>55</v>
      </c>
      <c r="C16" t="s">
        <v>28</v>
      </c>
      <c r="D16" t="s">
        <v>28</v>
      </c>
      <c r="E16" t="s">
        <v>151</v>
      </c>
      <c r="F16" t="s">
        <v>152</v>
      </c>
      <c r="G16" t="s">
        <v>17</v>
      </c>
      <c r="H16" t="s">
        <v>17</v>
      </c>
      <c r="I16" t="s">
        <v>28</v>
      </c>
      <c r="J16" t="s">
        <v>153</v>
      </c>
      <c r="K16" t="s">
        <v>19</v>
      </c>
      <c r="L16" t="s">
        <v>20</v>
      </c>
      <c r="M16" t="s">
        <v>147</v>
      </c>
      <c r="N16" t="s">
        <v>148</v>
      </c>
      <c r="O16" t="s">
        <v>154</v>
      </c>
      <c r="P16" t="s">
        <v>155</v>
      </c>
    </row>
    <row r="17" spans="1:16" x14ac:dyDescent="0.35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161</v>
      </c>
      <c r="G17" t="s">
        <v>17</v>
      </c>
      <c r="H17" t="s">
        <v>17</v>
      </c>
      <c r="I17" t="s">
        <v>162</v>
      </c>
      <c r="J17" t="s">
        <v>163</v>
      </c>
      <c r="K17" t="s">
        <v>164</v>
      </c>
      <c r="L17" t="s">
        <v>20</v>
      </c>
      <c r="M17" t="s">
        <v>165</v>
      </c>
      <c r="N17" t="s">
        <v>166</v>
      </c>
      <c r="O17" t="s">
        <v>167</v>
      </c>
      <c r="P17" t="s">
        <v>168</v>
      </c>
    </row>
    <row r="18" spans="1:16" x14ac:dyDescent="0.35">
      <c r="A18" t="s">
        <v>169</v>
      </c>
      <c r="B18" t="s">
        <v>55</v>
      </c>
      <c r="C18" t="s">
        <v>170</v>
      </c>
      <c r="D18" t="s">
        <v>68</v>
      </c>
      <c r="E18" t="s">
        <v>171</v>
      </c>
      <c r="F18" t="s">
        <v>172</v>
      </c>
      <c r="G18" t="s">
        <v>17</v>
      </c>
      <c r="H18" t="s">
        <v>17</v>
      </c>
      <c r="I18" t="s">
        <v>28</v>
      </c>
      <c r="J18" t="s">
        <v>173</v>
      </c>
      <c r="K18" t="s">
        <v>19</v>
      </c>
      <c r="L18" t="s">
        <v>20</v>
      </c>
      <c r="M18" t="s">
        <v>165</v>
      </c>
      <c r="N18" t="s">
        <v>166</v>
      </c>
      <c r="O18" t="s">
        <v>174</v>
      </c>
      <c r="P18" t="s">
        <v>175</v>
      </c>
    </row>
    <row r="19" spans="1:16" x14ac:dyDescent="0.35">
      <c r="A19" t="s">
        <v>176</v>
      </c>
      <c r="B19" t="s">
        <v>55</v>
      </c>
      <c r="C19" t="s">
        <v>177</v>
      </c>
      <c r="D19" t="s">
        <v>68</v>
      </c>
      <c r="E19" t="s">
        <v>178</v>
      </c>
      <c r="F19" t="s">
        <v>179</v>
      </c>
      <c r="G19" t="s">
        <v>17</v>
      </c>
      <c r="H19" t="s">
        <v>17</v>
      </c>
      <c r="I19" t="s">
        <v>180</v>
      </c>
      <c r="J19" t="s">
        <v>181</v>
      </c>
      <c r="K19" t="s">
        <v>19</v>
      </c>
      <c r="L19" t="s">
        <v>20</v>
      </c>
      <c r="M19" t="s">
        <v>165</v>
      </c>
      <c r="N19" t="s">
        <v>166</v>
      </c>
      <c r="O19" t="s">
        <v>182</v>
      </c>
      <c r="P19" t="s">
        <v>183</v>
      </c>
    </row>
    <row r="20" spans="1:16" x14ac:dyDescent="0.35">
      <c r="A20" t="s">
        <v>184</v>
      </c>
      <c r="B20" t="s">
        <v>55</v>
      </c>
      <c r="C20" t="s">
        <v>26</v>
      </c>
      <c r="D20" t="s">
        <v>185</v>
      </c>
      <c r="E20" t="s">
        <v>186</v>
      </c>
      <c r="F20" t="s">
        <v>187</v>
      </c>
      <c r="G20" t="s">
        <v>17</v>
      </c>
      <c r="H20" t="s">
        <v>17</v>
      </c>
      <c r="I20" t="s">
        <v>188</v>
      </c>
      <c r="J20" t="s">
        <v>189</v>
      </c>
      <c r="K20" t="s">
        <v>190</v>
      </c>
      <c r="L20" t="s">
        <v>20</v>
      </c>
      <c r="M20" t="s">
        <v>165</v>
      </c>
      <c r="N20" t="s">
        <v>166</v>
      </c>
      <c r="O20" t="s">
        <v>191</v>
      </c>
      <c r="P20" t="s">
        <v>192</v>
      </c>
    </row>
    <row r="21" spans="1:16" x14ac:dyDescent="0.35">
      <c r="A21" t="s">
        <v>193</v>
      </c>
      <c r="B21" t="s">
        <v>194</v>
      </c>
      <c r="C21" t="s">
        <v>28</v>
      </c>
      <c r="D21" t="s">
        <v>28</v>
      </c>
      <c r="E21" t="s">
        <v>195</v>
      </c>
      <c r="F21" t="s">
        <v>196</v>
      </c>
      <c r="G21" t="s">
        <v>17</v>
      </c>
      <c r="H21" t="s">
        <v>17</v>
      </c>
      <c r="I21" t="s">
        <v>28</v>
      </c>
      <c r="J21" t="s">
        <v>197</v>
      </c>
      <c r="K21" t="s">
        <v>19</v>
      </c>
      <c r="L21" t="s">
        <v>20</v>
      </c>
      <c r="M21" t="s">
        <v>165</v>
      </c>
      <c r="N21" t="s">
        <v>166</v>
      </c>
      <c r="O21" t="s">
        <v>198</v>
      </c>
      <c r="P21" t="s">
        <v>199</v>
      </c>
    </row>
    <row r="22" spans="1:16" x14ac:dyDescent="0.35">
      <c r="A22" t="s">
        <v>200</v>
      </c>
      <c r="B22" t="s">
        <v>55</v>
      </c>
      <c r="C22" t="s">
        <v>15</v>
      </c>
      <c r="D22" t="s">
        <v>27</v>
      </c>
      <c r="E22" t="s">
        <v>201</v>
      </c>
      <c r="F22" t="s">
        <v>202</v>
      </c>
      <c r="G22" t="s">
        <v>17</v>
      </c>
      <c r="H22" t="s">
        <v>17</v>
      </c>
      <c r="I22" t="s">
        <v>28</v>
      </c>
      <c r="J22" t="s">
        <v>28</v>
      </c>
      <c r="K22" t="s">
        <v>19</v>
      </c>
      <c r="L22" t="s">
        <v>20</v>
      </c>
      <c r="M22" t="s">
        <v>165</v>
      </c>
      <c r="N22" t="s">
        <v>166</v>
      </c>
      <c r="O22" t="s">
        <v>203</v>
      </c>
      <c r="P22" t="s">
        <v>204</v>
      </c>
    </row>
    <row r="23" spans="1:16" x14ac:dyDescent="0.35">
      <c r="A23" t="s">
        <v>208</v>
      </c>
      <c r="B23" t="s">
        <v>55</v>
      </c>
      <c r="C23" t="s">
        <v>117</v>
      </c>
      <c r="D23" t="s">
        <v>27</v>
      </c>
      <c r="E23" t="s">
        <v>209</v>
      </c>
      <c r="F23" t="s">
        <v>210</v>
      </c>
      <c r="G23" t="s">
        <v>17</v>
      </c>
      <c r="H23" t="s">
        <v>17</v>
      </c>
      <c r="I23" t="s">
        <v>211</v>
      </c>
      <c r="J23" t="s">
        <v>212</v>
      </c>
      <c r="K23" t="s">
        <v>213</v>
      </c>
      <c r="L23" t="s">
        <v>20</v>
      </c>
      <c r="M23" t="s">
        <v>165</v>
      </c>
      <c r="N23" t="s">
        <v>166</v>
      </c>
      <c r="O23" t="s">
        <v>214</v>
      </c>
      <c r="P23" t="s">
        <v>215</v>
      </c>
    </row>
    <row r="24" spans="1:16" x14ac:dyDescent="0.35">
      <c r="A24" t="s">
        <v>216</v>
      </c>
      <c r="B24" t="s">
        <v>55</v>
      </c>
      <c r="C24" t="s">
        <v>28</v>
      </c>
      <c r="D24" t="s">
        <v>28</v>
      </c>
      <c r="E24" t="s">
        <v>217</v>
      </c>
      <c r="F24" t="s">
        <v>218</v>
      </c>
      <c r="G24" t="s">
        <v>17</v>
      </c>
      <c r="H24" t="s">
        <v>17</v>
      </c>
      <c r="I24" t="s">
        <v>28</v>
      </c>
      <c r="J24" t="s">
        <v>219</v>
      </c>
      <c r="K24" t="s">
        <v>19</v>
      </c>
      <c r="L24" t="s">
        <v>20</v>
      </c>
      <c r="M24" t="s">
        <v>165</v>
      </c>
      <c r="N24" t="s">
        <v>166</v>
      </c>
      <c r="O24" t="s">
        <v>220</v>
      </c>
      <c r="P24" t="s">
        <v>221</v>
      </c>
    </row>
    <row r="25" spans="1:16" x14ac:dyDescent="0.35">
      <c r="A25" t="s">
        <v>222</v>
      </c>
      <c r="B25" t="s">
        <v>55</v>
      </c>
      <c r="C25" t="s">
        <v>28</v>
      </c>
      <c r="D25" t="s">
        <v>28</v>
      </c>
      <c r="E25" t="s">
        <v>223</v>
      </c>
      <c r="F25" t="s">
        <v>224</v>
      </c>
      <c r="G25" t="s">
        <v>17</v>
      </c>
      <c r="H25" t="s">
        <v>17</v>
      </c>
      <c r="I25" t="s">
        <v>225</v>
      </c>
      <c r="J25" t="s">
        <v>226</v>
      </c>
      <c r="K25" t="s">
        <v>227</v>
      </c>
      <c r="L25" t="s">
        <v>20</v>
      </c>
      <c r="M25" t="s">
        <v>165</v>
      </c>
      <c r="N25" t="s">
        <v>166</v>
      </c>
      <c r="O25" t="s">
        <v>228</v>
      </c>
      <c r="P25" t="s">
        <v>229</v>
      </c>
    </row>
    <row r="26" spans="1:16" x14ac:dyDescent="0.35">
      <c r="A26" t="s">
        <v>230</v>
      </c>
      <c r="B26" t="s">
        <v>55</v>
      </c>
      <c r="C26" t="s">
        <v>177</v>
      </c>
      <c r="D26" t="s">
        <v>231</v>
      </c>
      <c r="E26" t="s">
        <v>232</v>
      </c>
      <c r="F26" t="s">
        <v>233</v>
      </c>
      <c r="G26" t="s">
        <v>17</v>
      </c>
      <c r="H26" t="s">
        <v>17</v>
      </c>
      <c r="I26" t="s">
        <v>234</v>
      </c>
      <c r="J26" t="s">
        <v>235</v>
      </c>
      <c r="K26" t="s">
        <v>19</v>
      </c>
      <c r="L26" t="s">
        <v>20</v>
      </c>
      <c r="M26" t="s">
        <v>236</v>
      </c>
      <c r="N26" t="s">
        <v>237</v>
      </c>
      <c r="O26" t="s">
        <v>238</v>
      </c>
      <c r="P26" t="s">
        <v>239</v>
      </c>
    </row>
    <row r="27" spans="1:16" x14ac:dyDescent="0.35">
      <c r="A27" t="s">
        <v>240</v>
      </c>
      <c r="B27" t="s">
        <v>55</v>
      </c>
      <c r="C27" t="s">
        <v>241</v>
      </c>
      <c r="D27" t="s">
        <v>242</v>
      </c>
      <c r="E27" t="s">
        <v>243</v>
      </c>
      <c r="F27" t="s">
        <v>244</v>
      </c>
      <c r="G27" t="s">
        <v>17</v>
      </c>
      <c r="H27" t="s">
        <v>17</v>
      </c>
      <c r="I27" t="s">
        <v>28</v>
      </c>
      <c r="J27" t="s">
        <v>245</v>
      </c>
      <c r="K27" t="s">
        <v>19</v>
      </c>
      <c r="L27" t="s">
        <v>20</v>
      </c>
      <c r="M27" t="s">
        <v>246</v>
      </c>
      <c r="N27" t="s">
        <v>247</v>
      </c>
      <c r="O27" t="s">
        <v>248</v>
      </c>
      <c r="P27" t="s">
        <v>249</v>
      </c>
    </row>
    <row r="28" spans="1:16" x14ac:dyDescent="0.35">
      <c r="A28" t="s">
        <v>254</v>
      </c>
      <c r="B28" t="s">
        <v>55</v>
      </c>
      <c r="C28" t="s">
        <v>15</v>
      </c>
      <c r="D28" t="s">
        <v>16</v>
      </c>
      <c r="E28" t="s">
        <v>255</v>
      </c>
      <c r="F28" t="s">
        <v>256</v>
      </c>
      <c r="G28" t="s">
        <v>253</v>
      </c>
      <c r="H28" t="s">
        <v>253</v>
      </c>
      <c r="I28" t="s">
        <v>28</v>
      </c>
      <c r="J28" t="s">
        <v>257</v>
      </c>
      <c r="K28" t="s">
        <v>19</v>
      </c>
      <c r="L28" t="s">
        <v>20</v>
      </c>
      <c r="M28" t="s">
        <v>258</v>
      </c>
      <c r="N28" t="s">
        <v>259</v>
      </c>
      <c r="O28" t="s">
        <v>260</v>
      </c>
      <c r="P28" t="s">
        <v>261</v>
      </c>
    </row>
    <row r="29" spans="1:16" x14ac:dyDescent="0.35">
      <c r="A29" t="s">
        <v>262</v>
      </c>
      <c r="B29" t="s">
        <v>55</v>
      </c>
      <c r="C29" t="s">
        <v>28</v>
      </c>
      <c r="D29" t="s">
        <v>28</v>
      </c>
      <c r="E29" t="s">
        <v>263</v>
      </c>
      <c r="F29" t="s">
        <v>264</v>
      </c>
      <c r="G29" t="s">
        <v>253</v>
      </c>
      <c r="H29" t="s">
        <v>253</v>
      </c>
      <c r="I29" t="s">
        <v>28</v>
      </c>
      <c r="J29" t="s">
        <v>28</v>
      </c>
      <c r="K29" t="s">
        <v>19</v>
      </c>
      <c r="L29" t="s">
        <v>20</v>
      </c>
      <c r="M29" t="s">
        <v>258</v>
      </c>
      <c r="N29" t="s">
        <v>259</v>
      </c>
      <c r="O29" t="s">
        <v>265</v>
      </c>
      <c r="P29" t="s">
        <v>266</v>
      </c>
    </row>
    <row r="30" spans="1:16" x14ac:dyDescent="0.35">
      <c r="A30" t="s">
        <v>267</v>
      </c>
      <c r="B30" t="s">
        <v>55</v>
      </c>
      <c r="C30" t="s">
        <v>26</v>
      </c>
      <c r="D30" t="s">
        <v>268</v>
      </c>
      <c r="E30" t="s">
        <v>269</v>
      </c>
      <c r="F30" t="s">
        <v>270</v>
      </c>
      <c r="G30" t="s">
        <v>253</v>
      </c>
      <c r="H30" t="s">
        <v>253</v>
      </c>
      <c r="I30" t="s">
        <v>271</v>
      </c>
      <c r="J30" t="s">
        <v>272</v>
      </c>
      <c r="K30" t="s">
        <v>19</v>
      </c>
      <c r="L30" t="s">
        <v>20</v>
      </c>
      <c r="M30" t="s">
        <v>258</v>
      </c>
      <c r="N30" t="s">
        <v>259</v>
      </c>
      <c r="O30" t="s">
        <v>273</v>
      </c>
      <c r="P30" t="s">
        <v>274</v>
      </c>
    </row>
    <row r="31" spans="1:16" x14ac:dyDescent="0.35">
      <c r="A31" t="s">
        <v>275</v>
      </c>
      <c r="B31" t="s">
        <v>55</v>
      </c>
      <c r="C31" t="s">
        <v>28</v>
      </c>
      <c r="D31" t="s">
        <v>28</v>
      </c>
      <c r="E31" t="s">
        <v>276</v>
      </c>
      <c r="F31" t="s">
        <v>277</v>
      </c>
      <c r="G31" t="s">
        <v>253</v>
      </c>
      <c r="H31" t="s">
        <v>253</v>
      </c>
      <c r="I31" t="s">
        <v>28</v>
      </c>
      <c r="J31" t="s">
        <v>278</v>
      </c>
      <c r="K31" t="s">
        <v>19</v>
      </c>
      <c r="L31" t="s">
        <v>20</v>
      </c>
      <c r="M31" t="s">
        <v>258</v>
      </c>
      <c r="N31" t="s">
        <v>259</v>
      </c>
      <c r="O31" t="s">
        <v>279</v>
      </c>
      <c r="P31" t="s">
        <v>280</v>
      </c>
    </row>
    <row r="32" spans="1:16" x14ac:dyDescent="0.35">
      <c r="A32" t="s">
        <v>281</v>
      </c>
      <c r="B32" t="s">
        <v>55</v>
      </c>
      <c r="C32" t="s">
        <v>250</v>
      </c>
      <c r="D32" t="s">
        <v>282</v>
      </c>
      <c r="E32" t="s">
        <v>283</v>
      </c>
      <c r="F32" t="s">
        <v>284</v>
      </c>
      <c r="G32" t="s">
        <v>253</v>
      </c>
      <c r="H32" t="s">
        <v>253</v>
      </c>
      <c r="I32" t="s">
        <v>28</v>
      </c>
      <c r="J32" t="s">
        <v>285</v>
      </c>
      <c r="K32" t="s">
        <v>19</v>
      </c>
      <c r="L32" t="s">
        <v>20</v>
      </c>
      <c r="M32" t="s">
        <v>258</v>
      </c>
      <c r="N32" t="s">
        <v>259</v>
      </c>
      <c r="O32" t="s">
        <v>286</v>
      </c>
      <c r="P32" t="s">
        <v>287</v>
      </c>
    </row>
    <row r="33" spans="1:16" x14ac:dyDescent="0.35">
      <c r="A33" t="s">
        <v>288</v>
      </c>
      <c r="B33" t="s">
        <v>55</v>
      </c>
      <c r="C33" t="s">
        <v>28</v>
      </c>
      <c r="D33" t="s">
        <v>28</v>
      </c>
      <c r="E33" t="s">
        <v>289</v>
      </c>
      <c r="F33" t="s">
        <v>290</v>
      </c>
      <c r="G33" t="s">
        <v>253</v>
      </c>
      <c r="H33" t="s">
        <v>253</v>
      </c>
      <c r="I33" t="s">
        <v>28</v>
      </c>
      <c r="J33" t="s">
        <v>291</v>
      </c>
      <c r="K33" t="s">
        <v>19</v>
      </c>
      <c r="L33" t="s">
        <v>20</v>
      </c>
      <c r="M33" t="s">
        <v>292</v>
      </c>
      <c r="N33" t="s">
        <v>293</v>
      </c>
      <c r="O33" t="s">
        <v>294</v>
      </c>
      <c r="P33" t="s">
        <v>295</v>
      </c>
    </row>
    <row r="34" spans="1:16" x14ac:dyDescent="0.35">
      <c r="A34" t="s">
        <v>296</v>
      </c>
      <c r="B34" t="s">
        <v>32</v>
      </c>
      <c r="C34" t="s">
        <v>28</v>
      </c>
      <c r="D34" t="s">
        <v>28</v>
      </c>
      <c r="E34" t="s">
        <v>297</v>
      </c>
      <c r="F34" t="s">
        <v>298</v>
      </c>
      <c r="G34" t="s">
        <v>253</v>
      </c>
      <c r="H34" t="s">
        <v>253</v>
      </c>
      <c r="I34" t="s">
        <v>28</v>
      </c>
      <c r="J34" t="s">
        <v>28</v>
      </c>
      <c r="K34" t="s">
        <v>19</v>
      </c>
      <c r="L34" t="s">
        <v>20</v>
      </c>
      <c r="M34" t="s">
        <v>299</v>
      </c>
      <c r="N34" t="s">
        <v>300</v>
      </c>
      <c r="O34" t="s">
        <v>301</v>
      </c>
      <c r="P34" t="s">
        <v>302</v>
      </c>
    </row>
    <row r="35" spans="1:16" x14ac:dyDescent="0.35">
      <c r="A35" t="s">
        <v>303</v>
      </c>
      <c r="B35" t="s">
        <v>55</v>
      </c>
      <c r="C35" t="s">
        <v>205</v>
      </c>
      <c r="D35" t="s">
        <v>304</v>
      </c>
      <c r="E35" t="s">
        <v>305</v>
      </c>
      <c r="F35" t="s">
        <v>306</v>
      </c>
      <c r="G35" t="s">
        <v>253</v>
      </c>
      <c r="H35" t="s">
        <v>253</v>
      </c>
      <c r="I35" t="s">
        <v>28</v>
      </c>
      <c r="J35" t="s">
        <v>307</v>
      </c>
      <c r="K35" t="s">
        <v>19</v>
      </c>
      <c r="L35" t="s">
        <v>20</v>
      </c>
      <c r="M35" t="s">
        <v>299</v>
      </c>
      <c r="N35" t="s">
        <v>300</v>
      </c>
      <c r="O35" t="s">
        <v>308</v>
      </c>
      <c r="P35" t="s">
        <v>309</v>
      </c>
    </row>
    <row r="36" spans="1:16" x14ac:dyDescent="0.35">
      <c r="A36" t="s">
        <v>310</v>
      </c>
      <c r="B36" t="s">
        <v>55</v>
      </c>
      <c r="C36" t="s">
        <v>311</v>
      </c>
      <c r="D36" t="s">
        <v>312</v>
      </c>
      <c r="E36" t="s">
        <v>313</v>
      </c>
      <c r="F36" t="s">
        <v>314</v>
      </c>
      <c r="G36" t="s">
        <v>253</v>
      </c>
      <c r="H36" t="s">
        <v>253</v>
      </c>
      <c r="I36" t="s">
        <v>82</v>
      </c>
      <c r="J36" t="s">
        <v>315</v>
      </c>
      <c r="K36" t="s">
        <v>84</v>
      </c>
      <c r="L36" t="s">
        <v>20</v>
      </c>
      <c r="M36" t="s">
        <v>299</v>
      </c>
      <c r="N36" t="s">
        <v>300</v>
      </c>
      <c r="O36" t="s">
        <v>316</v>
      </c>
      <c r="P36" t="s">
        <v>317</v>
      </c>
    </row>
    <row r="37" spans="1:16" x14ac:dyDescent="0.35">
      <c r="A37" t="s">
        <v>318</v>
      </c>
      <c r="B37" t="s">
        <v>55</v>
      </c>
      <c r="C37" t="s">
        <v>15</v>
      </c>
      <c r="D37" t="s">
        <v>16</v>
      </c>
      <c r="E37" t="s">
        <v>319</v>
      </c>
      <c r="F37" t="s">
        <v>320</v>
      </c>
      <c r="G37" t="s">
        <v>253</v>
      </c>
      <c r="H37" t="s">
        <v>253</v>
      </c>
      <c r="I37" t="s">
        <v>28</v>
      </c>
      <c r="J37" t="s">
        <v>321</v>
      </c>
      <c r="K37" t="s">
        <v>19</v>
      </c>
      <c r="L37" t="s">
        <v>20</v>
      </c>
      <c r="M37" t="s">
        <v>299</v>
      </c>
      <c r="N37" t="s">
        <v>300</v>
      </c>
      <c r="O37" t="s">
        <v>322</v>
      </c>
      <c r="P37" t="s">
        <v>323</v>
      </c>
    </row>
    <row r="38" spans="1:16" x14ac:dyDescent="0.35">
      <c r="A38" t="s">
        <v>325</v>
      </c>
      <c r="B38" t="s">
        <v>55</v>
      </c>
      <c r="C38" t="s">
        <v>177</v>
      </c>
      <c r="D38" t="s">
        <v>68</v>
      </c>
      <c r="E38" t="s">
        <v>326</v>
      </c>
      <c r="F38" t="s">
        <v>327</v>
      </c>
      <c r="G38" t="s">
        <v>253</v>
      </c>
      <c r="H38" t="s">
        <v>253</v>
      </c>
      <c r="I38" t="s">
        <v>28</v>
      </c>
      <c r="J38" t="s">
        <v>328</v>
      </c>
      <c r="K38" t="s">
        <v>19</v>
      </c>
      <c r="L38" t="s">
        <v>20</v>
      </c>
      <c r="M38" t="s">
        <v>329</v>
      </c>
      <c r="N38" t="s">
        <v>330</v>
      </c>
      <c r="O38" t="s">
        <v>331</v>
      </c>
      <c r="P38" t="s">
        <v>332</v>
      </c>
    </row>
    <row r="39" spans="1:16" x14ac:dyDescent="0.35">
      <c r="A39" t="s">
        <v>333</v>
      </c>
      <c r="B39" t="s">
        <v>55</v>
      </c>
      <c r="C39" t="s">
        <v>15</v>
      </c>
      <c r="D39" t="s">
        <v>68</v>
      </c>
      <c r="E39" t="s">
        <v>334</v>
      </c>
      <c r="F39" t="s">
        <v>335</v>
      </c>
      <c r="G39" t="s">
        <v>253</v>
      </c>
      <c r="H39" t="s">
        <v>253</v>
      </c>
      <c r="I39" t="s">
        <v>336</v>
      </c>
      <c r="J39" t="s">
        <v>28</v>
      </c>
      <c r="K39" t="s">
        <v>337</v>
      </c>
      <c r="L39" t="s">
        <v>20</v>
      </c>
      <c r="M39" t="s">
        <v>329</v>
      </c>
      <c r="N39" t="s">
        <v>330</v>
      </c>
      <c r="O39" t="s">
        <v>338</v>
      </c>
      <c r="P39" t="s">
        <v>339</v>
      </c>
    </row>
    <row r="40" spans="1:16" x14ac:dyDescent="0.35">
      <c r="A40" t="s">
        <v>340</v>
      </c>
      <c r="B40" t="s">
        <v>55</v>
      </c>
      <c r="C40" t="s">
        <v>341</v>
      </c>
      <c r="D40" t="s">
        <v>68</v>
      </c>
      <c r="E40" t="s">
        <v>342</v>
      </c>
      <c r="F40" t="s">
        <v>343</v>
      </c>
      <c r="G40" t="s">
        <v>253</v>
      </c>
      <c r="H40" t="s">
        <v>253</v>
      </c>
      <c r="I40" t="s">
        <v>180</v>
      </c>
      <c r="J40" t="s">
        <v>344</v>
      </c>
      <c r="K40" t="s">
        <v>19</v>
      </c>
      <c r="L40" t="s">
        <v>20</v>
      </c>
      <c r="M40" t="s">
        <v>329</v>
      </c>
      <c r="N40" t="s">
        <v>330</v>
      </c>
      <c r="O40" t="s">
        <v>345</v>
      </c>
      <c r="P40" t="s">
        <v>346</v>
      </c>
    </row>
    <row r="41" spans="1:16" x14ac:dyDescent="0.35">
      <c r="A41" t="s">
        <v>347</v>
      </c>
      <c r="B41" t="s">
        <v>55</v>
      </c>
      <c r="C41" t="s">
        <v>158</v>
      </c>
      <c r="D41" t="s">
        <v>348</v>
      </c>
      <c r="E41" t="s">
        <v>349</v>
      </c>
      <c r="F41" t="s">
        <v>350</v>
      </c>
      <c r="G41" t="s">
        <v>253</v>
      </c>
      <c r="H41" t="s">
        <v>253</v>
      </c>
      <c r="I41" t="s">
        <v>351</v>
      </c>
      <c r="J41" t="s">
        <v>352</v>
      </c>
      <c r="K41" t="s">
        <v>353</v>
      </c>
      <c r="L41" t="s">
        <v>20</v>
      </c>
      <c r="M41" t="s">
        <v>329</v>
      </c>
      <c r="N41" t="s">
        <v>330</v>
      </c>
      <c r="O41" t="s">
        <v>354</v>
      </c>
      <c r="P41" t="s">
        <v>355</v>
      </c>
    </row>
    <row r="42" spans="1:16" x14ac:dyDescent="0.35">
      <c r="A42" t="s">
        <v>356</v>
      </c>
      <c r="B42" t="s">
        <v>55</v>
      </c>
      <c r="C42" t="s">
        <v>357</v>
      </c>
      <c r="D42" t="s">
        <v>124</v>
      </c>
      <c r="E42" t="s">
        <v>358</v>
      </c>
      <c r="F42" t="s">
        <v>359</v>
      </c>
      <c r="G42" t="s">
        <v>253</v>
      </c>
      <c r="H42" t="s">
        <v>253</v>
      </c>
      <c r="I42" t="s">
        <v>360</v>
      </c>
      <c r="J42" t="s">
        <v>361</v>
      </c>
      <c r="K42" t="s">
        <v>362</v>
      </c>
      <c r="L42" t="s">
        <v>20</v>
      </c>
      <c r="M42" t="s">
        <v>329</v>
      </c>
      <c r="N42" t="s">
        <v>330</v>
      </c>
      <c r="O42" t="s">
        <v>363</v>
      </c>
      <c r="P42" t="s">
        <v>364</v>
      </c>
    </row>
    <row r="43" spans="1:16" x14ac:dyDescent="0.35">
      <c r="A43" t="s">
        <v>365</v>
      </c>
      <c r="B43" t="s">
        <v>55</v>
      </c>
      <c r="C43" t="s">
        <v>28</v>
      </c>
      <c r="D43" t="s">
        <v>28</v>
      </c>
      <c r="E43" t="s">
        <v>366</v>
      </c>
      <c r="F43" t="s">
        <v>367</v>
      </c>
      <c r="G43" t="s">
        <v>253</v>
      </c>
      <c r="H43" t="s">
        <v>253</v>
      </c>
      <c r="I43" t="s">
        <v>28</v>
      </c>
      <c r="J43" t="s">
        <v>28</v>
      </c>
      <c r="K43" t="s">
        <v>19</v>
      </c>
      <c r="L43" t="s">
        <v>20</v>
      </c>
      <c r="M43" t="s">
        <v>368</v>
      </c>
      <c r="N43" t="s">
        <v>369</v>
      </c>
      <c r="O43" t="s">
        <v>370</v>
      </c>
      <c r="P43" t="s">
        <v>371</v>
      </c>
    </row>
    <row r="44" spans="1:16" x14ac:dyDescent="0.35">
      <c r="A44" t="s">
        <v>372</v>
      </c>
      <c r="B44" t="s">
        <v>373</v>
      </c>
      <c r="C44" t="s">
        <v>96</v>
      </c>
      <c r="D44" t="s">
        <v>374</v>
      </c>
      <c r="E44" t="s">
        <v>375</v>
      </c>
      <c r="F44" t="s">
        <v>376</v>
      </c>
      <c r="G44" t="s">
        <v>253</v>
      </c>
      <c r="H44" t="s">
        <v>253</v>
      </c>
      <c r="I44" t="s">
        <v>28</v>
      </c>
      <c r="J44" t="s">
        <v>377</v>
      </c>
      <c r="K44" t="s">
        <v>19</v>
      </c>
      <c r="L44" t="s">
        <v>20</v>
      </c>
      <c r="M44" t="s">
        <v>378</v>
      </c>
      <c r="N44" t="s">
        <v>379</v>
      </c>
      <c r="O44" t="s">
        <v>380</v>
      </c>
      <c r="P44" t="s">
        <v>381</v>
      </c>
    </row>
    <row r="45" spans="1:16" x14ac:dyDescent="0.35">
      <c r="A45" t="s">
        <v>382</v>
      </c>
      <c r="B45" t="s">
        <v>55</v>
      </c>
      <c r="C45" t="s">
        <v>28</v>
      </c>
      <c r="D45" t="s">
        <v>28</v>
      </c>
      <c r="E45" t="s">
        <v>383</v>
      </c>
      <c r="F45" t="s">
        <v>384</v>
      </c>
      <c r="G45" t="s">
        <v>253</v>
      </c>
      <c r="H45" t="s">
        <v>253</v>
      </c>
      <c r="I45" t="s">
        <v>385</v>
      </c>
      <c r="J45" t="s">
        <v>386</v>
      </c>
      <c r="K45" t="s">
        <v>19</v>
      </c>
      <c r="L45" t="s">
        <v>20</v>
      </c>
      <c r="M45" t="s">
        <v>387</v>
      </c>
      <c r="N45" t="s">
        <v>388</v>
      </c>
      <c r="O45" t="s">
        <v>389</v>
      </c>
      <c r="P45" t="s">
        <v>390</v>
      </c>
    </row>
    <row r="46" spans="1:16" x14ac:dyDescent="0.35">
      <c r="A46" t="s">
        <v>391</v>
      </c>
      <c r="B46" t="s">
        <v>55</v>
      </c>
      <c r="C46" t="s">
        <v>78</v>
      </c>
      <c r="D46" t="s">
        <v>392</v>
      </c>
      <c r="E46" t="s">
        <v>393</v>
      </c>
      <c r="F46" t="s">
        <v>394</v>
      </c>
      <c r="G46" t="s">
        <v>395</v>
      </c>
      <c r="H46" t="s">
        <v>253</v>
      </c>
      <c r="I46" t="s">
        <v>396</v>
      </c>
      <c r="J46" t="s">
        <v>397</v>
      </c>
      <c r="K46" t="s">
        <v>398</v>
      </c>
      <c r="L46" t="s">
        <v>20</v>
      </c>
      <c r="M46" t="s">
        <v>399</v>
      </c>
      <c r="N46" t="s">
        <v>400</v>
      </c>
      <c r="O46" t="s">
        <v>401</v>
      </c>
      <c r="P46" t="s">
        <v>402</v>
      </c>
    </row>
    <row r="47" spans="1:16" x14ac:dyDescent="0.35">
      <c r="A47" t="s">
        <v>405</v>
      </c>
      <c r="B47" t="s">
        <v>55</v>
      </c>
      <c r="C47" t="s">
        <v>15</v>
      </c>
      <c r="D47" t="s">
        <v>16</v>
      </c>
      <c r="E47" t="s">
        <v>28</v>
      </c>
      <c r="F47" t="s">
        <v>406</v>
      </c>
      <c r="G47" t="s">
        <v>407</v>
      </c>
      <c r="H47" t="s">
        <v>253</v>
      </c>
      <c r="I47" t="s">
        <v>28</v>
      </c>
      <c r="J47" t="s">
        <v>408</v>
      </c>
      <c r="K47" t="s">
        <v>19</v>
      </c>
      <c r="L47" t="s">
        <v>20</v>
      </c>
      <c r="M47" t="s">
        <v>409</v>
      </c>
      <c r="N47" t="s">
        <v>410</v>
      </c>
      <c r="O47" t="s">
        <v>411</v>
      </c>
      <c r="P47" t="s">
        <v>412</v>
      </c>
    </row>
    <row r="48" spans="1:16" x14ac:dyDescent="0.35">
      <c r="A48" t="s">
        <v>413</v>
      </c>
      <c r="B48" t="s">
        <v>55</v>
      </c>
      <c r="C48" t="s">
        <v>28</v>
      </c>
      <c r="D48" t="s">
        <v>28</v>
      </c>
      <c r="E48" t="s">
        <v>414</v>
      </c>
      <c r="F48" t="s">
        <v>415</v>
      </c>
      <c r="G48" t="s">
        <v>416</v>
      </c>
      <c r="H48" t="s">
        <v>253</v>
      </c>
      <c r="I48" t="s">
        <v>28</v>
      </c>
      <c r="J48" t="s">
        <v>417</v>
      </c>
      <c r="K48" t="s">
        <v>19</v>
      </c>
      <c r="L48" t="s">
        <v>20</v>
      </c>
      <c r="M48" t="s">
        <v>418</v>
      </c>
      <c r="N48" t="s">
        <v>419</v>
      </c>
      <c r="O48" t="s">
        <v>420</v>
      </c>
      <c r="P48" t="s">
        <v>421</v>
      </c>
    </row>
    <row r="49" spans="1:16" x14ac:dyDescent="0.35">
      <c r="A49" t="s">
        <v>422</v>
      </c>
      <c r="B49" t="s">
        <v>55</v>
      </c>
      <c r="C49" t="s">
        <v>28</v>
      </c>
      <c r="D49" t="s">
        <v>28</v>
      </c>
      <c r="E49" t="s">
        <v>423</v>
      </c>
      <c r="F49" t="s">
        <v>424</v>
      </c>
      <c r="G49" t="s">
        <v>395</v>
      </c>
      <c r="H49" t="s">
        <v>253</v>
      </c>
      <c r="I49" t="s">
        <v>28</v>
      </c>
      <c r="J49" t="s">
        <v>425</v>
      </c>
      <c r="K49" t="s">
        <v>19</v>
      </c>
      <c r="L49" t="s">
        <v>20</v>
      </c>
      <c r="M49" t="s">
        <v>426</v>
      </c>
      <c r="N49" t="s">
        <v>427</v>
      </c>
      <c r="O49" t="s">
        <v>428</v>
      </c>
      <c r="P49" t="s">
        <v>429</v>
      </c>
    </row>
    <row r="50" spans="1:16" x14ac:dyDescent="0.35">
      <c r="A50" t="s">
        <v>431</v>
      </c>
      <c r="B50" t="s">
        <v>55</v>
      </c>
      <c r="C50" t="s">
        <v>432</v>
      </c>
      <c r="D50" t="s">
        <v>27</v>
      </c>
      <c r="E50" t="s">
        <v>433</v>
      </c>
      <c r="F50" t="s">
        <v>434</v>
      </c>
      <c r="G50" t="s">
        <v>416</v>
      </c>
      <c r="H50" t="s">
        <v>253</v>
      </c>
      <c r="I50" t="s">
        <v>28</v>
      </c>
      <c r="J50" t="s">
        <v>435</v>
      </c>
      <c r="K50" t="s">
        <v>19</v>
      </c>
      <c r="L50" t="s">
        <v>20</v>
      </c>
      <c r="M50" t="s">
        <v>436</v>
      </c>
      <c r="N50" t="s">
        <v>437</v>
      </c>
      <c r="O50" t="s">
        <v>438</v>
      </c>
      <c r="P50" t="s">
        <v>439</v>
      </c>
    </row>
    <row r="51" spans="1:16" x14ac:dyDescent="0.35">
      <c r="A51" t="s">
        <v>440</v>
      </c>
      <c r="B51" t="s">
        <v>55</v>
      </c>
      <c r="C51" t="s">
        <v>26</v>
      </c>
      <c r="D51" t="s">
        <v>124</v>
      </c>
      <c r="E51" t="s">
        <v>441</v>
      </c>
      <c r="F51" t="s">
        <v>442</v>
      </c>
      <c r="G51" t="s">
        <v>395</v>
      </c>
      <c r="H51" t="s">
        <v>253</v>
      </c>
      <c r="I51" t="s">
        <v>28</v>
      </c>
      <c r="J51" t="s">
        <v>443</v>
      </c>
      <c r="K51" t="s">
        <v>19</v>
      </c>
      <c r="L51" t="s">
        <v>20</v>
      </c>
      <c r="M51" t="s">
        <v>444</v>
      </c>
      <c r="N51" t="s">
        <v>445</v>
      </c>
      <c r="O51" t="s">
        <v>446</v>
      </c>
      <c r="P51" t="s">
        <v>447</v>
      </c>
    </row>
    <row r="52" spans="1:16" x14ac:dyDescent="0.35">
      <c r="A52" t="s">
        <v>451</v>
      </c>
      <c r="B52" t="s">
        <v>55</v>
      </c>
      <c r="C52" t="s">
        <v>96</v>
      </c>
      <c r="D52" t="s">
        <v>374</v>
      </c>
      <c r="E52" t="s">
        <v>452</v>
      </c>
      <c r="F52" t="s">
        <v>453</v>
      </c>
      <c r="G52" t="s">
        <v>395</v>
      </c>
      <c r="H52" t="s">
        <v>253</v>
      </c>
      <c r="I52" t="s">
        <v>28</v>
      </c>
      <c r="J52" t="s">
        <v>454</v>
      </c>
      <c r="K52" t="s">
        <v>19</v>
      </c>
      <c r="L52" t="s">
        <v>20</v>
      </c>
      <c r="M52" t="s">
        <v>455</v>
      </c>
      <c r="N52" t="s">
        <v>456</v>
      </c>
      <c r="O52" t="s">
        <v>457</v>
      </c>
      <c r="P52" t="s">
        <v>458</v>
      </c>
    </row>
    <row r="53" spans="1:16" x14ac:dyDescent="0.35">
      <c r="A53" t="s">
        <v>459</v>
      </c>
      <c r="B53" t="s">
        <v>107</v>
      </c>
      <c r="C53" t="s">
        <v>252</v>
      </c>
      <c r="D53" t="s">
        <v>206</v>
      </c>
      <c r="E53" t="s">
        <v>460</v>
      </c>
      <c r="F53" t="s">
        <v>461</v>
      </c>
      <c r="G53" t="s">
        <v>395</v>
      </c>
      <c r="H53" t="s">
        <v>253</v>
      </c>
      <c r="I53" t="s">
        <v>28</v>
      </c>
      <c r="J53" t="s">
        <v>462</v>
      </c>
      <c r="K53" t="s">
        <v>19</v>
      </c>
      <c r="L53" t="s">
        <v>20</v>
      </c>
      <c r="M53" t="s">
        <v>463</v>
      </c>
      <c r="N53" t="s">
        <v>464</v>
      </c>
      <c r="O53" t="s">
        <v>465</v>
      </c>
      <c r="P53" t="s">
        <v>466</v>
      </c>
    </row>
    <row r="54" spans="1:16" x14ac:dyDescent="0.35">
      <c r="A54" t="s">
        <v>467</v>
      </c>
      <c r="B54" t="s">
        <v>55</v>
      </c>
      <c r="C54" t="s">
        <v>15</v>
      </c>
      <c r="D54" t="s">
        <v>27</v>
      </c>
      <c r="E54" t="s">
        <v>468</v>
      </c>
      <c r="F54" t="s">
        <v>469</v>
      </c>
      <c r="G54" t="s">
        <v>395</v>
      </c>
      <c r="H54" t="s">
        <v>253</v>
      </c>
      <c r="I54" t="s">
        <v>385</v>
      </c>
      <c r="J54" t="s">
        <v>470</v>
      </c>
      <c r="K54" t="s">
        <v>19</v>
      </c>
      <c r="L54" t="s">
        <v>20</v>
      </c>
      <c r="M54" t="s">
        <v>463</v>
      </c>
      <c r="N54" t="s">
        <v>464</v>
      </c>
      <c r="O54" t="s">
        <v>471</v>
      </c>
      <c r="P54" t="s">
        <v>472</v>
      </c>
    </row>
    <row r="55" spans="1:16" x14ac:dyDescent="0.35">
      <c r="A55" t="s">
        <v>473</v>
      </c>
      <c r="B55" t="s">
        <v>55</v>
      </c>
      <c r="C55" t="s">
        <v>474</v>
      </c>
      <c r="D55" t="s">
        <v>475</v>
      </c>
      <c r="E55" t="s">
        <v>476</v>
      </c>
      <c r="F55" t="s">
        <v>477</v>
      </c>
      <c r="G55" t="s">
        <v>416</v>
      </c>
      <c r="H55" t="s">
        <v>253</v>
      </c>
      <c r="I55" t="s">
        <v>28</v>
      </c>
      <c r="J55" t="s">
        <v>28</v>
      </c>
      <c r="K55" t="s">
        <v>19</v>
      </c>
      <c r="L55" t="s">
        <v>20</v>
      </c>
      <c r="M55" t="s">
        <v>478</v>
      </c>
      <c r="N55" t="s">
        <v>479</v>
      </c>
      <c r="O55" t="s">
        <v>480</v>
      </c>
      <c r="P55" t="s">
        <v>481</v>
      </c>
    </row>
    <row r="56" spans="1:16" x14ac:dyDescent="0.35">
      <c r="A56" t="s">
        <v>482</v>
      </c>
      <c r="B56" t="s">
        <v>55</v>
      </c>
      <c r="C56" t="s">
        <v>96</v>
      </c>
      <c r="D56" t="s">
        <v>141</v>
      </c>
      <c r="E56" t="s">
        <v>483</v>
      </c>
      <c r="F56" t="s">
        <v>484</v>
      </c>
      <c r="G56" t="s">
        <v>395</v>
      </c>
      <c r="H56" t="s">
        <v>253</v>
      </c>
      <c r="I56" t="s">
        <v>162</v>
      </c>
      <c r="J56" t="s">
        <v>485</v>
      </c>
      <c r="K56" t="s">
        <v>164</v>
      </c>
      <c r="L56" t="s">
        <v>20</v>
      </c>
      <c r="M56" t="s">
        <v>486</v>
      </c>
      <c r="N56" t="s">
        <v>487</v>
      </c>
      <c r="O56" t="s">
        <v>488</v>
      </c>
      <c r="P56" t="s">
        <v>489</v>
      </c>
    </row>
    <row r="57" spans="1:16" x14ac:dyDescent="0.35">
      <c r="A57" t="s">
        <v>490</v>
      </c>
      <c r="B57" t="s">
        <v>55</v>
      </c>
      <c r="C57" t="s">
        <v>28</v>
      </c>
      <c r="D57" t="s">
        <v>28</v>
      </c>
      <c r="E57" t="s">
        <v>491</v>
      </c>
      <c r="F57" t="s">
        <v>492</v>
      </c>
      <c r="G57" t="s">
        <v>395</v>
      </c>
      <c r="H57" t="s">
        <v>253</v>
      </c>
      <c r="I57" t="s">
        <v>28</v>
      </c>
      <c r="J57" t="s">
        <v>28</v>
      </c>
      <c r="K57" t="s">
        <v>19</v>
      </c>
      <c r="L57" t="s">
        <v>20</v>
      </c>
      <c r="M57" t="s">
        <v>493</v>
      </c>
      <c r="N57" t="s">
        <v>494</v>
      </c>
      <c r="O57" t="s">
        <v>495</v>
      </c>
      <c r="P57" t="s">
        <v>496</v>
      </c>
    </row>
    <row r="58" spans="1:16" x14ac:dyDescent="0.35">
      <c r="A58" t="s">
        <v>499</v>
      </c>
      <c r="B58" t="s">
        <v>55</v>
      </c>
      <c r="C58" t="s">
        <v>15</v>
      </c>
      <c r="D58" t="s">
        <v>27</v>
      </c>
      <c r="E58" t="s">
        <v>500</v>
      </c>
      <c r="F58" t="s">
        <v>501</v>
      </c>
      <c r="G58" t="s">
        <v>404</v>
      </c>
      <c r="H58" t="s">
        <v>253</v>
      </c>
      <c r="I58" t="s">
        <v>502</v>
      </c>
      <c r="J58" t="s">
        <v>503</v>
      </c>
      <c r="K58" t="s">
        <v>504</v>
      </c>
      <c r="L58" t="s">
        <v>20</v>
      </c>
      <c r="M58" t="s">
        <v>505</v>
      </c>
      <c r="N58" t="s">
        <v>506</v>
      </c>
      <c r="O58" t="s">
        <v>507</v>
      </c>
      <c r="P58" t="s">
        <v>508</v>
      </c>
    </row>
    <row r="59" spans="1:16" x14ac:dyDescent="0.35">
      <c r="A59" t="s">
        <v>356</v>
      </c>
      <c r="B59" t="s">
        <v>55</v>
      </c>
      <c r="C59" t="s">
        <v>177</v>
      </c>
      <c r="D59" t="s">
        <v>68</v>
      </c>
      <c r="E59" t="s">
        <v>509</v>
      </c>
      <c r="F59" t="s">
        <v>510</v>
      </c>
      <c r="G59" t="s">
        <v>395</v>
      </c>
      <c r="H59" t="s">
        <v>253</v>
      </c>
      <c r="I59" t="s">
        <v>28</v>
      </c>
      <c r="J59" t="s">
        <v>511</v>
      </c>
      <c r="K59" t="s">
        <v>19</v>
      </c>
      <c r="L59" t="s">
        <v>20</v>
      </c>
      <c r="M59" t="s">
        <v>512</v>
      </c>
      <c r="N59" t="s">
        <v>513</v>
      </c>
      <c r="O59" t="s">
        <v>514</v>
      </c>
      <c r="P59" t="s">
        <v>515</v>
      </c>
    </row>
    <row r="60" spans="1:16" x14ac:dyDescent="0.35">
      <c r="A60" t="s">
        <v>516</v>
      </c>
      <c r="B60" t="s">
        <v>55</v>
      </c>
      <c r="C60" t="s">
        <v>15</v>
      </c>
      <c r="D60" t="s">
        <v>27</v>
      </c>
      <c r="E60" t="s">
        <v>517</v>
      </c>
      <c r="F60" t="s">
        <v>518</v>
      </c>
      <c r="G60" t="s">
        <v>395</v>
      </c>
      <c r="H60" t="s">
        <v>253</v>
      </c>
      <c r="I60" t="s">
        <v>28</v>
      </c>
      <c r="J60" t="s">
        <v>519</v>
      </c>
      <c r="K60" t="s">
        <v>19</v>
      </c>
      <c r="L60" t="s">
        <v>20</v>
      </c>
      <c r="M60" t="s">
        <v>520</v>
      </c>
      <c r="N60" t="s">
        <v>521</v>
      </c>
      <c r="O60" t="s">
        <v>522</v>
      </c>
      <c r="P60" t="s">
        <v>523</v>
      </c>
    </row>
    <row r="61" spans="1:16" x14ac:dyDescent="0.35">
      <c r="A61" t="s">
        <v>524</v>
      </c>
      <c r="B61" t="s">
        <v>55</v>
      </c>
      <c r="C61" t="s">
        <v>78</v>
      </c>
      <c r="D61" t="s">
        <v>403</v>
      </c>
      <c r="E61" t="s">
        <v>525</v>
      </c>
      <c r="F61" t="s">
        <v>526</v>
      </c>
      <c r="G61" t="s">
        <v>450</v>
      </c>
      <c r="H61" t="s">
        <v>253</v>
      </c>
      <c r="I61" t="s">
        <v>82</v>
      </c>
      <c r="J61" t="s">
        <v>527</v>
      </c>
      <c r="K61" t="s">
        <v>84</v>
      </c>
      <c r="L61" t="s">
        <v>20</v>
      </c>
      <c r="M61" t="s">
        <v>528</v>
      </c>
      <c r="N61" t="s">
        <v>529</v>
      </c>
      <c r="O61" t="s">
        <v>530</v>
      </c>
      <c r="P61" t="s">
        <v>531</v>
      </c>
    </row>
    <row r="62" spans="1:16" x14ac:dyDescent="0.35">
      <c r="A62" t="s">
        <v>482</v>
      </c>
      <c r="B62" t="s">
        <v>55</v>
      </c>
      <c r="C62" t="s">
        <v>28</v>
      </c>
      <c r="D62" t="s">
        <v>28</v>
      </c>
      <c r="E62" t="s">
        <v>532</v>
      </c>
      <c r="F62" t="s">
        <v>533</v>
      </c>
      <c r="G62" t="s">
        <v>404</v>
      </c>
      <c r="H62" t="s">
        <v>253</v>
      </c>
      <c r="I62" t="s">
        <v>162</v>
      </c>
      <c r="J62" t="s">
        <v>28</v>
      </c>
      <c r="K62" t="s">
        <v>164</v>
      </c>
      <c r="L62" t="s">
        <v>20</v>
      </c>
      <c r="M62" t="s">
        <v>534</v>
      </c>
      <c r="N62" t="s">
        <v>535</v>
      </c>
      <c r="O62" t="s">
        <v>536</v>
      </c>
      <c r="P62" t="s">
        <v>537</v>
      </c>
    </row>
    <row r="63" spans="1:16" x14ac:dyDescent="0.35">
      <c r="A63" t="s">
        <v>538</v>
      </c>
      <c r="B63" t="s">
        <v>55</v>
      </c>
      <c r="C63" t="s">
        <v>311</v>
      </c>
      <c r="D63" t="s">
        <v>539</v>
      </c>
      <c r="E63" t="s">
        <v>540</v>
      </c>
      <c r="F63" t="s">
        <v>541</v>
      </c>
      <c r="G63" t="s">
        <v>498</v>
      </c>
      <c r="H63" t="s">
        <v>253</v>
      </c>
      <c r="I63" t="s">
        <v>28</v>
      </c>
      <c r="J63" t="s">
        <v>542</v>
      </c>
      <c r="K63" t="s">
        <v>19</v>
      </c>
      <c r="L63" t="s">
        <v>20</v>
      </c>
      <c r="M63" t="s">
        <v>543</v>
      </c>
      <c r="N63" t="s">
        <v>544</v>
      </c>
      <c r="O63" t="s">
        <v>545</v>
      </c>
      <c r="P63" t="s">
        <v>546</v>
      </c>
    </row>
    <row r="64" spans="1:16" x14ac:dyDescent="0.35">
      <c r="A64" t="s">
        <v>547</v>
      </c>
      <c r="B64" t="s">
        <v>55</v>
      </c>
      <c r="C64" t="s">
        <v>548</v>
      </c>
      <c r="D64" t="s">
        <v>549</v>
      </c>
      <c r="E64" t="s">
        <v>550</v>
      </c>
      <c r="F64" t="s">
        <v>551</v>
      </c>
      <c r="G64" t="s">
        <v>498</v>
      </c>
      <c r="H64" t="s">
        <v>253</v>
      </c>
      <c r="I64" t="s">
        <v>552</v>
      </c>
      <c r="J64" t="s">
        <v>553</v>
      </c>
      <c r="K64" t="s">
        <v>554</v>
      </c>
      <c r="L64" t="s">
        <v>20</v>
      </c>
      <c r="M64" t="s">
        <v>555</v>
      </c>
      <c r="N64" t="s">
        <v>556</v>
      </c>
      <c r="O64" t="s">
        <v>557</v>
      </c>
      <c r="P64" t="s">
        <v>558</v>
      </c>
    </row>
    <row r="65" spans="1:16" x14ac:dyDescent="0.35">
      <c r="A65" t="s">
        <v>559</v>
      </c>
      <c r="B65" t="s">
        <v>55</v>
      </c>
      <c r="C65" t="s">
        <v>117</v>
      </c>
      <c r="D65" t="s">
        <v>16</v>
      </c>
      <c r="E65" t="s">
        <v>560</v>
      </c>
      <c r="F65" t="s">
        <v>561</v>
      </c>
      <c r="G65" t="s">
        <v>562</v>
      </c>
      <c r="H65" t="s">
        <v>253</v>
      </c>
      <c r="I65" t="s">
        <v>563</v>
      </c>
      <c r="J65" t="s">
        <v>564</v>
      </c>
      <c r="K65" t="s">
        <v>565</v>
      </c>
      <c r="L65" t="s">
        <v>20</v>
      </c>
      <c r="M65" t="s">
        <v>566</v>
      </c>
      <c r="N65" t="s">
        <v>567</v>
      </c>
      <c r="O65" t="s">
        <v>568</v>
      </c>
      <c r="P65" t="s">
        <v>569</v>
      </c>
    </row>
    <row r="66" spans="1:16" x14ac:dyDescent="0.35">
      <c r="A66" t="s">
        <v>559</v>
      </c>
      <c r="B66" t="s">
        <v>55</v>
      </c>
      <c r="C66" t="s">
        <v>23</v>
      </c>
      <c r="D66" t="s">
        <v>27</v>
      </c>
      <c r="E66" t="s">
        <v>570</v>
      </c>
      <c r="F66" t="s">
        <v>571</v>
      </c>
      <c r="G66" t="s">
        <v>572</v>
      </c>
      <c r="H66" t="s">
        <v>253</v>
      </c>
      <c r="I66" t="s">
        <v>563</v>
      </c>
      <c r="J66" t="s">
        <v>573</v>
      </c>
      <c r="K66" t="s">
        <v>565</v>
      </c>
      <c r="L66" t="s">
        <v>20</v>
      </c>
      <c r="M66" t="s">
        <v>574</v>
      </c>
      <c r="N66" t="s">
        <v>575</v>
      </c>
      <c r="O66" t="s">
        <v>576</v>
      </c>
      <c r="P66" t="s">
        <v>577</v>
      </c>
    </row>
    <row r="67" spans="1:16" x14ac:dyDescent="0.35">
      <c r="A67" t="s">
        <v>578</v>
      </c>
      <c r="B67" t="s">
        <v>55</v>
      </c>
      <c r="C67" t="s">
        <v>311</v>
      </c>
      <c r="D67" t="s">
        <v>449</v>
      </c>
      <c r="E67" t="s">
        <v>579</v>
      </c>
      <c r="F67" t="s">
        <v>580</v>
      </c>
      <c r="G67" t="s">
        <v>498</v>
      </c>
      <c r="H67" t="s">
        <v>253</v>
      </c>
      <c r="I67" t="s">
        <v>28</v>
      </c>
      <c r="J67" t="s">
        <v>581</v>
      </c>
      <c r="K67" t="s">
        <v>19</v>
      </c>
      <c r="L67" t="s">
        <v>20</v>
      </c>
      <c r="M67" t="s">
        <v>582</v>
      </c>
      <c r="N67" t="s">
        <v>583</v>
      </c>
      <c r="O67" t="s">
        <v>584</v>
      </c>
      <c r="P67" t="s">
        <v>585</v>
      </c>
    </row>
    <row r="68" spans="1:16" x14ac:dyDescent="0.35">
      <c r="A68" t="s">
        <v>310</v>
      </c>
      <c r="B68" t="s">
        <v>55</v>
      </c>
      <c r="C68" t="s">
        <v>15</v>
      </c>
      <c r="D68" t="s">
        <v>282</v>
      </c>
      <c r="E68" t="s">
        <v>586</v>
      </c>
      <c r="F68" t="s">
        <v>587</v>
      </c>
      <c r="G68" t="s">
        <v>562</v>
      </c>
      <c r="H68" t="s">
        <v>253</v>
      </c>
      <c r="I68" t="s">
        <v>82</v>
      </c>
      <c r="J68" t="s">
        <v>588</v>
      </c>
      <c r="K68" t="s">
        <v>84</v>
      </c>
      <c r="L68" t="s">
        <v>20</v>
      </c>
      <c r="M68" t="s">
        <v>589</v>
      </c>
      <c r="N68" t="s">
        <v>590</v>
      </c>
      <c r="O68" t="s">
        <v>591</v>
      </c>
      <c r="P68" t="s">
        <v>592</v>
      </c>
    </row>
    <row r="69" spans="1:16" x14ac:dyDescent="0.35">
      <c r="A69" t="s">
        <v>593</v>
      </c>
      <c r="B69" t="s">
        <v>55</v>
      </c>
      <c r="C69" t="s">
        <v>26</v>
      </c>
      <c r="D69" t="s">
        <v>22</v>
      </c>
      <c r="E69" t="s">
        <v>594</v>
      </c>
      <c r="F69" t="s">
        <v>595</v>
      </c>
      <c r="G69" t="s">
        <v>498</v>
      </c>
      <c r="H69" t="s">
        <v>253</v>
      </c>
      <c r="I69" t="s">
        <v>596</v>
      </c>
      <c r="J69" t="s">
        <v>597</v>
      </c>
      <c r="K69" t="s">
        <v>598</v>
      </c>
      <c r="L69" t="s">
        <v>20</v>
      </c>
      <c r="M69" t="s">
        <v>599</v>
      </c>
      <c r="N69" t="s">
        <v>600</v>
      </c>
      <c r="O69" t="s">
        <v>601</v>
      </c>
      <c r="P69" t="s">
        <v>602</v>
      </c>
    </row>
    <row r="70" spans="1:16" x14ac:dyDescent="0.35">
      <c r="A70" t="s">
        <v>603</v>
      </c>
      <c r="B70" t="s">
        <v>373</v>
      </c>
      <c r="C70" t="s">
        <v>15</v>
      </c>
      <c r="D70" t="s">
        <v>16</v>
      </c>
      <c r="E70" t="s">
        <v>604</v>
      </c>
      <c r="F70" t="s">
        <v>605</v>
      </c>
      <c r="G70" t="s">
        <v>498</v>
      </c>
      <c r="H70" t="s">
        <v>253</v>
      </c>
      <c r="I70" t="s">
        <v>606</v>
      </c>
      <c r="J70" t="s">
        <v>607</v>
      </c>
      <c r="K70" t="s">
        <v>608</v>
      </c>
      <c r="L70" t="s">
        <v>20</v>
      </c>
      <c r="M70" t="s">
        <v>609</v>
      </c>
      <c r="N70" t="s">
        <v>610</v>
      </c>
      <c r="O70" t="s">
        <v>611</v>
      </c>
      <c r="P70" t="s">
        <v>612</v>
      </c>
    </row>
    <row r="71" spans="1:16" x14ac:dyDescent="0.35">
      <c r="A71" t="s">
        <v>618</v>
      </c>
      <c r="B71" t="s">
        <v>32</v>
      </c>
      <c r="C71" t="s">
        <v>619</v>
      </c>
      <c r="D71" t="s">
        <v>348</v>
      </c>
      <c r="E71" t="s">
        <v>620</v>
      </c>
      <c r="F71" t="s">
        <v>621</v>
      </c>
      <c r="G71" t="s">
        <v>615</v>
      </c>
      <c r="H71" t="s">
        <v>615</v>
      </c>
      <c r="I71" t="s">
        <v>622</v>
      </c>
      <c r="J71" t="s">
        <v>623</v>
      </c>
      <c r="K71" t="s">
        <v>624</v>
      </c>
      <c r="L71" t="s">
        <v>20</v>
      </c>
      <c r="M71" t="s">
        <v>616</v>
      </c>
      <c r="N71" t="s">
        <v>617</v>
      </c>
      <c r="O71" t="s">
        <v>625</v>
      </c>
      <c r="P71" t="s">
        <v>626</v>
      </c>
    </row>
    <row r="72" spans="1:16" x14ac:dyDescent="0.35">
      <c r="A72" t="s">
        <v>627</v>
      </c>
      <c r="B72" t="s">
        <v>32</v>
      </c>
      <c r="C72" t="s">
        <v>628</v>
      </c>
      <c r="D72" t="s">
        <v>629</v>
      </c>
      <c r="E72" t="s">
        <v>630</v>
      </c>
      <c r="F72" t="s">
        <v>631</v>
      </c>
      <c r="G72" t="s">
        <v>615</v>
      </c>
      <c r="H72" t="s">
        <v>615</v>
      </c>
      <c r="I72" t="s">
        <v>234</v>
      </c>
      <c r="J72" t="s">
        <v>632</v>
      </c>
      <c r="K72" t="s">
        <v>19</v>
      </c>
      <c r="L72" t="s">
        <v>20</v>
      </c>
      <c r="M72" t="s">
        <v>616</v>
      </c>
      <c r="N72" t="s">
        <v>617</v>
      </c>
      <c r="O72" t="s">
        <v>633</v>
      </c>
      <c r="P72" t="s">
        <v>634</v>
      </c>
    </row>
    <row r="73" spans="1:16" x14ac:dyDescent="0.35">
      <c r="A73" t="s">
        <v>635</v>
      </c>
      <c r="B73" t="s">
        <v>32</v>
      </c>
      <c r="C73" t="s">
        <v>78</v>
      </c>
      <c r="D73" t="s">
        <v>324</v>
      </c>
      <c r="E73" t="s">
        <v>636</v>
      </c>
      <c r="F73" t="s">
        <v>637</v>
      </c>
      <c r="G73" t="s">
        <v>615</v>
      </c>
      <c r="H73" t="s">
        <v>615</v>
      </c>
      <c r="I73" t="s">
        <v>622</v>
      </c>
      <c r="J73" t="s">
        <v>638</v>
      </c>
      <c r="K73" t="s">
        <v>624</v>
      </c>
      <c r="L73" t="s">
        <v>20</v>
      </c>
      <c r="M73" t="s">
        <v>616</v>
      </c>
      <c r="N73" t="s">
        <v>617</v>
      </c>
      <c r="O73" t="s">
        <v>639</v>
      </c>
      <c r="P73" t="s">
        <v>640</v>
      </c>
    </row>
    <row r="74" spans="1:16" x14ac:dyDescent="0.35">
      <c r="A74" t="s">
        <v>641</v>
      </c>
      <c r="B74" t="s">
        <v>32</v>
      </c>
      <c r="C74" t="s">
        <v>357</v>
      </c>
      <c r="D74" t="s">
        <v>614</v>
      </c>
      <c r="E74" t="s">
        <v>642</v>
      </c>
      <c r="F74" t="s">
        <v>643</v>
      </c>
      <c r="G74" t="s">
        <v>615</v>
      </c>
      <c r="H74" t="s">
        <v>615</v>
      </c>
      <c r="I74" t="s">
        <v>622</v>
      </c>
      <c r="J74" t="s">
        <v>644</v>
      </c>
      <c r="K74" t="s">
        <v>624</v>
      </c>
      <c r="L74" t="s">
        <v>20</v>
      </c>
      <c r="M74" t="s">
        <v>616</v>
      </c>
      <c r="N74" t="s">
        <v>617</v>
      </c>
      <c r="O74" t="s">
        <v>645</v>
      </c>
      <c r="P74" t="s">
        <v>646</v>
      </c>
    </row>
    <row r="75" spans="1:16" x14ac:dyDescent="0.35">
      <c r="A75" t="s">
        <v>647</v>
      </c>
      <c r="B75" t="s">
        <v>32</v>
      </c>
      <c r="C75" t="s">
        <v>28</v>
      </c>
      <c r="D75" t="s">
        <v>28</v>
      </c>
      <c r="E75" t="s">
        <v>648</v>
      </c>
      <c r="F75" t="s">
        <v>649</v>
      </c>
      <c r="G75" t="s">
        <v>615</v>
      </c>
      <c r="H75" t="s">
        <v>615</v>
      </c>
      <c r="I75" t="s">
        <v>622</v>
      </c>
      <c r="J75" t="s">
        <v>623</v>
      </c>
      <c r="K75" t="s">
        <v>624</v>
      </c>
      <c r="L75" t="s">
        <v>20</v>
      </c>
      <c r="M75" t="s">
        <v>616</v>
      </c>
      <c r="N75" t="s">
        <v>617</v>
      </c>
      <c r="O75" t="s">
        <v>650</v>
      </c>
      <c r="P75" t="s">
        <v>651</v>
      </c>
    </row>
    <row r="76" spans="1:16" x14ac:dyDescent="0.35">
      <c r="A76" t="s">
        <v>652</v>
      </c>
      <c r="B76" t="s">
        <v>32</v>
      </c>
      <c r="C76" t="s">
        <v>177</v>
      </c>
      <c r="D76" t="s">
        <v>282</v>
      </c>
      <c r="E76" t="s">
        <v>653</v>
      </c>
      <c r="F76" t="s">
        <v>654</v>
      </c>
      <c r="G76" t="s">
        <v>615</v>
      </c>
      <c r="H76" t="s">
        <v>615</v>
      </c>
      <c r="I76" t="s">
        <v>622</v>
      </c>
      <c r="J76" t="s">
        <v>655</v>
      </c>
      <c r="K76" t="s">
        <v>624</v>
      </c>
      <c r="L76" t="s">
        <v>20</v>
      </c>
      <c r="M76" t="s">
        <v>616</v>
      </c>
      <c r="N76" t="s">
        <v>617</v>
      </c>
      <c r="O76" t="s">
        <v>656</v>
      </c>
      <c r="P76" t="s">
        <v>657</v>
      </c>
    </row>
    <row r="77" spans="1:16" x14ac:dyDescent="0.35">
      <c r="A77" t="s">
        <v>659</v>
      </c>
      <c r="B77" t="s">
        <v>32</v>
      </c>
      <c r="C77" t="s">
        <v>15</v>
      </c>
      <c r="D77" t="s">
        <v>282</v>
      </c>
      <c r="E77" t="s">
        <v>660</v>
      </c>
      <c r="F77" t="s">
        <v>661</v>
      </c>
      <c r="G77" t="s">
        <v>615</v>
      </c>
      <c r="H77" t="s">
        <v>615</v>
      </c>
      <c r="I77" t="s">
        <v>622</v>
      </c>
      <c r="J77" t="s">
        <v>662</v>
      </c>
      <c r="K77" t="s">
        <v>624</v>
      </c>
      <c r="L77" t="s">
        <v>20</v>
      </c>
      <c r="M77" t="s">
        <v>663</v>
      </c>
      <c r="N77" t="s">
        <v>664</v>
      </c>
      <c r="O77" t="s">
        <v>665</v>
      </c>
      <c r="P77" t="s">
        <v>666</v>
      </c>
    </row>
    <row r="78" spans="1:16" x14ac:dyDescent="0.35">
      <c r="A78" t="s">
        <v>667</v>
      </c>
      <c r="B78" t="s">
        <v>32</v>
      </c>
      <c r="C78" t="s">
        <v>250</v>
      </c>
      <c r="D78" t="s">
        <v>141</v>
      </c>
      <c r="E78" t="s">
        <v>668</v>
      </c>
      <c r="F78" t="s">
        <v>669</v>
      </c>
      <c r="G78" t="s">
        <v>615</v>
      </c>
      <c r="H78" t="s">
        <v>615</v>
      </c>
      <c r="I78" t="s">
        <v>670</v>
      </c>
      <c r="J78" t="s">
        <v>671</v>
      </c>
      <c r="K78" t="s">
        <v>624</v>
      </c>
      <c r="L78" t="s">
        <v>20</v>
      </c>
      <c r="M78" t="s">
        <v>672</v>
      </c>
      <c r="N78" t="s">
        <v>673</v>
      </c>
      <c r="O78" t="s">
        <v>674</v>
      </c>
      <c r="P78" t="s">
        <v>675</v>
      </c>
    </row>
    <row r="79" spans="1:16" x14ac:dyDescent="0.35">
      <c r="A79" t="s">
        <v>676</v>
      </c>
      <c r="B79" t="s">
        <v>55</v>
      </c>
      <c r="C79" t="s">
        <v>28</v>
      </c>
      <c r="D79" t="s">
        <v>28</v>
      </c>
      <c r="E79" t="s">
        <v>677</v>
      </c>
      <c r="F79" t="s">
        <v>678</v>
      </c>
      <c r="G79" t="s">
        <v>615</v>
      </c>
      <c r="H79" t="s">
        <v>615</v>
      </c>
      <c r="I79" t="s">
        <v>28</v>
      </c>
      <c r="J79" t="s">
        <v>679</v>
      </c>
      <c r="K79" t="s">
        <v>19</v>
      </c>
      <c r="L79" t="s">
        <v>20</v>
      </c>
      <c r="M79" t="s">
        <v>672</v>
      </c>
      <c r="N79" t="s">
        <v>673</v>
      </c>
      <c r="O79" t="s">
        <v>680</v>
      </c>
      <c r="P79" t="s">
        <v>681</v>
      </c>
    </row>
    <row r="80" spans="1:16" x14ac:dyDescent="0.35">
      <c r="A80" t="s">
        <v>682</v>
      </c>
      <c r="B80" t="s">
        <v>55</v>
      </c>
      <c r="C80" t="s">
        <v>28</v>
      </c>
      <c r="D80" t="s">
        <v>28</v>
      </c>
      <c r="E80" t="s">
        <v>683</v>
      </c>
      <c r="F80" t="s">
        <v>684</v>
      </c>
      <c r="G80" t="s">
        <v>615</v>
      </c>
      <c r="H80" t="s">
        <v>615</v>
      </c>
      <c r="I80" t="s">
        <v>28</v>
      </c>
      <c r="J80" t="s">
        <v>685</v>
      </c>
      <c r="K80" t="s">
        <v>19</v>
      </c>
      <c r="L80" t="s">
        <v>20</v>
      </c>
      <c r="M80" t="s">
        <v>686</v>
      </c>
      <c r="N80" t="s">
        <v>687</v>
      </c>
      <c r="O80" t="s">
        <v>688</v>
      </c>
      <c r="P80" t="s">
        <v>689</v>
      </c>
    </row>
    <row r="81" spans="1:16" x14ac:dyDescent="0.35">
      <c r="A81" t="s">
        <v>690</v>
      </c>
      <c r="B81" t="s">
        <v>32</v>
      </c>
      <c r="C81" t="s">
        <v>691</v>
      </c>
      <c r="D81" t="s">
        <v>16</v>
      </c>
      <c r="E81" t="s">
        <v>692</v>
      </c>
      <c r="F81" t="s">
        <v>693</v>
      </c>
      <c r="G81" t="s">
        <v>615</v>
      </c>
      <c r="H81" t="s">
        <v>615</v>
      </c>
      <c r="I81" t="s">
        <v>622</v>
      </c>
      <c r="J81" t="s">
        <v>694</v>
      </c>
      <c r="K81" t="s">
        <v>624</v>
      </c>
      <c r="L81" t="s">
        <v>20</v>
      </c>
      <c r="M81" t="s">
        <v>695</v>
      </c>
      <c r="N81" t="s">
        <v>696</v>
      </c>
      <c r="O81" t="s">
        <v>697</v>
      </c>
      <c r="P81" t="s">
        <v>698</v>
      </c>
    </row>
    <row r="82" spans="1:16" x14ac:dyDescent="0.35">
      <c r="A82" t="s">
        <v>703</v>
      </c>
      <c r="B82" t="s">
        <v>32</v>
      </c>
      <c r="C82" t="s">
        <v>205</v>
      </c>
      <c r="D82" t="s">
        <v>68</v>
      </c>
      <c r="E82" t="s">
        <v>704</v>
      </c>
      <c r="F82" t="s">
        <v>705</v>
      </c>
      <c r="G82" t="s">
        <v>615</v>
      </c>
      <c r="H82" t="s">
        <v>615</v>
      </c>
      <c r="I82" t="s">
        <v>622</v>
      </c>
      <c r="J82" t="s">
        <v>706</v>
      </c>
      <c r="K82" t="s">
        <v>624</v>
      </c>
      <c r="L82" t="s">
        <v>20</v>
      </c>
      <c r="M82" t="s">
        <v>701</v>
      </c>
      <c r="N82" t="s">
        <v>702</v>
      </c>
      <c r="O82" t="s">
        <v>707</v>
      </c>
      <c r="P82" t="s">
        <v>708</v>
      </c>
    </row>
    <row r="83" spans="1:16" x14ac:dyDescent="0.35">
      <c r="A83" t="s">
        <v>682</v>
      </c>
      <c r="B83" t="s">
        <v>55</v>
      </c>
      <c r="C83" t="s">
        <v>357</v>
      </c>
      <c r="D83" t="s">
        <v>124</v>
      </c>
      <c r="E83" t="s">
        <v>709</v>
      </c>
      <c r="F83" t="s">
        <v>710</v>
      </c>
      <c r="G83" t="s">
        <v>615</v>
      </c>
      <c r="H83" t="s">
        <v>615</v>
      </c>
      <c r="I83" t="s">
        <v>28</v>
      </c>
      <c r="J83" t="s">
        <v>711</v>
      </c>
      <c r="K83" t="s">
        <v>19</v>
      </c>
      <c r="L83" t="s">
        <v>20</v>
      </c>
      <c r="M83" t="s">
        <v>701</v>
      </c>
      <c r="N83" t="s">
        <v>702</v>
      </c>
      <c r="O83" t="s">
        <v>712</v>
      </c>
      <c r="P83" t="s">
        <v>713</v>
      </c>
    </row>
    <row r="84" spans="1:16" x14ac:dyDescent="0.35">
      <c r="A84" t="s">
        <v>682</v>
      </c>
      <c r="B84" t="s">
        <v>55</v>
      </c>
      <c r="C84" t="s">
        <v>28</v>
      </c>
      <c r="D84" t="s">
        <v>28</v>
      </c>
      <c r="E84" t="s">
        <v>714</v>
      </c>
      <c r="F84" t="s">
        <v>715</v>
      </c>
      <c r="G84" t="s">
        <v>615</v>
      </c>
      <c r="H84" t="s">
        <v>615</v>
      </c>
      <c r="I84" t="s">
        <v>28</v>
      </c>
      <c r="J84" t="s">
        <v>716</v>
      </c>
      <c r="K84" t="s">
        <v>19</v>
      </c>
      <c r="L84" t="s">
        <v>20</v>
      </c>
      <c r="M84" t="s">
        <v>717</v>
      </c>
      <c r="N84" t="s">
        <v>718</v>
      </c>
      <c r="O84" t="s">
        <v>719</v>
      </c>
      <c r="P84" t="s">
        <v>720</v>
      </c>
    </row>
    <row r="85" spans="1:16" x14ac:dyDescent="0.35">
      <c r="A85" t="s">
        <v>721</v>
      </c>
      <c r="B85" t="s">
        <v>55</v>
      </c>
      <c r="C85" t="s">
        <v>241</v>
      </c>
      <c r="D85" t="s">
        <v>449</v>
      </c>
      <c r="E85" t="s">
        <v>722</v>
      </c>
      <c r="F85" t="s">
        <v>723</v>
      </c>
      <c r="G85" t="s">
        <v>615</v>
      </c>
      <c r="H85" t="s">
        <v>615</v>
      </c>
      <c r="I85" t="s">
        <v>724</v>
      </c>
      <c r="J85" t="s">
        <v>725</v>
      </c>
      <c r="K85" t="s">
        <v>19</v>
      </c>
      <c r="L85" t="s">
        <v>20</v>
      </c>
      <c r="M85" t="s">
        <v>726</v>
      </c>
      <c r="N85" t="s">
        <v>727</v>
      </c>
      <c r="O85" t="s">
        <v>728</v>
      </c>
      <c r="P85" t="s">
        <v>729</v>
      </c>
    </row>
    <row r="86" spans="1:16" x14ac:dyDescent="0.35">
      <c r="A86" t="s">
        <v>676</v>
      </c>
      <c r="B86" t="s">
        <v>55</v>
      </c>
      <c r="C86" t="s">
        <v>28</v>
      </c>
      <c r="D86" t="s">
        <v>28</v>
      </c>
      <c r="E86" t="s">
        <v>730</v>
      </c>
      <c r="F86" t="s">
        <v>731</v>
      </c>
      <c r="G86" t="s">
        <v>615</v>
      </c>
      <c r="H86" t="s">
        <v>615</v>
      </c>
      <c r="I86" t="s">
        <v>28</v>
      </c>
      <c r="J86" t="s">
        <v>732</v>
      </c>
      <c r="K86" t="s">
        <v>19</v>
      </c>
      <c r="L86" t="s">
        <v>20</v>
      </c>
      <c r="M86" t="s">
        <v>726</v>
      </c>
      <c r="N86" t="s">
        <v>727</v>
      </c>
      <c r="O86" t="s">
        <v>733</v>
      </c>
      <c r="P86" t="s">
        <v>734</v>
      </c>
    </row>
    <row r="87" spans="1:16" x14ac:dyDescent="0.35">
      <c r="A87" t="s">
        <v>735</v>
      </c>
      <c r="B87" t="s">
        <v>32</v>
      </c>
      <c r="C87" t="s">
        <v>15</v>
      </c>
      <c r="D87" t="s">
        <v>16</v>
      </c>
      <c r="E87" t="s">
        <v>736</v>
      </c>
      <c r="F87" t="s">
        <v>737</v>
      </c>
      <c r="G87" t="s">
        <v>615</v>
      </c>
      <c r="H87" t="s">
        <v>615</v>
      </c>
      <c r="I87" t="s">
        <v>622</v>
      </c>
      <c r="J87" t="s">
        <v>738</v>
      </c>
      <c r="K87" t="s">
        <v>624</v>
      </c>
      <c r="L87" t="s">
        <v>20</v>
      </c>
      <c r="M87" t="s">
        <v>726</v>
      </c>
      <c r="N87" t="s">
        <v>727</v>
      </c>
      <c r="O87" t="s">
        <v>739</v>
      </c>
      <c r="P87" t="s">
        <v>740</v>
      </c>
    </row>
    <row r="88" spans="1:16" x14ac:dyDescent="0.35">
      <c r="A88" t="s">
        <v>741</v>
      </c>
      <c r="B88" t="s">
        <v>55</v>
      </c>
      <c r="C88" t="s">
        <v>28</v>
      </c>
      <c r="D88" t="s">
        <v>28</v>
      </c>
      <c r="E88" t="s">
        <v>742</v>
      </c>
      <c r="F88" t="s">
        <v>743</v>
      </c>
      <c r="G88" t="s">
        <v>615</v>
      </c>
      <c r="H88" t="s">
        <v>615</v>
      </c>
      <c r="I88" t="s">
        <v>744</v>
      </c>
      <c r="J88" t="s">
        <v>745</v>
      </c>
      <c r="K88" t="s">
        <v>746</v>
      </c>
      <c r="L88" t="s">
        <v>20</v>
      </c>
      <c r="M88" t="s">
        <v>726</v>
      </c>
      <c r="N88" t="s">
        <v>727</v>
      </c>
      <c r="O88" t="s">
        <v>747</v>
      </c>
      <c r="P88" t="s">
        <v>748</v>
      </c>
    </row>
    <row r="89" spans="1:16" x14ac:dyDescent="0.35">
      <c r="A89" t="s">
        <v>749</v>
      </c>
      <c r="B89" t="s">
        <v>32</v>
      </c>
      <c r="C89" t="s">
        <v>28</v>
      </c>
      <c r="D89" t="s">
        <v>28</v>
      </c>
      <c r="E89" t="s">
        <v>750</v>
      </c>
      <c r="F89" t="s">
        <v>751</v>
      </c>
      <c r="G89" t="s">
        <v>615</v>
      </c>
      <c r="H89" t="s">
        <v>615</v>
      </c>
      <c r="I89" t="s">
        <v>622</v>
      </c>
      <c r="J89" t="s">
        <v>752</v>
      </c>
      <c r="K89" t="s">
        <v>624</v>
      </c>
      <c r="L89" t="s">
        <v>20</v>
      </c>
      <c r="M89" t="s">
        <v>726</v>
      </c>
      <c r="N89" t="s">
        <v>727</v>
      </c>
      <c r="O89" t="s">
        <v>753</v>
      </c>
      <c r="P89" t="s">
        <v>754</v>
      </c>
    </row>
    <row r="90" spans="1:16" x14ac:dyDescent="0.35">
      <c r="A90" t="s">
        <v>538</v>
      </c>
      <c r="B90" t="s">
        <v>55</v>
      </c>
      <c r="C90" t="s">
        <v>158</v>
      </c>
      <c r="D90" t="s">
        <v>755</v>
      </c>
      <c r="E90" t="s">
        <v>756</v>
      </c>
      <c r="F90" t="s">
        <v>723</v>
      </c>
      <c r="G90" t="s">
        <v>615</v>
      </c>
      <c r="H90" t="s">
        <v>615</v>
      </c>
      <c r="I90" t="s">
        <v>82</v>
      </c>
      <c r="J90" t="s">
        <v>757</v>
      </c>
      <c r="K90" t="s">
        <v>84</v>
      </c>
      <c r="L90" t="s">
        <v>20</v>
      </c>
      <c r="M90" t="s">
        <v>726</v>
      </c>
      <c r="N90" t="s">
        <v>727</v>
      </c>
      <c r="O90" t="s">
        <v>758</v>
      </c>
      <c r="P90" t="s">
        <v>759</v>
      </c>
    </row>
    <row r="91" spans="1:16" x14ac:dyDescent="0.35">
      <c r="A91" t="s">
        <v>760</v>
      </c>
      <c r="B91" t="s">
        <v>55</v>
      </c>
      <c r="C91" t="s">
        <v>78</v>
      </c>
      <c r="D91" t="s">
        <v>185</v>
      </c>
      <c r="E91" t="s">
        <v>761</v>
      </c>
      <c r="F91" t="s">
        <v>693</v>
      </c>
      <c r="G91" t="s">
        <v>615</v>
      </c>
      <c r="H91" t="s">
        <v>615</v>
      </c>
      <c r="I91" t="s">
        <v>28</v>
      </c>
      <c r="J91" t="s">
        <v>694</v>
      </c>
      <c r="K91" t="s">
        <v>19</v>
      </c>
      <c r="L91" t="s">
        <v>20</v>
      </c>
      <c r="M91" t="s">
        <v>762</v>
      </c>
      <c r="N91" t="s">
        <v>763</v>
      </c>
      <c r="O91" t="s">
        <v>764</v>
      </c>
      <c r="P91" t="s">
        <v>765</v>
      </c>
    </row>
    <row r="92" spans="1:16" x14ac:dyDescent="0.35">
      <c r="A92" t="s">
        <v>766</v>
      </c>
      <c r="B92" t="s">
        <v>32</v>
      </c>
      <c r="C92" t="s">
        <v>691</v>
      </c>
      <c r="D92" t="s">
        <v>124</v>
      </c>
      <c r="E92" t="s">
        <v>767</v>
      </c>
      <c r="F92" t="s">
        <v>768</v>
      </c>
      <c r="G92" t="s">
        <v>615</v>
      </c>
      <c r="H92" t="s">
        <v>615</v>
      </c>
      <c r="I92" t="s">
        <v>28</v>
      </c>
      <c r="J92" t="s">
        <v>769</v>
      </c>
      <c r="K92" t="s">
        <v>19</v>
      </c>
      <c r="L92" t="s">
        <v>20</v>
      </c>
      <c r="M92" t="s">
        <v>770</v>
      </c>
      <c r="N92" t="s">
        <v>771</v>
      </c>
      <c r="O92" t="s">
        <v>772</v>
      </c>
      <c r="P92" t="s">
        <v>773</v>
      </c>
    </row>
    <row r="93" spans="1:16" x14ac:dyDescent="0.35">
      <c r="A93" t="s">
        <v>482</v>
      </c>
      <c r="B93" t="s">
        <v>55</v>
      </c>
      <c r="C93" t="s">
        <v>205</v>
      </c>
      <c r="D93" t="s">
        <v>774</v>
      </c>
      <c r="E93" t="s">
        <v>775</v>
      </c>
      <c r="F93" t="s">
        <v>776</v>
      </c>
      <c r="G93" t="s">
        <v>615</v>
      </c>
      <c r="H93" t="s">
        <v>615</v>
      </c>
      <c r="I93" t="s">
        <v>162</v>
      </c>
      <c r="J93" t="s">
        <v>777</v>
      </c>
      <c r="K93" t="s">
        <v>164</v>
      </c>
      <c r="L93" t="s">
        <v>20</v>
      </c>
      <c r="M93" t="s">
        <v>770</v>
      </c>
      <c r="N93" t="s">
        <v>771</v>
      </c>
      <c r="O93" t="s">
        <v>778</v>
      </c>
      <c r="P93" t="s">
        <v>779</v>
      </c>
    </row>
    <row r="94" spans="1:16" x14ac:dyDescent="0.35">
      <c r="A94" t="s">
        <v>780</v>
      </c>
      <c r="B94" t="s">
        <v>55</v>
      </c>
      <c r="C94" t="s">
        <v>28</v>
      </c>
      <c r="D94" t="s">
        <v>28</v>
      </c>
      <c r="E94" t="s">
        <v>781</v>
      </c>
      <c r="F94" t="s">
        <v>782</v>
      </c>
      <c r="G94" t="s">
        <v>615</v>
      </c>
      <c r="H94" t="s">
        <v>615</v>
      </c>
      <c r="I94" t="s">
        <v>28</v>
      </c>
      <c r="J94" t="s">
        <v>783</v>
      </c>
      <c r="K94" t="s">
        <v>19</v>
      </c>
      <c r="L94" t="s">
        <v>20</v>
      </c>
      <c r="M94" t="s">
        <v>770</v>
      </c>
      <c r="N94" t="s">
        <v>771</v>
      </c>
      <c r="O94" t="s">
        <v>784</v>
      </c>
      <c r="P94" t="s">
        <v>785</v>
      </c>
    </row>
    <row r="95" spans="1:16" x14ac:dyDescent="0.35">
      <c r="A95" t="s">
        <v>786</v>
      </c>
      <c r="B95" t="s">
        <v>55</v>
      </c>
      <c r="C95" t="s">
        <v>158</v>
      </c>
      <c r="D95" t="s">
        <v>787</v>
      </c>
      <c r="E95" t="s">
        <v>788</v>
      </c>
      <c r="F95" t="s">
        <v>789</v>
      </c>
      <c r="G95" t="s">
        <v>615</v>
      </c>
      <c r="H95" t="s">
        <v>615</v>
      </c>
      <c r="I95" t="s">
        <v>790</v>
      </c>
      <c r="J95" t="s">
        <v>791</v>
      </c>
      <c r="K95" t="s">
        <v>19</v>
      </c>
      <c r="L95" t="s">
        <v>20</v>
      </c>
      <c r="M95" t="s">
        <v>792</v>
      </c>
      <c r="N95" t="s">
        <v>793</v>
      </c>
      <c r="O95" t="s">
        <v>794</v>
      </c>
      <c r="P95" t="s">
        <v>795</v>
      </c>
    </row>
    <row r="96" spans="1:16" x14ac:dyDescent="0.35">
      <c r="A96" t="s">
        <v>796</v>
      </c>
      <c r="B96" t="s">
        <v>32</v>
      </c>
      <c r="C96" t="s">
        <v>28</v>
      </c>
      <c r="D96" t="s">
        <v>28</v>
      </c>
      <c r="E96" t="s">
        <v>797</v>
      </c>
      <c r="F96" t="s">
        <v>798</v>
      </c>
      <c r="G96" t="s">
        <v>615</v>
      </c>
      <c r="H96" t="s">
        <v>615</v>
      </c>
      <c r="I96" t="s">
        <v>622</v>
      </c>
      <c r="J96" t="s">
        <v>799</v>
      </c>
      <c r="K96" t="s">
        <v>19</v>
      </c>
      <c r="L96" t="s">
        <v>20</v>
      </c>
      <c r="M96" t="s">
        <v>800</v>
      </c>
      <c r="N96" t="s">
        <v>801</v>
      </c>
      <c r="O96" t="s">
        <v>802</v>
      </c>
      <c r="P96" t="s">
        <v>803</v>
      </c>
    </row>
    <row r="97" spans="1:16" x14ac:dyDescent="0.35">
      <c r="A97" t="s">
        <v>482</v>
      </c>
      <c r="B97" t="s">
        <v>55</v>
      </c>
      <c r="C97" t="s">
        <v>357</v>
      </c>
      <c r="D97" t="s">
        <v>124</v>
      </c>
      <c r="E97" t="s">
        <v>804</v>
      </c>
      <c r="F97" t="s">
        <v>805</v>
      </c>
      <c r="G97" t="s">
        <v>615</v>
      </c>
      <c r="H97" t="s">
        <v>615</v>
      </c>
      <c r="I97" t="s">
        <v>162</v>
      </c>
      <c r="J97" t="s">
        <v>806</v>
      </c>
      <c r="K97" t="s">
        <v>164</v>
      </c>
      <c r="L97" t="s">
        <v>20</v>
      </c>
      <c r="M97" t="s">
        <v>800</v>
      </c>
      <c r="N97" t="s">
        <v>801</v>
      </c>
      <c r="O97" t="s">
        <v>807</v>
      </c>
      <c r="P97" t="s">
        <v>808</v>
      </c>
    </row>
    <row r="98" spans="1:16" x14ac:dyDescent="0.35">
      <c r="A98" t="s">
        <v>811</v>
      </c>
      <c r="B98" t="s">
        <v>55</v>
      </c>
      <c r="C98" t="s">
        <v>140</v>
      </c>
      <c r="D98" t="s">
        <v>812</v>
      </c>
      <c r="E98" t="s">
        <v>813</v>
      </c>
      <c r="F98" t="s">
        <v>814</v>
      </c>
      <c r="G98" t="s">
        <v>615</v>
      </c>
      <c r="H98" t="s">
        <v>615</v>
      </c>
      <c r="I98" t="s">
        <v>815</v>
      </c>
      <c r="J98" t="s">
        <v>816</v>
      </c>
      <c r="K98" t="s">
        <v>817</v>
      </c>
      <c r="L98" t="s">
        <v>20</v>
      </c>
      <c r="M98" t="s">
        <v>809</v>
      </c>
      <c r="N98" t="s">
        <v>810</v>
      </c>
      <c r="O98" t="s">
        <v>818</v>
      </c>
      <c r="P98" t="s">
        <v>819</v>
      </c>
    </row>
    <row r="99" spans="1:16" x14ac:dyDescent="0.35">
      <c r="A99" t="s">
        <v>820</v>
      </c>
      <c r="B99" t="s">
        <v>55</v>
      </c>
      <c r="C99" t="s">
        <v>28</v>
      </c>
      <c r="D99" t="s">
        <v>28</v>
      </c>
      <c r="E99" t="s">
        <v>821</v>
      </c>
      <c r="F99" t="s">
        <v>822</v>
      </c>
      <c r="G99" t="s">
        <v>615</v>
      </c>
      <c r="H99" t="s">
        <v>615</v>
      </c>
      <c r="I99" t="s">
        <v>28</v>
      </c>
      <c r="J99" t="s">
        <v>823</v>
      </c>
      <c r="K99" t="s">
        <v>19</v>
      </c>
      <c r="L99" t="s">
        <v>20</v>
      </c>
      <c r="M99" t="s">
        <v>809</v>
      </c>
      <c r="N99" t="s">
        <v>810</v>
      </c>
      <c r="O99" t="s">
        <v>824</v>
      </c>
      <c r="P99" t="s">
        <v>825</v>
      </c>
    </row>
    <row r="100" spans="1:16" x14ac:dyDescent="0.35">
      <c r="A100" t="s">
        <v>826</v>
      </c>
      <c r="B100" t="s">
        <v>32</v>
      </c>
      <c r="C100" t="s">
        <v>699</v>
      </c>
      <c r="D100" t="s">
        <v>304</v>
      </c>
      <c r="E100" t="s">
        <v>827</v>
      </c>
      <c r="F100" t="s">
        <v>828</v>
      </c>
      <c r="G100" t="s">
        <v>615</v>
      </c>
      <c r="H100" t="s">
        <v>615</v>
      </c>
      <c r="I100" t="s">
        <v>622</v>
      </c>
      <c r="J100" t="s">
        <v>829</v>
      </c>
      <c r="K100" t="s">
        <v>624</v>
      </c>
      <c r="L100" t="s">
        <v>20</v>
      </c>
      <c r="M100" t="s">
        <v>830</v>
      </c>
      <c r="N100" t="s">
        <v>831</v>
      </c>
      <c r="O100" t="s">
        <v>832</v>
      </c>
      <c r="P100" t="s">
        <v>833</v>
      </c>
    </row>
    <row r="101" spans="1:16" x14ac:dyDescent="0.35">
      <c r="A101" t="s">
        <v>834</v>
      </c>
      <c r="B101" t="s">
        <v>55</v>
      </c>
      <c r="C101" t="s">
        <v>28</v>
      </c>
      <c r="D101" t="s">
        <v>28</v>
      </c>
      <c r="E101" t="s">
        <v>835</v>
      </c>
      <c r="F101" t="s">
        <v>836</v>
      </c>
      <c r="G101" t="s">
        <v>615</v>
      </c>
      <c r="H101" t="s">
        <v>615</v>
      </c>
      <c r="I101" t="s">
        <v>837</v>
      </c>
      <c r="J101" t="s">
        <v>838</v>
      </c>
      <c r="K101" t="s">
        <v>839</v>
      </c>
      <c r="L101" t="s">
        <v>20</v>
      </c>
      <c r="M101" t="s">
        <v>840</v>
      </c>
      <c r="N101" t="s">
        <v>841</v>
      </c>
      <c r="O101" t="s">
        <v>842</v>
      </c>
      <c r="P101" t="s">
        <v>843</v>
      </c>
    </row>
    <row r="102" spans="1:16" x14ac:dyDescent="0.35">
      <c r="A102" t="s">
        <v>844</v>
      </c>
      <c r="B102" t="s">
        <v>55</v>
      </c>
      <c r="C102" t="s">
        <v>15</v>
      </c>
      <c r="D102" t="s">
        <v>374</v>
      </c>
      <c r="E102" t="s">
        <v>845</v>
      </c>
      <c r="F102" t="s">
        <v>846</v>
      </c>
      <c r="G102" t="s">
        <v>615</v>
      </c>
      <c r="H102" t="s">
        <v>615</v>
      </c>
      <c r="I102" t="s">
        <v>847</v>
      </c>
      <c r="J102" t="s">
        <v>848</v>
      </c>
      <c r="K102" t="s">
        <v>19</v>
      </c>
      <c r="L102" t="s">
        <v>20</v>
      </c>
      <c r="M102" t="s">
        <v>840</v>
      </c>
      <c r="N102" t="s">
        <v>841</v>
      </c>
      <c r="O102" t="s">
        <v>849</v>
      </c>
      <c r="P102" t="s">
        <v>850</v>
      </c>
    </row>
    <row r="103" spans="1:16" x14ac:dyDescent="0.35">
      <c r="A103" t="s">
        <v>851</v>
      </c>
      <c r="B103" t="s">
        <v>55</v>
      </c>
      <c r="C103" t="s">
        <v>28</v>
      </c>
      <c r="D103" t="s">
        <v>28</v>
      </c>
      <c r="E103" t="s">
        <v>852</v>
      </c>
      <c r="F103" t="s">
        <v>853</v>
      </c>
      <c r="G103" t="s">
        <v>615</v>
      </c>
      <c r="H103" t="s">
        <v>615</v>
      </c>
      <c r="I103" t="s">
        <v>28</v>
      </c>
      <c r="J103" t="s">
        <v>854</v>
      </c>
      <c r="K103" t="s">
        <v>19</v>
      </c>
      <c r="L103" t="s">
        <v>20</v>
      </c>
      <c r="M103" t="s">
        <v>840</v>
      </c>
      <c r="N103" t="s">
        <v>841</v>
      </c>
      <c r="O103" t="s">
        <v>855</v>
      </c>
      <c r="P103" t="s">
        <v>856</v>
      </c>
    </row>
    <row r="104" spans="1:16" x14ac:dyDescent="0.35">
      <c r="A104" t="s">
        <v>857</v>
      </c>
      <c r="B104" t="s">
        <v>107</v>
      </c>
      <c r="C104" t="s">
        <v>96</v>
      </c>
      <c r="D104" t="s">
        <v>858</v>
      </c>
      <c r="E104" t="s">
        <v>859</v>
      </c>
      <c r="F104" t="s">
        <v>860</v>
      </c>
      <c r="G104" t="s">
        <v>615</v>
      </c>
      <c r="H104" t="s">
        <v>615</v>
      </c>
      <c r="I104" t="s">
        <v>861</v>
      </c>
      <c r="J104" t="s">
        <v>862</v>
      </c>
      <c r="K104" t="s">
        <v>863</v>
      </c>
      <c r="L104" t="s">
        <v>20</v>
      </c>
      <c r="M104" t="s">
        <v>840</v>
      </c>
      <c r="N104" t="s">
        <v>841</v>
      </c>
      <c r="O104" t="s">
        <v>864</v>
      </c>
      <c r="P104" t="s">
        <v>865</v>
      </c>
    </row>
    <row r="105" spans="1:16" x14ac:dyDescent="0.35">
      <c r="A105" t="s">
        <v>310</v>
      </c>
      <c r="B105" t="s">
        <v>55</v>
      </c>
      <c r="C105" t="s">
        <v>548</v>
      </c>
      <c r="D105" t="s">
        <v>374</v>
      </c>
      <c r="E105" t="s">
        <v>866</v>
      </c>
      <c r="F105" t="s">
        <v>867</v>
      </c>
      <c r="G105" t="s">
        <v>615</v>
      </c>
      <c r="H105" t="s">
        <v>615</v>
      </c>
      <c r="I105" t="s">
        <v>28</v>
      </c>
      <c r="J105" t="s">
        <v>28</v>
      </c>
      <c r="K105" t="s">
        <v>19</v>
      </c>
      <c r="L105" t="s">
        <v>20</v>
      </c>
      <c r="M105" t="s">
        <v>840</v>
      </c>
      <c r="N105" t="s">
        <v>841</v>
      </c>
      <c r="O105" t="s">
        <v>868</v>
      </c>
      <c r="P105" t="s">
        <v>869</v>
      </c>
    </row>
    <row r="106" spans="1:16" x14ac:dyDescent="0.35">
      <c r="A106" t="s">
        <v>870</v>
      </c>
      <c r="B106" t="s">
        <v>55</v>
      </c>
      <c r="C106" t="s">
        <v>205</v>
      </c>
      <c r="D106" t="s">
        <v>268</v>
      </c>
      <c r="E106" t="s">
        <v>871</v>
      </c>
      <c r="F106" t="s">
        <v>872</v>
      </c>
      <c r="G106" t="s">
        <v>615</v>
      </c>
      <c r="H106" t="s">
        <v>615</v>
      </c>
      <c r="I106" t="s">
        <v>162</v>
      </c>
      <c r="J106" t="s">
        <v>873</v>
      </c>
      <c r="K106" t="s">
        <v>164</v>
      </c>
      <c r="L106" t="s">
        <v>20</v>
      </c>
      <c r="M106" t="s">
        <v>874</v>
      </c>
      <c r="N106" t="s">
        <v>875</v>
      </c>
      <c r="O106" t="s">
        <v>876</v>
      </c>
      <c r="P106" t="s">
        <v>877</v>
      </c>
    </row>
    <row r="107" spans="1:16" x14ac:dyDescent="0.35">
      <c r="A107" t="s">
        <v>878</v>
      </c>
      <c r="B107" t="s">
        <v>55</v>
      </c>
      <c r="C107" t="s">
        <v>25</v>
      </c>
      <c r="D107" t="s">
        <v>16</v>
      </c>
      <c r="E107" t="s">
        <v>879</v>
      </c>
      <c r="F107" t="s">
        <v>880</v>
      </c>
      <c r="G107" t="s">
        <v>615</v>
      </c>
      <c r="H107" t="s">
        <v>615</v>
      </c>
      <c r="I107" t="s">
        <v>837</v>
      </c>
      <c r="J107" t="s">
        <v>881</v>
      </c>
      <c r="K107" t="s">
        <v>839</v>
      </c>
      <c r="L107" t="s">
        <v>20</v>
      </c>
      <c r="M107" t="s">
        <v>874</v>
      </c>
      <c r="N107" t="s">
        <v>875</v>
      </c>
      <c r="O107" t="s">
        <v>882</v>
      </c>
      <c r="P107" t="s">
        <v>883</v>
      </c>
    </row>
    <row r="108" spans="1:16" x14ac:dyDescent="0.35">
      <c r="A108" t="s">
        <v>884</v>
      </c>
      <c r="B108" t="s">
        <v>32</v>
      </c>
      <c r="C108" t="s">
        <v>548</v>
      </c>
      <c r="D108" t="s">
        <v>206</v>
      </c>
      <c r="E108" t="s">
        <v>885</v>
      </c>
      <c r="F108" t="s">
        <v>886</v>
      </c>
      <c r="G108" t="s">
        <v>615</v>
      </c>
      <c r="H108" t="s">
        <v>615</v>
      </c>
      <c r="I108" t="s">
        <v>622</v>
      </c>
      <c r="J108" t="s">
        <v>887</v>
      </c>
      <c r="K108" t="s">
        <v>624</v>
      </c>
      <c r="L108" t="s">
        <v>20</v>
      </c>
      <c r="M108" t="s">
        <v>888</v>
      </c>
      <c r="N108" t="s">
        <v>889</v>
      </c>
      <c r="O108" t="s">
        <v>890</v>
      </c>
      <c r="P108" t="s">
        <v>891</v>
      </c>
    </row>
    <row r="109" spans="1:16" x14ac:dyDescent="0.35">
      <c r="A109" t="s">
        <v>892</v>
      </c>
      <c r="B109" t="s">
        <v>32</v>
      </c>
      <c r="C109" t="s">
        <v>28</v>
      </c>
      <c r="D109" t="s">
        <v>28</v>
      </c>
      <c r="E109" t="s">
        <v>893</v>
      </c>
      <c r="F109" t="s">
        <v>894</v>
      </c>
      <c r="G109" t="s">
        <v>615</v>
      </c>
      <c r="H109" t="s">
        <v>615</v>
      </c>
      <c r="I109" t="s">
        <v>622</v>
      </c>
      <c r="J109" t="s">
        <v>895</v>
      </c>
      <c r="K109" t="s">
        <v>624</v>
      </c>
      <c r="L109" t="s">
        <v>20</v>
      </c>
      <c r="M109" t="s">
        <v>896</v>
      </c>
      <c r="N109" t="s">
        <v>897</v>
      </c>
      <c r="O109" t="s">
        <v>898</v>
      </c>
      <c r="P109" t="s">
        <v>899</v>
      </c>
    </row>
    <row r="110" spans="1:16" x14ac:dyDescent="0.35">
      <c r="A110" t="s">
        <v>900</v>
      </c>
      <c r="B110" t="s">
        <v>55</v>
      </c>
      <c r="C110" t="s">
        <v>691</v>
      </c>
      <c r="D110" t="s">
        <v>27</v>
      </c>
      <c r="E110" t="s">
        <v>901</v>
      </c>
      <c r="F110" t="s">
        <v>902</v>
      </c>
      <c r="G110" t="s">
        <v>615</v>
      </c>
      <c r="H110" t="s">
        <v>615</v>
      </c>
      <c r="I110" t="s">
        <v>28</v>
      </c>
      <c r="J110" t="s">
        <v>28</v>
      </c>
      <c r="K110" t="s">
        <v>19</v>
      </c>
      <c r="L110" t="s">
        <v>20</v>
      </c>
      <c r="M110" t="s">
        <v>903</v>
      </c>
      <c r="N110" t="s">
        <v>904</v>
      </c>
      <c r="O110" t="s">
        <v>905</v>
      </c>
      <c r="P110" t="s">
        <v>906</v>
      </c>
    </row>
    <row r="111" spans="1:16" x14ac:dyDescent="0.35">
      <c r="A111" t="s">
        <v>907</v>
      </c>
      <c r="B111" t="s">
        <v>55</v>
      </c>
      <c r="C111" t="s">
        <v>28</v>
      </c>
      <c r="D111" t="s">
        <v>28</v>
      </c>
      <c r="E111" t="s">
        <v>908</v>
      </c>
      <c r="F111" t="s">
        <v>909</v>
      </c>
      <c r="G111" t="s">
        <v>615</v>
      </c>
      <c r="H111" t="s">
        <v>615</v>
      </c>
      <c r="I111" t="s">
        <v>910</v>
      </c>
      <c r="J111" t="s">
        <v>911</v>
      </c>
      <c r="K111" t="s">
        <v>19</v>
      </c>
      <c r="L111" t="s">
        <v>20</v>
      </c>
      <c r="M111" t="s">
        <v>912</v>
      </c>
      <c r="N111" t="s">
        <v>913</v>
      </c>
      <c r="O111" t="s">
        <v>914</v>
      </c>
      <c r="P111" t="s">
        <v>915</v>
      </c>
    </row>
    <row r="112" spans="1:16" x14ac:dyDescent="0.35">
      <c r="A112" t="s">
        <v>916</v>
      </c>
      <c r="B112" t="s">
        <v>373</v>
      </c>
      <c r="C112" t="s">
        <v>15</v>
      </c>
      <c r="D112" t="s">
        <v>27</v>
      </c>
      <c r="E112" t="s">
        <v>917</v>
      </c>
      <c r="F112" t="s">
        <v>918</v>
      </c>
      <c r="G112" t="s">
        <v>615</v>
      </c>
      <c r="H112" t="s">
        <v>615</v>
      </c>
      <c r="I112" t="s">
        <v>744</v>
      </c>
      <c r="J112" t="s">
        <v>919</v>
      </c>
      <c r="K112" t="s">
        <v>19</v>
      </c>
      <c r="L112" t="s">
        <v>20</v>
      </c>
      <c r="M112" t="s">
        <v>920</v>
      </c>
      <c r="N112" t="s">
        <v>921</v>
      </c>
      <c r="O112" t="s">
        <v>922</v>
      </c>
      <c r="P112" t="s">
        <v>923</v>
      </c>
    </row>
    <row r="113" spans="1:16" x14ac:dyDescent="0.35">
      <c r="A113" t="s">
        <v>924</v>
      </c>
      <c r="B113" t="s">
        <v>32</v>
      </c>
      <c r="C113" t="s">
        <v>28</v>
      </c>
      <c r="D113" t="s">
        <v>28</v>
      </c>
      <c r="E113" t="s">
        <v>925</v>
      </c>
      <c r="F113" t="s">
        <v>926</v>
      </c>
      <c r="G113" t="s">
        <v>927</v>
      </c>
      <c r="H113" t="s">
        <v>615</v>
      </c>
      <c r="I113" t="s">
        <v>622</v>
      </c>
      <c r="J113" t="s">
        <v>928</v>
      </c>
      <c r="K113" t="s">
        <v>624</v>
      </c>
      <c r="L113" t="s">
        <v>20</v>
      </c>
      <c r="M113" t="s">
        <v>929</v>
      </c>
      <c r="N113" t="s">
        <v>930</v>
      </c>
      <c r="O113" t="s">
        <v>931</v>
      </c>
      <c r="P113" t="s">
        <v>932</v>
      </c>
    </row>
    <row r="114" spans="1:16" x14ac:dyDescent="0.35">
      <c r="A114" t="s">
        <v>682</v>
      </c>
      <c r="B114" t="s">
        <v>55</v>
      </c>
      <c r="C114" t="s">
        <v>15</v>
      </c>
      <c r="D114" t="s">
        <v>16</v>
      </c>
      <c r="E114" t="s">
        <v>933</v>
      </c>
      <c r="F114" t="s">
        <v>934</v>
      </c>
      <c r="G114" t="s">
        <v>615</v>
      </c>
      <c r="H114" t="s">
        <v>615</v>
      </c>
      <c r="I114" t="s">
        <v>935</v>
      </c>
      <c r="J114" t="s">
        <v>936</v>
      </c>
      <c r="K114" t="s">
        <v>19</v>
      </c>
      <c r="L114" t="s">
        <v>20</v>
      </c>
      <c r="M114" t="s">
        <v>937</v>
      </c>
      <c r="N114" t="s">
        <v>938</v>
      </c>
      <c r="O114" t="s">
        <v>939</v>
      </c>
      <c r="P114" t="s">
        <v>940</v>
      </c>
    </row>
    <row r="115" spans="1:16" x14ac:dyDescent="0.35">
      <c r="A115" t="s">
        <v>941</v>
      </c>
      <c r="B115" t="s">
        <v>55</v>
      </c>
      <c r="C115" t="s">
        <v>15</v>
      </c>
      <c r="D115" t="s">
        <v>16</v>
      </c>
      <c r="E115" t="s">
        <v>942</v>
      </c>
      <c r="F115" t="s">
        <v>943</v>
      </c>
      <c r="G115" t="s">
        <v>944</v>
      </c>
      <c r="H115" t="s">
        <v>944</v>
      </c>
      <c r="I115" t="s">
        <v>945</v>
      </c>
      <c r="J115" t="s">
        <v>946</v>
      </c>
      <c r="K115" t="s">
        <v>947</v>
      </c>
      <c r="L115" t="s">
        <v>20</v>
      </c>
      <c r="M115" t="s">
        <v>948</v>
      </c>
      <c r="N115" t="s">
        <v>949</v>
      </c>
      <c r="O115" t="s">
        <v>950</v>
      </c>
      <c r="P115" t="s">
        <v>951</v>
      </c>
    </row>
    <row r="116" spans="1:16" x14ac:dyDescent="0.35">
      <c r="A116" t="s">
        <v>954</v>
      </c>
      <c r="B116" t="s">
        <v>32</v>
      </c>
      <c r="C116" t="s">
        <v>497</v>
      </c>
      <c r="D116" t="s">
        <v>614</v>
      </c>
      <c r="E116" t="s">
        <v>955</v>
      </c>
      <c r="F116" t="s">
        <v>956</v>
      </c>
      <c r="G116" t="s">
        <v>944</v>
      </c>
      <c r="H116" t="s">
        <v>944</v>
      </c>
      <c r="I116" t="s">
        <v>234</v>
      </c>
      <c r="J116" t="s">
        <v>957</v>
      </c>
      <c r="K116" t="s">
        <v>19</v>
      </c>
      <c r="L116" t="s">
        <v>20</v>
      </c>
      <c r="M116" t="s">
        <v>958</v>
      </c>
      <c r="N116" t="s">
        <v>959</v>
      </c>
      <c r="O116" t="s">
        <v>960</v>
      </c>
      <c r="P116" t="s">
        <v>961</v>
      </c>
    </row>
    <row r="117" spans="1:16" x14ac:dyDescent="0.35">
      <c r="A117" t="s">
        <v>964</v>
      </c>
      <c r="B117" t="s">
        <v>32</v>
      </c>
      <c r="C117" t="s">
        <v>250</v>
      </c>
      <c r="D117" t="s">
        <v>965</v>
      </c>
      <c r="E117" t="s">
        <v>966</v>
      </c>
      <c r="F117" t="s">
        <v>967</v>
      </c>
      <c r="G117" t="s">
        <v>944</v>
      </c>
      <c r="H117" t="s">
        <v>944</v>
      </c>
      <c r="I117" t="s">
        <v>234</v>
      </c>
      <c r="J117" t="s">
        <v>968</v>
      </c>
      <c r="K117" t="s">
        <v>19</v>
      </c>
      <c r="L117" t="s">
        <v>20</v>
      </c>
      <c r="M117" t="s">
        <v>958</v>
      </c>
      <c r="N117" t="s">
        <v>959</v>
      </c>
      <c r="O117" t="s">
        <v>969</v>
      </c>
      <c r="P117" t="s">
        <v>970</v>
      </c>
    </row>
    <row r="118" spans="1:16" x14ac:dyDescent="0.35">
      <c r="A118" t="s">
        <v>973</v>
      </c>
      <c r="B118" t="s">
        <v>55</v>
      </c>
      <c r="C118" t="s">
        <v>78</v>
      </c>
      <c r="D118" t="s">
        <v>68</v>
      </c>
      <c r="E118" t="s">
        <v>28</v>
      </c>
      <c r="F118" t="s">
        <v>974</v>
      </c>
      <c r="G118" t="s">
        <v>975</v>
      </c>
      <c r="H118" t="s">
        <v>944</v>
      </c>
      <c r="I118" t="s">
        <v>28</v>
      </c>
      <c r="J118" t="s">
        <v>976</v>
      </c>
      <c r="K118" t="s">
        <v>19</v>
      </c>
      <c r="L118" t="s">
        <v>20</v>
      </c>
      <c r="M118" t="s">
        <v>971</v>
      </c>
      <c r="N118" t="s">
        <v>972</v>
      </c>
      <c r="O118" t="s">
        <v>977</v>
      </c>
      <c r="P118" t="s">
        <v>978</v>
      </c>
    </row>
    <row r="119" spans="1:16" x14ac:dyDescent="0.35">
      <c r="A119" t="s">
        <v>979</v>
      </c>
      <c r="B119" t="s">
        <v>107</v>
      </c>
      <c r="C119" t="s">
        <v>28</v>
      </c>
      <c r="D119" t="s">
        <v>28</v>
      </c>
      <c r="E119" t="s">
        <v>980</v>
      </c>
      <c r="F119" t="s">
        <v>981</v>
      </c>
      <c r="G119" t="s">
        <v>944</v>
      </c>
      <c r="H119" t="s">
        <v>944</v>
      </c>
      <c r="I119" t="s">
        <v>979</v>
      </c>
      <c r="J119" t="s">
        <v>982</v>
      </c>
      <c r="K119" t="s">
        <v>983</v>
      </c>
      <c r="L119" t="s">
        <v>20</v>
      </c>
      <c r="M119" t="s">
        <v>984</v>
      </c>
      <c r="N119" t="s">
        <v>985</v>
      </c>
      <c r="O119" t="s">
        <v>986</v>
      </c>
      <c r="P119" t="s">
        <v>987</v>
      </c>
    </row>
    <row r="120" spans="1:16" x14ac:dyDescent="0.35">
      <c r="A120" t="s">
        <v>988</v>
      </c>
      <c r="B120" t="s">
        <v>55</v>
      </c>
      <c r="C120" t="s">
        <v>311</v>
      </c>
      <c r="D120" t="s">
        <v>989</v>
      </c>
      <c r="E120" t="s">
        <v>990</v>
      </c>
      <c r="F120" t="s">
        <v>991</v>
      </c>
      <c r="G120" t="s">
        <v>944</v>
      </c>
      <c r="H120" t="s">
        <v>944</v>
      </c>
      <c r="I120" t="s">
        <v>992</v>
      </c>
      <c r="J120" t="s">
        <v>993</v>
      </c>
      <c r="K120" t="s">
        <v>994</v>
      </c>
      <c r="L120" t="s">
        <v>20</v>
      </c>
      <c r="M120" t="s">
        <v>995</v>
      </c>
      <c r="N120" t="s">
        <v>996</v>
      </c>
      <c r="O120" t="s">
        <v>997</v>
      </c>
      <c r="P120" t="s">
        <v>998</v>
      </c>
    </row>
    <row r="121" spans="1:16" x14ac:dyDescent="0.35">
      <c r="A121" t="s">
        <v>1001</v>
      </c>
      <c r="B121" t="s">
        <v>55</v>
      </c>
      <c r="C121" t="s">
        <v>241</v>
      </c>
      <c r="D121" t="s">
        <v>614</v>
      </c>
      <c r="E121" t="s">
        <v>1002</v>
      </c>
      <c r="F121" t="s">
        <v>1003</v>
      </c>
      <c r="G121" t="s">
        <v>944</v>
      </c>
      <c r="H121" t="s">
        <v>944</v>
      </c>
      <c r="I121" t="s">
        <v>28</v>
      </c>
      <c r="J121" t="s">
        <v>1004</v>
      </c>
      <c r="K121" t="s">
        <v>19</v>
      </c>
      <c r="L121" t="s">
        <v>20</v>
      </c>
      <c r="M121" t="s">
        <v>999</v>
      </c>
      <c r="N121" t="s">
        <v>1000</v>
      </c>
      <c r="O121" t="s">
        <v>1005</v>
      </c>
      <c r="P121" t="s">
        <v>1006</v>
      </c>
    </row>
    <row r="122" spans="1:16" x14ac:dyDescent="0.35">
      <c r="A122" t="s">
        <v>482</v>
      </c>
      <c r="B122" t="s">
        <v>55</v>
      </c>
      <c r="C122" t="s">
        <v>311</v>
      </c>
      <c r="D122" t="s">
        <v>1007</v>
      </c>
      <c r="E122" t="s">
        <v>1008</v>
      </c>
      <c r="F122" t="s">
        <v>1009</v>
      </c>
      <c r="G122" t="s">
        <v>944</v>
      </c>
      <c r="H122" t="s">
        <v>944</v>
      </c>
      <c r="I122" t="s">
        <v>162</v>
      </c>
      <c r="J122" t="s">
        <v>1010</v>
      </c>
      <c r="K122" t="s">
        <v>164</v>
      </c>
      <c r="L122" t="s">
        <v>20</v>
      </c>
      <c r="M122" t="s">
        <v>999</v>
      </c>
      <c r="N122" t="s">
        <v>1000</v>
      </c>
      <c r="O122" t="s">
        <v>1011</v>
      </c>
      <c r="P122" t="s">
        <v>1012</v>
      </c>
    </row>
    <row r="123" spans="1:16" x14ac:dyDescent="0.35">
      <c r="A123" t="s">
        <v>1013</v>
      </c>
      <c r="B123" t="s">
        <v>32</v>
      </c>
      <c r="C123" t="s">
        <v>15</v>
      </c>
      <c r="D123" t="s">
        <v>27</v>
      </c>
      <c r="E123" t="s">
        <v>1014</v>
      </c>
      <c r="F123" t="s">
        <v>1015</v>
      </c>
      <c r="G123" t="s">
        <v>944</v>
      </c>
      <c r="H123" t="s">
        <v>944</v>
      </c>
      <c r="I123" t="s">
        <v>1016</v>
      </c>
      <c r="J123" t="s">
        <v>1017</v>
      </c>
      <c r="K123" t="s">
        <v>1018</v>
      </c>
      <c r="L123" t="s">
        <v>20</v>
      </c>
      <c r="M123" t="s">
        <v>1019</v>
      </c>
      <c r="N123" t="s">
        <v>1020</v>
      </c>
      <c r="O123" t="s">
        <v>1021</v>
      </c>
      <c r="P123" t="s">
        <v>1022</v>
      </c>
    </row>
    <row r="124" spans="1:16" x14ac:dyDescent="0.35">
      <c r="A124" t="s">
        <v>1023</v>
      </c>
      <c r="B124" t="s">
        <v>55</v>
      </c>
      <c r="C124" t="s">
        <v>28</v>
      </c>
      <c r="D124" t="s">
        <v>28</v>
      </c>
      <c r="E124" t="s">
        <v>28</v>
      </c>
      <c r="F124" t="s">
        <v>28</v>
      </c>
      <c r="G124" t="s">
        <v>975</v>
      </c>
      <c r="H124" t="s">
        <v>28</v>
      </c>
      <c r="I124" t="s">
        <v>28</v>
      </c>
      <c r="J124" t="s">
        <v>28</v>
      </c>
      <c r="K124" t="s">
        <v>19</v>
      </c>
      <c r="L124" t="s">
        <v>20</v>
      </c>
      <c r="M124" t="s">
        <v>1024</v>
      </c>
      <c r="N124" t="s">
        <v>1025</v>
      </c>
      <c r="O124" t="s">
        <v>1026</v>
      </c>
      <c r="P124" t="s">
        <v>915</v>
      </c>
    </row>
    <row r="125" spans="1:16" x14ac:dyDescent="0.35">
      <c r="A125" t="s">
        <v>1027</v>
      </c>
      <c r="B125" t="s">
        <v>55</v>
      </c>
      <c r="C125" t="s">
        <v>691</v>
      </c>
      <c r="D125" t="s">
        <v>16</v>
      </c>
      <c r="E125" t="s">
        <v>1028</v>
      </c>
      <c r="F125" t="s">
        <v>1029</v>
      </c>
      <c r="G125" t="s">
        <v>944</v>
      </c>
      <c r="H125" t="s">
        <v>944</v>
      </c>
      <c r="I125" t="s">
        <v>1030</v>
      </c>
      <c r="J125" t="s">
        <v>1031</v>
      </c>
      <c r="K125" t="s">
        <v>1032</v>
      </c>
      <c r="L125" t="s">
        <v>20</v>
      </c>
      <c r="M125" t="s">
        <v>1033</v>
      </c>
      <c r="N125" t="s">
        <v>1034</v>
      </c>
      <c r="O125" t="s">
        <v>1035</v>
      </c>
      <c r="P125" t="s">
        <v>1036</v>
      </c>
    </row>
    <row r="126" spans="1:16" x14ac:dyDescent="0.35">
      <c r="A126" t="s">
        <v>1037</v>
      </c>
      <c r="B126" t="s">
        <v>194</v>
      </c>
      <c r="C126" t="s">
        <v>28</v>
      </c>
      <c r="D126" t="s">
        <v>28</v>
      </c>
      <c r="E126" t="s">
        <v>1038</v>
      </c>
      <c r="F126" t="s">
        <v>1039</v>
      </c>
      <c r="G126" t="s">
        <v>944</v>
      </c>
      <c r="H126" t="s">
        <v>944</v>
      </c>
      <c r="I126" t="s">
        <v>28</v>
      </c>
      <c r="J126" t="s">
        <v>1040</v>
      </c>
      <c r="K126" t="s">
        <v>19</v>
      </c>
      <c r="L126" t="s">
        <v>20</v>
      </c>
      <c r="M126" t="s">
        <v>1041</v>
      </c>
      <c r="N126" t="s">
        <v>1042</v>
      </c>
      <c r="O126" t="s">
        <v>1043</v>
      </c>
      <c r="P126" t="s">
        <v>1044</v>
      </c>
    </row>
    <row r="127" spans="1:16" x14ac:dyDescent="0.35">
      <c r="A127" t="s">
        <v>1045</v>
      </c>
      <c r="B127" t="s">
        <v>32</v>
      </c>
      <c r="C127" t="s">
        <v>628</v>
      </c>
      <c r="D127" t="s">
        <v>124</v>
      </c>
      <c r="E127" t="s">
        <v>1046</v>
      </c>
      <c r="F127" t="s">
        <v>1047</v>
      </c>
      <c r="G127" t="s">
        <v>1048</v>
      </c>
      <c r="H127" t="s">
        <v>944</v>
      </c>
      <c r="I127" t="s">
        <v>1049</v>
      </c>
      <c r="J127" t="s">
        <v>1050</v>
      </c>
      <c r="K127" t="s">
        <v>1051</v>
      </c>
      <c r="L127" t="s">
        <v>20</v>
      </c>
      <c r="M127" t="s">
        <v>1052</v>
      </c>
      <c r="N127" t="s">
        <v>1053</v>
      </c>
      <c r="O127" t="s">
        <v>1054</v>
      </c>
      <c r="P127" t="s">
        <v>915</v>
      </c>
    </row>
    <row r="128" spans="1:16" x14ac:dyDescent="0.35">
      <c r="A128" t="s">
        <v>1055</v>
      </c>
      <c r="B128" t="s">
        <v>55</v>
      </c>
      <c r="C128" t="s">
        <v>15</v>
      </c>
      <c r="D128" t="s">
        <v>449</v>
      </c>
      <c r="E128" t="s">
        <v>1056</v>
      </c>
      <c r="F128" t="s">
        <v>1057</v>
      </c>
      <c r="G128" t="s">
        <v>944</v>
      </c>
      <c r="H128" t="s">
        <v>944</v>
      </c>
      <c r="I128" t="s">
        <v>28</v>
      </c>
      <c r="J128" t="s">
        <v>1058</v>
      </c>
      <c r="K128" t="s">
        <v>19</v>
      </c>
      <c r="L128" t="s">
        <v>20</v>
      </c>
      <c r="M128" t="s">
        <v>1052</v>
      </c>
      <c r="N128" t="s">
        <v>1053</v>
      </c>
      <c r="O128" t="s">
        <v>1059</v>
      </c>
      <c r="P128" t="s">
        <v>1060</v>
      </c>
    </row>
    <row r="129" spans="1:16" x14ac:dyDescent="0.35">
      <c r="A129" t="s">
        <v>1061</v>
      </c>
      <c r="B129" t="s">
        <v>55</v>
      </c>
      <c r="C129" t="s">
        <v>205</v>
      </c>
      <c r="D129" t="s">
        <v>68</v>
      </c>
      <c r="E129" t="s">
        <v>1062</v>
      </c>
      <c r="F129" t="s">
        <v>1063</v>
      </c>
      <c r="G129" t="s">
        <v>944</v>
      </c>
      <c r="H129" t="s">
        <v>944</v>
      </c>
      <c r="I129" t="s">
        <v>180</v>
      </c>
      <c r="J129" t="s">
        <v>1064</v>
      </c>
      <c r="K129" t="s">
        <v>19</v>
      </c>
      <c r="L129" t="s">
        <v>20</v>
      </c>
      <c r="M129" t="s">
        <v>1065</v>
      </c>
      <c r="N129" t="s">
        <v>1066</v>
      </c>
      <c r="O129" t="s">
        <v>1067</v>
      </c>
      <c r="P129" t="s">
        <v>1068</v>
      </c>
    </row>
    <row r="130" spans="1:16" x14ac:dyDescent="0.35">
      <c r="A130" t="s">
        <v>1069</v>
      </c>
      <c r="B130" t="s">
        <v>55</v>
      </c>
      <c r="C130" t="s">
        <v>117</v>
      </c>
      <c r="D130" t="s">
        <v>27</v>
      </c>
      <c r="E130" t="s">
        <v>1070</v>
      </c>
      <c r="F130" t="s">
        <v>1071</v>
      </c>
      <c r="G130" t="s">
        <v>944</v>
      </c>
      <c r="H130" t="s">
        <v>944</v>
      </c>
      <c r="I130" t="s">
        <v>1072</v>
      </c>
      <c r="J130" t="s">
        <v>1073</v>
      </c>
      <c r="K130" t="s">
        <v>1074</v>
      </c>
      <c r="L130" t="s">
        <v>20</v>
      </c>
      <c r="M130" t="s">
        <v>1065</v>
      </c>
      <c r="N130" t="s">
        <v>1066</v>
      </c>
      <c r="O130" t="s">
        <v>1075</v>
      </c>
      <c r="P130" t="s">
        <v>1076</v>
      </c>
    </row>
    <row r="131" spans="1:16" x14ac:dyDescent="0.35">
      <c r="A131" t="s">
        <v>1077</v>
      </c>
      <c r="B131" t="s">
        <v>55</v>
      </c>
      <c r="C131" t="s">
        <v>311</v>
      </c>
      <c r="D131" t="s">
        <v>282</v>
      </c>
      <c r="E131" t="s">
        <v>1078</v>
      </c>
      <c r="F131" t="s">
        <v>1079</v>
      </c>
      <c r="G131" t="s">
        <v>944</v>
      </c>
      <c r="H131" t="s">
        <v>944</v>
      </c>
      <c r="I131" t="s">
        <v>28</v>
      </c>
      <c r="J131" t="s">
        <v>1080</v>
      </c>
      <c r="K131" t="s">
        <v>19</v>
      </c>
      <c r="L131" t="s">
        <v>20</v>
      </c>
      <c r="M131" t="s">
        <v>1065</v>
      </c>
      <c r="N131" t="s">
        <v>1066</v>
      </c>
      <c r="O131" t="s">
        <v>1081</v>
      </c>
      <c r="P131" t="s">
        <v>1082</v>
      </c>
    </row>
    <row r="132" spans="1:16" x14ac:dyDescent="0.35">
      <c r="A132" t="s">
        <v>1083</v>
      </c>
      <c r="B132" t="s">
        <v>55</v>
      </c>
      <c r="C132" t="s">
        <v>26</v>
      </c>
      <c r="D132" t="s">
        <v>549</v>
      </c>
      <c r="E132" t="s">
        <v>1084</v>
      </c>
      <c r="F132" t="s">
        <v>1085</v>
      </c>
      <c r="G132" t="s">
        <v>1086</v>
      </c>
      <c r="H132" t="s">
        <v>944</v>
      </c>
      <c r="I132" t="s">
        <v>1087</v>
      </c>
      <c r="J132" t="s">
        <v>1088</v>
      </c>
      <c r="K132" t="s">
        <v>1089</v>
      </c>
      <c r="L132" t="s">
        <v>20</v>
      </c>
      <c r="M132" t="s">
        <v>1090</v>
      </c>
      <c r="N132" t="s">
        <v>1091</v>
      </c>
      <c r="O132" t="s">
        <v>1092</v>
      </c>
      <c r="P132" t="s">
        <v>1093</v>
      </c>
    </row>
    <row r="133" spans="1:16" x14ac:dyDescent="0.35">
      <c r="A133" t="s">
        <v>1094</v>
      </c>
      <c r="B133" t="s">
        <v>55</v>
      </c>
      <c r="C133" t="s">
        <v>28</v>
      </c>
      <c r="D133" t="s">
        <v>28</v>
      </c>
      <c r="E133" t="s">
        <v>1095</v>
      </c>
      <c r="F133" t="s">
        <v>1096</v>
      </c>
      <c r="G133" t="s">
        <v>944</v>
      </c>
      <c r="H133" t="s">
        <v>944</v>
      </c>
      <c r="I133" t="s">
        <v>234</v>
      </c>
      <c r="J133" t="s">
        <v>1097</v>
      </c>
      <c r="K133" t="s">
        <v>19</v>
      </c>
      <c r="L133" t="s">
        <v>20</v>
      </c>
      <c r="M133" t="s">
        <v>1098</v>
      </c>
      <c r="N133" t="s">
        <v>1099</v>
      </c>
      <c r="O133" t="s">
        <v>1100</v>
      </c>
      <c r="P133" t="s">
        <v>1101</v>
      </c>
    </row>
    <row r="134" spans="1:16" x14ac:dyDescent="0.35">
      <c r="A134" t="s">
        <v>1102</v>
      </c>
      <c r="B134" t="s">
        <v>55</v>
      </c>
      <c r="C134" t="s">
        <v>26</v>
      </c>
      <c r="D134" t="s">
        <v>27</v>
      </c>
      <c r="E134" t="s">
        <v>1103</v>
      </c>
      <c r="F134" t="s">
        <v>1104</v>
      </c>
      <c r="G134" t="s">
        <v>1105</v>
      </c>
      <c r="H134" t="s">
        <v>944</v>
      </c>
      <c r="I134" t="s">
        <v>28</v>
      </c>
      <c r="J134" t="s">
        <v>1106</v>
      </c>
      <c r="K134" t="s">
        <v>19</v>
      </c>
      <c r="L134" t="s">
        <v>20</v>
      </c>
      <c r="M134" t="s">
        <v>1107</v>
      </c>
      <c r="N134" t="s">
        <v>1108</v>
      </c>
      <c r="O134" t="s">
        <v>1109</v>
      </c>
      <c r="P134" t="s">
        <v>1110</v>
      </c>
    </row>
    <row r="135" spans="1:16" x14ac:dyDescent="0.35">
      <c r="A135" t="s">
        <v>1111</v>
      </c>
      <c r="B135" t="s">
        <v>55</v>
      </c>
      <c r="C135" t="s">
        <v>117</v>
      </c>
      <c r="D135" t="s">
        <v>27</v>
      </c>
      <c r="E135" t="s">
        <v>28</v>
      </c>
      <c r="F135" t="s">
        <v>1112</v>
      </c>
      <c r="G135" t="s">
        <v>975</v>
      </c>
      <c r="H135" t="s">
        <v>944</v>
      </c>
      <c r="I135" t="s">
        <v>28</v>
      </c>
      <c r="J135" t="s">
        <v>1113</v>
      </c>
      <c r="K135" t="s">
        <v>19</v>
      </c>
      <c r="L135" t="s">
        <v>20</v>
      </c>
      <c r="M135" t="s">
        <v>1114</v>
      </c>
      <c r="N135" t="s">
        <v>1115</v>
      </c>
      <c r="O135" t="s">
        <v>1116</v>
      </c>
      <c r="P135" t="s">
        <v>1117</v>
      </c>
    </row>
    <row r="136" spans="1:16" x14ac:dyDescent="0.35">
      <c r="A136" t="s">
        <v>1118</v>
      </c>
      <c r="B136" t="s">
        <v>55</v>
      </c>
      <c r="C136" t="s">
        <v>28</v>
      </c>
      <c r="D136" t="s">
        <v>28</v>
      </c>
      <c r="E136" t="s">
        <v>1119</v>
      </c>
      <c r="F136" t="s">
        <v>1120</v>
      </c>
      <c r="G136" t="s">
        <v>944</v>
      </c>
      <c r="H136" t="s">
        <v>944</v>
      </c>
      <c r="I136" t="s">
        <v>1121</v>
      </c>
      <c r="J136" t="s">
        <v>28</v>
      </c>
      <c r="K136" t="s">
        <v>1122</v>
      </c>
      <c r="L136" t="s">
        <v>20</v>
      </c>
      <c r="M136" t="s">
        <v>1123</v>
      </c>
      <c r="N136" t="s">
        <v>1124</v>
      </c>
      <c r="O136" t="s">
        <v>1125</v>
      </c>
      <c r="P136" t="s">
        <v>1126</v>
      </c>
    </row>
    <row r="137" spans="1:16" x14ac:dyDescent="0.35">
      <c r="A137" t="s">
        <v>1127</v>
      </c>
      <c r="B137" t="s">
        <v>32</v>
      </c>
      <c r="C137" t="s">
        <v>1128</v>
      </c>
      <c r="D137" t="s">
        <v>1129</v>
      </c>
      <c r="E137" t="s">
        <v>1130</v>
      </c>
      <c r="F137" t="s">
        <v>1131</v>
      </c>
      <c r="G137" t="s">
        <v>1048</v>
      </c>
      <c r="H137" t="s">
        <v>944</v>
      </c>
      <c r="I137" t="s">
        <v>28</v>
      </c>
      <c r="J137" t="s">
        <v>1132</v>
      </c>
      <c r="K137" t="s">
        <v>19</v>
      </c>
      <c r="L137" t="s">
        <v>20</v>
      </c>
      <c r="M137" t="s">
        <v>1133</v>
      </c>
      <c r="N137" t="s">
        <v>1134</v>
      </c>
      <c r="O137" t="s">
        <v>1135</v>
      </c>
      <c r="P137" t="s">
        <v>1136</v>
      </c>
    </row>
    <row r="138" spans="1:16" x14ac:dyDescent="0.35">
      <c r="A138" t="s">
        <v>1137</v>
      </c>
      <c r="B138" t="s">
        <v>107</v>
      </c>
      <c r="C138" t="s">
        <v>177</v>
      </c>
      <c r="D138" t="s">
        <v>68</v>
      </c>
      <c r="E138" t="s">
        <v>1138</v>
      </c>
      <c r="F138" t="s">
        <v>1139</v>
      </c>
      <c r="G138" t="s">
        <v>1140</v>
      </c>
      <c r="H138" t="s">
        <v>944</v>
      </c>
      <c r="I138" t="s">
        <v>28</v>
      </c>
      <c r="J138" t="s">
        <v>1141</v>
      </c>
      <c r="K138" t="s">
        <v>19</v>
      </c>
      <c r="L138" t="s">
        <v>20</v>
      </c>
      <c r="M138" t="s">
        <v>1142</v>
      </c>
      <c r="N138" t="s">
        <v>1143</v>
      </c>
      <c r="O138" t="s">
        <v>1144</v>
      </c>
      <c r="P138" t="s">
        <v>1145</v>
      </c>
    </row>
    <row r="139" spans="1:16" x14ac:dyDescent="0.35">
      <c r="A139" t="s">
        <v>1146</v>
      </c>
      <c r="B139" t="s">
        <v>55</v>
      </c>
      <c r="C139" t="s">
        <v>28</v>
      </c>
      <c r="D139" t="s">
        <v>28</v>
      </c>
      <c r="E139" t="s">
        <v>1147</v>
      </c>
      <c r="F139" t="s">
        <v>1148</v>
      </c>
      <c r="G139" t="s">
        <v>1149</v>
      </c>
      <c r="H139" t="s">
        <v>944</v>
      </c>
      <c r="I139" t="s">
        <v>1150</v>
      </c>
      <c r="J139" t="s">
        <v>1151</v>
      </c>
      <c r="K139" t="s">
        <v>1152</v>
      </c>
      <c r="L139" t="s">
        <v>20</v>
      </c>
      <c r="M139" t="s">
        <v>1153</v>
      </c>
      <c r="N139" t="s">
        <v>1154</v>
      </c>
      <c r="O139" t="s">
        <v>1155</v>
      </c>
      <c r="P139" t="s">
        <v>1156</v>
      </c>
    </row>
    <row r="140" spans="1:16" x14ac:dyDescent="0.35">
      <c r="A140" t="s">
        <v>1157</v>
      </c>
      <c r="B140" t="s">
        <v>32</v>
      </c>
      <c r="C140" t="s">
        <v>15</v>
      </c>
      <c r="D140" t="s">
        <v>124</v>
      </c>
      <c r="E140" t="s">
        <v>1158</v>
      </c>
      <c r="F140" t="s">
        <v>1159</v>
      </c>
      <c r="G140" t="s">
        <v>1160</v>
      </c>
      <c r="H140" t="s">
        <v>944</v>
      </c>
      <c r="I140" t="s">
        <v>28</v>
      </c>
      <c r="J140" t="s">
        <v>1161</v>
      </c>
      <c r="K140" t="s">
        <v>19</v>
      </c>
      <c r="L140" t="s">
        <v>20</v>
      </c>
      <c r="M140" t="s">
        <v>1162</v>
      </c>
      <c r="N140" t="s">
        <v>1163</v>
      </c>
      <c r="O140" t="s">
        <v>1164</v>
      </c>
      <c r="P140" t="s">
        <v>1165</v>
      </c>
    </row>
    <row r="141" spans="1:16" x14ac:dyDescent="0.35">
      <c r="A141" t="s">
        <v>1166</v>
      </c>
      <c r="B141" t="s">
        <v>55</v>
      </c>
      <c r="C141" t="s">
        <v>311</v>
      </c>
      <c r="D141" t="s">
        <v>403</v>
      </c>
      <c r="E141" t="s">
        <v>1167</v>
      </c>
      <c r="F141" t="s">
        <v>1168</v>
      </c>
      <c r="G141" t="s">
        <v>1169</v>
      </c>
      <c r="H141" t="s">
        <v>944</v>
      </c>
      <c r="I141" t="s">
        <v>1170</v>
      </c>
      <c r="J141" t="s">
        <v>1171</v>
      </c>
      <c r="K141" t="s">
        <v>1172</v>
      </c>
      <c r="L141" t="s">
        <v>20</v>
      </c>
      <c r="M141" t="s">
        <v>1173</v>
      </c>
      <c r="N141" t="s">
        <v>1174</v>
      </c>
      <c r="O141" t="s">
        <v>1175</v>
      </c>
      <c r="P141" t="s">
        <v>1176</v>
      </c>
    </row>
    <row r="142" spans="1:16" x14ac:dyDescent="0.35">
      <c r="A142" t="s">
        <v>1177</v>
      </c>
      <c r="B142" t="s">
        <v>55</v>
      </c>
      <c r="C142" t="s">
        <v>28</v>
      </c>
      <c r="D142" t="s">
        <v>28</v>
      </c>
      <c r="E142" t="s">
        <v>1178</v>
      </c>
      <c r="F142" t="s">
        <v>1179</v>
      </c>
      <c r="G142" t="s">
        <v>1149</v>
      </c>
      <c r="H142" t="s">
        <v>944</v>
      </c>
      <c r="I142" t="s">
        <v>28</v>
      </c>
      <c r="J142" t="s">
        <v>1180</v>
      </c>
      <c r="K142" t="s">
        <v>19</v>
      </c>
      <c r="L142" t="s">
        <v>20</v>
      </c>
      <c r="M142" t="s">
        <v>1181</v>
      </c>
      <c r="N142" t="s">
        <v>1182</v>
      </c>
      <c r="O142" t="s">
        <v>1183</v>
      </c>
      <c r="P142" t="s">
        <v>1184</v>
      </c>
    </row>
    <row r="143" spans="1:16" x14ac:dyDescent="0.35">
      <c r="A143" t="s">
        <v>1185</v>
      </c>
      <c r="B143" t="s">
        <v>107</v>
      </c>
      <c r="C143" t="s">
        <v>28</v>
      </c>
      <c r="D143" t="s">
        <v>28</v>
      </c>
      <c r="E143" t="s">
        <v>1186</v>
      </c>
      <c r="F143" t="s">
        <v>1187</v>
      </c>
      <c r="G143" t="s">
        <v>1140</v>
      </c>
      <c r="H143" t="s">
        <v>944</v>
      </c>
      <c r="I143" t="s">
        <v>1188</v>
      </c>
      <c r="J143" t="s">
        <v>1189</v>
      </c>
      <c r="K143" t="s">
        <v>1190</v>
      </c>
      <c r="L143" t="s">
        <v>20</v>
      </c>
      <c r="M143" t="s">
        <v>1191</v>
      </c>
      <c r="N143" t="s">
        <v>1192</v>
      </c>
      <c r="O143" t="s">
        <v>1193</v>
      </c>
      <c r="P143" t="s">
        <v>1194</v>
      </c>
    </row>
    <row r="144" spans="1:16" x14ac:dyDescent="0.35">
      <c r="A144" t="s">
        <v>482</v>
      </c>
      <c r="B144" t="s">
        <v>55</v>
      </c>
      <c r="C144" t="s">
        <v>15</v>
      </c>
      <c r="D144" t="s">
        <v>24</v>
      </c>
      <c r="E144" t="s">
        <v>1195</v>
      </c>
      <c r="F144" t="s">
        <v>1196</v>
      </c>
      <c r="G144" t="s">
        <v>1149</v>
      </c>
      <c r="H144" t="s">
        <v>944</v>
      </c>
      <c r="I144" t="s">
        <v>162</v>
      </c>
      <c r="J144" t="s">
        <v>1197</v>
      </c>
      <c r="K144" t="s">
        <v>164</v>
      </c>
      <c r="L144" t="s">
        <v>20</v>
      </c>
      <c r="M144" t="s">
        <v>1198</v>
      </c>
      <c r="N144" t="s">
        <v>1199</v>
      </c>
      <c r="O144" t="s">
        <v>1200</v>
      </c>
      <c r="P144" t="s">
        <v>1201</v>
      </c>
    </row>
    <row r="145" spans="1:16" x14ac:dyDescent="0.35">
      <c r="A145" t="s">
        <v>1202</v>
      </c>
      <c r="B145" t="s">
        <v>55</v>
      </c>
      <c r="C145" t="s">
        <v>28</v>
      </c>
      <c r="D145" t="s">
        <v>28</v>
      </c>
      <c r="E145" t="s">
        <v>1203</v>
      </c>
      <c r="F145" t="s">
        <v>1204</v>
      </c>
      <c r="G145" t="s">
        <v>1048</v>
      </c>
      <c r="H145" t="s">
        <v>944</v>
      </c>
      <c r="I145" t="s">
        <v>28</v>
      </c>
      <c r="J145" t="s">
        <v>28</v>
      </c>
      <c r="K145" t="s">
        <v>19</v>
      </c>
      <c r="L145" t="s">
        <v>20</v>
      </c>
      <c r="M145" t="s">
        <v>1205</v>
      </c>
      <c r="N145" t="s">
        <v>1206</v>
      </c>
      <c r="O145" t="s">
        <v>1207</v>
      </c>
      <c r="P145" t="s">
        <v>1208</v>
      </c>
    </row>
    <row r="146" spans="1:16" x14ac:dyDescent="0.35">
      <c r="A146" t="s">
        <v>1209</v>
      </c>
      <c r="B146" t="s">
        <v>194</v>
      </c>
      <c r="C146" t="s">
        <v>28</v>
      </c>
      <c r="D146" t="s">
        <v>28</v>
      </c>
      <c r="E146" t="s">
        <v>1210</v>
      </c>
      <c r="F146" t="s">
        <v>1211</v>
      </c>
      <c r="G146" t="s">
        <v>1212</v>
      </c>
      <c r="H146" t="s">
        <v>944</v>
      </c>
      <c r="I146" t="s">
        <v>28</v>
      </c>
      <c r="J146" t="s">
        <v>1213</v>
      </c>
      <c r="K146" t="s">
        <v>19</v>
      </c>
      <c r="L146" t="s">
        <v>20</v>
      </c>
      <c r="M146" t="s">
        <v>1214</v>
      </c>
      <c r="N146" t="s">
        <v>1215</v>
      </c>
      <c r="O146" t="s">
        <v>1216</v>
      </c>
      <c r="P146" t="s">
        <v>1217</v>
      </c>
    </row>
    <row r="147" spans="1:16" x14ac:dyDescent="0.35">
      <c r="A147" t="s">
        <v>1219</v>
      </c>
      <c r="B147" t="s">
        <v>88</v>
      </c>
      <c r="C147" t="s">
        <v>357</v>
      </c>
      <c r="D147" t="s">
        <v>449</v>
      </c>
      <c r="E147" t="s">
        <v>1220</v>
      </c>
      <c r="F147" t="s">
        <v>1221</v>
      </c>
      <c r="G147" t="s">
        <v>1218</v>
      </c>
      <c r="H147" t="s">
        <v>1218</v>
      </c>
      <c r="I147" t="s">
        <v>1222</v>
      </c>
      <c r="J147" t="s">
        <v>1223</v>
      </c>
      <c r="K147" t="s">
        <v>19</v>
      </c>
      <c r="L147" t="s">
        <v>20</v>
      </c>
      <c r="M147" t="s">
        <v>1224</v>
      </c>
      <c r="N147" t="s">
        <v>1225</v>
      </c>
      <c r="O147" t="s">
        <v>1226</v>
      </c>
      <c r="P147" t="s">
        <v>1227</v>
      </c>
    </row>
    <row r="148" spans="1:16" x14ac:dyDescent="0.35">
      <c r="A148" t="s">
        <v>281</v>
      </c>
      <c r="B148" t="s">
        <v>55</v>
      </c>
      <c r="C148" t="s">
        <v>15</v>
      </c>
      <c r="D148" t="s">
        <v>16</v>
      </c>
      <c r="E148" t="s">
        <v>1228</v>
      </c>
      <c r="F148" t="s">
        <v>1229</v>
      </c>
      <c r="G148" t="s">
        <v>1218</v>
      </c>
      <c r="H148" t="s">
        <v>1218</v>
      </c>
      <c r="I148" t="s">
        <v>28</v>
      </c>
      <c r="J148" t="s">
        <v>1230</v>
      </c>
      <c r="K148" t="s">
        <v>19</v>
      </c>
      <c r="L148" t="s">
        <v>20</v>
      </c>
      <c r="M148" t="s">
        <v>1224</v>
      </c>
      <c r="N148" t="s">
        <v>1225</v>
      </c>
      <c r="O148" t="s">
        <v>1231</v>
      </c>
      <c r="P148" t="s">
        <v>1232</v>
      </c>
    </row>
    <row r="149" spans="1:16" x14ac:dyDescent="0.35">
      <c r="A149" t="s">
        <v>1233</v>
      </c>
      <c r="B149" t="s">
        <v>55</v>
      </c>
      <c r="C149" t="s">
        <v>15</v>
      </c>
      <c r="D149" t="s">
        <v>16</v>
      </c>
      <c r="E149" t="s">
        <v>1234</v>
      </c>
      <c r="F149" t="s">
        <v>1235</v>
      </c>
      <c r="G149" t="s">
        <v>1218</v>
      </c>
      <c r="H149" t="s">
        <v>1218</v>
      </c>
      <c r="I149" t="s">
        <v>1236</v>
      </c>
      <c r="J149" t="s">
        <v>1237</v>
      </c>
      <c r="K149" t="s">
        <v>1238</v>
      </c>
      <c r="L149" t="s">
        <v>20</v>
      </c>
      <c r="M149" t="s">
        <v>1224</v>
      </c>
      <c r="N149" t="s">
        <v>1225</v>
      </c>
      <c r="O149" t="s">
        <v>1239</v>
      </c>
      <c r="P149" t="s">
        <v>1240</v>
      </c>
    </row>
    <row r="150" spans="1:16" x14ac:dyDescent="0.35">
      <c r="A150" t="s">
        <v>1241</v>
      </c>
      <c r="B150" t="s">
        <v>55</v>
      </c>
      <c r="C150" t="s">
        <v>691</v>
      </c>
      <c r="D150" t="s">
        <v>16</v>
      </c>
      <c r="E150" t="s">
        <v>1242</v>
      </c>
      <c r="F150" t="s">
        <v>1243</v>
      </c>
      <c r="G150" t="s">
        <v>1218</v>
      </c>
      <c r="H150" t="s">
        <v>1218</v>
      </c>
      <c r="I150" t="s">
        <v>28</v>
      </c>
      <c r="J150" t="s">
        <v>1244</v>
      </c>
      <c r="K150" t="s">
        <v>19</v>
      </c>
      <c r="L150" t="s">
        <v>20</v>
      </c>
      <c r="M150" t="s">
        <v>1224</v>
      </c>
      <c r="N150" t="s">
        <v>1225</v>
      </c>
      <c r="O150" t="s">
        <v>1245</v>
      </c>
      <c r="P150" t="s">
        <v>1246</v>
      </c>
    </row>
    <row r="151" spans="1:16" x14ac:dyDescent="0.35">
      <c r="A151" t="s">
        <v>1247</v>
      </c>
      <c r="B151" t="s">
        <v>55</v>
      </c>
      <c r="C151" t="s">
        <v>691</v>
      </c>
      <c r="D151" t="s">
        <v>124</v>
      </c>
      <c r="E151" t="s">
        <v>1248</v>
      </c>
      <c r="F151" t="s">
        <v>1249</v>
      </c>
      <c r="G151" t="s">
        <v>1218</v>
      </c>
      <c r="H151" t="s">
        <v>1218</v>
      </c>
      <c r="I151" t="s">
        <v>28</v>
      </c>
      <c r="J151" t="s">
        <v>1250</v>
      </c>
      <c r="K151" t="s">
        <v>19</v>
      </c>
      <c r="L151" t="s">
        <v>20</v>
      </c>
      <c r="M151" t="s">
        <v>1224</v>
      </c>
      <c r="N151" t="s">
        <v>1225</v>
      </c>
      <c r="O151" t="s">
        <v>1251</v>
      </c>
      <c r="P151" t="s">
        <v>1252</v>
      </c>
    </row>
    <row r="152" spans="1:16" x14ac:dyDescent="0.35">
      <c r="A152" t="s">
        <v>1253</v>
      </c>
      <c r="B152" t="s">
        <v>32</v>
      </c>
      <c r="C152" t="s">
        <v>78</v>
      </c>
      <c r="D152" t="s">
        <v>614</v>
      </c>
      <c r="E152" t="s">
        <v>1254</v>
      </c>
      <c r="F152" t="s">
        <v>1255</v>
      </c>
      <c r="G152" t="s">
        <v>1218</v>
      </c>
      <c r="H152" t="s">
        <v>1218</v>
      </c>
      <c r="I152" t="s">
        <v>234</v>
      </c>
      <c r="J152" t="s">
        <v>1256</v>
      </c>
      <c r="K152" t="s">
        <v>19</v>
      </c>
      <c r="L152" t="s">
        <v>20</v>
      </c>
      <c r="M152" t="s">
        <v>1257</v>
      </c>
      <c r="N152" t="s">
        <v>1258</v>
      </c>
      <c r="O152" t="s">
        <v>1259</v>
      </c>
      <c r="P152" t="s">
        <v>1260</v>
      </c>
    </row>
    <row r="153" spans="1:16" x14ac:dyDescent="0.35">
      <c r="A153" t="s">
        <v>169</v>
      </c>
      <c r="B153" t="s">
        <v>55</v>
      </c>
      <c r="C153" t="s">
        <v>28</v>
      </c>
      <c r="D153" t="s">
        <v>28</v>
      </c>
      <c r="E153" t="s">
        <v>1261</v>
      </c>
      <c r="F153" t="s">
        <v>1262</v>
      </c>
      <c r="G153" t="s">
        <v>1218</v>
      </c>
      <c r="H153" t="s">
        <v>1218</v>
      </c>
      <c r="I153" t="s">
        <v>28</v>
      </c>
      <c r="J153" t="s">
        <v>1263</v>
      </c>
      <c r="K153" t="s">
        <v>19</v>
      </c>
      <c r="L153" t="s">
        <v>20</v>
      </c>
      <c r="M153" t="s">
        <v>1257</v>
      </c>
      <c r="N153" t="s">
        <v>1258</v>
      </c>
      <c r="O153" t="s">
        <v>1264</v>
      </c>
      <c r="P153" t="s">
        <v>1265</v>
      </c>
    </row>
    <row r="154" spans="1:16" x14ac:dyDescent="0.35">
      <c r="A154" t="s">
        <v>1266</v>
      </c>
      <c r="B154" t="s">
        <v>55</v>
      </c>
      <c r="C154" t="s">
        <v>140</v>
      </c>
      <c r="D154" t="s">
        <v>1267</v>
      </c>
      <c r="E154" t="s">
        <v>1268</v>
      </c>
      <c r="F154" t="s">
        <v>1269</v>
      </c>
      <c r="G154" t="s">
        <v>1218</v>
      </c>
      <c r="H154" t="s">
        <v>1218</v>
      </c>
      <c r="I154" t="s">
        <v>1270</v>
      </c>
      <c r="J154" t="s">
        <v>1271</v>
      </c>
      <c r="K154" t="s">
        <v>1272</v>
      </c>
      <c r="L154" t="s">
        <v>20</v>
      </c>
      <c r="M154" t="s">
        <v>1273</v>
      </c>
      <c r="N154" t="s">
        <v>1274</v>
      </c>
      <c r="O154" t="s">
        <v>1275</v>
      </c>
      <c r="P154" t="s">
        <v>1276</v>
      </c>
    </row>
    <row r="155" spans="1:16" x14ac:dyDescent="0.35">
      <c r="A155" t="s">
        <v>1277</v>
      </c>
      <c r="B155" t="s">
        <v>55</v>
      </c>
      <c r="C155" t="s">
        <v>26</v>
      </c>
      <c r="D155" t="s">
        <v>79</v>
      </c>
      <c r="E155" t="s">
        <v>1278</v>
      </c>
      <c r="F155" t="s">
        <v>1279</v>
      </c>
      <c r="G155" t="s">
        <v>1218</v>
      </c>
      <c r="H155" t="s">
        <v>1218</v>
      </c>
      <c r="I155" t="s">
        <v>82</v>
      </c>
      <c r="J155" t="s">
        <v>1280</v>
      </c>
      <c r="K155" t="s">
        <v>84</v>
      </c>
      <c r="L155" t="s">
        <v>20</v>
      </c>
      <c r="M155" t="s">
        <v>1281</v>
      </c>
      <c r="N155" t="s">
        <v>1282</v>
      </c>
      <c r="O155" t="s">
        <v>1283</v>
      </c>
      <c r="P155" t="s">
        <v>1284</v>
      </c>
    </row>
    <row r="156" spans="1:16" x14ac:dyDescent="0.35">
      <c r="A156" t="s">
        <v>1285</v>
      </c>
      <c r="B156" t="s">
        <v>55</v>
      </c>
      <c r="C156" t="s">
        <v>311</v>
      </c>
      <c r="D156" t="s">
        <v>1286</v>
      </c>
      <c r="E156" t="s">
        <v>1287</v>
      </c>
      <c r="F156" t="s">
        <v>1288</v>
      </c>
      <c r="G156" t="s">
        <v>1218</v>
      </c>
      <c r="H156" t="s">
        <v>1218</v>
      </c>
      <c r="I156" t="s">
        <v>1289</v>
      </c>
      <c r="J156" t="s">
        <v>1290</v>
      </c>
      <c r="K156" t="s">
        <v>1291</v>
      </c>
      <c r="L156" t="s">
        <v>20</v>
      </c>
      <c r="M156" t="s">
        <v>1292</v>
      </c>
      <c r="N156" t="s">
        <v>1293</v>
      </c>
      <c r="O156" t="s">
        <v>1294</v>
      </c>
      <c r="P156" t="s">
        <v>1295</v>
      </c>
    </row>
    <row r="157" spans="1:16" x14ac:dyDescent="0.35">
      <c r="A157" t="s">
        <v>1296</v>
      </c>
      <c r="B157" t="s">
        <v>55</v>
      </c>
      <c r="C157" t="s">
        <v>28</v>
      </c>
      <c r="D157" t="s">
        <v>28</v>
      </c>
      <c r="E157" t="s">
        <v>1297</v>
      </c>
      <c r="F157" t="s">
        <v>1298</v>
      </c>
      <c r="G157" t="s">
        <v>1218</v>
      </c>
      <c r="H157" t="s">
        <v>1218</v>
      </c>
      <c r="I157" t="s">
        <v>1299</v>
      </c>
      <c r="J157" t="s">
        <v>1300</v>
      </c>
      <c r="K157" t="s">
        <v>19</v>
      </c>
      <c r="L157" t="s">
        <v>20</v>
      </c>
      <c r="M157" t="s">
        <v>1301</v>
      </c>
      <c r="N157" t="s">
        <v>1302</v>
      </c>
      <c r="O157" t="s">
        <v>1303</v>
      </c>
      <c r="P157" t="s">
        <v>1304</v>
      </c>
    </row>
    <row r="158" spans="1:16" x14ac:dyDescent="0.35">
      <c r="A158" t="s">
        <v>1305</v>
      </c>
      <c r="B158" t="s">
        <v>55</v>
      </c>
      <c r="C158" t="s">
        <v>691</v>
      </c>
      <c r="D158" t="s">
        <v>16</v>
      </c>
      <c r="E158" t="s">
        <v>1306</v>
      </c>
      <c r="F158" t="s">
        <v>1307</v>
      </c>
      <c r="G158" t="s">
        <v>1218</v>
      </c>
      <c r="H158" t="s">
        <v>1218</v>
      </c>
      <c r="I158" t="s">
        <v>28</v>
      </c>
      <c r="J158" t="s">
        <v>28</v>
      </c>
      <c r="K158" t="s">
        <v>19</v>
      </c>
      <c r="L158" t="s">
        <v>20</v>
      </c>
      <c r="M158" t="s">
        <v>1308</v>
      </c>
      <c r="N158" t="s">
        <v>1309</v>
      </c>
      <c r="O158" t="s">
        <v>1310</v>
      </c>
      <c r="P158" t="s">
        <v>1311</v>
      </c>
    </row>
    <row r="159" spans="1:16" x14ac:dyDescent="0.35">
      <c r="A159" t="s">
        <v>1312</v>
      </c>
      <c r="B159" t="s">
        <v>55</v>
      </c>
      <c r="C159" t="s">
        <v>177</v>
      </c>
      <c r="D159" t="s">
        <v>68</v>
      </c>
      <c r="E159" t="s">
        <v>1313</v>
      </c>
      <c r="F159" t="s">
        <v>1314</v>
      </c>
      <c r="G159" t="s">
        <v>1218</v>
      </c>
      <c r="H159" t="s">
        <v>1218</v>
      </c>
      <c r="I159" t="s">
        <v>28</v>
      </c>
      <c r="J159" t="s">
        <v>1315</v>
      </c>
      <c r="K159" t="s">
        <v>19</v>
      </c>
      <c r="L159" t="s">
        <v>20</v>
      </c>
      <c r="M159" t="s">
        <v>1316</v>
      </c>
      <c r="N159" t="s">
        <v>1317</v>
      </c>
      <c r="O159" t="s">
        <v>1318</v>
      </c>
      <c r="P159" t="s">
        <v>1319</v>
      </c>
    </row>
    <row r="160" spans="1:16" x14ac:dyDescent="0.35">
      <c r="A160" t="s">
        <v>1320</v>
      </c>
      <c r="B160" t="s">
        <v>55</v>
      </c>
      <c r="C160" t="s">
        <v>117</v>
      </c>
      <c r="D160" t="s">
        <v>16</v>
      </c>
      <c r="E160" t="s">
        <v>1321</v>
      </c>
      <c r="F160" t="s">
        <v>1322</v>
      </c>
      <c r="G160" t="s">
        <v>1218</v>
      </c>
      <c r="H160" t="s">
        <v>1218</v>
      </c>
      <c r="I160" t="s">
        <v>1323</v>
      </c>
      <c r="J160" t="s">
        <v>28</v>
      </c>
      <c r="K160" t="s">
        <v>19</v>
      </c>
      <c r="L160" t="s">
        <v>20</v>
      </c>
      <c r="M160" t="s">
        <v>1324</v>
      </c>
      <c r="N160" t="s">
        <v>1325</v>
      </c>
      <c r="O160" t="s">
        <v>1326</v>
      </c>
      <c r="P160" t="s">
        <v>915</v>
      </c>
    </row>
    <row r="161" spans="1:16" x14ac:dyDescent="0.35">
      <c r="A161" t="s">
        <v>1327</v>
      </c>
      <c r="B161" t="s">
        <v>55</v>
      </c>
      <c r="C161" t="s">
        <v>311</v>
      </c>
      <c r="D161" t="s">
        <v>1328</v>
      </c>
      <c r="E161" t="s">
        <v>1329</v>
      </c>
      <c r="F161" t="s">
        <v>1330</v>
      </c>
      <c r="G161" t="s">
        <v>1218</v>
      </c>
      <c r="H161" t="s">
        <v>1218</v>
      </c>
      <c r="I161" t="s">
        <v>1331</v>
      </c>
      <c r="J161" t="s">
        <v>28</v>
      </c>
      <c r="K161" t="s">
        <v>19</v>
      </c>
      <c r="L161" t="s">
        <v>20</v>
      </c>
      <c r="M161" t="s">
        <v>1332</v>
      </c>
      <c r="N161" t="s">
        <v>1333</v>
      </c>
      <c r="O161" t="s">
        <v>1334</v>
      </c>
      <c r="P161" t="s">
        <v>1335</v>
      </c>
    </row>
    <row r="162" spans="1:16" x14ac:dyDescent="0.35">
      <c r="A162" t="s">
        <v>1336</v>
      </c>
      <c r="B162" t="s">
        <v>32</v>
      </c>
      <c r="C162" t="s">
        <v>28</v>
      </c>
      <c r="D162" t="s">
        <v>28</v>
      </c>
      <c r="E162" t="s">
        <v>1337</v>
      </c>
      <c r="F162" t="s">
        <v>1338</v>
      </c>
      <c r="G162" t="s">
        <v>1339</v>
      </c>
      <c r="H162" t="s">
        <v>1218</v>
      </c>
      <c r="I162" t="s">
        <v>1340</v>
      </c>
      <c r="J162" t="s">
        <v>1341</v>
      </c>
      <c r="K162" t="s">
        <v>19</v>
      </c>
      <c r="L162" t="s">
        <v>20</v>
      </c>
      <c r="M162" t="s">
        <v>1342</v>
      </c>
      <c r="N162" t="s">
        <v>1343</v>
      </c>
      <c r="O162" t="s">
        <v>1344</v>
      </c>
      <c r="P162" t="s">
        <v>1345</v>
      </c>
    </row>
    <row r="163" spans="1:16" x14ac:dyDescent="0.35">
      <c r="A163" t="s">
        <v>1346</v>
      </c>
      <c r="B163" t="s">
        <v>55</v>
      </c>
      <c r="C163" t="s">
        <v>28</v>
      </c>
      <c r="D163" t="s">
        <v>28</v>
      </c>
      <c r="E163" t="s">
        <v>1347</v>
      </c>
      <c r="F163" t="s">
        <v>1348</v>
      </c>
      <c r="G163" t="s">
        <v>1218</v>
      </c>
      <c r="H163" t="s">
        <v>1218</v>
      </c>
      <c r="I163" t="s">
        <v>28</v>
      </c>
      <c r="J163" t="s">
        <v>1349</v>
      </c>
      <c r="K163" t="s">
        <v>19</v>
      </c>
      <c r="L163" t="s">
        <v>20</v>
      </c>
      <c r="M163" t="s">
        <v>1350</v>
      </c>
      <c r="N163" t="s">
        <v>1351</v>
      </c>
      <c r="O163" t="s">
        <v>1352</v>
      </c>
      <c r="P163" t="s">
        <v>1353</v>
      </c>
    </row>
    <row r="164" spans="1:16" x14ac:dyDescent="0.35">
      <c r="A164" t="s">
        <v>1312</v>
      </c>
      <c r="B164" t="s">
        <v>55</v>
      </c>
      <c r="C164" t="s">
        <v>28</v>
      </c>
      <c r="D164" t="s">
        <v>28</v>
      </c>
      <c r="E164" t="s">
        <v>1354</v>
      </c>
      <c r="F164" t="s">
        <v>1355</v>
      </c>
      <c r="G164" t="s">
        <v>1218</v>
      </c>
      <c r="H164" t="s">
        <v>1218</v>
      </c>
      <c r="I164" t="s">
        <v>28</v>
      </c>
      <c r="J164" t="s">
        <v>28</v>
      </c>
      <c r="K164" t="s">
        <v>19</v>
      </c>
      <c r="L164" t="s">
        <v>20</v>
      </c>
      <c r="M164" t="s">
        <v>1356</v>
      </c>
      <c r="N164" t="s">
        <v>1357</v>
      </c>
      <c r="O164" t="s">
        <v>1358</v>
      </c>
      <c r="P164" t="s">
        <v>1359</v>
      </c>
    </row>
    <row r="165" spans="1:16" x14ac:dyDescent="0.35">
      <c r="A165" t="s">
        <v>1360</v>
      </c>
      <c r="B165" t="s">
        <v>55</v>
      </c>
      <c r="C165" t="s">
        <v>28</v>
      </c>
      <c r="D165" t="s">
        <v>28</v>
      </c>
      <c r="E165" t="s">
        <v>1361</v>
      </c>
      <c r="F165" t="s">
        <v>1362</v>
      </c>
      <c r="G165" t="s">
        <v>1363</v>
      </c>
      <c r="H165" t="s">
        <v>1218</v>
      </c>
      <c r="I165" t="s">
        <v>28</v>
      </c>
      <c r="J165" t="s">
        <v>28</v>
      </c>
      <c r="K165" t="s">
        <v>19</v>
      </c>
      <c r="L165" t="s">
        <v>20</v>
      </c>
      <c r="M165" t="s">
        <v>1364</v>
      </c>
      <c r="N165" t="s">
        <v>1365</v>
      </c>
      <c r="O165" t="s">
        <v>1366</v>
      </c>
      <c r="P165" t="s">
        <v>1367</v>
      </c>
    </row>
    <row r="166" spans="1:16" x14ac:dyDescent="0.35">
      <c r="A166" t="s">
        <v>1336</v>
      </c>
      <c r="B166" t="s">
        <v>32</v>
      </c>
      <c r="C166" t="s">
        <v>28</v>
      </c>
      <c r="D166" t="s">
        <v>28</v>
      </c>
      <c r="E166" t="s">
        <v>1368</v>
      </c>
      <c r="F166" t="s">
        <v>1369</v>
      </c>
      <c r="G166" t="s">
        <v>1370</v>
      </c>
      <c r="H166" t="s">
        <v>1218</v>
      </c>
      <c r="I166" t="s">
        <v>28</v>
      </c>
      <c r="J166" t="s">
        <v>1371</v>
      </c>
      <c r="K166" t="s">
        <v>19</v>
      </c>
      <c r="L166" t="s">
        <v>20</v>
      </c>
      <c r="M166" t="s">
        <v>1372</v>
      </c>
      <c r="N166" t="s">
        <v>1373</v>
      </c>
      <c r="O166" t="s">
        <v>1374</v>
      </c>
      <c r="P166" t="s">
        <v>1375</v>
      </c>
    </row>
    <row r="167" spans="1:16" x14ac:dyDescent="0.35">
      <c r="A167" t="s">
        <v>1376</v>
      </c>
      <c r="B167" t="s">
        <v>55</v>
      </c>
      <c r="C167" t="s">
        <v>96</v>
      </c>
      <c r="D167" t="s">
        <v>614</v>
      </c>
      <c r="E167" t="s">
        <v>1377</v>
      </c>
      <c r="F167" t="s">
        <v>1378</v>
      </c>
      <c r="G167" t="s">
        <v>1379</v>
      </c>
      <c r="H167" t="s">
        <v>1218</v>
      </c>
      <c r="I167" t="s">
        <v>1380</v>
      </c>
      <c r="J167" t="s">
        <v>1381</v>
      </c>
      <c r="K167" t="s">
        <v>1382</v>
      </c>
      <c r="L167" t="s">
        <v>20</v>
      </c>
      <c r="M167" t="s">
        <v>1383</v>
      </c>
      <c r="N167" t="s">
        <v>1384</v>
      </c>
      <c r="O167" t="s">
        <v>1385</v>
      </c>
      <c r="P167" t="s">
        <v>1386</v>
      </c>
    </row>
    <row r="168" spans="1:16" x14ac:dyDescent="0.35">
      <c r="A168" t="s">
        <v>1387</v>
      </c>
      <c r="B168" t="s">
        <v>55</v>
      </c>
      <c r="C168" t="s">
        <v>15</v>
      </c>
      <c r="D168" t="s">
        <v>374</v>
      </c>
      <c r="E168" t="s">
        <v>1388</v>
      </c>
      <c r="F168" t="s">
        <v>1389</v>
      </c>
      <c r="G168" t="s">
        <v>1390</v>
      </c>
      <c r="H168" t="s">
        <v>1218</v>
      </c>
      <c r="I168" t="s">
        <v>82</v>
      </c>
      <c r="J168" t="s">
        <v>1391</v>
      </c>
      <c r="K168" t="s">
        <v>84</v>
      </c>
      <c r="L168" t="s">
        <v>20</v>
      </c>
      <c r="M168" t="s">
        <v>1392</v>
      </c>
      <c r="N168" t="s">
        <v>1393</v>
      </c>
      <c r="O168" t="s">
        <v>1394</v>
      </c>
      <c r="P168" t="s">
        <v>1395</v>
      </c>
    </row>
    <row r="169" spans="1:16" x14ac:dyDescent="0.35">
      <c r="A169" t="s">
        <v>1397</v>
      </c>
      <c r="B169" t="s">
        <v>55</v>
      </c>
      <c r="C169" t="s">
        <v>691</v>
      </c>
      <c r="D169" t="s">
        <v>27</v>
      </c>
      <c r="E169" t="s">
        <v>1398</v>
      </c>
      <c r="F169" t="s">
        <v>1399</v>
      </c>
      <c r="G169" t="s">
        <v>1396</v>
      </c>
      <c r="H169" t="s">
        <v>1396</v>
      </c>
      <c r="I169" t="s">
        <v>28</v>
      </c>
      <c r="J169" t="s">
        <v>1400</v>
      </c>
      <c r="K169" t="s">
        <v>19</v>
      </c>
      <c r="L169" t="s">
        <v>20</v>
      </c>
      <c r="M169" t="s">
        <v>1401</v>
      </c>
      <c r="N169" t="s">
        <v>1402</v>
      </c>
      <c r="O169" t="s">
        <v>1403</v>
      </c>
      <c r="P169" t="s">
        <v>1404</v>
      </c>
    </row>
    <row r="170" spans="1:16" x14ac:dyDescent="0.35">
      <c r="A170" t="s">
        <v>1407</v>
      </c>
      <c r="B170" t="s">
        <v>88</v>
      </c>
      <c r="C170" t="s">
        <v>117</v>
      </c>
      <c r="D170" t="s">
        <v>16</v>
      </c>
      <c r="E170" t="s">
        <v>1408</v>
      </c>
      <c r="F170" t="s">
        <v>1409</v>
      </c>
      <c r="G170" t="s">
        <v>1396</v>
      </c>
      <c r="H170" t="s">
        <v>1396</v>
      </c>
      <c r="I170" t="s">
        <v>28</v>
      </c>
      <c r="J170" t="s">
        <v>1410</v>
      </c>
      <c r="K170" t="s">
        <v>19</v>
      </c>
      <c r="L170" t="s">
        <v>20</v>
      </c>
      <c r="M170" t="s">
        <v>1405</v>
      </c>
      <c r="N170" t="s">
        <v>1406</v>
      </c>
      <c r="O170" t="s">
        <v>1411</v>
      </c>
      <c r="P170" t="s">
        <v>1412</v>
      </c>
    </row>
    <row r="171" spans="1:16" x14ac:dyDescent="0.35">
      <c r="A171" t="s">
        <v>1413</v>
      </c>
      <c r="B171" t="s">
        <v>32</v>
      </c>
      <c r="C171" t="s">
        <v>691</v>
      </c>
      <c r="D171" t="s">
        <v>124</v>
      </c>
      <c r="E171" t="s">
        <v>1414</v>
      </c>
      <c r="F171" t="s">
        <v>1415</v>
      </c>
      <c r="G171" t="s">
        <v>1396</v>
      </c>
      <c r="H171" t="s">
        <v>1396</v>
      </c>
      <c r="I171" t="s">
        <v>1416</v>
      </c>
      <c r="J171" t="s">
        <v>1417</v>
      </c>
      <c r="K171" t="s">
        <v>19</v>
      </c>
      <c r="L171" t="s">
        <v>20</v>
      </c>
      <c r="M171" t="s">
        <v>1418</v>
      </c>
      <c r="N171" t="s">
        <v>1419</v>
      </c>
      <c r="O171" t="s">
        <v>1420</v>
      </c>
      <c r="P171" t="s">
        <v>1421</v>
      </c>
    </row>
    <row r="172" spans="1:16" x14ac:dyDescent="0.35">
      <c r="A172" t="s">
        <v>11937</v>
      </c>
      <c r="B172" t="s">
        <v>32</v>
      </c>
      <c r="C172" t="s">
        <v>15</v>
      </c>
      <c r="D172" t="s">
        <v>68</v>
      </c>
      <c r="E172" t="s">
        <v>69</v>
      </c>
      <c r="F172" t="s">
        <v>70</v>
      </c>
      <c r="G172" t="s">
        <v>17</v>
      </c>
      <c r="H172" t="s">
        <v>17</v>
      </c>
      <c r="I172" t="s">
        <v>71</v>
      </c>
      <c r="J172" t="s">
        <v>28</v>
      </c>
      <c r="K172" t="s">
        <v>72</v>
      </c>
      <c r="L172" t="s">
        <v>20</v>
      </c>
      <c r="M172" t="s">
        <v>73</v>
      </c>
      <c r="N172" t="s">
        <v>74</v>
      </c>
      <c r="O172" t="s">
        <v>75</v>
      </c>
      <c r="P172" t="s">
        <v>76</v>
      </c>
    </row>
    <row r="173" spans="1:16" x14ac:dyDescent="0.35">
      <c r="A173" t="s">
        <v>1422</v>
      </c>
      <c r="B173" t="s">
        <v>32</v>
      </c>
      <c r="C173" t="s">
        <v>28</v>
      </c>
      <c r="D173" t="s">
        <v>28</v>
      </c>
      <c r="E173" t="s">
        <v>1423</v>
      </c>
      <c r="F173" t="s">
        <v>1424</v>
      </c>
      <c r="G173" t="s">
        <v>1396</v>
      </c>
      <c r="H173" t="s">
        <v>1396</v>
      </c>
      <c r="I173" t="s">
        <v>28</v>
      </c>
      <c r="J173" t="s">
        <v>1425</v>
      </c>
      <c r="K173" t="s">
        <v>19</v>
      </c>
      <c r="L173" t="s">
        <v>20</v>
      </c>
      <c r="M173" t="s">
        <v>1426</v>
      </c>
      <c r="N173" t="s">
        <v>1427</v>
      </c>
      <c r="O173" t="s">
        <v>1428</v>
      </c>
      <c r="P173" t="s">
        <v>1429</v>
      </c>
    </row>
    <row r="174" spans="1:16" x14ac:dyDescent="0.35">
      <c r="A174" t="s">
        <v>1432</v>
      </c>
      <c r="B174" t="s">
        <v>55</v>
      </c>
      <c r="C174" t="s">
        <v>26</v>
      </c>
      <c r="D174" t="s">
        <v>403</v>
      </c>
      <c r="E174" t="s">
        <v>1433</v>
      </c>
      <c r="F174" t="s">
        <v>1434</v>
      </c>
      <c r="G174" t="s">
        <v>1396</v>
      </c>
      <c r="H174" t="s">
        <v>1396</v>
      </c>
      <c r="I174" t="s">
        <v>1236</v>
      </c>
      <c r="J174" t="s">
        <v>1435</v>
      </c>
      <c r="K174" t="s">
        <v>1238</v>
      </c>
      <c r="L174" t="s">
        <v>20</v>
      </c>
      <c r="M174" t="s">
        <v>1430</v>
      </c>
      <c r="N174" t="s">
        <v>1431</v>
      </c>
      <c r="O174" t="s">
        <v>1436</v>
      </c>
      <c r="P174" t="s">
        <v>1437</v>
      </c>
    </row>
    <row r="175" spans="1:16" x14ac:dyDescent="0.35">
      <c r="A175" t="s">
        <v>1438</v>
      </c>
      <c r="B175" t="s">
        <v>55</v>
      </c>
      <c r="C175" t="s">
        <v>96</v>
      </c>
      <c r="D175" t="s">
        <v>549</v>
      </c>
      <c r="E175" t="s">
        <v>1439</v>
      </c>
      <c r="F175" t="s">
        <v>1440</v>
      </c>
      <c r="G175" t="s">
        <v>1396</v>
      </c>
      <c r="H175" t="s">
        <v>1396</v>
      </c>
      <c r="I175" t="s">
        <v>28</v>
      </c>
      <c r="J175" t="s">
        <v>1441</v>
      </c>
      <c r="K175" t="s">
        <v>19</v>
      </c>
      <c r="L175" t="s">
        <v>20</v>
      </c>
      <c r="M175" t="s">
        <v>1430</v>
      </c>
      <c r="N175" t="s">
        <v>1431</v>
      </c>
      <c r="O175" t="s">
        <v>1442</v>
      </c>
      <c r="P175" t="s">
        <v>1443</v>
      </c>
    </row>
    <row r="176" spans="1:16" x14ac:dyDescent="0.35">
      <c r="A176" t="s">
        <v>1444</v>
      </c>
      <c r="B176" t="s">
        <v>32</v>
      </c>
      <c r="C176" t="s">
        <v>26</v>
      </c>
      <c r="D176" t="s">
        <v>27</v>
      </c>
      <c r="E176" t="s">
        <v>1445</v>
      </c>
      <c r="F176" t="s">
        <v>1446</v>
      </c>
      <c r="G176" t="s">
        <v>1396</v>
      </c>
      <c r="H176" t="s">
        <v>1396</v>
      </c>
      <c r="I176" t="s">
        <v>135</v>
      </c>
      <c r="J176" t="s">
        <v>1447</v>
      </c>
      <c r="K176" t="s">
        <v>19</v>
      </c>
      <c r="L176" t="s">
        <v>20</v>
      </c>
      <c r="M176" t="s">
        <v>1430</v>
      </c>
      <c r="N176" t="s">
        <v>1431</v>
      </c>
      <c r="O176" t="s">
        <v>1448</v>
      </c>
      <c r="P176" t="s">
        <v>1449</v>
      </c>
    </row>
    <row r="177" spans="1:16" x14ac:dyDescent="0.35">
      <c r="A177" t="s">
        <v>1450</v>
      </c>
      <c r="B177" t="s">
        <v>55</v>
      </c>
      <c r="C177" t="s">
        <v>78</v>
      </c>
      <c r="D177" t="s">
        <v>68</v>
      </c>
      <c r="E177" t="s">
        <v>1451</v>
      </c>
      <c r="F177" t="s">
        <v>1452</v>
      </c>
      <c r="G177" t="s">
        <v>1396</v>
      </c>
      <c r="H177" t="s">
        <v>1396</v>
      </c>
      <c r="I177" t="s">
        <v>1453</v>
      </c>
      <c r="J177" t="s">
        <v>1454</v>
      </c>
      <c r="K177" t="s">
        <v>19</v>
      </c>
      <c r="L177" t="s">
        <v>20</v>
      </c>
      <c r="M177" t="s">
        <v>1455</v>
      </c>
      <c r="N177" t="s">
        <v>1456</v>
      </c>
      <c r="O177" t="s">
        <v>1457</v>
      </c>
      <c r="P177" t="s">
        <v>1458</v>
      </c>
    </row>
    <row r="178" spans="1:16" x14ac:dyDescent="0.35">
      <c r="A178" t="s">
        <v>1459</v>
      </c>
      <c r="B178" t="s">
        <v>32</v>
      </c>
      <c r="C178" t="s">
        <v>28</v>
      </c>
      <c r="D178" t="s">
        <v>28</v>
      </c>
      <c r="E178" t="s">
        <v>1460</v>
      </c>
      <c r="F178" t="s">
        <v>1461</v>
      </c>
      <c r="G178" t="s">
        <v>1396</v>
      </c>
      <c r="H178" t="s">
        <v>1396</v>
      </c>
      <c r="I178" t="s">
        <v>1462</v>
      </c>
      <c r="J178" t="s">
        <v>1463</v>
      </c>
      <c r="K178" t="s">
        <v>1464</v>
      </c>
      <c r="L178" t="s">
        <v>20</v>
      </c>
      <c r="M178" t="s">
        <v>1465</v>
      </c>
      <c r="N178" t="s">
        <v>1466</v>
      </c>
      <c r="O178" t="s">
        <v>1467</v>
      </c>
      <c r="P178" t="s">
        <v>1468</v>
      </c>
    </row>
    <row r="179" spans="1:16" x14ac:dyDescent="0.35">
      <c r="A179" t="s">
        <v>1469</v>
      </c>
      <c r="B179" t="s">
        <v>55</v>
      </c>
      <c r="C179" t="s">
        <v>691</v>
      </c>
      <c r="D179" t="s">
        <v>449</v>
      </c>
      <c r="E179" t="s">
        <v>1470</v>
      </c>
      <c r="F179" t="s">
        <v>1471</v>
      </c>
      <c r="G179" t="s">
        <v>1396</v>
      </c>
      <c r="H179" t="s">
        <v>1396</v>
      </c>
      <c r="I179" t="s">
        <v>28</v>
      </c>
      <c r="J179" t="s">
        <v>1472</v>
      </c>
      <c r="K179" t="s">
        <v>19</v>
      </c>
      <c r="L179" t="s">
        <v>20</v>
      </c>
      <c r="M179" t="s">
        <v>1473</v>
      </c>
      <c r="N179" t="s">
        <v>1474</v>
      </c>
      <c r="O179" t="s">
        <v>1475</v>
      </c>
      <c r="P179" t="s">
        <v>1476</v>
      </c>
    </row>
    <row r="180" spans="1:16" x14ac:dyDescent="0.35">
      <c r="A180" t="s">
        <v>1477</v>
      </c>
      <c r="B180" t="s">
        <v>55</v>
      </c>
      <c r="C180" t="s">
        <v>28</v>
      </c>
      <c r="D180" t="s">
        <v>28</v>
      </c>
      <c r="E180" t="s">
        <v>1478</v>
      </c>
      <c r="F180" t="s">
        <v>1479</v>
      </c>
      <c r="G180" t="s">
        <v>1396</v>
      </c>
      <c r="H180" t="s">
        <v>1396</v>
      </c>
      <c r="I180" t="s">
        <v>1331</v>
      </c>
      <c r="J180" t="s">
        <v>1480</v>
      </c>
      <c r="K180" t="s">
        <v>19</v>
      </c>
      <c r="L180" t="s">
        <v>20</v>
      </c>
      <c r="M180" t="s">
        <v>1481</v>
      </c>
      <c r="N180" t="s">
        <v>1482</v>
      </c>
      <c r="O180" t="s">
        <v>1483</v>
      </c>
      <c r="P180" t="s">
        <v>1484</v>
      </c>
    </row>
    <row r="181" spans="1:16" x14ac:dyDescent="0.35">
      <c r="A181" t="s">
        <v>1485</v>
      </c>
      <c r="B181" t="s">
        <v>55</v>
      </c>
      <c r="C181" t="s">
        <v>78</v>
      </c>
      <c r="D181" t="s">
        <v>403</v>
      </c>
      <c r="E181" t="s">
        <v>1486</v>
      </c>
      <c r="F181" t="s">
        <v>1487</v>
      </c>
      <c r="G181" t="s">
        <v>1396</v>
      </c>
      <c r="H181" t="s">
        <v>1396</v>
      </c>
      <c r="I181" t="s">
        <v>82</v>
      </c>
      <c r="J181" t="s">
        <v>1488</v>
      </c>
      <c r="K181" t="s">
        <v>84</v>
      </c>
      <c r="L181" t="s">
        <v>20</v>
      </c>
      <c r="M181" t="s">
        <v>1481</v>
      </c>
      <c r="N181" t="s">
        <v>1482</v>
      </c>
      <c r="O181" t="s">
        <v>1489</v>
      </c>
      <c r="P181" t="s">
        <v>1490</v>
      </c>
    </row>
    <row r="182" spans="1:16" x14ac:dyDescent="0.35">
      <c r="A182" t="s">
        <v>1491</v>
      </c>
      <c r="B182" t="s">
        <v>55</v>
      </c>
      <c r="C182" t="s">
        <v>28</v>
      </c>
      <c r="D182" t="s">
        <v>28</v>
      </c>
      <c r="E182" t="s">
        <v>1492</v>
      </c>
      <c r="F182" t="s">
        <v>1493</v>
      </c>
      <c r="G182" t="s">
        <v>1396</v>
      </c>
      <c r="H182" t="s">
        <v>1396</v>
      </c>
      <c r="I182" t="s">
        <v>28</v>
      </c>
      <c r="J182" t="s">
        <v>1494</v>
      </c>
      <c r="K182" t="s">
        <v>19</v>
      </c>
      <c r="L182" t="s">
        <v>20</v>
      </c>
      <c r="M182" t="s">
        <v>1495</v>
      </c>
      <c r="N182" t="s">
        <v>1496</v>
      </c>
      <c r="O182" t="s">
        <v>1497</v>
      </c>
      <c r="P182" t="s">
        <v>1498</v>
      </c>
    </row>
    <row r="183" spans="1:16" x14ac:dyDescent="0.35">
      <c r="A183" t="s">
        <v>1499</v>
      </c>
      <c r="B183" t="s">
        <v>55</v>
      </c>
      <c r="C183" t="s">
        <v>117</v>
      </c>
      <c r="D183" t="s">
        <v>27</v>
      </c>
      <c r="E183" t="s">
        <v>1500</v>
      </c>
      <c r="F183" t="s">
        <v>1501</v>
      </c>
      <c r="G183" t="s">
        <v>1396</v>
      </c>
      <c r="H183" t="s">
        <v>1396</v>
      </c>
      <c r="I183" t="s">
        <v>28</v>
      </c>
      <c r="J183" t="s">
        <v>28</v>
      </c>
      <c r="K183" t="s">
        <v>19</v>
      </c>
      <c r="L183" t="s">
        <v>20</v>
      </c>
      <c r="M183" t="s">
        <v>1502</v>
      </c>
      <c r="N183" t="s">
        <v>1503</v>
      </c>
      <c r="O183" t="s">
        <v>1504</v>
      </c>
      <c r="P183" t="s">
        <v>1505</v>
      </c>
    </row>
    <row r="184" spans="1:16" x14ac:dyDescent="0.35">
      <c r="A184" t="s">
        <v>1506</v>
      </c>
      <c r="B184" t="s">
        <v>55</v>
      </c>
      <c r="C184" t="s">
        <v>241</v>
      </c>
      <c r="D184" t="s">
        <v>449</v>
      </c>
      <c r="E184" t="s">
        <v>1507</v>
      </c>
      <c r="F184" t="s">
        <v>1508</v>
      </c>
      <c r="G184" t="s">
        <v>1396</v>
      </c>
      <c r="H184" t="s">
        <v>1396</v>
      </c>
      <c r="I184" t="s">
        <v>1509</v>
      </c>
      <c r="J184" t="s">
        <v>1510</v>
      </c>
      <c r="K184" t="s">
        <v>1511</v>
      </c>
      <c r="L184" t="s">
        <v>20</v>
      </c>
      <c r="M184" t="s">
        <v>1512</v>
      </c>
      <c r="N184" t="s">
        <v>1513</v>
      </c>
      <c r="O184" t="s">
        <v>1514</v>
      </c>
      <c r="P184" t="s">
        <v>28</v>
      </c>
    </row>
    <row r="185" spans="1:16" x14ac:dyDescent="0.35">
      <c r="A185" t="s">
        <v>1515</v>
      </c>
      <c r="B185" t="s">
        <v>55</v>
      </c>
      <c r="C185" t="s">
        <v>28</v>
      </c>
      <c r="D185" t="s">
        <v>28</v>
      </c>
      <c r="E185" t="s">
        <v>1516</v>
      </c>
      <c r="F185" t="s">
        <v>1517</v>
      </c>
      <c r="G185" t="s">
        <v>1396</v>
      </c>
      <c r="H185" t="s">
        <v>1396</v>
      </c>
      <c r="I185" t="s">
        <v>28</v>
      </c>
      <c r="J185" t="s">
        <v>1518</v>
      </c>
      <c r="K185" t="s">
        <v>19</v>
      </c>
      <c r="L185" t="s">
        <v>20</v>
      </c>
      <c r="M185" t="s">
        <v>1519</v>
      </c>
      <c r="N185" t="s">
        <v>1520</v>
      </c>
      <c r="O185" t="s">
        <v>1521</v>
      </c>
      <c r="P185" t="s">
        <v>1522</v>
      </c>
    </row>
    <row r="186" spans="1:16" x14ac:dyDescent="0.35">
      <c r="A186" t="s">
        <v>1523</v>
      </c>
      <c r="B186" t="s">
        <v>55</v>
      </c>
      <c r="C186" t="s">
        <v>28</v>
      </c>
      <c r="D186" t="s">
        <v>28</v>
      </c>
      <c r="E186" t="s">
        <v>1524</v>
      </c>
      <c r="F186" t="s">
        <v>1525</v>
      </c>
      <c r="G186" t="s">
        <v>1396</v>
      </c>
      <c r="H186" t="s">
        <v>1396</v>
      </c>
      <c r="I186" t="s">
        <v>28</v>
      </c>
      <c r="J186" t="s">
        <v>1526</v>
      </c>
      <c r="K186" t="s">
        <v>19</v>
      </c>
      <c r="L186" t="s">
        <v>20</v>
      </c>
      <c r="M186" t="s">
        <v>1527</v>
      </c>
      <c r="N186" t="s">
        <v>1528</v>
      </c>
      <c r="O186" t="s">
        <v>1529</v>
      </c>
      <c r="P186" t="s">
        <v>1530</v>
      </c>
    </row>
    <row r="187" spans="1:16" x14ac:dyDescent="0.35">
      <c r="A187" t="s">
        <v>1137</v>
      </c>
      <c r="B187" t="s">
        <v>55</v>
      </c>
      <c r="C187" t="s">
        <v>15</v>
      </c>
      <c r="D187" t="s">
        <v>27</v>
      </c>
      <c r="E187" t="s">
        <v>1531</v>
      </c>
      <c r="F187" t="s">
        <v>1532</v>
      </c>
      <c r="G187" t="s">
        <v>1533</v>
      </c>
      <c r="H187" t="s">
        <v>1396</v>
      </c>
      <c r="I187" t="s">
        <v>1534</v>
      </c>
      <c r="J187" t="s">
        <v>1535</v>
      </c>
      <c r="K187" t="s">
        <v>1536</v>
      </c>
      <c r="L187" t="s">
        <v>20</v>
      </c>
      <c r="M187" t="s">
        <v>1537</v>
      </c>
      <c r="N187" t="s">
        <v>1538</v>
      </c>
      <c r="O187" t="s">
        <v>1539</v>
      </c>
      <c r="P187" t="s">
        <v>1540</v>
      </c>
    </row>
    <row r="188" spans="1:16" x14ac:dyDescent="0.35">
      <c r="A188" t="s">
        <v>1541</v>
      </c>
      <c r="B188" t="s">
        <v>32</v>
      </c>
      <c r="C188" t="s">
        <v>28</v>
      </c>
      <c r="D188" t="s">
        <v>28</v>
      </c>
      <c r="E188" t="s">
        <v>1531</v>
      </c>
      <c r="F188" t="s">
        <v>1532</v>
      </c>
      <c r="G188" t="s">
        <v>1533</v>
      </c>
      <c r="H188" t="s">
        <v>1396</v>
      </c>
      <c r="I188" t="s">
        <v>28</v>
      </c>
      <c r="J188" t="s">
        <v>28</v>
      </c>
      <c r="K188" t="s">
        <v>19</v>
      </c>
      <c r="L188" t="s">
        <v>20</v>
      </c>
      <c r="M188" t="s">
        <v>1542</v>
      </c>
      <c r="N188" t="s">
        <v>1543</v>
      </c>
      <c r="O188" t="s">
        <v>1544</v>
      </c>
      <c r="P188" t="s">
        <v>1545</v>
      </c>
    </row>
    <row r="189" spans="1:16" x14ac:dyDescent="0.35">
      <c r="A189" t="s">
        <v>1546</v>
      </c>
      <c r="B189" t="s">
        <v>32</v>
      </c>
      <c r="C189" t="s">
        <v>962</v>
      </c>
      <c r="D189" t="s">
        <v>374</v>
      </c>
      <c r="E189" t="s">
        <v>1547</v>
      </c>
      <c r="F189" t="s">
        <v>1548</v>
      </c>
      <c r="G189" t="s">
        <v>1549</v>
      </c>
      <c r="H189" t="s">
        <v>1396</v>
      </c>
      <c r="I189" t="s">
        <v>28</v>
      </c>
      <c r="J189" t="s">
        <v>1550</v>
      </c>
      <c r="K189" t="s">
        <v>19</v>
      </c>
      <c r="L189" t="s">
        <v>20</v>
      </c>
      <c r="M189" t="s">
        <v>1551</v>
      </c>
      <c r="N189" t="s">
        <v>1552</v>
      </c>
      <c r="O189" t="s">
        <v>1553</v>
      </c>
      <c r="P189" t="s">
        <v>1554</v>
      </c>
    </row>
    <row r="190" spans="1:16" x14ac:dyDescent="0.35">
      <c r="A190" t="s">
        <v>1558</v>
      </c>
      <c r="B190" t="s">
        <v>55</v>
      </c>
      <c r="C190" t="s">
        <v>28</v>
      </c>
      <c r="D190" t="s">
        <v>28</v>
      </c>
      <c r="E190" t="s">
        <v>28</v>
      </c>
      <c r="F190" t="s">
        <v>28</v>
      </c>
      <c r="G190" t="s">
        <v>1559</v>
      </c>
      <c r="H190" t="s">
        <v>28</v>
      </c>
      <c r="I190" t="s">
        <v>1560</v>
      </c>
      <c r="J190" t="s">
        <v>1561</v>
      </c>
      <c r="K190" t="s">
        <v>1562</v>
      </c>
      <c r="L190" t="s">
        <v>20</v>
      </c>
      <c r="M190" t="s">
        <v>1563</v>
      </c>
      <c r="N190" t="s">
        <v>1564</v>
      </c>
      <c r="O190" t="s">
        <v>1565</v>
      </c>
      <c r="P190" t="s">
        <v>1566</v>
      </c>
    </row>
    <row r="191" spans="1:16" x14ac:dyDescent="0.35">
      <c r="A191" t="s">
        <v>1209</v>
      </c>
      <c r="B191" t="s">
        <v>32</v>
      </c>
      <c r="C191" t="s">
        <v>548</v>
      </c>
      <c r="D191" t="s">
        <v>324</v>
      </c>
      <c r="E191" t="s">
        <v>1569</v>
      </c>
      <c r="F191" t="s">
        <v>1570</v>
      </c>
      <c r="G191" t="s">
        <v>1555</v>
      </c>
      <c r="H191" t="s">
        <v>1555</v>
      </c>
      <c r="I191" t="s">
        <v>1571</v>
      </c>
      <c r="J191" t="s">
        <v>1572</v>
      </c>
      <c r="K191" t="s">
        <v>1573</v>
      </c>
      <c r="L191" t="s">
        <v>20</v>
      </c>
      <c r="M191" t="s">
        <v>1567</v>
      </c>
      <c r="N191" t="s">
        <v>1568</v>
      </c>
      <c r="O191" t="s">
        <v>1574</v>
      </c>
      <c r="P191" t="s">
        <v>1575</v>
      </c>
    </row>
    <row r="192" spans="1:16" x14ac:dyDescent="0.35">
      <c r="A192" t="s">
        <v>1577</v>
      </c>
      <c r="B192" t="s">
        <v>32</v>
      </c>
      <c r="C192" t="s">
        <v>21</v>
      </c>
      <c r="D192" t="s">
        <v>1578</v>
      </c>
      <c r="E192" t="s">
        <v>1579</v>
      </c>
      <c r="F192" t="s">
        <v>1580</v>
      </c>
      <c r="G192" t="s">
        <v>1555</v>
      </c>
      <c r="H192" t="s">
        <v>1555</v>
      </c>
      <c r="I192" t="s">
        <v>28</v>
      </c>
      <c r="J192" t="s">
        <v>1581</v>
      </c>
      <c r="K192" t="s">
        <v>19</v>
      </c>
      <c r="L192" t="s">
        <v>20</v>
      </c>
      <c r="M192" t="s">
        <v>1567</v>
      </c>
      <c r="N192" t="s">
        <v>1568</v>
      </c>
      <c r="O192" t="s">
        <v>1582</v>
      </c>
      <c r="P192" t="s">
        <v>1583</v>
      </c>
    </row>
    <row r="193" spans="1:16" x14ac:dyDescent="0.35">
      <c r="A193" t="s">
        <v>1584</v>
      </c>
      <c r="B193" t="s">
        <v>194</v>
      </c>
      <c r="C193" t="s">
        <v>28</v>
      </c>
      <c r="D193" t="s">
        <v>28</v>
      </c>
      <c r="E193" t="s">
        <v>1585</v>
      </c>
      <c r="F193" t="s">
        <v>1586</v>
      </c>
      <c r="G193" t="s">
        <v>1555</v>
      </c>
      <c r="H193" t="s">
        <v>1555</v>
      </c>
      <c r="I193" t="s">
        <v>1587</v>
      </c>
      <c r="J193" t="s">
        <v>1588</v>
      </c>
      <c r="K193" t="s">
        <v>1589</v>
      </c>
      <c r="L193" t="s">
        <v>20</v>
      </c>
      <c r="M193" t="s">
        <v>1567</v>
      </c>
      <c r="N193" t="s">
        <v>1568</v>
      </c>
      <c r="O193" t="s">
        <v>1590</v>
      </c>
      <c r="P193" t="s">
        <v>915</v>
      </c>
    </row>
    <row r="194" spans="1:16" x14ac:dyDescent="0.35">
      <c r="A194" t="s">
        <v>1594</v>
      </c>
      <c r="B194" t="s">
        <v>55</v>
      </c>
      <c r="C194" t="s">
        <v>117</v>
      </c>
      <c r="D194" t="s">
        <v>16</v>
      </c>
      <c r="E194" t="s">
        <v>1595</v>
      </c>
      <c r="F194" t="s">
        <v>1596</v>
      </c>
      <c r="G194" t="s">
        <v>1555</v>
      </c>
      <c r="H194" t="s">
        <v>1555</v>
      </c>
      <c r="I194" t="s">
        <v>1571</v>
      </c>
      <c r="J194" t="s">
        <v>28</v>
      </c>
      <c r="K194" t="s">
        <v>1573</v>
      </c>
      <c r="L194" t="s">
        <v>20</v>
      </c>
      <c r="M194" t="s">
        <v>1597</v>
      </c>
      <c r="N194" t="s">
        <v>1598</v>
      </c>
      <c r="O194" t="s">
        <v>1599</v>
      </c>
      <c r="P194" t="s">
        <v>1600</v>
      </c>
    </row>
    <row r="195" spans="1:16" x14ac:dyDescent="0.35">
      <c r="A195" t="s">
        <v>1603</v>
      </c>
      <c r="B195" t="s">
        <v>55</v>
      </c>
      <c r="C195" t="s">
        <v>241</v>
      </c>
      <c r="D195" t="s">
        <v>1604</v>
      </c>
      <c r="E195" t="s">
        <v>1605</v>
      </c>
      <c r="F195" t="s">
        <v>1606</v>
      </c>
      <c r="G195" t="s">
        <v>1555</v>
      </c>
      <c r="H195" t="s">
        <v>1555</v>
      </c>
      <c r="I195" t="s">
        <v>28</v>
      </c>
      <c r="J195" t="s">
        <v>1607</v>
      </c>
      <c r="K195" t="s">
        <v>19</v>
      </c>
      <c r="L195" t="s">
        <v>20</v>
      </c>
      <c r="M195" t="s">
        <v>1601</v>
      </c>
      <c r="N195" t="s">
        <v>1602</v>
      </c>
      <c r="O195" t="s">
        <v>1608</v>
      </c>
      <c r="P195" t="s">
        <v>1609</v>
      </c>
    </row>
    <row r="196" spans="1:16" x14ac:dyDescent="0.35">
      <c r="A196" t="s">
        <v>1610</v>
      </c>
      <c r="B196" t="s">
        <v>373</v>
      </c>
      <c r="C196" t="s">
        <v>158</v>
      </c>
      <c r="D196" t="s">
        <v>1611</v>
      </c>
      <c r="E196" t="s">
        <v>1612</v>
      </c>
      <c r="F196" t="s">
        <v>1613</v>
      </c>
      <c r="G196" t="s">
        <v>1555</v>
      </c>
      <c r="H196" t="s">
        <v>1555</v>
      </c>
      <c r="I196" t="s">
        <v>1614</v>
      </c>
      <c r="J196" t="s">
        <v>1615</v>
      </c>
      <c r="K196" t="s">
        <v>1616</v>
      </c>
      <c r="L196" t="s">
        <v>20</v>
      </c>
      <c r="M196" t="s">
        <v>1556</v>
      </c>
      <c r="N196" t="s">
        <v>1557</v>
      </c>
      <c r="O196" t="s">
        <v>1617</v>
      </c>
      <c r="P196" t="s">
        <v>1618</v>
      </c>
    </row>
    <row r="197" spans="1:16" x14ac:dyDescent="0.35">
      <c r="A197" t="s">
        <v>1619</v>
      </c>
      <c r="B197" t="s">
        <v>55</v>
      </c>
      <c r="C197" t="s">
        <v>158</v>
      </c>
      <c r="D197" t="s">
        <v>539</v>
      </c>
      <c r="E197" t="s">
        <v>1620</v>
      </c>
      <c r="F197" t="s">
        <v>1621</v>
      </c>
      <c r="G197" t="s">
        <v>1555</v>
      </c>
      <c r="H197" t="s">
        <v>1555</v>
      </c>
      <c r="I197" t="s">
        <v>1622</v>
      </c>
      <c r="J197" t="s">
        <v>1623</v>
      </c>
      <c r="K197" t="s">
        <v>1624</v>
      </c>
      <c r="L197" t="s">
        <v>20</v>
      </c>
      <c r="M197" t="s">
        <v>1556</v>
      </c>
      <c r="N197" t="s">
        <v>1557</v>
      </c>
      <c r="O197" t="s">
        <v>1625</v>
      </c>
      <c r="P197" t="s">
        <v>1626</v>
      </c>
    </row>
    <row r="198" spans="1:16" x14ac:dyDescent="0.35">
      <c r="A198" t="s">
        <v>1627</v>
      </c>
      <c r="B198" t="s">
        <v>55</v>
      </c>
      <c r="C198" t="s">
        <v>158</v>
      </c>
      <c r="D198" t="s">
        <v>79</v>
      </c>
      <c r="E198" t="s">
        <v>1628</v>
      </c>
      <c r="F198" t="s">
        <v>1629</v>
      </c>
      <c r="G198" t="s">
        <v>1555</v>
      </c>
      <c r="H198" t="s">
        <v>1555</v>
      </c>
      <c r="I198" t="s">
        <v>1630</v>
      </c>
      <c r="J198" t="s">
        <v>1631</v>
      </c>
      <c r="K198" t="s">
        <v>1632</v>
      </c>
      <c r="L198" t="s">
        <v>20</v>
      </c>
      <c r="M198" t="s">
        <v>1633</v>
      </c>
      <c r="N198" t="s">
        <v>1634</v>
      </c>
      <c r="O198" t="s">
        <v>1635</v>
      </c>
      <c r="P198" t="s">
        <v>1636</v>
      </c>
    </row>
    <row r="199" spans="1:16" x14ac:dyDescent="0.35">
      <c r="A199" t="s">
        <v>1637</v>
      </c>
      <c r="B199" t="s">
        <v>55</v>
      </c>
      <c r="C199" t="s">
        <v>1128</v>
      </c>
      <c r="D199" t="s">
        <v>614</v>
      </c>
      <c r="E199" t="s">
        <v>1638</v>
      </c>
      <c r="F199" t="s">
        <v>1639</v>
      </c>
      <c r="G199" t="s">
        <v>1555</v>
      </c>
      <c r="H199" t="s">
        <v>1555</v>
      </c>
      <c r="I199" t="s">
        <v>28</v>
      </c>
      <c r="J199" t="s">
        <v>1640</v>
      </c>
      <c r="K199" t="s">
        <v>19</v>
      </c>
      <c r="L199" t="s">
        <v>20</v>
      </c>
      <c r="M199" t="s">
        <v>1633</v>
      </c>
      <c r="N199" t="s">
        <v>1634</v>
      </c>
      <c r="O199" t="s">
        <v>1641</v>
      </c>
      <c r="P199" t="s">
        <v>1642</v>
      </c>
    </row>
    <row r="200" spans="1:16" x14ac:dyDescent="0.35">
      <c r="A200" t="s">
        <v>538</v>
      </c>
      <c r="B200" t="s">
        <v>55</v>
      </c>
      <c r="C200" t="s">
        <v>311</v>
      </c>
      <c r="D200" t="s">
        <v>1643</v>
      </c>
      <c r="E200" t="s">
        <v>1644</v>
      </c>
      <c r="F200" t="s">
        <v>1645</v>
      </c>
      <c r="G200" t="s">
        <v>1555</v>
      </c>
      <c r="H200" t="s">
        <v>1555</v>
      </c>
      <c r="I200" t="s">
        <v>82</v>
      </c>
      <c r="J200" t="s">
        <v>1646</v>
      </c>
      <c r="K200" t="s">
        <v>84</v>
      </c>
      <c r="L200" t="s">
        <v>20</v>
      </c>
      <c r="M200" t="s">
        <v>1633</v>
      </c>
      <c r="N200" t="s">
        <v>1634</v>
      </c>
      <c r="O200" t="s">
        <v>1647</v>
      </c>
      <c r="P200" t="s">
        <v>1648</v>
      </c>
    </row>
    <row r="201" spans="1:16" x14ac:dyDescent="0.35">
      <c r="A201" t="s">
        <v>1649</v>
      </c>
      <c r="B201" t="s">
        <v>55</v>
      </c>
      <c r="C201" t="s">
        <v>158</v>
      </c>
      <c r="D201" t="s">
        <v>374</v>
      </c>
      <c r="E201" t="s">
        <v>1650</v>
      </c>
      <c r="F201" t="s">
        <v>1651</v>
      </c>
      <c r="G201" t="s">
        <v>1555</v>
      </c>
      <c r="H201" t="s">
        <v>1555</v>
      </c>
      <c r="I201" t="s">
        <v>1571</v>
      </c>
      <c r="J201" t="s">
        <v>1652</v>
      </c>
      <c r="K201" t="s">
        <v>1573</v>
      </c>
      <c r="L201" t="s">
        <v>20</v>
      </c>
      <c r="M201" t="s">
        <v>1653</v>
      </c>
      <c r="N201" t="s">
        <v>1654</v>
      </c>
      <c r="O201" t="s">
        <v>1655</v>
      </c>
      <c r="P201" t="s">
        <v>1656</v>
      </c>
    </row>
    <row r="202" spans="1:16" x14ac:dyDescent="0.35">
      <c r="A202" t="s">
        <v>1657</v>
      </c>
      <c r="B202" t="s">
        <v>55</v>
      </c>
      <c r="C202" t="s">
        <v>28</v>
      </c>
      <c r="D202" t="s">
        <v>28</v>
      </c>
      <c r="E202" t="s">
        <v>1658</v>
      </c>
      <c r="F202" t="s">
        <v>1659</v>
      </c>
      <c r="G202" t="s">
        <v>1555</v>
      </c>
      <c r="H202" t="s">
        <v>1555</v>
      </c>
      <c r="I202" t="s">
        <v>28</v>
      </c>
      <c r="J202" t="s">
        <v>1660</v>
      </c>
      <c r="K202" t="s">
        <v>19</v>
      </c>
      <c r="L202" t="s">
        <v>20</v>
      </c>
      <c r="M202" t="s">
        <v>1653</v>
      </c>
      <c r="N202" t="s">
        <v>1654</v>
      </c>
      <c r="O202" t="s">
        <v>1661</v>
      </c>
      <c r="P202" t="s">
        <v>1662</v>
      </c>
    </row>
    <row r="203" spans="1:16" x14ac:dyDescent="0.35">
      <c r="A203" t="s">
        <v>1663</v>
      </c>
      <c r="B203" t="s">
        <v>55</v>
      </c>
      <c r="C203" t="s">
        <v>474</v>
      </c>
      <c r="D203" t="s">
        <v>549</v>
      </c>
      <c r="E203" t="s">
        <v>1664</v>
      </c>
      <c r="F203" t="s">
        <v>1665</v>
      </c>
      <c r="G203" t="s">
        <v>1555</v>
      </c>
      <c r="H203" t="s">
        <v>1555</v>
      </c>
      <c r="I203" t="s">
        <v>28</v>
      </c>
      <c r="J203" t="s">
        <v>1666</v>
      </c>
      <c r="K203" t="s">
        <v>19</v>
      </c>
      <c r="L203" t="s">
        <v>20</v>
      </c>
      <c r="M203" t="s">
        <v>1556</v>
      </c>
      <c r="N203" t="s">
        <v>1557</v>
      </c>
      <c r="O203" t="s">
        <v>1667</v>
      </c>
      <c r="P203" t="s">
        <v>1668</v>
      </c>
    </row>
    <row r="204" spans="1:16" x14ac:dyDescent="0.35">
      <c r="A204" t="s">
        <v>1320</v>
      </c>
      <c r="B204" t="s">
        <v>55</v>
      </c>
      <c r="C204" t="s">
        <v>241</v>
      </c>
      <c r="D204" t="s">
        <v>1286</v>
      </c>
      <c r="E204" t="s">
        <v>1669</v>
      </c>
      <c r="F204" t="s">
        <v>1670</v>
      </c>
      <c r="G204" t="s">
        <v>1555</v>
      </c>
      <c r="H204" t="s">
        <v>1555</v>
      </c>
      <c r="I204" t="s">
        <v>28</v>
      </c>
      <c r="J204" t="s">
        <v>1671</v>
      </c>
      <c r="K204" t="s">
        <v>19</v>
      </c>
      <c r="L204" t="s">
        <v>20</v>
      </c>
      <c r="M204" t="s">
        <v>1556</v>
      </c>
      <c r="N204" t="s">
        <v>1557</v>
      </c>
      <c r="O204" t="s">
        <v>1672</v>
      </c>
      <c r="P204" t="s">
        <v>1673</v>
      </c>
    </row>
    <row r="205" spans="1:16" x14ac:dyDescent="0.35">
      <c r="A205" t="s">
        <v>1674</v>
      </c>
      <c r="B205" t="s">
        <v>55</v>
      </c>
      <c r="C205" t="s">
        <v>250</v>
      </c>
      <c r="D205" t="s">
        <v>449</v>
      </c>
      <c r="E205" t="s">
        <v>1675</v>
      </c>
      <c r="F205" t="s">
        <v>1676</v>
      </c>
      <c r="G205" t="s">
        <v>1555</v>
      </c>
      <c r="H205" t="s">
        <v>1555</v>
      </c>
      <c r="I205" t="s">
        <v>28</v>
      </c>
      <c r="J205" t="s">
        <v>1677</v>
      </c>
      <c r="K205" t="s">
        <v>19</v>
      </c>
      <c r="L205" t="s">
        <v>20</v>
      </c>
      <c r="M205" t="s">
        <v>1678</v>
      </c>
      <c r="N205" t="s">
        <v>1679</v>
      </c>
      <c r="O205" t="s">
        <v>1680</v>
      </c>
      <c r="P205" t="s">
        <v>1681</v>
      </c>
    </row>
    <row r="206" spans="1:16" x14ac:dyDescent="0.35">
      <c r="A206" t="s">
        <v>1682</v>
      </c>
      <c r="B206" t="s">
        <v>55</v>
      </c>
      <c r="C206" t="s">
        <v>96</v>
      </c>
      <c r="D206" t="s">
        <v>1683</v>
      </c>
      <c r="E206" t="s">
        <v>1684</v>
      </c>
      <c r="F206" t="s">
        <v>1685</v>
      </c>
      <c r="G206" t="s">
        <v>1555</v>
      </c>
      <c r="H206" t="s">
        <v>1555</v>
      </c>
      <c r="I206" t="s">
        <v>1686</v>
      </c>
      <c r="J206" t="s">
        <v>1687</v>
      </c>
      <c r="K206" t="s">
        <v>19</v>
      </c>
      <c r="L206" t="s">
        <v>20</v>
      </c>
      <c r="M206" t="s">
        <v>1688</v>
      </c>
      <c r="N206" t="s">
        <v>1689</v>
      </c>
      <c r="O206" t="s">
        <v>1690</v>
      </c>
      <c r="P206" t="s">
        <v>1691</v>
      </c>
    </row>
    <row r="207" spans="1:16" x14ac:dyDescent="0.35">
      <c r="A207" t="s">
        <v>1692</v>
      </c>
      <c r="B207" t="s">
        <v>55</v>
      </c>
      <c r="C207" t="s">
        <v>15</v>
      </c>
      <c r="D207" t="s">
        <v>16</v>
      </c>
      <c r="E207" t="s">
        <v>1693</v>
      </c>
      <c r="F207" t="s">
        <v>1694</v>
      </c>
      <c r="G207" t="s">
        <v>1555</v>
      </c>
      <c r="H207" t="s">
        <v>1555</v>
      </c>
      <c r="I207" t="s">
        <v>162</v>
      </c>
      <c r="J207" t="s">
        <v>28</v>
      </c>
      <c r="K207" t="s">
        <v>164</v>
      </c>
      <c r="L207" t="s">
        <v>20</v>
      </c>
      <c r="M207" t="s">
        <v>1695</v>
      </c>
      <c r="N207" t="s">
        <v>1696</v>
      </c>
      <c r="O207" t="s">
        <v>1697</v>
      </c>
      <c r="P207" t="s">
        <v>1698</v>
      </c>
    </row>
    <row r="208" spans="1:16" x14ac:dyDescent="0.35">
      <c r="A208" t="s">
        <v>1699</v>
      </c>
      <c r="B208" t="s">
        <v>107</v>
      </c>
      <c r="C208" t="s">
        <v>15</v>
      </c>
      <c r="D208" t="s">
        <v>141</v>
      </c>
      <c r="E208" t="s">
        <v>1700</v>
      </c>
      <c r="F208" t="s">
        <v>1701</v>
      </c>
      <c r="G208" t="s">
        <v>1555</v>
      </c>
      <c r="H208" t="s">
        <v>1555</v>
      </c>
      <c r="I208" t="s">
        <v>28</v>
      </c>
      <c r="J208" t="s">
        <v>28</v>
      </c>
      <c r="K208" t="s">
        <v>19</v>
      </c>
      <c r="L208" t="s">
        <v>20</v>
      </c>
      <c r="M208" t="s">
        <v>1702</v>
      </c>
      <c r="N208" t="s">
        <v>1703</v>
      </c>
      <c r="O208" t="s">
        <v>1704</v>
      </c>
      <c r="P208" t="s">
        <v>1705</v>
      </c>
    </row>
    <row r="209" spans="1:16" x14ac:dyDescent="0.35">
      <c r="A209" t="s">
        <v>482</v>
      </c>
      <c r="B209" t="s">
        <v>55</v>
      </c>
      <c r="C209" t="s">
        <v>158</v>
      </c>
      <c r="D209" t="s">
        <v>1706</v>
      </c>
      <c r="E209" t="s">
        <v>1707</v>
      </c>
      <c r="F209" t="s">
        <v>1708</v>
      </c>
      <c r="G209" t="s">
        <v>1709</v>
      </c>
      <c r="H209" t="s">
        <v>1555</v>
      </c>
      <c r="I209" t="s">
        <v>162</v>
      </c>
      <c r="J209" t="s">
        <v>1710</v>
      </c>
      <c r="K209" t="s">
        <v>164</v>
      </c>
      <c r="L209" t="s">
        <v>20</v>
      </c>
      <c r="M209" t="s">
        <v>1711</v>
      </c>
      <c r="N209" t="s">
        <v>1712</v>
      </c>
      <c r="O209" t="s">
        <v>1713</v>
      </c>
      <c r="P209" t="s">
        <v>1714</v>
      </c>
    </row>
    <row r="210" spans="1:16" x14ac:dyDescent="0.35">
      <c r="A210" t="s">
        <v>1715</v>
      </c>
      <c r="B210" t="s">
        <v>55</v>
      </c>
      <c r="C210" t="s">
        <v>78</v>
      </c>
      <c r="D210" t="s">
        <v>24</v>
      </c>
      <c r="E210" t="s">
        <v>1716</v>
      </c>
      <c r="F210" t="s">
        <v>1717</v>
      </c>
      <c r="G210" t="s">
        <v>1555</v>
      </c>
      <c r="H210" t="s">
        <v>1555</v>
      </c>
      <c r="I210" t="s">
        <v>1718</v>
      </c>
      <c r="J210" t="s">
        <v>1719</v>
      </c>
      <c r="K210" t="s">
        <v>19</v>
      </c>
      <c r="L210" t="s">
        <v>20</v>
      </c>
      <c r="M210" t="s">
        <v>1720</v>
      </c>
      <c r="N210" t="s">
        <v>1721</v>
      </c>
      <c r="O210" t="s">
        <v>1722</v>
      </c>
      <c r="P210" t="s">
        <v>1723</v>
      </c>
    </row>
    <row r="211" spans="1:16" x14ac:dyDescent="0.35">
      <c r="A211" t="s">
        <v>538</v>
      </c>
      <c r="B211" t="s">
        <v>55</v>
      </c>
      <c r="C211" t="s">
        <v>241</v>
      </c>
      <c r="D211" t="s">
        <v>774</v>
      </c>
      <c r="E211" t="s">
        <v>1726</v>
      </c>
      <c r="F211" t="s">
        <v>1727</v>
      </c>
      <c r="G211" t="s">
        <v>1724</v>
      </c>
      <c r="H211" t="s">
        <v>1555</v>
      </c>
      <c r="I211" t="s">
        <v>82</v>
      </c>
      <c r="J211" t="s">
        <v>1728</v>
      </c>
      <c r="K211" t="s">
        <v>84</v>
      </c>
      <c r="L211" t="s">
        <v>20</v>
      </c>
      <c r="M211" t="s">
        <v>1729</v>
      </c>
      <c r="N211" t="s">
        <v>1730</v>
      </c>
      <c r="O211" t="s">
        <v>1731</v>
      </c>
      <c r="P211" t="s">
        <v>1732</v>
      </c>
    </row>
    <row r="212" spans="1:16" x14ac:dyDescent="0.35">
      <c r="A212" t="s">
        <v>1733</v>
      </c>
      <c r="B212" t="s">
        <v>373</v>
      </c>
      <c r="C212" t="s">
        <v>78</v>
      </c>
      <c r="D212" t="s">
        <v>374</v>
      </c>
      <c r="E212" t="s">
        <v>1734</v>
      </c>
      <c r="F212" t="s">
        <v>1735</v>
      </c>
      <c r="G212" t="s">
        <v>1724</v>
      </c>
      <c r="H212" t="s">
        <v>1555</v>
      </c>
      <c r="I212" t="s">
        <v>28</v>
      </c>
      <c r="J212" t="s">
        <v>1736</v>
      </c>
      <c r="K212" t="s">
        <v>19</v>
      </c>
      <c r="L212" t="s">
        <v>20</v>
      </c>
      <c r="M212" t="s">
        <v>1737</v>
      </c>
      <c r="N212" t="s">
        <v>1738</v>
      </c>
      <c r="O212" t="s">
        <v>1739</v>
      </c>
      <c r="P212" t="s">
        <v>1740</v>
      </c>
    </row>
    <row r="213" spans="1:16" x14ac:dyDescent="0.35">
      <c r="A213" t="s">
        <v>1741</v>
      </c>
      <c r="B213" t="s">
        <v>55</v>
      </c>
      <c r="C213" t="s">
        <v>311</v>
      </c>
      <c r="D213" t="s">
        <v>282</v>
      </c>
      <c r="E213" t="s">
        <v>1742</v>
      </c>
      <c r="F213" t="s">
        <v>1743</v>
      </c>
      <c r="G213" t="s">
        <v>1593</v>
      </c>
      <c r="H213" t="s">
        <v>1555</v>
      </c>
      <c r="I213" t="s">
        <v>1744</v>
      </c>
      <c r="J213" t="s">
        <v>1745</v>
      </c>
      <c r="K213" t="s">
        <v>1746</v>
      </c>
      <c r="L213" t="s">
        <v>20</v>
      </c>
      <c r="M213" t="s">
        <v>1747</v>
      </c>
      <c r="N213" t="s">
        <v>1748</v>
      </c>
      <c r="O213" t="s">
        <v>1749</v>
      </c>
      <c r="P213" t="s">
        <v>1750</v>
      </c>
    </row>
    <row r="214" spans="1:16" x14ac:dyDescent="0.35">
      <c r="A214" t="s">
        <v>482</v>
      </c>
      <c r="B214" t="s">
        <v>55</v>
      </c>
      <c r="C214" t="s">
        <v>78</v>
      </c>
      <c r="D214" t="s">
        <v>22</v>
      </c>
      <c r="E214" t="s">
        <v>1751</v>
      </c>
      <c r="F214" t="s">
        <v>1752</v>
      </c>
      <c r="G214" t="s">
        <v>1593</v>
      </c>
      <c r="H214" t="s">
        <v>253</v>
      </c>
      <c r="I214" t="s">
        <v>162</v>
      </c>
      <c r="J214" t="s">
        <v>1753</v>
      </c>
      <c r="K214" t="s">
        <v>164</v>
      </c>
      <c r="L214" t="s">
        <v>20</v>
      </c>
      <c r="M214" t="s">
        <v>1754</v>
      </c>
      <c r="N214" t="s">
        <v>1755</v>
      </c>
      <c r="O214" t="s">
        <v>1756</v>
      </c>
      <c r="P214" t="s">
        <v>1757</v>
      </c>
    </row>
    <row r="215" spans="1:16" x14ac:dyDescent="0.35">
      <c r="A215" t="s">
        <v>538</v>
      </c>
      <c r="B215" t="s">
        <v>55</v>
      </c>
      <c r="C215" t="s">
        <v>241</v>
      </c>
      <c r="D215" t="s">
        <v>449</v>
      </c>
      <c r="E215" t="s">
        <v>1758</v>
      </c>
      <c r="F215" t="s">
        <v>1759</v>
      </c>
      <c r="G215" t="s">
        <v>1592</v>
      </c>
      <c r="H215" t="s">
        <v>1555</v>
      </c>
      <c r="I215" t="s">
        <v>82</v>
      </c>
      <c r="J215" t="s">
        <v>1760</v>
      </c>
      <c r="K215" t="s">
        <v>84</v>
      </c>
      <c r="L215" t="s">
        <v>20</v>
      </c>
      <c r="M215" t="s">
        <v>1761</v>
      </c>
      <c r="N215" t="s">
        <v>1762</v>
      </c>
      <c r="O215" t="s">
        <v>1763</v>
      </c>
      <c r="P215" t="s">
        <v>1764</v>
      </c>
    </row>
    <row r="216" spans="1:16" x14ac:dyDescent="0.35">
      <c r="A216" t="s">
        <v>1765</v>
      </c>
      <c r="B216" t="s">
        <v>55</v>
      </c>
      <c r="C216" t="s">
        <v>78</v>
      </c>
      <c r="D216" t="s">
        <v>614</v>
      </c>
      <c r="E216" t="s">
        <v>1766</v>
      </c>
      <c r="F216" t="s">
        <v>1767</v>
      </c>
      <c r="G216" t="s">
        <v>1768</v>
      </c>
      <c r="H216" t="s">
        <v>1555</v>
      </c>
      <c r="I216" t="s">
        <v>1769</v>
      </c>
      <c r="J216" t="s">
        <v>1770</v>
      </c>
      <c r="K216" t="s">
        <v>1771</v>
      </c>
      <c r="L216" t="s">
        <v>20</v>
      </c>
      <c r="M216" t="s">
        <v>1772</v>
      </c>
      <c r="N216" t="s">
        <v>1773</v>
      </c>
      <c r="O216" t="s">
        <v>1774</v>
      </c>
      <c r="P216" t="s">
        <v>1775</v>
      </c>
    </row>
    <row r="217" spans="1:16" x14ac:dyDescent="0.35">
      <c r="A217" t="s">
        <v>310</v>
      </c>
      <c r="B217" t="s">
        <v>55</v>
      </c>
      <c r="C217" t="s">
        <v>15</v>
      </c>
      <c r="D217" t="s">
        <v>124</v>
      </c>
      <c r="E217" t="s">
        <v>1776</v>
      </c>
      <c r="F217" t="s">
        <v>1777</v>
      </c>
      <c r="G217" t="s">
        <v>1778</v>
      </c>
      <c r="H217" t="s">
        <v>1555</v>
      </c>
      <c r="I217" t="s">
        <v>82</v>
      </c>
      <c r="J217" t="s">
        <v>1779</v>
      </c>
      <c r="K217" t="s">
        <v>84</v>
      </c>
      <c r="L217" t="s">
        <v>20</v>
      </c>
      <c r="M217" t="s">
        <v>1780</v>
      </c>
      <c r="N217" t="s">
        <v>1781</v>
      </c>
      <c r="O217" t="s">
        <v>1782</v>
      </c>
      <c r="P217" t="s">
        <v>1783</v>
      </c>
    </row>
    <row r="218" spans="1:16" x14ac:dyDescent="0.35">
      <c r="A218" t="s">
        <v>1784</v>
      </c>
      <c r="B218" t="s">
        <v>32</v>
      </c>
      <c r="C218" t="s">
        <v>430</v>
      </c>
      <c r="D218" t="s">
        <v>1785</v>
      </c>
      <c r="E218" t="s">
        <v>1786</v>
      </c>
      <c r="F218" t="s">
        <v>1787</v>
      </c>
      <c r="G218" t="s">
        <v>1788</v>
      </c>
      <c r="H218" t="s">
        <v>1788</v>
      </c>
      <c r="I218" t="s">
        <v>1789</v>
      </c>
      <c r="J218" t="s">
        <v>1790</v>
      </c>
      <c r="K218" t="s">
        <v>19</v>
      </c>
      <c r="L218" t="s">
        <v>20</v>
      </c>
      <c r="M218" t="s">
        <v>1791</v>
      </c>
      <c r="N218" t="s">
        <v>1792</v>
      </c>
      <c r="O218" t="s">
        <v>1793</v>
      </c>
      <c r="P218" t="s">
        <v>1794</v>
      </c>
    </row>
    <row r="219" spans="1:16" x14ac:dyDescent="0.35">
      <c r="A219" t="s">
        <v>1799</v>
      </c>
      <c r="B219" t="s">
        <v>55</v>
      </c>
      <c r="C219" t="s">
        <v>241</v>
      </c>
      <c r="D219" t="s">
        <v>614</v>
      </c>
      <c r="E219" t="s">
        <v>1800</v>
      </c>
      <c r="F219" t="s">
        <v>1801</v>
      </c>
      <c r="G219" t="s">
        <v>1788</v>
      </c>
      <c r="H219" t="s">
        <v>1788</v>
      </c>
      <c r="I219" t="s">
        <v>28</v>
      </c>
      <c r="J219" t="s">
        <v>1802</v>
      </c>
      <c r="K219" t="s">
        <v>19</v>
      </c>
      <c r="L219" t="s">
        <v>20</v>
      </c>
      <c r="M219" t="s">
        <v>1796</v>
      </c>
      <c r="N219" t="s">
        <v>1797</v>
      </c>
      <c r="O219" t="s">
        <v>1803</v>
      </c>
      <c r="P219" t="s">
        <v>1804</v>
      </c>
    </row>
    <row r="220" spans="1:16" x14ac:dyDescent="0.35">
      <c r="A220" t="s">
        <v>1805</v>
      </c>
      <c r="B220" t="s">
        <v>32</v>
      </c>
      <c r="C220" t="s">
        <v>1128</v>
      </c>
      <c r="D220" t="s">
        <v>374</v>
      </c>
      <c r="E220" t="s">
        <v>1806</v>
      </c>
      <c r="F220" t="s">
        <v>1807</v>
      </c>
      <c r="G220" t="s">
        <v>1788</v>
      </c>
      <c r="H220" t="s">
        <v>1788</v>
      </c>
      <c r="I220" t="s">
        <v>1789</v>
      </c>
      <c r="J220" t="s">
        <v>1808</v>
      </c>
      <c r="K220" t="s">
        <v>19</v>
      </c>
      <c r="L220" t="s">
        <v>20</v>
      </c>
      <c r="M220" t="s">
        <v>1796</v>
      </c>
      <c r="N220" t="s">
        <v>1797</v>
      </c>
      <c r="O220" t="s">
        <v>1809</v>
      </c>
      <c r="P220" t="s">
        <v>915</v>
      </c>
    </row>
    <row r="221" spans="1:16" x14ac:dyDescent="0.35">
      <c r="A221" t="s">
        <v>1810</v>
      </c>
      <c r="B221" t="s">
        <v>32</v>
      </c>
      <c r="C221" t="s">
        <v>699</v>
      </c>
      <c r="D221" t="s">
        <v>282</v>
      </c>
      <c r="E221" t="s">
        <v>1811</v>
      </c>
      <c r="F221" t="s">
        <v>1812</v>
      </c>
      <c r="G221" t="s">
        <v>1788</v>
      </c>
      <c r="H221" t="s">
        <v>1788</v>
      </c>
      <c r="I221" t="s">
        <v>1789</v>
      </c>
      <c r="J221" t="s">
        <v>1813</v>
      </c>
      <c r="K221" t="s">
        <v>19</v>
      </c>
      <c r="L221" t="s">
        <v>20</v>
      </c>
      <c r="M221" t="s">
        <v>1796</v>
      </c>
      <c r="N221" t="s">
        <v>1797</v>
      </c>
      <c r="O221" t="s">
        <v>1814</v>
      </c>
      <c r="P221" t="s">
        <v>1815</v>
      </c>
    </row>
    <row r="222" spans="1:16" x14ac:dyDescent="0.35">
      <c r="A222" t="s">
        <v>1818</v>
      </c>
      <c r="B222" t="s">
        <v>55</v>
      </c>
      <c r="C222" t="s">
        <v>28</v>
      </c>
      <c r="D222" t="s">
        <v>28</v>
      </c>
      <c r="E222" t="s">
        <v>1819</v>
      </c>
      <c r="F222" t="s">
        <v>1820</v>
      </c>
      <c r="G222" t="s">
        <v>1788</v>
      </c>
      <c r="H222" t="s">
        <v>1788</v>
      </c>
      <c r="I222" t="s">
        <v>1821</v>
      </c>
      <c r="J222" t="s">
        <v>1822</v>
      </c>
      <c r="K222" t="s">
        <v>1823</v>
      </c>
      <c r="L222" t="s">
        <v>20</v>
      </c>
      <c r="M222" t="s">
        <v>1796</v>
      </c>
      <c r="N222" t="s">
        <v>1797</v>
      </c>
      <c r="O222" t="s">
        <v>1824</v>
      </c>
      <c r="P222" t="s">
        <v>1825</v>
      </c>
    </row>
    <row r="223" spans="1:16" x14ac:dyDescent="0.35">
      <c r="A223" t="s">
        <v>1826</v>
      </c>
      <c r="B223" t="s">
        <v>32</v>
      </c>
      <c r="C223" t="s">
        <v>548</v>
      </c>
      <c r="D223" t="s">
        <v>312</v>
      </c>
      <c r="E223" t="s">
        <v>1827</v>
      </c>
      <c r="F223" t="s">
        <v>1828</v>
      </c>
      <c r="G223" t="s">
        <v>1788</v>
      </c>
      <c r="H223" t="s">
        <v>1788</v>
      </c>
      <c r="I223" t="s">
        <v>1789</v>
      </c>
      <c r="J223" t="s">
        <v>1829</v>
      </c>
      <c r="K223" t="s">
        <v>19</v>
      </c>
      <c r="L223" t="s">
        <v>20</v>
      </c>
      <c r="M223" t="s">
        <v>1830</v>
      </c>
      <c r="N223" t="s">
        <v>1831</v>
      </c>
      <c r="O223" t="s">
        <v>1832</v>
      </c>
      <c r="P223" t="s">
        <v>1833</v>
      </c>
    </row>
    <row r="224" spans="1:16" x14ac:dyDescent="0.35">
      <c r="A224" t="s">
        <v>1834</v>
      </c>
      <c r="B224" t="s">
        <v>32</v>
      </c>
      <c r="C224" t="s">
        <v>1816</v>
      </c>
      <c r="D224" t="s">
        <v>324</v>
      </c>
      <c r="E224" t="s">
        <v>1835</v>
      </c>
      <c r="F224" t="s">
        <v>1836</v>
      </c>
      <c r="G224" t="s">
        <v>1788</v>
      </c>
      <c r="H224" t="s">
        <v>1788</v>
      </c>
      <c r="I224" t="s">
        <v>28</v>
      </c>
      <c r="J224" t="s">
        <v>1837</v>
      </c>
      <c r="K224" t="s">
        <v>19</v>
      </c>
      <c r="L224" t="s">
        <v>20</v>
      </c>
      <c r="M224" t="s">
        <v>1830</v>
      </c>
      <c r="N224" t="s">
        <v>1831</v>
      </c>
      <c r="O224" t="s">
        <v>1838</v>
      </c>
      <c r="P224" t="s">
        <v>1839</v>
      </c>
    </row>
    <row r="225" spans="1:16" x14ac:dyDescent="0.35">
      <c r="A225" t="s">
        <v>1840</v>
      </c>
      <c r="B225" t="s">
        <v>32</v>
      </c>
      <c r="C225" t="s">
        <v>962</v>
      </c>
      <c r="D225" t="s">
        <v>324</v>
      </c>
      <c r="E225" t="s">
        <v>1841</v>
      </c>
      <c r="F225" t="s">
        <v>1842</v>
      </c>
      <c r="G225" t="s">
        <v>1788</v>
      </c>
      <c r="H225" t="s">
        <v>1788</v>
      </c>
      <c r="I225" t="s">
        <v>1789</v>
      </c>
      <c r="J225" t="s">
        <v>1843</v>
      </c>
      <c r="K225" t="s">
        <v>19</v>
      </c>
      <c r="L225" t="s">
        <v>20</v>
      </c>
      <c r="M225" t="s">
        <v>1830</v>
      </c>
      <c r="N225" t="s">
        <v>1831</v>
      </c>
      <c r="O225" t="s">
        <v>1844</v>
      </c>
      <c r="P225" t="s">
        <v>1845</v>
      </c>
    </row>
    <row r="226" spans="1:16" x14ac:dyDescent="0.35">
      <c r="A226" t="s">
        <v>1846</v>
      </c>
      <c r="B226" t="s">
        <v>55</v>
      </c>
      <c r="C226" t="s">
        <v>28</v>
      </c>
      <c r="D226" t="s">
        <v>28</v>
      </c>
      <c r="E226" t="s">
        <v>1847</v>
      </c>
      <c r="F226" t="s">
        <v>1848</v>
      </c>
      <c r="G226" t="s">
        <v>1788</v>
      </c>
      <c r="H226" t="s">
        <v>1788</v>
      </c>
      <c r="I226" t="s">
        <v>1789</v>
      </c>
      <c r="J226" t="s">
        <v>1849</v>
      </c>
      <c r="K226" t="s">
        <v>19</v>
      </c>
      <c r="L226" t="s">
        <v>20</v>
      </c>
      <c r="M226" t="s">
        <v>1850</v>
      </c>
      <c r="N226" t="s">
        <v>1851</v>
      </c>
      <c r="O226" t="s">
        <v>1852</v>
      </c>
      <c r="P226" t="s">
        <v>1853</v>
      </c>
    </row>
    <row r="227" spans="1:16" x14ac:dyDescent="0.35">
      <c r="A227" t="s">
        <v>1854</v>
      </c>
      <c r="B227" t="s">
        <v>32</v>
      </c>
      <c r="C227" t="s">
        <v>548</v>
      </c>
      <c r="D227" t="s">
        <v>348</v>
      </c>
      <c r="E227" t="s">
        <v>1855</v>
      </c>
      <c r="F227" t="s">
        <v>1856</v>
      </c>
      <c r="G227" t="s">
        <v>1788</v>
      </c>
      <c r="H227" t="s">
        <v>1788</v>
      </c>
      <c r="I227" t="s">
        <v>1789</v>
      </c>
      <c r="J227" t="s">
        <v>1857</v>
      </c>
      <c r="K227" t="s">
        <v>19</v>
      </c>
      <c r="L227" t="s">
        <v>20</v>
      </c>
      <c r="M227" t="s">
        <v>1858</v>
      </c>
      <c r="N227" t="s">
        <v>1859</v>
      </c>
      <c r="O227" t="s">
        <v>1860</v>
      </c>
      <c r="P227" t="s">
        <v>1861</v>
      </c>
    </row>
    <row r="228" spans="1:16" x14ac:dyDescent="0.35">
      <c r="A228" t="s">
        <v>1862</v>
      </c>
      <c r="B228" t="s">
        <v>55</v>
      </c>
      <c r="C228" t="s">
        <v>78</v>
      </c>
      <c r="D228" t="s">
        <v>1863</v>
      </c>
      <c r="E228" t="s">
        <v>1864</v>
      </c>
      <c r="F228" t="s">
        <v>1865</v>
      </c>
      <c r="G228" t="s">
        <v>1788</v>
      </c>
      <c r="H228" t="s">
        <v>1788</v>
      </c>
      <c r="I228" t="s">
        <v>28</v>
      </c>
      <c r="J228" t="s">
        <v>28</v>
      </c>
      <c r="K228" t="s">
        <v>19</v>
      </c>
      <c r="L228" t="s">
        <v>20</v>
      </c>
      <c r="M228" t="s">
        <v>1858</v>
      </c>
      <c r="N228" t="s">
        <v>1859</v>
      </c>
      <c r="O228" t="s">
        <v>1866</v>
      </c>
      <c r="P228" t="s">
        <v>1867</v>
      </c>
    </row>
    <row r="229" spans="1:16" x14ac:dyDescent="0.35">
      <c r="A229" t="s">
        <v>1870</v>
      </c>
      <c r="B229" t="s">
        <v>32</v>
      </c>
      <c r="C229" t="s">
        <v>962</v>
      </c>
      <c r="D229" t="s">
        <v>348</v>
      </c>
      <c r="E229" t="s">
        <v>1871</v>
      </c>
      <c r="F229" t="s">
        <v>1872</v>
      </c>
      <c r="G229" t="s">
        <v>1788</v>
      </c>
      <c r="H229" t="s">
        <v>1788</v>
      </c>
      <c r="I229" t="s">
        <v>1789</v>
      </c>
      <c r="J229" t="s">
        <v>1873</v>
      </c>
      <c r="K229" t="s">
        <v>1874</v>
      </c>
      <c r="L229" t="s">
        <v>20</v>
      </c>
      <c r="M229" t="s">
        <v>1868</v>
      </c>
      <c r="N229" t="s">
        <v>1869</v>
      </c>
      <c r="O229" t="s">
        <v>1875</v>
      </c>
      <c r="P229" t="s">
        <v>1876</v>
      </c>
    </row>
    <row r="230" spans="1:16" x14ac:dyDescent="0.35">
      <c r="A230" t="s">
        <v>1877</v>
      </c>
      <c r="B230" t="s">
        <v>55</v>
      </c>
      <c r="C230" t="s">
        <v>28</v>
      </c>
      <c r="D230" t="s">
        <v>28</v>
      </c>
      <c r="E230" t="s">
        <v>1878</v>
      </c>
      <c r="F230" t="s">
        <v>1879</v>
      </c>
      <c r="G230" t="s">
        <v>1788</v>
      </c>
      <c r="H230" t="s">
        <v>1788</v>
      </c>
      <c r="I230" t="s">
        <v>1880</v>
      </c>
      <c r="J230" t="s">
        <v>1881</v>
      </c>
      <c r="K230" t="s">
        <v>1882</v>
      </c>
      <c r="L230" t="s">
        <v>20</v>
      </c>
      <c r="M230" t="s">
        <v>1868</v>
      </c>
      <c r="N230" t="s">
        <v>1869</v>
      </c>
      <c r="O230" t="s">
        <v>1883</v>
      </c>
      <c r="P230" t="s">
        <v>1884</v>
      </c>
    </row>
    <row r="231" spans="1:16" x14ac:dyDescent="0.35">
      <c r="A231" t="s">
        <v>1887</v>
      </c>
      <c r="B231" t="s">
        <v>32</v>
      </c>
      <c r="C231" t="s">
        <v>96</v>
      </c>
      <c r="D231" t="s">
        <v>449</v>
      </c>
      <c r="E231" t="s">
        <v>1888</v>
      </c>
      <c r="F231" t="s">
        <v>1889</v>
      </c>
      <c r="G231" t="s">
        <v>1788</v>
      </c>
      <c r="H231" t="s">
        <v>1788</v>
      </c>
      <c r="I231" t="s">
        <v>234</v>
      </c>
      <c r="J231" t="s">
        <v>1890</v>
      </c>
      <c r="K231" t="s">
        <v>19</v>
      </c>
      <c r="L231" t="s">
        <v>20</v>
      </c>
      <c r="M231" t="s">
        <v>1885</v>
      </c>
      <c r="N231" t="s">
        <v>1886</v>
      </c>
      <c r="O231" t="s">
        <v>1891</v>
      </c>
      <c r="P231" t="s">
        <v>1892</v>
      </c>
    </row>
    <row r="232" spans="1:16" x14ac:dyDescent="0.35">
      <c r="A232" t="s">
        <v>1895</v>
      </c>
      <c r="B232" t="s">
        <v>32</v>
      </c>
      <c r="C232" t="s">
        <v>170</v>
      </c>
      <c r="D232" t="s">
        <v>1683</v>
      </c>
      <c r="E232" t="s">
        <v>1896</v>
      </c>
      <c r="F232" t="s">
        <v>1897</v>
      </c>
      <c r="G232" t="s">
        <v>1788</v>
      </c>
      <c r="H232" t="s">
        <v>1788</v>
      </c>
      <c r="I232" t="s">
        <v>1789</v>
      </c>
      <c r="J232" t="s">
        <v>1898</v>
      </c>
      <c r="K232" t="s">
        <v>19</v>
      </c>
      <c r="L232" t="s">
        <v>20</v>
      </c>
      <c r="M232" t="s">
        <v>1893</v>
      </c>
      <c r="N232" t="s">
        <v>1894</v>
      </c>
      <c r="O232" t="s">
        <v>1899</v>
      </c>
      <c r="P232" t="s">
        <v>1900</v>
      </c>
    </row>
    <row r="233" spans="1:16" x14ac:dyDescent="0.35">
      <c r="A233" t="s">
        <v>1901</v>
      </c>
      <c r="B233" t="s">
        <v>55</v>
      </c>
      <c r="C233" t="s">
        <v>1902</v>
      </c>
      <c r="D233" t="s">
        <v>324</v>
      </c>
      <c r="E233" t="s">
        <v>1903</v>
      </c>
      <c r="F233" t="s">
        <v>1904</v>
      </c>
      <c r="G233" t="s">
        <v>1788</v>
      </c>
      <c r="H233" t="s">
        <v>1788</v>
      </c>
      <c r="I233" t="s">
        <v>1789</v>
      </c>
      <c r="J233" t="s">
        <v>1905</v>
      </c>
      <c r="K233" t="s">
        <v>19</v>
      </c>
      <c r="L233" t="s">
        <v>20</v>
      </c>
      <c r="M233" t="s">
        <v>1893</v>
      </c>
      <c r="N233" t="s">
        <v>1894</v>
      </c>
      <c r="O233" t="s">
        <v>1906</v>
      </c>
      <c r="P233" t="s">
        <v>1907</v>
      </c>
    </row>
    <row r="234" spans="1:16" x14ac:dyDescent="0.35">
      <c r="A234" t="s">
        <v>1910</v>
      </c>
      <c r="B234" t="s">
        <v>32</v>
      </c>
      <c r="C234" t="s">
        <v>28</v>
      </c>
      <c r="D234" t="s">
        <v>28</v>
      </c>
      <c r="E234" t="s">
        <v>1911</v>
      </c>
      <c r="F234" t="s">
        <v>1912</v>
      </c>
      <c r="G234" t="s">
        <v>1788</v>
      </c>
      <c r="H234" t="s">
        <v>1788</v>
      </c>
      <c r="I234" t="s">
        <v>28</v>
      </c>
      <c r="J234" t="s">
        <v>1913</v>
      </c>
      <c r="K234" t="s">
        <v>19</v>
      </c>
      <c r="L234" t="s">
        <v>20</v>
      </c>
      <c r="M234" t="s">
        <v>1908</v>
      </c>
      <c r="N234" t="s">
        <v>1909</v>
      </c>
      <c r="O234" t="s">
        <v>1914</v>
      </c>
      <c r="P234" t="s">
        <v>1915</v>
      </c>
    </row>
    <row r="235" spans="1:16" x14ac:dyDescent="0.35">
      <c r="A235" t="s">
        <v>538</v>
      </c>
      <c r="B235" t="s">
        <v>55</v>
      </c>
      <c r="C235" t="s">
        <v>158</v>
      </c>
      <c r="D235" t="s">
        <v>1918</v>
      </c>
      <c r="E235" t="s">
        <v>1919</v>
      </c>
      <c r="F235" t="s">
        <v>1920</v>
      </c>
      <c r="G235" t="s">
        <v>1788</v>
      </c>
      <c r="H235" t="s">
        <v>1788</v>
      </c>
      <c r="I235" t="s">
        <v>82</v>
      </c>
      <c r="J235" t="s">
        <v>1921</v>
      </c>
      <c r="K235" t="s">
        <v>84</v>
      </c>
      <c r="L235" t="s">
        <v>20</v>
      </c>
      <c r="M235" t="s">
        <v>1916</v>
      </c>
      <c r="N235" t="s">
        <v>1917</v>
      </c>
      <c r="O235" t="s">
        <v>1922</v>
      </c>
      <c r="P235" t="s">
        <v>1923</v>
      </c>
    </row>
    <row r="236" spans="1:16" x14ac:dyDescent="0.35">
      <c r="A236" t="s">
        <v>1924</v>
      </c>
      <c r="B236" t="s">
        <v>55</v>
      </c>
      <c r="C236" t="s">
        <v>28</v>
      </c>
      <c r="D236" t="s">
        <v>28</v>
      </c>
      <c r="E236" t="s">
        <v>1925</v>
      </c>
      <c r="F236" t="s">
        <v>1926</v>
      </c>
      <c r="G236" t="s">
        <v>1788</v>
      </c>
      <c r="H236" t="s">
        <v>1788</v>
      </c>
      <c r="I236" t="s">
        <v>1927</v>
      </c>
      <c r="J236" t="s">
        <v>1928</v>
      </c>
      <c r="K236" t="s">
        <v>19</v>
      </c>
      <c r="L236" t="s">
        <v>20</v>
      </c>
      <c r="M236" t="s">
        <v>1929</v>
      </c>
      <c r="N236" t="s">
        <v>1930</v>
      </c>
      <c r="O236" t="s">
        <v>1931</v>
      </c>
      <c r="P236" t="s">
        <v>1932</v>
      </c>
    </row>
    <row r="237" spans="1:16" x14ac:dyDescent="0.35">
      <c r="A237" t="s">
        <v>1933</v>
      </c>
      <c r="B237" t="s">
        <v>55</v>
      </c>
      <c r="C237" t="s">
        <v>311</v>
      </c>
      <c r="D237" t="s">
        <v>1328</v>
      </c>
      <c r="E237" t="s">
        <v>1934</v>
      </c>
      <c r="F237" t="s">
        <v>1935</v>
      </c>
      <c r="G237" t="s">
        <v>1788</v>
      </c>
      <c r="H237" t="s">
        <v>1788</v>
      </c>
      <c r="I237" t="s">
        <v>1936</v>
      </c>
      <c r="J237" t="s">
        <v>1937</v>
      </c>
      <c r="K237" t="s">
        <v>1938</v>
      </c>
      <c r="L237" t="s">
        <v>20</v>
      </c>
      <c r="M237" t="s">
        <v>1929</v>
      </c>
      <c r="N237" t="s">
        <v>1930</v>
      </c>
      <c r="O237" t="s">
        <v>1939</v>
      </c>
      <c r="P237" t="s">
        <v>1940</v>
      </c>
    </row>
    <row r="238" spans="1:16" x14ac:dyDescent="0.35">
      <c r="A238" t="s">
        <v>1941</v>
      </c>
      <c r="B238" t="s">
        <v>55</v>
      </c>
      <c r="C238" t="s">
        <v>140</v>
      </c>
      <c r="D238" t="s">
        <v>965</v>
      </c>
      <c r="E238" t="s">
        <v>1942</v>
      </c>
      <c r="F238" t="s">
        <v>1943</v>
      </c>
      <c r="G238" t="s">
        <v>1788</v>
      </c>
      <c r="H238" t="s">
        <v>1788</v>
      </c>
      <c r="I238" t="s">
        <v>1725</v>
      </c>
      <c r="J238" t="s">
        <v>1944</v>
      </c>
      <c r="K238" t="s">
        <v>19</v>
      </c>
      <c r="L238" t="s">
        <v>20</v>
      </c>
      <c r="M238" t="s">
        <v>1929</v>
      </c>
      <c r="N238" t="s">
        <v>1930</v>
      </c>
      <c r="O238" t="s">
        <v>1945</v>
      </c>
      <c r="P238" t="s">
        <v>1946</v>
      </c>
    </row>
    <row r="239" spans="1:16" x14ac:dyDescent="0.35">
      <c r="A239" t="s">
        <v>1947</v>
      </c>
      <c r="B239" t="s">
        <v>55</v>
      </c>
      <c r="C239" t="s">
        <v>28</v>
      </c>
      <c r="D239" t="s">
        <v>28</v>
      </c>
      <c r="E239" t="s">
        <v>1948</v>
      </c>
      <c r="F239" t="s">
        <v>1949</v>
      </c>
      <c r="G239" t="s">
        <v>1788</v>
      </c>
      <c r="H239" t="s">
        <v>1788</v>
      </c>
      <c r="I239" t="s">
        <v>28</v>
      </c>
      <c r="J239" t="s">
        <v>1950</v>
      </c>
      <c r="K239" t="s">
        <v>19</v>
      </c>
      <c r="L239" t="s">
        <v>20</v>
      </c>
      <c r="M239" t="s">
        <v>1893</v>
      </c>
      <c r="N239" t="s">
        <v>1894</v>
      </c>
      <c r="O239" t="s">
        <v>1951</v>
      </c>
      <c r="P239" t="s">
        <v>1952</v>
      </c>
    </row>
    <row r="240" spans="1:16" x14ac:dyDescent="0.35">
      <c r="A240" t="s">
        <v>31</v>
      </c>
      <c r="B240" t="s">
        <v>32</v>
      </c>
      <c r="C240" t="s">
        <v>28</v>
      </c>
      <c r="D240" t="s">
        <v>28</v>
      </c>
      <c r="E240" t="s">
        <v>28</v>
      </c>
      <c r="F240" t="s">
        <v>1953</v>
      </c>
      <c r="G240" t="s">
        <v>1954</v>
      </c>
      <c r="H240" t="s">
        <v>1788</v>
      </c>
      <c r="I240" t="s">
        <v>28</v>
      </c>
      <c r="J240" t="s">
        <v>1955</v>
      </c>
      <c r="K240" t="s">
        <v>19</v>
      </c>
      <c r="L240" t="s">
        <v>20</v>
      </c>
      <c r="M240" t="s">
        <v>1956</v>
      </c>
      <c r="N240" t="s">
        <v>1957</v>
      </c>
      <c r="O240" t="s">
        <v>1958</v>
      </c>
      <c r="P240" t="s">
        <v>915</v>
      </c>
    </row>
    <row r="241" spans="1:16" x14ac:dyDescent="0.35">
      <c r="A241" t="s">
        <v>1960</v>
      </c>
      <c r="B241" t="s">
        <v>55</v>
      </c>
      <c r="C241" t="s">
        <v>15</v>
      </c>
      <c r="D241" t="s">
        <v>68</v>
      </c>
      <c r="E241" t="s">
        <v>1961</v>
      </c>
      <c r="F241" t="s">
        <v>1962</v>
      </c>
      <c r="G241" t="s">
        <v>1788</v>
      </c>
      <c r="H241" t="s">
        <v>1788</v>
      </c>
      <c r="I241" t="s">
        <v>1963</v>
      </c>
      <c r="J241" t="s">
        <v>1964</v>
      </c>
      <c r="K241" t="s">
        <v>1965</v>
      </c>
      <c r="L241" t="s">
        <v>20</v>
      </c>
      <c r="M241" t="s">
        <v>1966</v>
      </c>
      <c r="N241" t="s">
        <v>1967</v>
      </c>
      <c r="O241" t="s">
        <v>1968</v>
      </c>
      <c r="P241" t="s">
        <v>1969</v>
      </c>
    </row>
    <row r="242" spans="1:16" x14ac:dyDescent="0.35">
      <c r="A242" t="s">
        <v>1970</v>
      </c>
      <c r="B242" t="s">
        <v>55</v>
      </c>
      <c r="C242" t="s">
        <v>15</v>
      </c>
      <c r="D242" t="s">
        <v>27</v>
      </c>
      <c r="E242" t="s">
        <v>1971</v>
      </c>
      <c r="F242" t="s">
        <v>1972</v>
      </c>
      <c r="G242" t="s">
        <v>1788</v>
      </c>
      <c r="H242" t="s">
        <v>1788</v>
      </c>
      <c r="I242" t="s">
        <v>1973</v>
      </c>
      <c r="J242" t="s">
        <v>1974</v>
      </c>
      <c r="K242" t="s">
        <v>1975</v>
      </c>
      <c r="L242" t="s">
        <v>20</v>
      </c>
      <c r="M242" t="s">
        <v>1966</v>
      </c>
      <c r="N242" t="s">
        <v>1967</v>
      </c>
      <c r="O242" t="s">
        <v>1976</v>
      </c>
      <c r="P242" t="s">
        <v>1977</v>
      </c>
    </row>
    <row r="243" spans="1:16" x14ac:dyDescent="0.35">
      <c r="A243" t="s">
        <v>1980</v>
      </c>
      <c r="B243" t="s">
        <v>55</v>
      </c>
      <c r="C243" t="s">
        <v>15</v>
      </c>
      <c r="D243" t="s">
        <v>27</v>
      </c>
      <c r="E243" t="s">
        <v>1981</v>
      </c>
      <c r="F243" t="s">
        <v>1982</v>
      </c>
      <c r="G243" t="s">
        <v>1788</v>
      </c>
      <c r="H243" t="s">
        <v>1788</v>
      </c>
      <c r="I243" t="s">
        <v>28</v>
      </c>
      <c r="J243" t="s">
        <v>1983</v>
      </c>
      <c r="K243" t="s">
        <v>19</v>
      </c>
      <c r="L243" t="s">
        <v>20</v>
      </c>
      <c r="M243" t="s">
        <v>1978</v>
      </c>
      <c r="N243" t="s">
        <v>1979</v>
      </c>
      <c r="O243" t="s">
        <v>1984</v>
      </c>
      <c r="P243" t="s">
        <v>1985</v>
      </c>
    </row>
    <row r="244" spans="1:16" x14ac:dyDescent="0.35">
      <c r="A244" t="s">
        <v>482</v>
      </c>
      <c r="B244" t="s">
        <v>55</v>
      </c>
      <c r="C244" t="s">
        <v>158</v>
      </c>
      <c r="D244" t="s">
        <v>1986</v>
      </c>
      <c r="E244" t="s">
        <v>1987</v>
      </c>
      <c r="F244" t="s">
        <v>1988</v>
      </c>
      <c r="G244" t="s">
        <v>1788</v>
      </c>
      <c r="H244" t="s">
        <v>1788</v>
      </c>
      <c r="I244" t="s">
        <v>162</v>
      </c>
      <c r="J244" t="s">
        <v>1989</v>
      </c>
      <c r="K244" t="s">
        <v>164</v>
      </c>
      <c r="L244" t="s">
        <v>20</v>
      </c>
      <c r="M244" t="s">
        <v>1978</v>
      </c>
      <c r="N244" t="s">
        <v>1979</v>
      </c>
      <c r="O244" t="s">
        <v>1990</v>
      </c>
      <c r="P244" t="s">
        <v>1991</v>
      </c>
    </row>
    <row r="245" spans="1:16" x14ac:dyDescent="0.35">
      <c r="A245" t="s">
        <v>538</v>
      </c>
      <c r="B245" t="s">
        <v>55</v>
      </c>
      <c r="C245" t="s">
        <v>15</v>
      </c>
      <c r="D245" t="s">
        <v>27</v>
      </c>
      <c r="E245" t="s">
        <v>1992</v>
      </c>
      <c r="F245" t="s">
        <v>1993</v>
      </c>
      <c r="G245" t="s">
        <v>1788</v>
      </c>
      <c r="H245" t="s">
        <v>1788</v>
      </c>
      <c r="I245" t="s">
        <v>82</v>
      </c>
      <c r="J245" t="s">
        <v>1994</v>
      </c>
      <c r="K245" t="s">
        <v>84</v>
      </c>
      <c r="L245" t="s">
        <v>20</v>
      </c>
      <c r="M245" t="s">
        <v>1978</v>
      </c>
      <c r="N245" t="s">
        <v>1979</v>
      </c>
      <c r="O245" t="s">
        <v>1995</v>
      </c>
      <c r="P245" t="s">
        <v>1996</v>
      </c>
    </row>
    <row r="246" spans="1:16" x14ac:dyDescent="0.35">
      <c r="A246" t="s">
        <v>1997</v>
      </c>
      <c r="B246" t="s">
        <v>55</v>
      </c>
      <c r="C246" t="s">
        <v>25</v>
      </c>
      <c r="D246" t="s">
        <v>16</v>
      </c>
      <c r="E246" t="s">
        <v>1998</v>
      </c>
      <c r="F246" t="s">
        <v>1999</v>
      </c>
      <c r="G246" t="s">
        <v>2000</v>
      </c>
      <c r="H246" t="s">
        <v>1788</v>
      </c>
      <c r="I246" t="s">
        <v>28</v>
      </c>
      <c r="J246" t="s">
        <v>28</v>
      </c>
      <c r="K246" t="s">
        <v>19</v>
      </c>
      <c r="L246" t="s">
        <v>20</v>
      </c>
      <c r="M246" t="s">
        <v>2001</v>
      </c>
      <c r="N246" t="s">
        <v>2002</v>
      </c>
      <c r="O246" t="s">
        <v>2003</v>
      </c>
      <c r="P246" t="s">
        <v>2004</v>
      </c>
    </row>
    <row r="247" spans="1:16" x14ac:dyDescent="0.35">
      <c r="A247" t="s">
        <v>2005</v>
      </c>
      <c r="B247" t="s">
        <v>55</v>
      </c>
      <c r="C247" t="s">
        <v>15</v>
      </c>
      <c r="D247" t="s">
        <v>124</v>
      </c>
      <c r="E247" t="s">
        <v>2006</v>
      </c>
      <c r="F247" t="s">
        <v>2007</v>
      </c>
      <c r="G247" t="s">
        <v>1788</v>
      </c>
      <c r="H247" t="s">
        <v>1788</v>
      </c>
      <c r="I247" t="s">
        <v>2008</v>
      </c>
      <c r="J247" t="s">
        <v>2009</v>
      </c>
      <c r="K247" t="s">
        <v>2010</v>
      </c>
      <c r="L247" t="s">
        <v>20</v>
      </c>
      <c r="M247" t="s">
        <v>2011</v>
      </c>
      <c r="N247" t="s">
        <v>2012</v>
      </c>
      <c r="O247" t="s">
        <v>2013</v>
      </c>
      <c r="P247" t="s">
        <v>2014</v>
      </c>
    </row>
    <row r="248" spans="1:16" x14ac:dyDescent="0.35">
      <c r="A248" t="s">
        <v>2015</v>
      </c>
      <c r="B248" t="s">
        <v>373</v>
      </c>
      <c r="C248" t="s">
        <v>311</v>
      </c>
      <c r="D248" t="s">
        <v>1817</v>
      </c>
      <c r="E248" t="s">
        <v>2016</v>
      </c>
      <c r="F248" t="s">
        <v>2017</v>
      </c>
      <c r="G248" t="s">
        <v>1788</v>
      </c>
      <c r="H248" t="s">
        <v>1788</v>
      </c>
      <c r="I248" t="s">
        <v>28</v>
      </c>
      <c r="J248" t="s">
        <v>2018</v>
      </c>
      <c r="K248" t="s">
        <v>19</v>
      </c>
      <c r="L248" t="s">
        <v>20</v>
      </c>
      <c r="M248" t="s">
        <v>2011</v>
      </c>
      <c r="N248" t="s">
        <v>2012</v>
      </c>
      <c r="O248" t="s">
        <v>2019</v>
      </c>
      <c r="P248" t="s">
        <v>2020</v>
      </c>
    </row>
    <row r="249" spans="1:16" x14ac:dyDescent="0.35">
      <c r="A249" t="s">
        <v>2021</v>
      </c>
      <c r="B249" t="s">
        <v>55</v>
      </c>
      <c r="C249" t="s">
        <v>158</v>
      </c>
      <c r="D249" t="s">
        <v>1267</v>
      </c>
      <c r="E249" t="s">
        <v>2022</v>
      </c>
      <c r="F249" t="s">
        <v>2023</v>
      </c>
      <c r="G249" t="s">
        <v>1788</v>
      </c>
      <c r="H249" t="s">
        <v>1788</v>
      </c>
      <c r="I249" t="s">
        <v>162</v>
      </c>
      <c r="J249" t="s">
        <v>2024</v>
      </c>
      <c r="K249" t="s">
        <v>164</v>
      </c>
      <c r="L249" t="s">
        <v>20</v>
      </c>
      <c r="M249" t="s">
        <v>2011</v>
      </c>
      <c r="N249" t="s">
        <v>2012</v>
      </c>
      <c r="O249" t="s">
        <v>2025</v>
      </c>
      <c r="P249" t="s">
        <v>2026</v>
      </c>
    </row>
    <row r="250" spans="1:16" x14ac:dyDescent="0.35">
      <c r="A250" t="s">
        <v>2027</v>
      </c>
      <c r="B250" t="s">
        <v>55</v>
      </c>
      <c r="C250" t="s">
        <v>140</v>
      </c>
      <c r="D250" t="s">
        <v>79</v>
      </c>
      <c r="E250" t="s">
        <v>2028</v>
      </c>
      <c r="F250" t="s">
        <v>2029</v>
      </c>
      <c r="G250" t="s">
        <v>1788</v>
      </c>
      <c r="H250" t="s">
        <v>1788</v>
      </c>
      <c r="I250" t="s">
        <v>2030</v>
      </c>
      <c r="J250" t="s">
        <v>2031</v>
      </c>
      <c r="K250" t="s">
        <v>2032</v>
      </c>
      <c r="L250" t="s">
        <v>20</v>
      </c>
      <c r="M250" t="s">
        <v>2011</v>
      </c>
      <c r="N250" t="s">
        <v>2012</v>
      </c>
      <c r="O250" t="s">
        <v>2033</v>
      </c>
      <c r="P250" t="s">
        <v>2034</v>
      </c>
    </row>
    <row r="251" spans="1:16" x14ac:dyDescent="0.35">
      <c r="A251" t="s">
        <v>2035</v>
      </c>
      <c r="B251" t="s">
        <v>55</v>
      </c>
      <c r="C251" t="s">
        <v>1128</v>
      </c>
      <c r="D251" t="s">
        <v>614</v>
      </c>
      <c r="E251" t="s">
        <v>2036</v>
      </c>
      <c r="F251" t="s">
        <v>2037</v>
      </c>
      <c r="G251" t="s">
        <v>1788</v>
      </c>
      <c r="H251" t="s">
        <v>1788</v>
      </c>
      <c r="I251" t="s">
        <v>2038</v>
      </c>
      <c r="J251" t="s">
        <v>2039</v>
      </c>
      <c r="K251" t="s">
        <v>2040</v>
      </c>
      <c r="L251" t="s">
        <v>20</v>
      </c>
      <c r="M251" t="s">
        <v>2011</v>
      </c>
      <c r="N251" t="s">
        <v>2012</v>
      </c>
      <c r="O251" t="s">
        <v>2041</v>
      </c>
      <c r="P251" t="s">
        <v>2042</v>
      </c>
    </row>
    <row r="252" spans="1:16" x14ac:dyDescent="0.35">
      <c r="A252" t="s">
        <v>2043</v>
      </c>
      <c r="B252" t="s">
        <v>55</v>
      </c>
      <c r="C252" t="s">
        <v>691</v>
      </c>
      <c r="D252" t="s">
        <v>124</v>
      </c>
      <c r="E252" t="s">
        <v>2044</v>
      </c>
      <c r="F252" t="s">
        <v>2045</v>
      </c>
      <c r="G252" t="s">
        <v>1788</v>
      </c>
      <c r="H252" t="s">
        <v>1788</v>
      </c>
      <c r="I252" t="s">
        <v>2046</v>
      </c>
      <c r="J252" t="s">
        <v>2047</v>
      </c>
      <c r="K252" t="s">
        <v>2048</v>
      </c>
      <c r="L252" t="s">
        <v>20</v>
      </c>
      <c r="M252" t="s">
        <v>2011</v>
      </c>
      <c r="N252" t="s">
        <v>2012</v>
      </c>
      <c r="O252" t="s">
        <v>2049</v>
      </c>
      <c r="P252" t="s">
        <v>2050</v>
      </c>
    </row>
    <row r="253" spans="1:16" x14ac:dyDescent="0.35">
      <c r="A253" t="s">
        <v>2053</v>
      </c>
      <c r="B253" t="s">
        <v>373</v>
      </c>
      <c r="C253" t="s">
        <v>205</v>
      </c>
      <c r="D253" t="s">
        <v>2054</v>
      </c>
      <c r="E253" t="s">
        <v>2055</v>
      </c>
      <c r="F253" t="s">
        <v>2056</v>
      </c>
      <c r="G253" t="s">
        <v>1788</v>
      </c>
      <c r="H253" t="s">
        <v>1788</v>
      </c>
      <c r="I253" t="s">
        <v>2057</v>
      </c>
      <c r="J253" t="s">
        <v>2058</v>
      </c>
      <c r="K253" t="s">
        <v>2059</v>
      </c>
      <c r="L253" t="s">
        <v>20</v>
      </c>
      <c r="M253" t="s">
        <v>2051</v>
      </c>
      <c r="N253" t="s">
        <v>2052</v>
      </c>
      <c r="O253" t="s">
        <v>2060</v>
      </c>
      <c r="P253" t="s">
        <v>2061</v>
      </c>
    </row>
    <row r="254" spans="1:16" x14ac:dyDescent="0.35">
      <c r="A254" t="s">
        <v>2062</v>
      </c>
      <c r="B254" t="s">
        <v>55</v>
      </c>
      <c r="C254" t="s">
        <v>28</v>
      </c>
      <c r="D254" t="s">
        <v>28</v>
      </c>
      <c r="E254" t="s">
        <v>2063</v>
      </c>
      <c r="F254" t="s">
        <v>2064</v>
      </c>
      <c r="G254" t="s">
        <v>1788</v>
      </c>
      <c r="H254" t="s">
        <v>1788</v>
      </c>
      <c r="I254" t="s">
        <v>2065</v>
      </c>
      <c r="J254" t="s">
        <v>2066</v>
      </c>
      <c r="K254" t="s">
        <v>2067</v>
      </c>
      <c r="L254" t="s">
        <v>20</v>
      </c>
      <c r="M254" t="s">
        <v>2068</v>
      </c>
      <c r="N254" t="s">
        <v>2069</v>
      </c>
      <c r="O254" t="s">
        <v>2070</v>
      </c>
      <c r="P254" t="s">
        <v>2071</v>
      </c>
    </row>
    <row r="255" spans="1:16" x14ac:dyDescent="0.35">
      <c r="A255" t="s">
        <v>2072</v>
      </c>
      <c r="B255" t="s">
        <v>32</v>
      </c>
      <c r="C255" t="s">
        <v>28</v>
      </c>
      <c r="D255" t="s">
        <v>28</v>
      </c>
      <c r="E255" t="s">
        <v>2073</v>
      </c>
      <c r="F255" t="s">
        <v>2074</v>
      </c>
      <c r="G255" t="s">
        <v>2075</v>
      </c>
      <c r="H255" t="s">
        <v>1788</v>
      </c>
      <c r="I255" t="s">
        <v>28</v>
      </c>
      <c r="J255" t="s">
        <v>2076</v>
      </c>
      <c r="K255" t="s">
        <v>19</v>
      </c>
      <c r="L255" t="s">
        <v>20</v>
      </c>
      <c r="M255" t="s">
        <v>2077</v>
      </c>
      <c r="N255" t="s">
        <v>2078</v>
      </c>
      <c r="O255" t="s">
        <v>2079</v>
      </c>
      <c r="P255" t="s">
        <v>2080</v>
      </c>
    </row>
    <row r="256" spans="1:16" x14ac:dyDescent="0.35">
      <c r="A256" t="s">
        <v>2082</v>
      </c>
      <c r="B256" t="s">
        <v>55</v>
      </c>
      <c r="C256" t="s">
        <v>691</v>
      </c>
      <c r="D256" t="s">
        <v>614</v>
      </c>
      <c r="E256" t="s">
        <v>2083</v>
      </c>
      <c r="F256" t="s">
        <v>2084</v>
      </c>
      <c r="G256" t="s">
        <v>2081</v>
      </c>
      <c r="H256" t="s">
        <v>1788</v>
      </c>
      <c r="I256" t="s">
        <v>28</v>
      </c>
      <c r="J256" t="s">
        <v>2085</v>
      </c>
      <c r="K256" t="s">
        <v>19</v>
      </c>
      <c r="L256" t="s">
        <v>20</v>
      </c>
      <c r="M256" t="s">
        <v>2086</v>
      </c>
      <c r="N256" t="s">
        <v>2087</v>
      </c>
      <c r="O256" t="s">
        <v>2088</v>
      </c>
      <c r="P256" t="s">
        <v>2089</v>
      </c>
    </row>
    <row r="257" spans="1:16" x14ac:dyDescent="0.35">
      <c r="A257" t="s">
        <v>2090</v>
      </c>
      <c r="B257" t="s">
        <v>55</v>
      </c>
      <c r="C257" t="s">
        <v>28</v>
      </c>
      <c r="D257" t="s">
        <v>28</v>
      </c>
      <c r="E257" t="s">
        <v>2091</v>
      </c>
      <c r="F257" t="s">
        <v>2092</v>
      </c>
      <c r="G257" t="s">
        <v>2093</v>
      </c>
      <c r="H257" t="s">
        <v>1788</v>
      </c>
      <c r="I257" t="s">
        <v>2094</v>
      </c>
      <c r="J257" t="s">
        <v>2095</v>
      </c>
      <c r="K257" t="s">
        <v>19</v>
      </c>
      <c r="L257" t="s">
        <v>20</v>
      </c>
      <c r="M257" t="s">
        <v>2086</v>
      </c>
      <c r="N257" t="s">
        <v>2087</v>
      </c>
      <c r="O257" t="s">
        <v>2096</v>
      </c>
      <c r="P257" t="s">
        <v>2097</v>
      </c>
    </row>
    <row r="258" spans="1:16" x14ac:dyDescent="0.35">
      <c r="A258" t="s">
        <v>2098</v>
      </c>
      <c r="B258" t="s">
        <v>55</v>
      </c>
      <c r="C258" t="s">
        <v>15</v>
      </c>
      <c r="D258" t="s">
        <v>16</v>
      </c>
      <c r="E258" t="s">
        <v>2099</v>
      </c>
      <c r="F258" t="s">
        <v>2100</v>
      </c>
      <c r="G258" t="s">
        <v>2000</v>
      </c>
      <c r="H258" t="s">
        <v>1788</v>
      </c>
      <c r="I258" t="s">
        <v>2101</v>
      </c>
      <c r="J258" t="s">
        <v>2102</v>
      </c>
      <c r="K258" t="s">
        <v>2103</v>
      </c>
      <c r="L258" t="s">
        <v>20</v>
      </c>
      <c r="M258" t="s">
        <v>2104</v>
      </c>
      <c r="N258" t="s">
        <v>2105</v>
      </c>
      <c r="O258" t="s">
        <v>2106</v>
      </c>
      <c r="P258" t="s">
        <v>2107</v>
      </c>
    </row>
    <row r="259" spans="1:16" x14ac:dyDescent="0.35">
      <c r="A259" t="s">
        <v>1209</v>
      </c>
      <c r="B259" t="s">
        <v>32</v>
      </c>
      <c r="C259" t="s">
        <v>177</v>
      </c>
      <c r="D259" t="s">
        <v>858</v>
      </c>
      <c r="E259" t="s">
        <v>2108</v>
      </c>
      <c r="F259" t="s">
        <v>2109</v>
      </c>
      <c r="G259" t="s">
        <v>2110</v>
      </c>
      <c r="H259" t="s">
        <v>1788</v>
      </c>
      <c r="I259" t="s">
        <v>28</v>
      </c>
      <c r="J259" t="s">
        <v>2111</v>
      </c>
      <c r="K259" t="s">
        <v>19</v>
      </c>
      <c r="L259" t="s">
        <v>20</v>
      </c>
      <c r="M259" t="s">
        <v>2112</v>
      </c>
      <c r="N259" t="s">
        <v>2113</v>
      </c>
      <c r="O259" t="s">
        <v>2114</v>
      </c>
      <c r="P259" t="s">
        <v>2115</v>
      </c>
    </row>
    <row r="260" spans="1:16" x14ac:dyDescent="0.35">
      <c r="A260" t="s">
        <v>2120</v>
      </c>
      <c r="B260" t="s">
        <v>88</v>
      </c>
      <c r="C260" t="s">
        <v>28</v>
      </c>
      <c r="D260" t="s">
        <v>28</v>
      </c>
      <c r="E260" t="s">
        <v>2121</v>
      </c>
      <c r="F260" t="s">
        <v>2122</v>
      </c>
      <c r="G260" t="s">
        <v>2117</v>
      </c>
      <c r="H260" t="s">
        <v>1788</v>
      </c>
      <c r="I260" t="s">
        <v>28</v>
      </c>
      <c r="J260" t="s">
        <v>28</v>
      </c>
      <c r="K260" t="s">
        <v>19</v>
      </c>
      <c r="L260" t="s">
        <v>20</v>
      </c>
      <c r="M260" t="s">
        <v>2118</v>
      </c>
      <c r="N260" t="s">
        <v>2119</v>
      </c>
      <c r="O260" t="s">
        <v>2123</v>
      </c>
      <c r="P260" t="s">
        <v>2124</v>
      </c>
    </row>
    <row r="261" spans="1:16" x14ac:dyDescent="0.35">
      <c r="A261" t="s">
        <v>2125</v>
      </c>
      <c r="B261" t="s">
        <v>194</v>
      </c>
      <c r="C261" t="s">
        <v>28</v>
      </c>
      <c r="D261" t="s">
        <v>28</v>
      </c>
      <c r="E261" t="s">
        <v>2126</v>
      </c>
      <c r="F261" t="s">
        <v>2127</v>
      </c>
      <c r="G261" t="s">
        <v>2117</v>
      </c>
      <c r="H261" t="s">
        <v>1788</v>
      </c>
      <c r="I261" t="s">
        <v>28</v>
      </c>
      <c r="J261" t="s">
        <v>2128</v>
      </c>
      <c r="K261" t="s">
        <v>19</v>
      </c>
      <c r="L261" t="s">
        <v>20</v>
      </c>
      <c r="M261" t="s">
        <v>2129</v>
      </c>
      <c r="N261" t="s">
        <v>2130</v>
      </c>
      <c r="O261" t="s">
        <v>2131</v>
      </c>
      <c r="P261" t="s">
        <v>2132</v>
      </c>
    </row>
    <row r="262" spans="1:16" x14ac:dyDescent="0.35">
      <c r="A262" t="s">
        <v>2134</v>
      </c>
      <c r="B262" t="s">
        <v>373</v>
      </c>
      <c r="C262" t="s">
        <v>15</v>
      </c>
      <c r="D262" t="s">
        <v>68</v>
      </c>
      <c r="E262" t="s">
        <v>2135</v>
      </c>
      <c r="F262" t="s">
        <v>2136</v>
      </c>
      <c r="G262" t="s">
        <v>1788</v>
      </c>
      <c r="H262" t="s">
        <v>1788</v>
      </c>
      <c r="I262" t="s">
        <v>28</v>
      </c>
      <c r="J262" t="s">
        <v>28</v>
      </c>
      <c r="K262" t="s">
        <v>19</v>
      </c>
      <c r="L262" t="s">
        <v>20</v>
      </c>
      <c r="M262" t="s">
        <v>2137</v>
      </c>
      <c r="N262" t="s">
        <v>2138</v>
      </c>
      <c r="O262" t="s">
        <v>2139</v>
      </c>
      <c r="P262" t="s">
        <v>2140</v>
      </c>
    </row>
    <row r="263" spans="1:16" x14ac:dyDescent="0.35">
      <c r="A263" t="s">
        <v>2143</v>
      </c>
      <c r="B263" t="s">
        <v>55</v>
      </c>
      <c r="C263" t="s">
        <v>28</v>
      </c>
      <c r="D263" t="s">
        <v>28</v>
      </c>
      <c r="E263" t="s">
        <v>2144</v>
      </c>
      <c r="F263" t="s">
        <v>2145</v>
      </c>
      <c r="G263" t="s">
        <v>2146</v>
      </c>
      <c r="H263" t="s">
        <v>1788</v>
      </c>
      <c r="I263" t="s">
        <v>28</v>
      </c>
      <c r="J263" t="s">
        <v>2147</v>
      </c>
      <c r="K263" t="s">
        <v>19</v>
      </c>
      <c r="L263" t="s">
        <v>20</v>
      </c>
      <c r="M263" t="s">
        <v>2148</v>
      </c>
      <c r="N263" t="s">
        <v>2149</v>
      </c>
      <c r="O263" t="s">
        <v>2150</v>
      </c>
      <c r="P263" t="s">
        <v>2151</v>
      </c>
    </row>
    <row r="264" spans="1:16" x14ac:dyDescent="0.35">
      <c r="A264" t="s">
        <v>2152</v>
      </c>
      <c r="B264" t="s">
        <v>107</v>
      </c>
      <c r="C264" t="s">
        <v>341</v>
      </c>
      <c r="D264" t="s">
        <v>22</v>
      </c>
      <c r="E264" t="s">
        <v>2153</v>
      </c>
      <c r="F264" t="s">
        <v>2154</v>
      </c>
      <c r="G264" t="s">
        <v>2133</v>
      </c>
      <c r="H264" t="s">
        <v>1788</v>
      </c>
      <c r="I264" t="s">
        <v>28</v>
      </c>
      <c r="J264" t="s">
        <v>2142</v>
      </c>
      <c r="K264" t="s">
        <v>19</v>
      </c>
      <c r="L264" t="s">
        <v>20</v>
      </c>
      <c r="M264" t="s">
        <v>2155</v>
      </c>
      <c r="N264" t="s">
        <v>2156</v>
      </c>
      <c r="O264" t="s">
        <v>2157</v>
      </c>
      <c r="P264" t="s">
        <v>2158</v>
      </c>
    </row>
    <row r="265" spans="1:16" x14ac:dyDescent="0.35">
      <c r="A265" t="s">
        <v>2159</v>
      </c>
      <c r="B265" t="s">
        <v>55</v>
      </c>
      <c r="C265" t="s">
        <v>158</v>
      </c>
      <c r="D265" t="s">
        <v>282</v>
      </c>
      <c r="E265" t="s">
        <v>2160</v>
      </c>
      <c r="F265" t="s">
        <v>2161</v>
      </c>
      <c r="G265" t="s">
        <v>2133</v>
      </c>
      <c r="H265" t="s">
        <v>1788</v>
      </c>
      <c r="I265" t="s">
        <v>82</v>
      </c>
      <c r="J265" t="s">
        <v>2162</v>
      </c>
      <c r="K265" t="s">
        <v>84</v>
      </c>
      <c r="L265" t="s">
        <v>20</v>
      </c>
      <c r="M265" t="s">
        <v>2163</v>
      </c>
      <c r="N265" t="s">
        <v>2164</v>
      </c>
      <c r="O265" t="s">
        <v>2165</v>
      </c>
      <c r="P265" t="s">
        <v>2166</v>
      </c>
    </row>
    <row r="266" spans="1:16" x14ac:dyDescent="0.35">
      <c r="A266" t="s">
        <v>2167</v>
      </c>
      <c r="B266" t="s">
        <v>55</v>
      </c>
      <c r="C266" t="s">
        <v>15</v>
      </c>
      <c r="D266" t="s">
        <v>16</v>
      </c>
      <c r="E266" t="s">
        <v>2168</v>
      </c>
      <c r="F266" t="s">
        <v>2169</v>
      </c>
      <c r="G266" t="s">
        <v>2133</v>
      </c>
      <c r="H266" t="s">
        <v>1788</v>
      </c>
      <c r="I266" t="s">
        <v>28</v>
      </c>
      <c r="J266" t="s">
        <v>2170</v>
      </c>
      <c r="K266" t="s">
        <v>19</v>
      </c>
      <c r="L266" t="s">
        <v>20</v>
      </c>
      <c r="M266" t="s">
        <v>2171</v>
      </c>
      <c r="N266" t="s">
        <v>2172</v>
      </c>
      <c r="O266" t="s">
        <v>2173</v>
      </c>
      <c r="P266" t="s">
        <v>2174</v>
      </c>
    </row>
    <row r="267" spans="1:16" x14ac:dyDescent="0.35">
      <c r="A267" t="s">
        <v>2175</v>
      </c>
      <c r="B267" t="s">
        <v>194</v>
      </c>
      <c r="C267" t="s">
        <v>357</v>
      </c>
      <c r="D267" t="s">
        <v>324</v>
      </c>
      <c r="E267" t="s">
        <v>2176</v>
      </c>
      <c r="F267" t="s">
        <v>2177</v>
      </c>
      <c r="G267" t="s">
        <v>2110</v>
      </c>
      <c r="H267" t="s">
        <v>1788</v>
      </c>
      <c r="I267" t="s">
        <v>28</v>
      </c>
      <c r="J267" t="s">
        <v>2178</v>
      </c>
      <c r="K267" t="s">
        <v>19</v>
      </c>
      <c r="L267" t="s">
        <v>20</v>
      </c>
      <c r="M267" t="s">
        <v>2179</v>
      </c>
      <c r="N267" t="s">
        <v>2180</v>
      </c>
      <c r="O267" t="s">
        <v>2181</v>
      </c>
      <c r="P267" t="s">
        <v>2182</v>
      </c>
    </row>
    <row r="268" spans="1:16" x14ac:dyDescent="0.35">
      <c r="A268" t="s">
        <v>538</v>
      </c>
      <c r="B268" t="s">
        <v>55</v>
      </c>
      <c r="C268" t="s">
        <v>311</v>
      </c>
      <c r="D268" t="s">
        <v>282</v>
      </c>
      <c r="E268" t="s">
        <v>2183</v>
      </c>
      <c r="F268" t="s">
        <v>2184</v>
      </c>
      <c r="G268" t="s">
        <v>2110</v>
      </c>
      <c r="H268" t="s">
        <v>1788</v>
      </c>
      <c r="I268" t="s">
        <v>82</v>
      </c>
      <c r="J268" t="s">
        <v>2185</v>
      </c>
      <c r="K268" t="s">
        <v>84</v>
      </c>
      <c r="L268" t="s">
        <v>20</v>
      </c>
      <c r="M268" t="s">
        <v>2186</v>
      </c>
      <c r="N268" t="s">
        <v>2187</v>
      </c>
      <c r="O268" t="s">
        <v>2188</v>
      </c>
      <c r="P268" t="s">
        <v>2189</v>
      </c>
    </row>
    <row r="269" spans="1:16" x14ac:dyDescent="0.35">
      <c r="A269" t="s">
        <v>2190</v>
      </c>
      <c r="B269" t="s">
        <v>55</v>
      </c>
      <c r="C269" t="s">
        <v>28</v>
      </c>
      <c r="D269" t="s">
        <v>28</v>
      </c>
      <c r="E269" t="s">
        <v>2191</v>
      </c>
      <c r="F269" t="s">
        <v>2192</v>
      </c>
      <c r="G269" t="s">
        <v>2193</v>
      </c>
      <c r="H269" t="s">
        <v>1788</v>
      </c>
      <c r="I269" t="s">
        <v>2194</v>
      </c>
      <c r="J269" t="s">
        <v>28</v>
      </c>
      <c r="K269" t="s">
        <v>19</v>
      </c>
      <c r="L269" t="s">
        <v>20</v>
      </c>
      <c r="M269" t="s">
        <v>2195</v>
      </c>
      <c r="N269" t="s">
        <v>2196</v>
      </c>
      <c r="O269" t="s">
        <v>2197</v>
      </c>
      <c r="P269" t="s">
        <v>2198</v>
      </c>
    </row>
    <row r="270" spans="1:16" x14ac:dyDescent="0.35">
      <c r="A270" t="s">
        <v>2199</v>
      </c>
      <c r="B270" t="s">
        <v>55</v>
      </c>
      <c r="C270" t="s">
        <v>311</v>
      </c>
      <c r="D270" t="s">
        <v>1328</v>
      </c>
      <c r="E270" t="s">
        <v>2200</v>
      </c>
      <c r="F270" t="s">
        <v>2201</v>
      </c>
      <c r="G270" t="s">
        <v>2202</v>
      </c>
      <c r="H270" t="s">
        <v>1788</v>
      </c>
      <c r="I270" t="s">
        <v>162</v>
      </c>
      <c r="J270" t="s">
        <v>2203</v>
      </c>
      <c r="K270" t="s">
        <v>164</v>
      </c>
      <c r="L270" t="s">
        <v>20</v>
      </c>
      <c r="M270" t="s">
        <v>2204</v>
      </c>
      <c r="N270" t="s">
        <v>2205</v>
      </c>
      <c r="O270" t="s">
        <v>2206</v>
      </c>
      <c r="P270" t="s">
        <v>2207</v>
      </c>
    </row>
    <row r="271" spans="1:16" x14ac:dyDescent="0.35">
      <c r="A271" t="s">
        <v>1219</v>
      </c>
      <c r="B271" t="s">
        <v>88</v>
      </c>
      <c r="C271" t="s">
        <v>28</v>
      </c>
      <c r="D271" t="s">
        <v>28</v>
      </c>
      <c r="E271" t="s">
        <v>2208</v>
      </c>
      <c r="F271" t="s">
        <v>2209</v>
      </c>
      <c r="G271" t="s">
        <v>2210</v>
      </c>
      <c r="H271" t="s">
        <v>2210</v>
      </c>
      <c r="I271" t="s">
        <v>28</v>
      </c>
      <c r="J271" t="s">
        <v>2211</v>
      </c>
      <c r="K271" t="s">
        <v>19</v>
      </c>
      <c r="L271" t="s">
        <v>20</v>
      </c>
      <c r="M271" t="s">
        <v>2212</v>
      </c>
      <c r="N271" t="s">
        <v>2213</v>
      </c>
      <c r="O271" t="s">
        <v>2214</v>
      </c>
      <c r="P271" t="s">
        <v>2215</v>
      </c>
    </row>
    <row r="272" spans="1:16" x14ac:dyDescent="0.35">
      <c r="A272" t="s">
        <v>2216</v>
      </c>
      <c r="B272" t="s">
        <v>55</v>
      </c>
      <c r="C272" t="s">
        <v>28</v>
      </c>
      <c r="D272" t="s">
        <v>28</v>
      </c>
      <c r="E272" t="s">
        <v>2217</v>
      </c>
      <c r="F272" t="s">
        <v>2218</v>
      </c>
      <c r="G272" t="s">
        <v>2210</v>
      </c>
      <c r="H272" t="s">
        <v>2210</v>
      </c>
      <c r="I272" t="s">
        <v>2219</v>
      </c>
      <c r="J272" t="s">
        <v>2220</v>
      </c>
      <c r="K272" t="s">
        <v>19</v>
      </c>
      <c r="L272" t="s">
        <v>20</v>
      </c>
      <c r="M272" t="s">
        <v>2221</v>
      </c>
      <c r="N272" t="s">
        <v>2222</v>
      </c>
      <c r="O272" t="s">
        <v>2223</v>
      </c>
      <c r="P272" t="s">
        <v>2224</v>
      </c>
    </row>
    <row r="273" spans="1:16" x14ac:dyDescent="0.35">
      <c r="A273" t="s">
        <v>2225</v>
      </c>
      <c r="B273" t="s">
        <v>55</v>
      </c>
      <c r="C273" t="s">
        <v>25</v>
      </c>
      <c r="D273" t="s">
        <v>16</v>
      </c>
      <c r="E273" t="s">
        <v>2226</v>
      </c>
      <c r="F273" t="s">
        <v>2227</v>
      </c>
      <c r="G273" t="s">
        <v>2210</v>
      </c>
      <c r="H273" t="s">
        <v>2210</v>
      </c>
      <c r="I273" t="s">
        <v>28</v>
      </c>
      <c r="J273" t="s">
        <v>2228</v>
      </c>
      <c r="K273" t="s">
        <v>19</v>
      </c>
      <c r="L273" t="s">
        <v>20</v>
      </c>
      <c r="M273" t="s">
        <v>2229</v>
      </c>
      <c r="N273" t="s">
        <v>2230</v>
      </c>
      <c r="O273" t="s">
        <v>2231</v>
      </c>
      <c r="P273" t="s">
        <v>2232</v>
      </c>
    </row>
    <row r="274" spans="1:16" x14ac:dyDescent="0.35">
      <c r="A274" t="s">
        <v>2233</v>
      </c>
      <c r="B274" t="s">
        <v>55</v>
      </c>
      <c r="C274" t="s">
        <v>28</v>
      </c>
      <c r="D274" t="s">
        <v>28</v>
      </c>
      <c r="E274" t="s">
        <v>2234</v>
      </c>
      <c r="F274" t="s">
        <v>2235</v>
      </c>
      <c r="G274" t="s">
        <v>2210</v>
      </c>
      <c r="H274" t="s">
        <v>2210</v>
      </c>
      <c r="I274" t="s">
        <v>28</v>
      </c>
      <c r="J274" t="s">
        <v>2236</v>
      </c>
      <c r="K274" t="s">
        <v>19</v>
      </c>
      <c r="L274" t="s">
        <v>20</v>
      </c>
      <c r="M274" t="s">
        <v>2237</v>
      </c>
      <c r="N274" t="s">
        <v>2238</v>
      </c>
      <c r="O274" t="s">
        <v>2239</v>
      </c>
      <c r="P274" t="s">
        <v>2240</v>
      </c>
    </row>
    <row r="275" spans="1:16" x14ac:dyDescent="0.35">
      <c r="A275" t="s">
        <v>2241</v>
      </c>
      <c r="B275" t="s">
        <v>55</v>
      </c>
      <c r="C275" t="s">
        <v>691</v>
      </c>
      <c r="D275" t="s">
        <v>124</v>
      </c>
      <c r="E275" t="s">
        <v>2242</v>
      </c>
      <c r="F275" t="s">
        <v>2243</v>
      </c>
      <c r="G275" t="s">
        <v>2210</v>
      </c>
      <c r="H275" t="s">
        <v>2210</v>
      </c>
      <c r="I275" t="s">
        <v>2244</v>
      </c>
      <c r="J275" t="s">
        <v>2245</v>
      </c>
      <c r="K275" t="s">
        <v>19</v>
      </c>
      <c r="L275" t="s">
        <v>20</v>
      </c>
      <c r="M275" t="s">
        <v>2246</v>
      </c>
      <c r="N275" t="s">
        <v>2247</v>
      </c>
      <c r="O275" t="s">
        <v>2248</v>
      </c>
      <c r="P275" t="s">
        <v>2249</v>
      </c>
    </row>
    <row r="276" spans="1:16" x14ac:dyDescent="0.35">
      <c r="A276" t="s">
        <v>2250</v>
      </c>
      <c r="B276" t="s">
        <v>55</v>
      </c>
      <c r="C276" t="s">
        <v>548</v>
      </c>
      <c r="D276" t="s">
        <v>965</v>
      </c>
      <c r="E276" t="s">
        <v>2251</v>
      </c>
      <c r="F276" t="s">
        <v>2252</v>
      </c>
      <c r="G276" t="s">
        <v>2210</v>
      </c>
      <c r="H276" t="s">
        <v>2210</v>
      </c>
      <c r="I276" t="s">
        <v>2253</v>
      </c>
      <c r="J276" t="s">
        <v>2254</v>
      </c>
      <c r="K276" t="s">
        <v>2255</v>
      </c>
      <c r="L276" t="s">
        <v>20</v>
      </c>
      <c r="M276" t="s">
        <v>2256</v>
      </c>
      <c r="N276" t="s">
        <v>2257</v>
      </c>
      <c r="O276" t="s">
        <v>2258</v>
      </c>
      <c r="P276" t="s">
        <v>2259</v>
      </c>
    </row>
    <row r="277" spans="1:16" x14ac:dyDescent="0.35">
      <c r="A277" t="s">
        <v>2098</v>
      </c>
      <c r="B277" t="s">
        <v>55</v>
      </c>
      <c r="C277" t="s">
        <v>140</v>
      </c>
      <c r="D277" t="s">
        <v>374</v>
      </c>
      <c r="E277" t="s">
        <v>2260</v>
      </c>
      <c r="F277" t="s">
        <v>2261</v>
      </c>
      <c r="G277" t="s">
        <v>2210</v>
      </c>
      <c r="H277" t="s">
        <v>2210</v>
      </c>
      <c r="I277" t="s">
        <v>28</v>
      </c>
      <c r="J277" t="s">
        <v>2262</v>
      </c>
      <c r="K277" t="s">
        <v>19</v>
      </c>
      <c r="L277" t="s">
        <v>20</v>
      </c>
      <c r="M277" t="s">
        <v>2263</v>
      </c>
      <c r="N277" t="s">
        <v>2264</v>
      </c>
      <c r="O277" t="s">
        <v>2265</v>
      </c>
      <c r="P277" t="s">
        <v>2266</v>
      </c>
    </row>
    <row r="278" spans="1:16" x14ac:dyDescent="0.35">
      <c r="A278" t="s">
        <v>538</v>
      </c>
      <c r="B278" t="s">
        <v>55</v>
      </c>
      <c r="C278" t="s">
        <v>15</v>
      </c>
      <c r="D278" t="s">
        <v>27</v>
      </c>
      <c r="E278" t="s">
        <v>2267</v>
      </c>
      <c r="F278" t="s">
        <v>2268</v>
      </c>
      <c r="G278" t="s">
        <v>2210</v>
      </c>
      <c r="H278" t="s">
        <v>2210</v>
      </c>
      <c r="I278" t="s">
        <v>82</v>
      </c>
      <c r="J278" t="s">
        <v>2269</v>
      </c>
      <c r="K278" t="s">
        <v>84</v>
      </c>
      <c r="L278" t="s">
        <v>20</v>
      </c>
      <c r="M278" t="s">
        <v>2263</v>
      </c>
      <c r="N278" t="s">
        <v>2264</v>
      </c>
      <c r="O278" t="s">
        <v>2270</v>
      </c>
      <c r="P278" t="s">
        <v>2271</v>
      </c>
    </row>
    <row r="279" spans="1:16" x14ac:dyDescent="0.35">
      <c r="A279" t="s">
        <v>2272</v>
      </c>
      <c r="B279" t="s">
        <v>55</v>
      </c>
      <c r="C279" t="s">
        <v>28</v>
      </c>
      <c r="D279" t="s">
        <v>28</v>
      </c>
      <c r="E279" t="s">
        <v>2273</v>
      </c>
      <c r="F279" t="s">
        <v>2274</v>
      </c>
      <c r="G279" t="s">
        <v>2275</v>
      </c>
      <c r="H279" t="s">
        <v>2210</v>
      </c>
      <c r="I279" t="s">
        <v>28</v>
      </c>
      <c r="J279" t="s">
        <v>2276</v>
      </c>
      <c r="K279" t="s">
        <v>19</v>
      </c>
      <c r="L279" t="s">
        <v>20</v>
      </c>
      <c r="M279" t="s">
        <v>2277</v>
      </c>
      <c r="N279" t="s">
        <v>2278</v>
      </c>
      <c r="O279" t="s">
        <v>2279</v>
      </c>
      <c r="P279" t="s">
        <v>2280</v>
      </c>
    </row>
    <row r="280" spans="1:16" x14ac:dyDescent="0.35">
      <c r="A280" t="s">
        <v>2272</v>
      </c>
      <c r="B280" t="s">
        <v>55</v>
      </c>
      <c r="C280" t="s">
        <v>28</v>
      </c>
      <c r="D280" t="s">
        <v>28</v>
      </c>
      <c r="E280" t="s">
        <v>2281</v>
      </c>
      <c r="F280" t="s">
        <v>2282</v>
      </c>
      <c r="G280" t="s">
        <v>2283</v>
      </c>
      <c r="H280" t="s">
        <v>2210</v>
      </c>
      <c r="I280" t="s">
        <v>28</v>
      </c>
      <c r="J280" t="s">
        <v>2284</v>
      </c>
      <c r="K280" t="s">
        <v>19</v>
      </c>
      <c r="L280" t="s">
        <v>20</v>
      </c>
      <c r="M280" t="s">
        <v>2285</v>
      </c>
      <c r="N280" t="s">
        <v>2286</v>
      </c>
      <c r="O280" t="s">
        <v>2287</v>
      </c>
      <c r="P280" t="s">
        <v>2288</v>
      </c>
    </row>
    <row r="281" spans="1:16" x14ac:dyDescent="0.35">
      <c r="A281" t="s">
        <v>2225</v>
      </c>
      <c r="B281" t="s">
        <v>55</v>
      </c>
      <c r="C281" t="s">
        <v>205</v>
      </c>
      <c r="D281" t="s">
        <v>68</v>
      </c>
      <c r="E281" t="s">
        <v>2289</v>
      </c>
      <c r="F281" t="s">
        <v>2290</v>
      </c>
      <c r="G281" t="s">
        <v>2291</v>
      </c>
      <c r="H281" t="s">
        <v>2210</v>
      </c>
      <c r="I281" t="s">
        <v>28</v>
      </c>
      <c r="J281" t="s">
        <v>2292</v>
      </c>
      <c r="K281" t="s">
        <v>19</v>
      </c>
      <c r="L281" t="s">
        <v>20</v>
      </c>
      <c r="M281" t="s">
        <v>2293</v>
      </c>
      <c r="N281" t="s">
        <v>2294</v>
      </c>
      <c r="O281" t="s">
        <v>2295</v>
      </c>
      <c r="P281" t="s">
        <v>2296</v>
      </c>
    </row>
    <row r="282" spans="1:16" x14ac:dyDescent="0.35">
      <c r="A282" t="s">
        <v>2225</v>
      </c>
      <c r="B282" t="s">
        <v>32</v>
      </c>
      <c r="C282" t="s">
        <v>613</v>
      </c>
      <c r="D282" t="s">
        <v>2116</v>
      </c>
      <c r="E282" t="s">
        <v>2297</v>
      </c>
      <c r="F282" t="s">
        <v>2298</v>
      </c>
      <c r="G282" t="s">
        <v>2299</v>
      </c>
      <c r="H282" t="s">
        <v>2299</v>
      </c>
      <c r="I282" t="s">
        <v>28</v>
      </c>
      <c r="J282" t="s">
        <v>2300</v>
      </c>
      <c r="K282" t="s">
        <v>19</v>
      </c>
      <c r="L282" t="s">
        <v>20</v>
      </c>
      <c r="M282" t="s">
        <v>2301</v>
      </c>
      <c r="N282" t="s">
        <v>2302</v>
      </c>
      <c r="O282" t="s">
        <v>2303</v>
      </c>
      <c r="P282" t="s">
        <v>2304</v>
      </c>
    </row>
    <row r="283" spans="1:16" x14ac:dyDescent="0.35">
      <c r="A283" t="s">
        <v>2305</v>
      </c>
      <c r="B283" t="s">
        <v>55</v>
      </c>
      <c r="C283" t="s">
        <v>15</v>
      </c>
      <c r="D283" t="s">
        <v>16</v>
      </c>
      <c r="E283" t="s">
        <v>2306</v>
      </c>
      <c r="F283" t="s">
        <v>2307</v>
      </c>
      <c r="G283" t="s">
        <v>2308</v>
      </c>
      <c r="H283" t="s">
        <v>2210</v>
      </c>
      <c r="I283" t="s">
        <v>28</v>
      </c>
      <c r="J283" t="s">
        <v>28</v>
      </c>
      <c r="K283" t="s">
        <v>19</v>
      </c>
      <c r="L283" t="s">
        <v>20</v>
      </c>
      <c r="M283" t="s">
        <v>2309</v>
      </c>
      <c r="N283" t="s">
        <v>2310</v>
      </c>
      <c r="O283" t="s">
        <v>2311</v>
      </c>
      <c r="P283" t="s">
        <v>2312</v>
      </c>
    </row>
    <row r="284" spans="1:16" x14ac:dyDescent="0.35">
      <c r="A284" t="s">
        <v>1209</v>
      </c>
      <c r="B284" t="s">
        <v>55</v>
      </c>
      <c r="C284" t="s">
        <v>357</v>
      </c>
      <c r="D284" t="s">
        <v>304</v>
      </c>
      <c r="E284" t="s">
        <v>2313</v>
      </c>
      <c r="F284" t="s">
        <v>2314</v>
      </c>
      <c r="G284" t="s">
        <v>2315</v>
      </c>
      <c r="H284" t="s">
        <v>2315</v>
      </c>
      <c r="I284" t="s">
        <v>2316</v>
      </c>
      <c r="J284" t="s">
        <v>2317</v>
      </c>
      <c r="K284" t="s">
        <v>19</v>
      </c>
      <c r="L284" t="s">
        <v>20</v>
      </c>
      <c r="M284" t="s">
        <v>2318</v>
      </c>
      <c r="N284" t="s">
        <v>2319</v>
      </c>
      <c r="O284" t="s">
        <v>2320</v>
      </c>
      <c r="P284" t="s">
        <v>2321</v>
      </c>
    </row>
    <row r="285" spans="1:16" x14ac:dyDescent="0.35">
      <c r="A285" t="s">
        <v>2272</v>
      </c>
      <c r="B285" t="s">
        <v>55</v>
      </c>
      <c r="C285" t="s">
        <v>1128</v>
      </c>
      <c r="D285" t="s">
        <v>124</v>
      </c>
      <c r="E285" t="s">
        <v>2324</v>
      </c>
      <c r="F285" t="s">
        <v>2325</v>
      </c>
      <c r="G285" t="s">
        <v>2315</v>
      </c>
      <c r="H285" t="s">
        <v>2315</v>
      </c>
      <c r="I285" t="s">
        <v>28</v>
      </c>
      <c r="J285" t="s">
        <v>2326</v>
      </c>
      <c r="K285" t="s">
        <v>19</v>
      </c>
      <c r="L285" t="s">
        <v>20</v>
      </c>
      <c r="M285" t="s">
        <v>2322</v>
      </c>
      <c r="N285" t="s">
        <v>2323</v>
      </c>
      <c r="O285" t="s">
        <v>2327</v>
      </c>
      <c r="P285" t="s">
        <v>2328</v>
      </c>
    </row>
    <row r="286" spans="1:16" x14ac:dyDescent="0.35">
      <c r="A286" t="s">
        <v>1219</v>
      </c>
      <c r="B286" t="s">
        <v>88</v>
      </c>
      <c r="C286" t="s">
        <v>28</v>
      </c>
      <c r="D286" t="s">
        <v>28</v>
      </c>
      <c r="E286" t="s">
        <v>2329</v>
      </c>
      <c r="F286" t="s">
        <v>2330</v>
      </c>
      <c r="G286" t="s">
        <v>2315</v>
      </c>
      <c r="H286" t="s">
        <v>2315</v>
      </c>
      <c r="I286" t="s">
        <v>28</v>
      </c>
      <c r="J286" t="s">
        <v>2331</v>
      </c>
      <c r="K286" t="s">
        <v>19</v>
      </c>
      <c r="L286" t="s">
        <v>20</v>
      </c>
      <c r="M286" t="s">
        <v>2322</v>
      </c>
      <c r="N286" t="s">
        <v>2323</v>
      </c>
      <c r="O286" t="s">
        <v>2332</v>
      </c>
      <c r="P286" t="s">
        <v>2333</v>
      </c>
    </row>
    <row r="287" spans="1:16" x14ac:dyDescent="0.35">
      <c r="A287" t="s">
        <v>2334</v>
      </c>
      <c r="B287" t="s">
        <v>55</v>
      </c>
      <c r="C287" t="s">
        <v>26</v>
      </c>
      <c r="D287" t="s">
        <v>403</v>
      </c>
      <c r="E287" t="s">
        <v>2335</v>
      </c>
      <c r="F287" t="s">
        <v>2336</v>
      </c>
      <c r="G287" t="s">
        <v>2315</v>
      </c>
      <c r="H287" t="s">
        <v>2315</v>
      </c>
      <c r="I287" t="s">
        <v>28</v>
      </c>
      <c r="J287" t="s">
        <v>28</v>
      </c>
      <c r="K287" t="s">
        <v>19</v>
      </c>
      <c r="L287" t="s">
        <v>20</v>
      </c>
      <c r="M287" t="s">
        <v>2322</v>
      </c>
      <c r="N287" t="s">
        <v>2323</v>
      </c>
      <c r="O287" t="s">
        <v>2337</v>
      </c>
      <c r="P287" t="s">
        <v>2338</v>
      </c>
    </row>
    <row r="288" spans="1:16" x14ac:dyDescent="0.35">
      <c r="A288" t="s">
        <v>2225</v>
      </c>
      <c r="B288" t="s">
        <v>55</v>
      </c>
      <c r="C288" t="s">
        <v>15</v>
      </c>
      <c r="D288" t="s">
        <v>68</v>
      </c>
      <c r="E288" t="s">
        <v>2339</v>
      </c>
      <c r="F288" t="s">
        <v>2340</v>
      </c>
      <c r="G288" t="s">
        <v>2315</v>
      </c>
      <c r="H288" t="s">
        <v>2315</v>
      </c>
      <c r="I288" t="s">
        <v>28</v>
      </c>
      <c r="J288" t="s">
        <v>2341</v>
      </c>
      <c r="K288" t="s">
        <v>19</v>
      </c>
      <c r="L288" t="s">
        <v>20</v>
      </c>
      <c r="M288" t="s">
        <v>2322</v>
      </c>
      <c r="N288" t="s">
        <v>2323</v>
      </c>
      <c r="O288" t="s">
        <v>2342</v>
      </c>
      <c r="P288" t="s">
        <v>2343</v>
      </c>
    </row>
    <row r="289" spans="1:16" x14ac:dyDescent="0.35">
      <c r="A289" t="s">
        <v>2344</v>
      </c>
      <c r="B289" t="s">
        <v>55</v>
      </c>
      <c r="C289" t="s">
        <v>28</v>
      </c>
      <c r="D289" t="s">
        <v>28</v>
      </c>
      <c r="E289" t="s">
        <v>2345</v>
      </c>
      <c r="F289" t="s">
        <v>2346</v>
      </c>
      <c r="G289" t="s">
        <v>2315</v>
      </c>
      <c r="H289" t="s">
        <v>2315</v>
      </c>
      <c r="I289" t="s">
        <v>28</v>
      </c>
      <c r="J289" t="s">
        <v>2347</v>
      </c>
      <c r="K289" t="s">
        <v>19</v>
      </c>
      <c r="L289" t="s">
        <v>20</v>
      </c>
      <c r="M289" t="s">
        <v>2322</v>
      </c>
      <c r="N289" t="s">
        <v>2323</v>
      </c>
      <c r="O289" t="s">
        <v>2348</v>
      </c>
      <c r="P289" t="s">
        <v>2349</v>
      </c>
    </row>
    <row r="290" spans="1:16" x14ac:dyDescent="0.35">
      <c r="A290" t="s">
        <v>2350</v>
      </c>
      <c r="B290" t="s">
        <v>107</v>
      </c>
      <c r="C290" t="s">
        <v>78</v>
      </c>
      <c r="D290" t="s">
        <v>124</v>
      </c>
      <c r="E290" t="s">
        <v>2351</v>
      </c>
      <c r="F290" t="s">
        <v>2352</v>
      </c>
      <c r="G290" t="s">
        <v>2315</v>
      </c>
      <c r="H290" t="s">
        <v>2315</v>
      </c>
      <c r="I290" t="s">
        <v>28</v>
      </c>
      <c r="J290" t="s">
        <v>2353</v>
      </c>
      <c r="K290" t="s">
        <v>19</v>
      </c>
      <c r="L290" t="s">
        <v>20</v>
      </c>
      <c r="M290" t="s">
        <v>2322</v>
      </c>
      <c r="N290" t="s">
        <v>2323</v>
      </c>
      <c r="O290" t="s">
        <v>2354</v>
      </c>
      <c r="P290" t="s">
        <v>2355</v>
      </c>
    </row>
    <row r="291" spans="1:16" x14ac:dyDescent="0.35">
      <c r="A291" t="s">
        <v>2356</v>
      </c>
      <c r="B291" t="s">
        <v>107</v>
      </c>
      <c r="C291" t="s">
        <v>311</v>
      </c>
      <c r="D291" t="s">
        <v>348</v>
      </c>
      <c r="E291" t="s">
        <v>2357</v>
      </c>
      <c r="F291" t="s">
        <v>2358</v>
      </c>
      <c r="G291" t="s">
        <v>2315</v>
      </c>
      <c r="H291" t="s">
        <v>2315</v>
      </c>
      <c r="I291" t="s">
        <v>2359</v>
      </c>
      <c r="J291" t="s">
        <v>2360</v>
      </c>
      <c r="K291" t="s">
        <v>19</v>
      </c>
      <c r="L291" t="s">
        <v>20</v>
      </c>
      <c r="M291" t="s">
        <v>2322</v>
      </c>
      <c r="N291" t="s">
        <v>2323</v>
      </c>
      <c r="O291" t="s">
        <v>2361</v>
      </c>
      <c r="P291" t="s">
        <v>2362</v>
      </c>
    </row>
    <row r="292" spans="1:16" x14ac:dyDescent="0.35">
      <c r="A292" t="s">
        <v>11938</v>
      </c>
      <c r="B292" t="s">
        <v>55</v>
      </c>
      <c r="C292" t="s">
        <v>78</v>
      </c>
      <c r="D292" t="s">
        <v>68</v>
      </c>
      <c r="E292" t="s">
        <v>1451</v>
      </c>
      <c r="F292" t="s">
        <v>1452</v>
      </c>
      <c r="G292" t="s">
        <v>1396</v>
      </c>
      <c r="H292" t="s">
        <v>1396</v>
      </c>
      <c r="I292" t="s">
        <v>1453</v>
      </c>
      <c r="J292" t="s">
        <v>1454</v>
      </c>
      <c r="K292" t="s">
        <v>19</v>
      </c>
      <c r="L292" t="s">
        <v>20</v>
      </c>
      <c r="M292" t="s">
        <v>1455</v>
      </c>
      <c r="N292" t="s">
        <v>1456</v>
      </c>
      <c r="O292" t="s">
        <v>1457</v>
      </c>
      <c r="P292" t="s">
        <v>1458</v>
      </c>
    </row>
    <row r="293" spans="1:16" x14ac:dyDescent="0.35">
      <c r="A293" t="s">
        <v>2363</v>
      </c>
      <c r="B293" t="s">
        <v>55</v>
      </c>
      <c r="C293" t="s">
        <v>28</v>
      </c>
      <c r="D293" t="s">
        <v>28</v>
      </c>
      <c r="E293" t="s">
        <v>2364</v>
      </c>
      <c r="F293" t="s">
        <v>2365</v>
      </c>
      <c r="G293" t="s">
        <v>2315</v>
      </c>
      <c r="H293" t="s">
        <v>2315</v>
      </c>
      <c r="I293" t="s">
        <v>82</v>
      </c>
      <c r="J293" t="s">
        <v>2366</v>
      </c>
      <c r="K293" t="s">
        <v>84</v>
      </c>
      <c r="L293" t="s">
        <v>20</v>
      </c>
      <c r="M293" t="s">
        <v>2322</v>
      </c>
      <c r="N293" t="s">
        <v>2323</v>
      </c>
      <c r="O293" t="s">
        <v>2367</v>
      </c>
      <c r="P293" t="s">
        <v>2368</v>
      </c>
    </row>
    <row r="294" spans="1:16" x14ac:dyDescent="0.35">
      <c r="A294" t="s">
        <v>2369</v>
      </c>
      <c r="B294" t="s">
        <v>55</v>
      </c>
      <c r="C294" t="s">
        <v>15</v>
      </c>
      <c r="D294" t="s">
        <v>16</v>
      </c>
      <c r="E294" t="s">
        <v>2370</v>
      </c>
      <c r="F294" t="s">
        <v>2371</v>
      </c>
      <c r="G294" t="s">
        <v>2315</v>
      </c>
      <c r="H294" t="s">
        <v>2315</v>
      </c>
      <c r="I294" t="s">
        <v>28</v>
      </c>
      <c r="J294" t="s">
        <v>2372</v>
      </c>
      <c r="K294" t="s">
        <v>19</v>
      </c>
      <c r="L294" t="s">
        <v>20</v>
      </c>
      <c r="M294" t="s">
        <v>2322</v>
      </c>
      <c r="N294" t="s">
        <v>2323</v>
      </c>
      <c r="O294" t="s">
        <v>2373</v>
      </c>
      <c r="P294" t="s">
        <v>2374</v>
      </c>
    </row>
    <row r="295" spans="1:16" x14ac:dyDescent="0.35">
      <c r="A295" t="s">
        <v>2375</v>
      </c>
      <c r="B295" t="s">
        <v>32</v>
      </c>
      <c r="C295" t="s">
        <v>28</v>
      </c>
      <c r="D295" t="s">
        <v>28</v>
      </c>
      <c r="E295" t="s">
        <v>2376</v>
      </c>
      <c r="F295" t="s">
        <v>2377</v>
      </c>
      <c r="G295" t="s">
        <v>2315</v>
      </c>
      <c r="H295" t="s">
        <v>2315</v>
      </c>
      <c r="I295" t="s">
        <v>28</v>
      </c>
      <c r="J295" t="s">
        <v>2378</v>
      </c>
      <c r="K295" t="s">
        <v>19</v>
      </c>
      <c r="L295" t="s">
        <v>20</v>
      </c>
      <c r="M295" t="s">
        <v>2379</v>
      </c>
      <c r="N295" t="s">
        <v>2380</v>
      </c>
      <c r="O295" t="s">
        <v>2381</v>
      </c>
      <c r="P295" t="s">
        <v>2382</v>
      </c>
    </row>
    <row r="296" spans="1:16" x14ac:dyDescent="0.35">
      <c r="A296" t="s">
        <v>2383</v>
      </c>
      <c r="B296" t="s">
        <v>55</v>
      </c>
      <c r="C296" t="s">
        <v>28</v>
      </c>
      <c r="D296" t="s">
        <v>28</v>
      </c>
      <c r="E296" t="s">
        <v>2384</v>
      </c>
      <c r="F296" t="s">
        <v>2385</v>
      </c>
      <c r="G296" t="s">
        <v>2315</v>
      </c>
      <c r="H296" t="s">
        <v>2315</v>
      </c>
      <c r="I296" t="s">
        <v>28</v>
      </c>
      <c r="J296" t="s">
        <v>2386</v>
      </c>
      <c r="K296" t="s">
        <v>19</v>
      </c>
      <c r="L296" t="s">
        <v>20</v>
      </c>
      <c r="M296" t="s">
        <v>2379</v>
      </c>
      <c r="N296" t="s">
        <v>2380</v>
      </c>
      <c r="O296" t="s">
        <v>2387</v>
      </c>
      <c r="P296" t="s">
        <v>2388</v>
      </c>
    </row>
    <row r="297" spans="1:16" x14ac:dyDescent="0.35">
      <c r="A297" t="s">
        <v>2389</v>
      </c>
      <c r="B297" t="s">
        <v>107</v>
      </c>
      <c r="C297" t="s">
        <v>28</v>
      </c>
      <c r="D297" t="s">
        <v>28</v>
      </c>
      <c r="E297" t="s">
        <v>2390</v>
      </c>
      <c r="F297" t="s">
        <v>2391</v>
      </c>
      <c r="G297" t="s">
        <v>2315</v>
      </c>
      <c r="H297" t="s">
        <v>2315</v>
      </c>
      <c r="I297" t="s">
        <v>2359</v>
      </c>
      <c r="J297" t="s">
        <v>2360</v>
      </c>
      <c r="K297" t="s">
        <v>19</v>
      </c>
      <c r="L297" t="s">
        <v>20</v>
      </c>
      <c r="M297" t="s">
        <v>2392</v>
      </c>
      <c r="N297" t="s">
        <v>2393</v>
      </c>
      <c r="O297" t="s">
        <v>2394</v>
      </c>
      <c r="P297" t="s">
        <v>2395</v>
      </c>
    </row>
    <row r="298" spans="1:16" x14ac:dyDescent="0.35">
      <c r="A298" t="s">
        <v>2396</v>
      </c>
      <c r="B298" t="s">
        <v>55</v>
      </c>
      <c r="C298" t="s">
        <v>497</v>
      </c>
      <c r="D298" t="s">
        <v>16</v>
      </c>
      <c r="E298" t="s">
        <v>2397</v>
      </c>
      <c r="F298" t="s">
        <v>2398</v>
      </c>
      <c r="G298" t="s">
        <v>2315</v>
      </c>
      <c r="H298" t="s">
        <v>2315</v>
      </c>
      <c r="I298" t="s">
        <v>563</v>
      </c>
      <c r="J298" t="s">
        <v>2399</v>
      </c>
      <c r="K298" t="s">
        <v>565</v>
      </c>
      <c r="L298" t="s">
        <v>20</v>
      </c>
      <c r="M298" t="s">
        <v>2400</v>
      </c>
      <c r="N298" t="s">
        <v>2401</v>
      </c>
      <c r="O298" t="s">
        <v>2402</v>
      </c>
      <c r="P298" t="s">
        <v>2403</v>
      </c>
    </row>
    <row r="299" spans="1:16" x14ac:dyDescent="0.35">
      <c r="A299" t="s">
        <v>2404</v>
      </c>
      <c r="B299" t="s">
        <v>55</v>
      </c>
      <c r="C299" t="s">
        <v>28</v>
      </c>
      <c r="D299" t="s">
        <v>28</v>
      </c>
      <c r="E299" t="s">
        <v>2313</v>
      </c>
      <c r="F299" t="s">
        <v>2314</v>
      </c>
      <c r="G299" t="s">
        <v>2315</v>
      </c>
      <c r="H299" t="s">
        <v>2315</v>
      </c>
      <c r="I299" t="s">
        <v>28</v>
      </c>
      <c r="J299" t="s">
        <v>2405</v>
      </c>
      <c r="K299" t="s">
        <v>19</v>
      </c>
      <c r="L299" t="s">
        <v>20</v>
      </c>
      <c r="M299" t="s">
        <v>2406</v>
      </c>
      <c r="N299" t="s">
        <v>2407</v>
      </c>
      <c r="O299" t="s">
        <v>2408</v>
      </c>
      <c r="P299" t="s">
        <v>2409</v>
      </c>
    </row>
    <row r="300" spans="1:16" x14ac:dyDescent="0.35">
      <c r="A300" t="s">
        <v>2410</v>
      </c>
      <c r="B300" t="s">
        <v>107</v>
      </c>
      <c r="C300" t="s">
        <v>28</v>
      </c>
      <c r="D300" t="s">
        <v>28</v>
      </c>
      <c r="E300" t="s">
        <v>2411</v>
      </c>
      <c r="F300" t="s">
        <v>2412</v>
      </c>
      <c r="G300" t="s">
        <v>2413</v>
      </c>
      <c r="H300" t="s">
        <v>2315</v>
      </c>
      <c r="I300" t="s">
        <v>28</v>
      </c>
      <c r="J300" t="s">
        <v>28</v>
      </c>
      <c r="K300" t="s">
        <v>19</v>
      </c>
      <c r="L300" t="s">
        <v>20</v>
      </c>
      <c r="M300" t="s">
        <v>2414</v>
      </c>
      <c r="N300" t="s">
        <v>2415</v>
      </c>
      <c r="O300" t="s">
        <v>2416</v>
      </c>
      <c r="P300" t="s">
        <v>2417</v>
      </c>
    </row>
    <row r="301" spans="1:16" x14ac:dyDescent="0.35">
      <c r="A301" t="s">
        <v>2418</v>
      </c>
      <c r="B301" t="s">
        <v>55</v>
      </c>
      <c r="C301" t="s">
        <v>15</v>
      </c>
      <c r="D301" t="s">
        <v>16</v>
      </c>
      <c r="E301" t="s">
        <v>2419</v>
      </c>
      <c r="F301" t="s">
        <v>2420</v>
      </c>
      <c r="G301" t="s">
        <v>2421</v>
      </c>
      <c r="H301" t="s">
        <v>2315</v>
      </c>
      <c r="I301" t="s">
        <v>28</v>
      </c>
      <c r="J301" t="s">
        <v>2422</v>
      </c>
      <c r="K301" t="s">
        <v>19</v>
      </c>
      <c r="L301" t="s">
        <v>20</v>
      </c>
      <c r="M301" t="s">
        <v>2423</v>
      </c>
      <c r="N301" t="s">
        <v>2424</v>
      </c>
      <c r="O301" t="s">
        <v>2425</v>
      </c>
      <c r="P301" t="s">
        <v>2426</v>
      </c>
    </row>
    <row r="302" spans="1:16" x14ac:dyDescent="0.35">
      <c r="A302" t="s">
        <v>2418</v>
      </c>
      <c r="B302" t="s">
        <v>55</v>
      </c>
      <c r="C302" t="s">
        <v>28</v>
      </c>
      <c r="D302" t="s">
        <v>28</v>
      </c>
      <c r="E302" t="s">
        <v>2428</v>
      </c>
      <c r="F302" t="s">
        <v>2429</v>
      </c>
      <c r="G302" t="s">
        <v>2427</v>
      </c>
      <c r="H302" t="s">
        <v>2315</v>
      </c>
      <c r="I302" t="s">
        <v>28</v>
      </c>
      <c r="J302" t="s">
        <v>2430</v>
      </c>
      <c r="K302" t="s">
        <v>19</v>
      </c>
      <c r="L302" t="s">
        <v>20</v>
      </c>
      <c r="M302" t="s">
        <v>2431</v>
      </c>
      <c r="N302" t="s">
        <v>2432</v>
      </c>
      <c r="O302" t="s">
        <v>2433</v>
      </c>
      <c r="P302" t="s">
        <v>2434</v>
      </c>
    </row>
    <row r="303" spans="1:16" x14ac:dyDescent="0.35">
      <c r="A303" t="s">
        <v>2435</v>
      </c>
      <c r="B303" t="s">
        <v>55</v>
      </c>
      <c r="C303" t="s">
        <v>497</v>
      </c>
      <c r="D303" t="s">
        <v>16</v>
      </c>
      <c r="E303" t="s">
        <v>2436</v>
      </c>
      <c r="F303" t="s">
        <v>2437</v>
      </c>
      <c r="G303" t="s">
        <v>2438</v>
      </c>
      <c r="H303" t="s">
        <v>2315</v>
      </c>
      <c r="I303" t="s">
        <v>28</v>
      </c>
      <c r="J303" t="s">
        <v>2439</v>
      </c>
      <c r="K303" t="s">
        <v>19</v>
      </c>
      <c r="L303" t="s">
        <v>20</v>
      </c>
      <c r="M303" t="s">
        <v>2440</v>
      </c>
      <c r="N303" t="s">
        <v>2441</v>
      </c>
      <c r="O303" t="s">
        <v>2442</v>
      </c>
      <c r="P303" t="s">
        <v>2443</v>
      </c>
    </row>
    <row r="304" spans="1:16" x14ac:dyDescent="0.35">
      <c r="A304" t="s">
        <v>2444</v>
      </c>
      <c r="B304" t="s">
        <v>55</v>
      </c>
      <c r="C304" t="s">
        <v>28</v>
      </c>
      <c r="D304" t="s">
        <v>28</v>
      </c>
      <c r="E304" t="s">
        <v>2445</v>
      </c>
      <c r="F304" t="s">
        <v>2446</v>
      </c>
      <c r="G304" t="s">
        <v>2447</v>
      </c>
      <c r="H304" t="s">
        <v>2315</v>
      </c>
      <c r="I304" t="s">
        <v>28</v>
      </c>
      <c r="J304" t="s">
        <v>2448</v>
      </c>
      <c r="K304" t="s">
        <v>19</v>
      </c>
      <c r="L304" t="s">
        <v>20</v>
      </c>
      <c r="M304" t="s">
        <v>2449</v>
      </c>
      <c r="N304" t="s">
        <v>2450</v>
      </c>
      <c r="O304" t="s">
        <v>2451</v>
      </c>
      <c r="P304" t="s">
        <v>2452</v>
      </c>
    </row>
    <row r="305" spans="1:16" x14ac:dyDescent="0.35">
      <c r="A305" t="s">
        <v>2453</v>
      </c>
      <c r="B305" t="s">
        <v>55</v>
      </c>
      <c r="C305" t="s">
        <v>28</v>
      </c>
      <c r="D305" t="s">
        <v>28</v>
      </c>
      <c r="E305" t="s">
        <v>2454</v>
      </c>
      <c r="F305" t="s">
        <v>2455</v>
      </c>
      <c r="G305" t="s">
        <v>2456</v>
      </c>
      <c r="H305" t="s">
        <v>2315</v>
      </c>
      <c r="I305" t="s">
        <v>28</v>
      </c>
      <c r="J305" t="s">
        <v>28</v>
      </c>
      <c r="K305" t="s">
        <v>19</v>
      </c>
      <c r="L305" t="s">
        <v>20</v>
      </c>
      <c r="M305" t="s">
        <v>2457</v>
      </c>
      <c r="N305" t="s">
        <v>2458</v>
      </c>
      <c r="O305" t="s">
        <v>2459</v>
      </c>
      <c r="P305" t="s">
        <v>2460</v>
      </c>
    </row>
    <row r="306" spans="1:16" x14ac:dyDescent="0.35">
      <c r="A306" t="s">
        <v>2465</v>
      </c>
      <c r="B306" t="s">
        <v>32</v>
      </c>
      <c r="C306" t="s">
        <v>28</v>
      </c>
      <c r="D306" t="s">
        <v>28</v>
      </c>
      <c r="E306" t="s">
        <v>2466</v>
      </c>
      <c r="F306" t="s">
        <v>2467</v>
      </c>
      <c r="G306" t="s">
        <v>2299</v>
      </c>
      <c r="H306" t="s">
        <v>2299</v>
      </c>
      <c r="I306" t="s">
        <v>2468</v>
      </c>
      <c r="J306" t="s">
        <v>2469</v>
      </c>
      <c r="K306" t="s">
        <v>2470</v>
      </c>
      <c r="L306" t="s">
        <v>20</v>
      </c>
      <c r="M306" t="s">
        <v>2463</v>
      </c>
      <c r="N306" t="s">
        <v>2464</v>
      </c>
      <c r="O306" t="s">
        <v>2471</v>
      </c>
      <c r="P306" t="s">
        <v>2472</v>
      </c>
    </row>
    <row r="307" spans="1:16" x14ac:dyDescent="0.35">
      <c r="A307" t="s">
        <v>2473</v>
      </c>
      <c r="B307" t="s">
        <v>32</v>
      </c>
      <c r="C307" t="s">
        <v>474</v>
      </c>
      <c r="D307" t="s">
        <v>2474</v>
      </c>
      <c r="E307" t="s">
        <v>2475</v>
      </c>
      <c r="F307" t="s">
        <v>2476</v>
      </c>
      <c r="G307" t="s">
        <v>2299</v>
      </c>
      <c r="H307" t="s">
        <v>2299</v>
      </c>
      <c r="I307" t="s">
        <v>2468</v>
      </c>
      <c r="J307" t="s">
        <v>2477</v>
      </c>
      <c r="K307" t="s">
        <v>2470</v>
      </c>
      <c r="L307" t="s">
        <v>20</v>
      </c>
      <c r="M307" t="s">
        <v>2478</v>
      </c>
      <c r="N307" t="s">
        <v>2479</v>
      </c>
      <c r="O307" t="s">
        <v>2480</v>
      </c>
      <c r="P307" t="s">
        <v>2481</v>
      </c>
    </row>
    <row r="308" spans="1:16" x14ac:dyDescent="0.35">
      <c r="A308" t="s">
        <v>2484</v>
      </c>
      <c r="B308" t="s">
        <v>32</v>
      </c>
      <c r="C308" t="s">
        <v>691</v>
      </c>
      <c r="D308" t="s">
        <v>16</v>
      </c>
      <c r="E308" t="s">
        <v>2485</v>
      </c>
      <c r="F308" t="s">
        <v>2486</v>
      </c>
      <c r="G308" t="s">
        <v>2299</v>
      </c>
      <c r="H308" t="s">
        <v>2299</v>
      </c>
      <c r="I308" t="s">
        <v>2487</v>
      </c>
      <c r="J308" t="s">
        <v>2488</v>
      </c>
      <c r="K308" t="s">
        <v>2489</v>
      </c>
      <c r="L308" t="s">
        <v>20</v>
      </c>
      <c r="M308" t="s">
        <v>2482</v>
      </c>
      <c r="N308" t="s">
        <v>2483</v>
      </c>
      <c r="O308" t="s">
        <v>2490</v>
      </c>
      <c r="P308" t="s">
        <v>2491</v>
      </c>
    </row>
    <row r="309" spans="1:16" x14ac:dyDescent="0.35">
      <c r="A309" t="s">
        <v>2492</v>
      </c>
      <c r="B309" t="s">
        <v>32</v>
      </c>
      <c r="C309" t="s">
        <v>15</v>
      </c>
      <c r="D309" t="s">
        <v>16</v>
      </c>
      <c r="E309" t="s">
        <v>2493</v>
      </c>
      <c r="F309" t="s">
        <v>2494</v>
      </c>
      <c r="G309" t="s">
        <v>2299</v>
      </c>
      <c r="H309" t="s">
        <v>2299</v>
      </c>
      <c r="I309" t="s">
        <v>28</v>
      </c>
      <c r="J309" t="s">
        <v>2495</v>
      </c>
      <c r="K309" t="s">
        <v>19</v>
      </c>
      <c r="L309" t="s">
        <v>20</v>
      </c>
      <c r="M309" t="s">
        <v>2482</v>
      </c>
      <c r="N309" t="s">
        <v>2483</v>
      </c>
      <c r="O309" t="s">
        <v>2496</v>
      </c>
      <c r="P309" t="s">
        <v>2497</v>
      </c>
    </row>
    <row r="310" spans="1:16" x14ac:dyDescent="0.35">
      <c r="A310" t="s">
        <v>2498</v>
      </c>
      <c r="B310" t="s">
        <v>55</v>
      </c>
      <c r="C310" t="s">
        <v>117</v>
      </c>
      <c r="D310" t="s">
        <v>124</v>
      </c>
      <c r="E310" t="s">
        <v>2499</v>
      </c>
      <c r="F310" t="s">
        <v>2500</v>
      </c>
      <c r="G310" t="s">
        <v>2299</v>
      </c>
      <c r="H310" t="s">
        <v>2299</v>
      </c>
      <c r="I310" t="s">
        <v>2501</v>
      </c>
      <c r="J310" t="s">
        <v>28</v>
      </c>
      <c r="K310" t="s">
        <v>2502</v>
      </c>
      <c r="L310" t="s">
        <v>20</v>
      </c>
      <c r="M310" t="s">
        <v>2482</v>
      </c>
      <c r="N310" t="s">
        <v>2483</v>
      </c>
      <c r="O310" t="s">
        <v>2503</v>
      </c>
      <c r="P310" t="s">
        <v>2504</v>
      </c>
    </row>
    <row r="311" spans="1:16" x14ac:dyDescent="0.35">
      <c r="A311" t="s">
        <v>2505</v>
      </c>
      <c r="B311" t="s">
        <v>32</v>
      </c>
      <c r="C311" t="s">
        <v>117</v>
      </c>
      <c r="D311" t="s">
        <v>27</v>
      </c>
      <c r="E311" t="s">
        <v>2506</v>
      </c>
      <c r="F311" t="s">
        <v>2507</v>
      </c>
      <c r="G311" t="s">
        <v>2299</v>
      </c>
      <c r="H311" t="s">
        <v>2299</v>
      </c>
      <c r="I311" t="s">
        <v>2468</v>
      </c>
      <c r="J311" t="s">
        <v>2508</v>
      </c>
      <c r="K311" t="s">
        <v>2470</v>
      </c>
      <c r="L311" t="s">
        <v>20</v>
      </c>
      <c r="M311" t="s">
        <v>2509</v>
      </c>
      <c r="N311" t="s">
        <v>2510</v>
      </c>
      <c r="O311" t="s">
        <v>2511</v>
      </c>
      <c r="P311" t="s">
        <v>2512</v>
      </c>
    </row>
    <row r="312" spans="1:16" x14ac:dyDescent="0.35">
      <c r="A312" t="s">
        <v>2513</v>
      </c>
      <c r="B312" t="s">
        <v>32</v>
      </c>
      <c r="C312" t="s">
        <v>205</v>
      </c>
      <c r="D312" t="s">
        <v>1604</v>
      </c>
      <c r="E312" t="s">
        <v>2514</v>
      </c>
      <c r="F312" t="s">
        <v>2515</v>
      </c>
      <c r="G312" t="s">
        <v>2299</v>
      </c>
      <c r="H312" t="s">
        <v>2299</v>
      </c>
      <c r="I312" t="s">
        <v>2468</v>
      </c>
      <c r="J312" t="s">
        <v>2516</v>
      </c>
      <c r="K312" t="s">
        <v>2470</v>
      </c>
      <c r="L312" t="s">
        <v>20</v>
      </c>
      <c r="M312" t="s">
        <v>2517</v>
      </c>
      <c r="N312" t="s">
        <v>2518</v>
      </c>
      <c r="O312" t="s">
        <v>2519</v>
      </c>
      <c r="P312" t="s">
        <v>2520</v>
      </c>
    </row>
    <row r="313" spans="1:16" x14ac:dyDescent="0.35">
      <c r="A313" t="s">
        <v>2521</v>
      </c>
      <c r="B313" t="s">
        <v>55</v>
      </c>
      <c r="C313" t="s">
        <v>28</v>
      </c>
      <c r="D313" t="s">
        <v>28</v>
      </c>
      <c r="E313" t="s">
        <v>2522</v>
      </c>
      <c r="F313" t="s">
        <v>2523</v>
      </c>
      <c r="G313" t="s">
        <v>2299</v>
      </c>
      <c r="H313" t="s">
        <v>2299</v>
      </c>
      <c r="I313" t="s">
        <v>2524</v>
      </c>
      <c r="J313" t="s">
        <v>2525</v>
      </c>
      <c r="K313" t="s">
        <v>19</v>
      </c>
      <c r="L313" t="s">
        <v>20</v>
      </c>
      <c r="M313" t="s">
        <v>2526</v>
      </c>
      <c r="N313" t="s">
        <v>2527</v>
      </c>
      <c r="O313" t="s">
        <v>2528</v>
      </c>
      <c r="P313" t="s">
        <v>2529</v>
      </c>
    </row>
    <row r="314" spans="1:16" x14ac:dyDescent="0.35">
      <c r="A314" t="s">
        <v>2532</v>
      </c>
      <c r="B314" t="s">
        <v>55</v>
      </c>
      <c r="C314" t="s">
        <v>28</v>
      </c>
      <c r="D314" t="s">
        <v>28</v>
      </c>
      <c r="E314" t="s">
        <v>2533</v>
      </c>
      <c r="F314" t="s">
        <v>2534</v>
      </c>
      <c r="G314" t="s">
        <v>2299</v>
      </c>
      <c r="H314" t="s">
        <v>2299</v>
      </c>
      <c r="I314" t="s">
        <v>2535</v>
      </c>
      <c r="J314" t="s">
        <v>2536</v>
      </c>
      <c r="K314" t="s">
        <v>2537</v>
      </c>
      <c r="L314" t="s">
        <v>20</v>
      </c>
      <c r="M314" t="s">
        <v>2530</v>
      </c>
      <c r="N314" t="s">
        <v>2531</v>
      </c>
      <c r="O314" t="s">
        <v>2538</v>
      </c>
      <c r="P314" t="s">
        <v>2539</v>
      </c>
    </row>
    <row r="315" spans="1:16" x14ac:dyDescent="0.35">
      <c r="A315" t="s">
        <v>2540</v>
      </c>
      <c r="B315" t="s">
        <v>55</v>
      </c>
      <c r="C315" t="s">
        <v>26</v>
      </c>
      <c r="D315" t="s">
        <v>2541</v>
      </c>
      <c r="E315" t="s">
        <v>2542</v>
      </c>
      <c r="F315" t="s">
        <v>2543</v>
      </c>
      <c r="G315" t="s">
        <v>2299</v>
      </c>
      <c r="H315" t="s">
        <v>2299</v>
      </c>
      <c r="I315" t="s">
        <v>82</v>
      </c>
      <c r="J315" t="s">
        <v>2544</v>
      </c>
      <c r="K315" t="s">
        <v>84</v>
      </c>
      <c r="L315" t="s">
        <v>20</v>
      </c>
      <c r="M315" t="s">
        <v>2530</v>
      </c>
      <c r="N315" t="s">
        <v>2531</v>
      </c>
      <c r="O315" t="s">
        <v>2545</v>
      </c>
      <c r="P315" t="s">
        <v>2546</v>
      </c>
    </row>
    <row r="316" spans="1:16" x14ac:dyDescent="0.35">
      <c r="A316" t="s">
        <v>2547</v>
      </c>
      <c r="B316" t="s">
        <v>32</v>
      </c>
      <c r="C316" t="s">
        <v>15</v>
      </c>
      <c r="D316" t="s">
        <v>16</v>
      </c>
      <c r="E316" t="s">
        <v>2548</v>
      </c>
      <c r="F316" t="s">
        <v>2549</v>
      </c>
      <c r="G316" t="s">
        <v>2299</v>
      </c>
      <c r="H316" t="s">
        <v>2299</v>
      </c>
      <c r="I316" t="s">
        <v>28</v>
      </c>
      <c r="J316" t="s">
        <v>28</v>
      </c>
      <c r="K316" t="s">
        <v>19</v>
      </c>
      <c r="L316" t="s">
        <v>20</v>
      </c>
      <c r="M316" t="s">
        <v>2550</v>
      </c>
      <c r="N316" t="s">
        <v>2551</v>
      </c>
      <c r="O316" t="s">
        <v>2552</v>
      </c>
      <c r="P316" t="s">
        <v>2553</v>
      </c>
    </row>
    <row r="317" spans="1:16" x14ac:dyDescent="0.35">
      <c r="A317" t="s">
        <v>2554</v>
      </c>
      <c r="B317" t="s">
        <v>55</v>
      </c>
      <c r="C317" t="s">
        <v>21</v>
      </c>
      <c r="D317" t="s">
        <v>282</v>
      </c>
      <c r="E317" t="s">
        <v>2555</v>
      </c>
      <c r="F317" t="s">
        <v>2556</v>
      </c>
      <c r="G317" t="s">
        <v>2299</v>
      </c>
      <c r="H317" t="s">
        <v>2299</v>
      </c>
      <c r="I317" t="s">
        <v>2468</v>
      </c>
      <c r="J317" t="s">
        <v>2557</v>
      </c>
      <c r="K317" t="s">
        <v>2470</v>
      </c>
      <c r="L317" t="s">
        <v>20</v>
      </c>
      <c r="M317" t="s">
        <v>2558</v>
      </c>
      <c r="N317" t="s">
        <v>2559</v>
      </c>
      <c r="O317" t="s">
        <v>2560</v>
      </c>
      <c r="P317" t="s">
        <v>2561</v>
      </c>
    </row>
    <row r="318" spans="1:16" x14ac:dyDescent="0.35">
      <c r="A318" t="s">
        <v>2562</v>
      </c>
      <c r="B318" t="s">
        <v>55</v>
      </c>
      <c r="C318" t="s">
        <v>28</v>
      </c>
      <c r="D318" t="s">
        <v>28</v>
      </c>
      <c r="E318" t="s">
        <v>2563</v>
      </c>
      <c r="F318" t="s">
        <v>2564</v>
      </c>
      <c r="G318" t="s">
        <v>2299</v>
      </c>
      <c r="H318" t="s">
        <v>2299</v>
      </c>
      <c r="I318" t="s">
        <v>2565</v>
      </c>
      <c r="J318" t="s">
        <v>2566</v>
      </c>
      <c r="K318" t="s">
        <v>2567</v>
      </c>
      <c r="L318" t="s">
        <v>20</v>
      </c>
      <c r="M318" t="s">
        <v>2568</v>
      </c>
      <c r="N318" t="s">
        <v>2569</v>
      </c>
      <c r="O318" t="s">
        <v>2570</v>
      </c>
      <c r="P318" t="s">
        <v>2571</v>
      </c>
    </row>
    <row r="319" spans="1:16" x14ac:dyDescent="0.35">
      <c r="A319" t="s">
        <v>1001</v>
      </c>
      <c r="B319" t="s">
        <v>55</v>
      </c>
      <c r="C319" t="s">
        <v>28</v>
      </c>
      <c r="D319" t="s">
        <v>28</v>
      </c>
      <c r="E319" t="s">
        <v>2572</v>
      </c>
      <c r="F319" t="s">
        <v>2573</v>
      </c>
      <c r="G319" t="s">
        <v>2299</v>
      </c>
      <c r="H319" t="s">
        <v>2299</v>
      </c>
      <c r="I319" t="s">
        <v>2574</v>
      </c>
      <c r="J319" t="s">
        <v>2575</v>
      </c>
      <c r="K319" t="s">
        <v>2576</v>
      </c>
      <c r="L319" t="s">
        <v>20</v>
      </c>
      <c r="M319" t="s">
        <v>2568</v>
      </c>
      <c r="N319" t="s">
        <v>2569</v>
      </c>
      <c r="O319" t="s">
        <v>2577</v>
      </c>
      <c r="P319" t="s">
        <v>2578</v>
      </c>
    </row>
    <row r="320" spans="1:16" x14ac:dyDescent="0.35">
      <c r="A320" t="s">
        <v>2579</v>
      </c>
      <c r="B320" t="s">
        <v>55</v>
      </c>
      <c r="C320" t="s">
        <v>548</v>
      </c>
      <c r="D320" t="s">
        <v>97</v>
      </c>
      <c r="E320" t="s">
        <v>2580</v>
      </c>
      <c r="F320" t="s">
        <v>2581</v>
      </c>
      <c r="G320" t="s">
        <v>2299</v>
      </c>
      <c r="H320" t="s">
        <v>2299</v>
      </c>
      <c r="I320" t="s">
        <v>2582</v>
      </c>
      <c r="J320" t="s">
        <v>2583</v>
      </c>
      <c r="K320" t="s">
        <v>2584</v>
      </c>
      <c r="L320" t="s">
        <v>20</v>
      </c>
      <c r="M320" t="s">
        <v>2568</v>
      </c>
      <c r="N320" t="s">
        <v>2569</v>
      </c>
      <c r="O320" t="s">
        <v>2585</v>
      </c>
      <c r="P320" t="s">
        <v>2586</v>
      </c>
    </row>
    <row r="321" spans="1:16" x14ac:dyDescent="0.35">
      <c r="A321" t="s">
        <v>2587</v>
      </c>
      <c r="B321" t="s">
        <v>55</v>
      </c>
      <c r="C321" t="s">
        <v>28</v>
      </c>
      <c r="D321" t="s">
        <v>28</v>
      </c>
      <c r="E321" t="s">
        <v>2588</v>
      </c>
      <c r="F321" t="s">
        <v>2589</v>
      </c>
      <c r="G321" t="s">
        <v>2299</v>
      </c>
      <c r="H321" t="s">
        <v>2299</v>
      </c>
      <c r="I321" t="s">
        <v>2590</v>
      </c>
      <c r="J321" t="s">
        <v>28</v>
      </c>
      <c r="K321" t="s">
        <v>2591</v>
      </c>
      <c r="L321" t="s">
        <v>20</v>
      </c>
      <c r="M321" t="s">
        <v>2461</v>
      </c>
      <c r="N321" t="s">
        <v>2462</v>
      </c>
      <c r="O321" t="s">
        <v>2592</v>
      </c>
      <c r="P321" t="s">
        <v>2593</v>
      </c>
    </row>
    <row r="322" spans="1:16" x14ac:dyDescent="0.35">
      <c r="A322" t="s">
        <v>2596</v>
      </c>
      <c r="B322" t="s">
        <v>55</v>
      </c>
      <c r="C322" t="s">
        <v>691</v>
      </c>
      <c r="D322" t="s">
        <v>952</v>
      </c>
      <c r="E322" t="s">
        <v>2597</v>
      </c>
      <c r="F322" t="s">
        <v>2598</v>
      </c>
      <c r="G322" t="s">
        <v>2299</v>
      </c>
      <c r="H322" t="s">
        <v>2299</v>
      </c>
      <c r="I322" t="s">
        <v>2599</v>
      </c>
      <c r="J322" t="s">
        <v>2600</v>
      </c>
      <c r="K322" t="s">
        <v>19</v>
      </c>
      <c r="L322" t="s">
        <v>20</v>
      </c>
      <c r="M322" t="s">
        <v>2594</v>
      </c>
      <c r="N322" t="s">
        <v>2595</v>
      </c>
      <c r="O322" t="s">
        <v>2601</v>
      </c>
      <c r="P322" t="s">
        <v>2602</v>
      </c>
    </row>
    <row r="323" spans="1:16" x14ac:dyDescent="0.35">
      <c r="A323" t="s">
        <v>2603</v>
      </c>
      <c r="B323" t="s">
        <v>55</v>
      </c>
      <c r="C323" t="s">
        <v>28</v>
      </c>
      <c r="D323" t="s">
        <v>28</v>
      </c>
      <c r="E323" t="s">
        <v>2604</v>
      </c>
      <c r="F323" t="s">
        <v>2605</v>
      </c>
      <c r="G323" t="s">
        <v>2299</v>
      </c>
      <c r="H323" t="s">
        <v>2299</v>
      </c>
      <c r="I323" t="s">
        <v>28</v>
      </c>
      <c r="J323" t="s">
        <v>28</v>
      </c>
      <c r="K323" t="s">
        <v>19</v>
      </c>
      <c r="L323" t="s">
        <v>20</v>
      </c>
      <c r="M323" t="s">
        <v>2594</v>
      </c>
      <c r="N323" t="s">
        <v>2595</v>
      </c>
      <c r="O323" t="s">
        <v>2606</v>
      </c>
      <c r="P323" t="s">
        <v>2607</v>
      </c>
    </row>
    <row r="324" spans="1:16" x14ac:dyDescent="0.35">
      <c r="A324" t="s">
        <v>2587</v>
      </c>
      <c r="B324" t="s">
        <v>55</v>
      </c>
      <c r="C324" t="s">
        <v>28</v>
      </c>
      <c r="D324" t="s">
        <v>28</v>
      </c>
      <c r="E324" t="s">
        <v>2608</v>
      </c>
      <c r="F324" t="s">
        <v>2609</v>
      </c>
      <c r="G324" t="s">
        <v>2299</v>
      </c>
      <c r="H324" t="s">
        <v>2299</v>
      </c>
      <c r="I324" t="s">
        <v>28</v>
      </c>
      <c r="J324" t="s">
        <v>28</v>
      </c>
      <c r="K324" t="s">
        <v>19</v>
      </c>
      <c r="L324" t="s">
        <v>20</v>
      </c>
      <c r="M324" t="s">
        <v>2594</v>
      </c>
      <c r="N324" t="s">
        <v>2595</v>
      </c>
      <c r="O324" t="s">
        <v>2610</v>
      </c>
      <c r="P324" t="s">
        <v>2611</v>
      </c>
    </row>
    <row r="325" spans="1:16" x14ac:dyDescent="0.35">
      <c r="A325" t="s">
        <v>2612</v>
      </c>
      <c r="B325" t="s">
        <v>55</v>
      </c>
      <c r="C325" t="s">
        <v>15</v>
      </c>
      <c r="D325" t="s">
        <v>16</v>
      </c>
      <c r="E325" t="s">
        <v>2613</v>
      </c>
      <c r="F325" t="s">
        <v>2614</v>
      </c>
      <c r="G325" t="s">
        <v>2299</v>
      </c>
      <c r="H325" t="s">
        <v>2299</v>
      </c>
      <c r="I325" t="s">
        <v>2615</v>
      </c>
      <c r="J325" t="s">
        <v>2616</v>
      </c>
      <c r="K325" t="s">
        <v>19</v>
      </c>
      <c r="L325" t="s">
        <v>20</v>
      </c>
      <c r="M325" t="s">
        <v>2594</v>
      </c>
      <c r="N325" t="s">
        <v>2595</v>
      </c>
      <c r="O325" t="s">
        <v>2617</v>
      </c>
      <c r="P325" t="s">
        <v>2618</v>
      </c>
    </row>
    <row r="326" spans="1:16" x14ac:dyDescent="0.35">
      <c r="A326" t="s">
        <v>2619</v>
      </c>
      <c r="B326" t="s">
        <v>55</v>
      </c>
      <c r="C326" t="s">
        <v>28</v>
      </c>
      <c r="D326" t="s">
        <v>28</v>
      </c>
      <c r="E326" t="s">
        <v>2620</v>
      </c>
      <c r="F326" t="s">
        <v>2621</v>
      </c>
      <c r="G326" t="s">
        <v>2299</v>
      </c>
      <c r="H326" t="s">
        <v>2299</v>
      </c>
      <c r="I326" t="s">
        <v>28</v>
      </c>
      <c r="J326" t="s">
        <v>2622</v>
      </c>
      <c r="K326" t="s">
        <v>19</v>
      </c>
      <c r="L326" t="s">
        <v>20</v>
      </c>
      <c r="M326" t="s">
        <v>2594</v>
      </c>
      <c r="N326" t="s">
        <v>2595</v>
      </c>
      <c r="O326" t="s">
        <v>2623</v>
      </c>
      <c r="P326" t="s">
        <v>2624</v>
      </c>
    </row>
    <row r="327" spans="1:16" x14ac:dyDescent="0.35">
      <c r="A327" t="s">
        <v>2625</v>
      </c>
      <c r="B327" t="s">
        <v>55</v>
      </c>
      <c r="C327" t="s">
        <v>699</v>
      </c>
      <c r="D327" t="s">
        <v>2054</v>
      </c>
      <c r="E327" t="s">
        <v>2626</v>
      </c>
      <c r="F327" t="s">
        <v>2627</v>
      </c>
      <c r="G327" t="s">
        <v>2299</v>
      </c>
      <c r="H327" t="s">
        <v>2299</v>
      </c>
      <c r="I327" t="s">
        <v>1299</v>
      </c>
      <c r="J327" t="s">
        <v>2628</v>
      </c>
      <c r="K327" t="s">
        <v>19</v>
      </c>
      <c r="L327" t="s">
        <v>20</v>
      </c>
      <c r="M327" t="s">
        <v>2594</v>
      </c>
      <c r="N327" t="s">
        <v>2595</v>
      </c>
      <c r="O327" t="s">
        <v>2629</v>
      </c>
      <c r="P327" t="s">
        <v>2630</v>
      </c>
    </row>
    <row r="328" spans="1:16" x14ac:dyDescent="0.35">
      <c r="A328" t="s">
        <v>2587</v>
      </c>
      <c r="B328" t="s">
        <v>55</v>
      </c>
      <c r="C328" t="s">
        <v>26</v>
      </c>
      <c r="D328" t="s">
        <v>614</v>
      </c>
      <c r="E328" t="s">
        <v>2631</v>
      </c>
      <c r="F328" t="s">
        <v>2632</v>
      </c>
      <c r="G328" t="s">
        <v>2299</v>
      </c>
      <c r="H328" t="s">
        <v>2299</v>
      </c>
      <c r="I328" t="s">
        <v>28</v>
      </c>
      <c r="J328" t="s">
        <v>28</v>
      </c>
      <c r="K328" t="s">
        <v>19</v>
      </c>
      <c r="L328" t="s">
        <v>20</v>
      </c>
      <c r="M328" t="s">
        <v>2633</v>
      </c>
      <c r="N328" t="s">
        <v>2634</v>
      </c>
      <c r="O328" t="s">
        <v>2635</v>
      </c>
      <c r="P328" t="s">
        <v>2636</v>
      </c>
    </row>
    <row r="329" spans="1:16" x14ac:dyDescent="0.35">
      <c r="A329" t="s">
        <v>2637</v>
      </c>
      <c r="B329" t="s">
        <v>55</v>
      </c>
      <c r="C329" t="s">
        <v>78</v>
      </c>
      <c r="D329" t="s">
        <v>374</v>
      </c>
      <c r="E329" t="s">
        <v>2638</v>
      </c>
      <c r="F329" t="s">
        <v>2639</v>
      </c>
      <c r="G329" t="s">
        <v>2299</v>
      </c>
      <c r="H329" t="s">
        <v>2299</v>
      </c>
      <c r="I329" t="s">
        <v>2640</v>
      </c>
      <c r="J329" t="s">
        <v>2641</v>
      </c>
      <c r="K329" t="s">
        <v>19</v>
      </c>
      <c r="L329" t="s">
        <v>20</v>
      </c>
      <c r="M329" t="s">
        <v>2642</v>
      </c>
      <c r="N329" t="s">
        <v>2643</v>
      </c>
      <c r="O329" t="s">
        <v>2644</v>
      </c>
      <c r="P329" t="s">
        <v>2645</v>
      </c>
    </row>
    <row r="330" spans="1:16" x14ac:dyDescent="0.35">
      <c r="A330" t="s">
        <v>2646</v>
      </c>
      <c r="B330" t="s">
        <v>194</v>
      </c>
      <c r="C330" t="s">
        <v>28</v>
      </c>
      <c r="D330" t="s">
        <v>28</v>
      </c>
      <c r="E330" t="s">
        <v>2647</v>
      </c>
      <c r="F330" t="s">
        <v>2648</v>
      </c>
      <c r="G330" t="s">
        <v>2299</v>
      </c>
      <c r="H330" t="s">
        <v>2299</v>
      </c>
      <c r="I330" t="s">
        <v>28</v>
      </c>
      <c r="J330" t="s">
        <v>28</v>
      </c>
      <c r="K330" t="s">
        <v>19</v>
      </c>
      <c r="L330" t="s">
        <v>20</v>
      </c>
      <c r="M330" t="s">
        <v>2649</v>
      </c>
      <c r="N330" t="s">
        <v>2650</v>
      </c>
      <c r="O330" t="s">
        <v>2651</v>
      </c>
      <c r="P330" t="s">
        <v>2652</v>
      </c>
    </row>
    <row r="331" spans="1:16" x14ac:dyDescent="0.35">
      <c r="A331" t="s">
        <v>2653</v>
      </c>
      <c r="B331" t="s">
        <v>55</v>
      </c>
      <c r="C331" t="s">
        <v>205</v>
      </c>
      <c r="D331" t="s">
        <v>348</v>
      </c>
      <c r="E331" t="s">
        <v>2654</v>
      </c>
      <c r="F331" t="s">
        <v>2655</v>
      </c>
      <c r="G331" t="s">
        <v>2299</v>
      </c>
      <c r="H331" t="s">
        <v>2299</v>
      </c>
      <c r="I331" t="s">
        <v>28</v>
      </c>
      <c r="J331" t="s">
        <v>2656</v>
      </c>
      <c r="K331" t="s">
        <v>19</v>
      </c>
      <c r="L331" t="s">
        <v>20</v>
      </c>
      <c r="M331" t="s">
        <v>2657</v>
      </c>
      <c r="N331" t="s">
        <v>2658</v>
      </c>
      <c r="O331" t="s">
        <v>2659</v>
      </c>
      <c r="P331" t="s">
        <v>2660</v>
      </c>
    </row>
    <row r="332" spans="1:16" x14ac:dyDescent="0.35">
      <c r="A332" t="s">
        <v>2661</v>
      </c>
      <c r="B332" t="s">
        <v>55</v>
      </c>
      <c r="C332" t="s">
        <v>28</v>
      </c>
      <c r="D332" t="s">
        <v>28</v>
      </c>
      <c r="E332" t="s">
        <v>2662</v>
      </c>
      <c r="F332" t="s">
        <v>2663</v>
      </c>
      <c r="G332" t="s">
        <v>2299</v>
      </c>
      <c r="H332" t="s">
        <v>2299</v>
      </c>
      <c r="I332" t="s">
        <v>28</v>
      </c>
      <c r="J332" t="s">
        <v>2664</v>
      </c>
      <c r="K332" t="s">
        <v>19</v>
      </c>
      <c r="L332" t="s">
        <v>20</v>
      </c>
      <c r="M332" t="s">
        <v>2657</v>
      </c>
      <c r="N332" t="s">
        <v>2658</v>
      </c>
      <c r="O332" t="s">
        <v>2665</v>
      </c>
      <c r="P332" t="s">
        <v>2666</v>
      </c>
    </row>
    <row r="333" spans="1:16" x14ac:dyDescent="0.35">
      <c r="A333" t="s">
        <v>2667</v>
      </c>
      <c r="B333" t="s">
        <v>55</v>
      </c>
      <c r="C333" t="s">
        <v>241</v>
      </c>
      <c r="D333" t="s">
        <v>141</v>
      </c>
      <c r="E333" t="s">
        <v>2668</v>
      </c>
      <c r="F333" t="s">
        <v>2669</v>
      </c>
      <c r="G333" t="s">
        <v>2299</v>
      </c>
      <c r="H333" t="s">
        <v>2299</v>
      </c>
      <c r="I333" t="s">
        <v>28</v>
      </c>
      <c r="J333" t="s">
        <v>28</v>
      </c>
      <c r="K333" t="s">
        <v>19</v>
      </c>
      <c r="L333" t="s">
        <v>20</v>
      </c>
      <c r="M333" t="s">
        <v>2657</v>
      </c>
      <c r="N333" t="s">
        <v>2658</v>
      </c>
      <c r="O333" t="s">
        <v>2670</v>
      </c>
      <c r="P333" t="s">
        <v>2671</v>
      </c>
    </row>
    <row r="334" spans="1:16" x14ac:dyDescent="0.35">
      <c r="A334" t="s">
        <v>2672</v>
      </c>
      <c r="B334" t="s">
        <v>55</v>
      </c>
      <c r="C334" t="s">
        <v>28</v>
      </c>
      <c r="D334" t="s">
        <v>28</v>
      </c>
      <c r="E334" t="s">
        <v>2673</v>
      </c>
      <c r="F334" t="s">
        <v>2674</v>
      </c>
      <c r="G334" t="s">
        <v>2299</v>
      </c>
      <c r="H334" t="s">
        <v>2299</v>
      </c>
      <c r="I334" t="s">
        <v>28</v>
      </c>
      <c r="J334" t="s">
        <v>2675</v>
      </c>
      <c r="K334" t="s">
        <v>19</v>
      </c>
      <c r="L334" t="s">
        <v>20</v>
      </c>
      <c r="M334" t="s">
        <v>2657</v>
      </c>
      <c r="N334" t="s">
        <v>2658</v>
      </c>
      <c r="O334" t="s">
        <v>2676</v>
      </c>
      <c r="P334" t="s">
        <v>2677</v>
      </c>
    </row>
    <row r="335" spans="1:16" x14ac:dyDescent="0.35">
      <c r="A335" t="s">
        <v>2680</v>
      </c>
      <c r="B335" t="s">
        <v>55</v>
      </c>
      <c r="C335" t="s">
        <v>96</v>
      </c>
      <c r="D335" t="s">
        <v>614</v>
      </c>
      <c r="E335" t="s">
        <v>2681</v>
      </c>
      <c r="F335" t="s">
        <v>2682</v>
      </c>
      <c r="G335" t="s">
        <v>2299</v>
      </c>
      <c r="H335" t="s">
        <v>2299</v>
      </c>
      <c r="I335" t="s">
        <v>2683</v>
      </c>
      <c r="J335" t="s">
        <v>2684</v>
      </c>
      <c r="K335" t="s">
        <v>2685</v>
      </c>
      <c r="L335" t="s">
        <v>20</v>
      </c>
      <c r="M335" t="s">
        <v>2678</v>
      </c>
      <c r="N335" t="s">
        <v>2679</v>
      </c>
      <c r="O335" t="s">
        <v>2686</v>
      </c>
      <c r="P335" t="s">
        <v>2687</v>
      </c>
    </row>
    <row r="336" spans="1:16" x14ac:dyDescent="0.35">
      <c r="A336" t="s">
        <v>2250</v>
      </c>
      <c r="B336" t="s">
        <v>55</v>
      </c>
      <c r="C336" t="s">
        <v>140</v>
      </c>
      <c r="D336" t="s">
        <v>549</v>
      </c>
      <c r="E336" t="s">
        <v>2688</v>
      </c>
      <c r="F336" t="s">
        <v>2689</v>
      </c>
      <c r="G336" t="s">
        <v>2299</v>
      </c>
      <c r="H336" t="s">
        <v>2299</v>
      </c>
      <c r="I336" t="s">
        <v>2253</v>
      </c>
      <c r="J336" t="s">
        <v>2690</v>
      </c>
      <c r="K336" t="s">
        <v>2255</v>
      </c>
      <c r="L336" t="s">
        <v>20</v>
      </c>
      <c r="M336" t="s">
        <v>2691</v>
      </c>
      <c r="N336" t="s">
        <v>2692</v>
      </c>
      <c r="O336" t="s">
        <v>2693</v>
      </c>
      <c r="P336" t="s">
        <v>2694</v>
      </c>
    </row>
    <row r="337" spans="1:16" x14ac:dyDescent="0.35">
      <c r="A337" t="s">
        <v>2695</v>
      </c>
      <c r="B337" t="s">
        <v>55</v>
      </c>
      <c r="C337" t="s">
        <v>311</v>
      </c>
      <c r="D337" t="s">
        <v>1706</v>
      </c>
      <c r="E337" t="s">
        <v>2696</v>
      </c>
      <c r="F337" t="s">
        <v>2697</v>
      </c>
      <c r="G337" t="s">
        <v>2299</v>
      </c>
      <c r="H337" t="s">
        <v>2299</v>
      </c>
      <c r="I337" t="s">
        <v>2698</v>
      </c>
      <c r="J337" t="s">
        <v>2699</v>
      </c>
      <c r="K337" t="s">
        <v>19</v>
      </c>
      <c r="L337" t="s">
        <v>20</v>
      </c>
      <c r="M337" t="s">
        <v>2691</v>
      </c>
      <c r="N337" t="s">
        <v>2692</v>
      </c>
      <c r="O337" t="s">
        <v>2700</v>
      </c>
      <c r="P337" t="s">
        <v>2701</v>
      </c>
    </row>
    <row r="338" spans="1:16" x14ac:dyDescent="0.35">
      <c r="A338" t="s">
        <v>2702</v>
      </c>
      <c r="B338" t="s">
        <v>55</v>
      </c>
      <c r="C338" t="s">
        <v>117</v>
      </c>
      <c r="D338" t="s">
        <v>16</v>
      </c>
      <c r="E338" t="s">
        <v>2703</v>
      </c>
      <c r="F338" t="s">
        <v>2704</v>
      </c>
      <c r="G338" t="s">
        <v>2299</v>
      </c>
      <c r="H338" t="s">
        <v>2299</v>
      </c>
      <c r="I338" t="s">
        <v>28</v>
      </c>
      <c r="J338" t="s">
        <v>2705</v>
      </c>
      <c r="K338" t="s">
        <v>19</v>
      </c>
      <c r="L338" t="s">
        <v>20</v>
      </c>
      <c r="M338" t="s">
        <v>2706</v>
      </c>
      <c r="N338" t="s">
        <v>2707</v>
      </c>
      <c r="O338" t="s">
        <v>2708</v>
      </c>
      <c r="P338" t="s">
        <v>2709</v>
      </c>
    </row>
    <row r="339" spans="1:16" x14ac:dyDescent="0.35">
      <c r="A339" t="s">
        <v>2250</v>
      </c>
      <c r="B339" t="s">
        <v>55</v>
      </c>
      <c r="C339" t="s">
        <v>158</v>
      </c>
      <c r="D339" t="s">
        <v>1604</v>
      </c>
      <c r="E339" t="s">
        <v>2710</v>
      </c>
      <c r="F339" t="s">
        <v>2711</v>
      </c>
      <c r="G339" t="s">
        <v>2299</v>
      </c>
      <c r="H339" t="s">
        <v>2299</v>
      </c>
      <c r="I339" t="s">
        <v>2253</v>
      </c>
      <c r="J339" t="s">
        <v>2712</v>
      </c>
      <c r="K339" t="s">
        <v>2255</v>
      </c>
      <c r="L339" t="s">
        <v>20</v>
      </c>
      <c r="M339" t="s">
        <v>2713</v>
      </c>
      <c r="N339" t="s">
        <v>2714</v>
      </c>
      <c r="O339" t="s">
        <v>2715</v>
      </c>
      <c r="P339" t="s">
        <v>2716</v>
      </c>
    </row>
    <row r="340" spans="1:16" x14ac:dyDescent="0.35">
      <c r="A340" t="s">
        <v>2717</v>
      </c>
      <c r="B340" t="s">
        <v>55</v>
      </c>
      <c r="C340" t="s">
        <v>140</v>
      </c>
      <c r="D340" t="s">
        <v>2718</v>
      </c>
      <c r="E340" t="s">
        <v>2719</v>
      </c>
      <c r="F340" t="s">
        <v>2720</v>
      </c>
      <c r="G340" t="s">
        <v>2299</v>
      </c>
      <c r="H340" t="s">
        <v>2299</v>
      </c>
      <c r="I340" t="s">
        <v>2721</v>
      </c>
      <c r="J340" t="s">
        <v>2722</v>
      </c>
      <c r="K340" t="s">
        <v>2723</v>
      </c>
      <c r="L340" t="s">
        <v>20</v>
      </c>
      <c r="M340" t="s">
        <v>2724</v>
      </c>
      <c r="N340" t="s">
        <v>2725</v>
      </c>
      <c r="O340" t="s">
        <v>2726</v>
      </c>
      <c r="P340" t="s">
        <v>2727</v>
      </c>
    </row>
    <row r="341" spans="1:16" x14ac:dyDescent="0.35">
      <c r="A341" t="s">
        <v>2728</v>
      </c>
      <c r="B341" t="s">
        <v>107</v>
      </c>
      <c r="C341" t="s">
        <v>28</v>
      </c>
      <c r="D341" t="s">
        <v>28</v>
      </c>
      <c r="E341" t="s">
        <v>2729</v>
      </c>
      <c r="F341" t="s">
        <v>2730</v>
      </c>
      <c r="G341" t="s">
        <v>2299</v>
      </c>
      <c r="H341" t="s">
        <v>2299</v>
      </c>
      <c r="I341" t="s">
        <v>2731</v>
      </c>
      <c r="J341" t="s">
        <v>2732</v>
      </c>
      <c r="K341" t="s">
        <v>19</v>
      </c>
      <c r="L341" t="s">
        <v>20</v>
      </c>
      <c r="M341" t="s">
        <v>2733</v>
      </c>
      <c r="N341" t="s">
        <v>2734</v>
      </c>
      <c r="O341" t="s">
        <v>2735</v>
      </c>
      <c r="P341" t="s">
        <v>2736</v>
      </c>
    </row>
    <row r="342" spans="1:16" x14ac:dyDescent="0.35">
      <c r="A342" t="s">
        <v>2737</v>
      </c>
      <c r="B342" t="s">
        <v>194</v>
      </c>
      <c r="C342" t="s">
        <v>15</v>
      </c>
      <c r="D342" t="s">
        <v>68</v>
      </c>
      <c r="E342" t="s">
        <v>2738</v>
      </c>
      <c r="F342" t="s">
        <v>2739</v>
      </c>
      <c r="G342" t="s">
        <v>2299</v>
      </c>
      <c r="H342" t="s">
        <v>2299</v>
      </c>
      <c r="I342" t="s">
        <v>2740</v>
      </c>
      <c r="J342" t="s">
        <v>2741</v>
      </c>
      <c r="K342" t="s">
        <v>2742</v>
      </c>
      <c r="L342" t="s">
        <v>20</v>
      </c>
      <c r="M342" t="s">
        <v>2743</v>
      </c>
      <c r="N342" t="s">
        <v>2744</v>
      </c>
      <c r="O342" t="s">
        <v>2745</v>
      </c>
      <c r="P342" t="s">
        <v>2746</v>
      </c>
    </row>
    <row r="343" spans="1:16" x14ac:dyDescent="0.35">
      <c r="A343" t="s">
        <v>2747</v>
      </c>
      <c r="B343" t="s">
        <v>194</v>
      </c>
      <c r="C343" t="s">
        <v>15</v>
      </c>
      <c r="D343" t="s">
        <v>16</v>
      </c>
      <c r="E343" t="s">
        <v>2748</v>
      </c>
      <c r="F343" t="s">
        <v>2749</v>
      </c>
      <c r="G343" t="s">
        <v>2299</v>
      </c>
      <c r="H343" t="s">
        <v>2299</v>
      </c>
      <c r="I343" t="s">
        <v>2750</v>
      </c>
      <c r="J343" t="s">
        <v>28</v>
      </c>
      <c r="K343" t="s">
        <v>19</v>
      </c>
      <c r="L343" t="s">
        <v>20</v>
      </c>
      <c r="M343" t="s">
        <v>2751</v>
      </c>
      <c r="N343" t="s">
        <v>2752</v>
      </c>
      <c r="O343" t="s">
        <v>2753</v>
      </c>
      <c r="P343" t="s">
        <v>2754</v>
      </c>
    </row>
    <row r="344" spans="1:16" x14ac:dyDescent="0.35">
      <c r="A344" t="s">
        <v>2755</v>
      </c>
      <c r="B344" t="s">
        <v>55</v>
      </c>
      <c r="C344" t="s">
        <v>28</v>
      </c>
      <c r="D344" t="s">
        <v>28</v>
      </c>
      <c r="E344" t="s">
        <v>2756</v>
      </c>
      <c r="F344" t="s">
        <v>2757</v>
      </c>
      <c r="G344" t="s">
        <v>2299</v>
      </c>
      <c r="H344" t="s">
        <v>2299</v>
      </c>
      <c r="I344" t="s">
        <v>2758</v>
      </c>
      <c r="J344" t="s">
        <v>2759</v>
      </c>
      <c r="K344" t="s">
        <v>2760</v>
      </c>
      <c r="L344" t="s">
        <v>20</v>
      </c>
      <c r="M344" t="s">
        <v>2761</v>
      </c>
      <c r="N344" t="s">
        <v>2762</v>
      </c>
      <c r="O344" t="s">
        <v>2763</v>
      </c>
      <c r="P344" t="s">
        <v>2764</v>
      </c>
    </row>
    <row r="345" spans="1:16" x14ac:dyDescent="0.35">
      <c r="A345" t="s">
        <v>2765</v>
      </c>
      <c r="B345" t="s">
        <v>55</v>
      </c>
      <c r="C345" t="s">
        <v>28</v>
      </c>
      <c r="D345" t="s">
        <v>28</v>
      </c>
      <c r="E345" t="s">
        <v>2766</v>
      </c>
      <c r="F345" t="s">
        <v>2767</v>
      </c>
      <c r="G345" t="s">
        <v>2768</v>
      </c>
      <c r="H345" t="s">
        <v>2299</v>
      </c>
      <c r="I345" t="s">
        <v>28</v>
      </c>
      <c r="J345" t="s">
        <v>2769</v>
      </c>
      <c r="K345" t="s">
        <v>19</v>
      </c>
      <c r="L345" t="s">
        <v>20</v>
      </c>
      <c r="M345" t="s">
        <v>2770</v>
      </c>
      <c r="N345" t="s">
        <v>2771</v>
      </c>
      <c r="O345" t="s">
        <v>2772</v>
      </c>
      <c r="P345" t="s">
        <v>2773</v>
      </c>
    </row>
    <row r="346" spans="1:16" x14ac:dyDescent="0.35">
      <c r="A346" t="s">
        <v>2774</v>
      </c>
      <c r="B346" t="s">
        <v>55</v>
      </c>
      <c r="C346" t="s">
        <v>28</v>
      </c>
      <c r="D346" t="s">
        <v>28</v>
      </c>
      <c r="E346" t="s">
        <v>2775</v>
      </c>
      <c r="F346" t="s">
        <v>2776</v>
      </c>
      <c r="G346" t="s">
        <v>2777</v>
      </c>
      <c r="H346" t="s">
        <v>2299</v>
      </c>
      <c r="I346" t="s">
        <v>2778</v>
      </c>
      <c r="J346" t="s">
        <v>2779</v>
      </c>
      <c r="K346" t="s">
        <v>2780</v>
      </c>
      <c r="L346" t="s">
        <v>20</v>
      </c>
      <c r="M346" t="s">
        <v>2781</v>
      </c>
      <c r="N346" t="s">
        <v>2782</v>
      </c>
      <c r="O346" t="s">
        <v>2783</v>
      </c>
      <c r="P346" t="s">
        <v>2784</v>
      </c>
    </row>
    <row r="347" spans="1:16" x14ac:dyDescent="0.35">
      <c r="A347" t="s">
        <v>2791</v>
      </c>
      <c r="B347" t="s">
        <v>55</v>
      </c>
      <c r="C347" t="s">
        <v>28</v>
      </c>
      <c r="D347" t="s">
        <v>28</v>
      </c>
      <c r="E347" t="s">
        <v>28</v>
      </c>
      <c r="F347" t="s">
        <v>28</v>
      </c>
      <c r="G347" t="s">
        <v>2792</v>
      </c>
      <c r="H347" t="s">
        <v>28</v>
      </c>
      <c r="I347" t="s">
        <v>2793</v>
      </c>
      <c r="J347" t="s">
        <v>2794</v>
      </c>
      <c r="K347" t="s">
        <v>2795</v>
      </c>
      <c r="L347" t="s">
        <v>20</v>
      </c>
      <c r="M347" t="s">
        <v>2789</v>
      </c>
      <c r="N347" t="s">
        <v>2790</v>
      </c>
      <c r="O347" t="s">
        <v>2796</v>
      </c>
      <c r="P347" t="s">
        <v>2797</v>
      </c>
    </row>
    <row r="348" spans="1:16" x14ac:dyDescent="0.35">
      <c r="A348" t="s">
        <v>2802</v>
      </c>
      <c r="B348" t="s">
        <v>32</v>
      </c>
      <c r="C348" t="s">
        <v>15</v>
      </c>
      <c r="D348" t="s">
        <v>68</v>
      </c>
      <c r="E348" t="s">
        <v>2803</v>
      </c>
      <c r="F348" t="s">
        <v>2804</v>
      </c>
      <c r="G348" t="s">
        <v>2805</v>
      </c>
      <c r="H348" t="s">
        <v>2786</v>
      </c>
      <c r="I348" t="s">
        <v>28</v>
      </c>
      <c r="J348" t="s">
        <v>2806</v>
      </c>
      <c r="K348" t="s">
        <v>19</v>
      </c>
      <c r="L348" t="s">
        <v>20</v>
      </c>
      <c r="M348" t="s">
        <v>2807</v>
      </c>
      <c r="N348" t="s">
        <v>2808</v>
      </c>
      <c r="O348" t="s">
        <v>2809</v>
      </c>
      <c r="P348" t="s">
        <v>2810</v>
      </c>
    </row>
    <row r="349" spans="1:16" x14ac:dyDescent="0.35">
      <c r="A349" t="s">
        <v>1209</v>
      </c>
      <c r="B349" t="s">
        <v>32</v>
      </c>
      <c r="C349" t="s">
        <v>177</v>
      </c>
      <c r="D349" t="s">
        <v>348</v>
      </c>
      <c r="E349" t="s">
        <v>2812</v>
      </c>
      <c r="F349" t="s">
        <v>2813</v>
      </c>
      <c r="G349" t="s">
        <v>2814</v>
      </c>
      <c r="H349" t="s">
        <v>2786</v>
      </c>
      <c r="I349" t="s">
        <v>28</v>
      </c>
      <c r="J349" t="s">
        <v>2815</v>
      </c>
      <c r="K349" t="s">
        <v>19</v>
      </c>
      <c r="L349" t="s">
        <v>20</v>
      </c>
      <c r="M349" t="s">
        <v>2816</v>
      </c>
      <c r="N349" t="s">
        <v>2817</v>
      </c>
      <c r="O349" t="s">
        <v>2818</v>
      </c>
      <c r="P349" t="s">
        <v>2819</v>
      </c>
    </row>
    <row r="350" spans="1:16" x14ac:dyDescent="0.35">
      <c r="A350" t="s">
        <v>2820</v>
      </c>
      <c r="B350" t="s">
        <v>55</v>
      </c>
      <c r="C350" t="s">
        <v>15</v>
      </c>
      <c r="D350" t="s">
        <v>614</v>
      </c>
      <c r="E350" t="s">
        <v>2821</v>
      </c>
      <c r="F350" t="s">
        <v>2822</v>
      </c>
      <c r="G350" t="s">
        <v>2801</v>
      </c>
      <c r="H350" t="s">
        <v>2786</v>
      </c>
      <c r="I350" t="s">
        <v>2823</v>
      </c>
      <c r="J350" t="s">
        <v>2824</v>
      </c>
      <c r="K350" t="s">
        <v>19</v>
      </c>
      <c r="L350" t="s">
        <v>20</v>
      </c>
      <c r="M350" t="s">
        <v>2825</v>
      </c>
      <c r="N350" t="s">
        <v>2826</v>
      </c>
      <c r="O350" t="s">
        <v>2827</v>
      </c>
      <c r="P350" t="s">
        <v>2828</v>
      </c>
    </row>
    <row r="351" spans="1:16" x14ac:dyDescent="0.35">
      <c r="A351" t="s">
        <v>2832</v>
      </c>
      <c r="B351" t="s">
        <v>107</v>
      </c>
      <c r="C351" t="s">
        <v>15</v>
      </c>
      <c r="D351" t="s">
        <v>16</v>
      </c>
      <c r="E351" t="s">
        <v>2833</v>
      </c>
      <c r="F351" t="s">
        <v>2834</v>
      </c>
      <c r="G351" t="s">
        <v>2835</v>
      </c>
      <c r="H351" t="s">
        <v>2786</v>
      </c>
      <c r="I351" t="s">
        <v>2836</v>
      </c>
      <c r="J351" t="s">
        <v>28</v>
      </c>
      <c r="K351" t="s">
        <v>2837</v>
      </c>
      <c r="L351" t="s">
        <v>20</v>
      </c>
      <c r="M351" t="s">
        <v>2830</v>
      </c>
      <c r="N351" t="s">
        <v>2831</v>
      </c>
      <c r="O351" t="s">
        <v>2838</v>
      </c>
      <c r="P351" t="s">
        <v>2839</v>
      </c>
    </row>
    <row r="352" spans="1:16" x14ac:dyDescent="0.35">
      <c r="A352" t="s">
        <v>2840</v>
      </c>
      <c r="B352" t="s">
        <v>55</v>
      </c>
      <c r="C352" t="s">
        <v>26</v>
      </c>
      <c r="D352" t="s">
        <v>374</v>
      </c>
      <c r="E352" t="s">
        <v>2841</v>
      </c>
      <c r="F352" t="s">
        <v>2842</v>
      </c>
      <c r="G352" t="s">
        <v>2843</v>
      </c>
      <c r="H352" t="s">
        <v>2786</v>
      </c>
      <c r="I352" t="s">
        <v>2844</v>
      </c>
      <c r="J352" t="s">
        <v>2845</v>
      </c>
      <c r="K352" t="s">
        <v>2846</v>
      </c>
      <c r="L352" t="s">
        <v>20</v>
      </c>
      <c r="M352" t="s">
        <v>2830</v>
      </c>
      <c r="N352" t="s">
        <v>2831</v>
      </c>
      <c r="O352" t="s">
        <v>2847</v>
      </c>
      <c r="P352" t="s">
        <v>2848</v>
      </c>
    </row>
    <row r="353" spans="1:16" x14ac:dyDescent="0.35">
      <c r="A353" t="s">
        <v>538</v>
      </c>
      <c r="B353" t="s">
        <v>55</v>
      </c>
      <c r="C353" t="s">
        <v>78</v>
      </c>
      <c r="D353" t="s">
        <v>2849</v>
      </c>
      <c r="E353" t="s">
        <v>2850</v>
      </c>
      <c r="F353" t="s">
        <v>2851</v>
      </c>
      <c r="G353" t="s">
        <v>2785</v>
      </c>
      <c r="H353" t="s">
        <v>2786</v>
      </c>
      <c r="I353" t="s">
        <v>82</v>
      </c>
      <c r="J353" t="s">
        <v>2852</v>
      </c>
      <c r="K353" t="s">
        <v>84</v>
      </c>
      <c r="L353" t="s">
        <v>20</v>
      </c>
      <c r="M353" t="s">
        <v>2830</v>
      </c>
      <c r="N353" t="s">
        <v>2831</v>
      </c>
      <c r="O353" t="s">
        <v>2853</v>
      </c>
      <c r="P353" t="s">
        <v>2854</v>
      </c>
    </row>
    <row r="354" spans="1:16" x14ac:dyDescent="0.35">
      <c r="A354" t="s">
        <v>2855</v>
      </c>
      <c r="B354" t="s">
        <v>55</v>
      </c>
      <c r="C354" t="s">
        <v>28</v>
      </c>
      <c r="D354" t="s">
        <v>28</v>
      </c>
      <c r="E354" t="s">
        <v>2856</v>
      </c>
      <c r="F354" t="s">
        <v>2857</v>
      </c>
      <c r="G354" t="s">
        <v>2858</v>
      </c>
      <c r="H354" t="s">
        <v>2786</v>
      </c>
      <c r="I354" t="s">
        <v>28</v>
      </c>
      <c r="J354" t="s">
        <v>2859</v>
      </c>
      <c r="K354" t="s">
        <v>19</v>
      </c>
      <c r="L354" t="s">
        <v>20</v>
      </c>
      <c r="M354" t="s">
        <v>2799</v>
      </c>
      <c r="N354" t="s">
        <v>2800</v>
      </c>
      <c r="O354" t="s">
        <v>2860</v>
      </c>
      <c r="P354" t="s">
        <v>2861</v>
      </c>
    </row>
    <row r="355" spans="1:16" x14ac:dyDescent="0.35">
      <c r="A355" t="s">
        <v>2862</v>
      </c>
      <c r="B355" t="s">
        <v>55</v>
      </c>
      <c r="C355" t="s">
        <v>28</v>
      </c>
      <c r="D355" t="s">
        <v>28</v>
      </c>
      <c r="E355" t="s">
        <v>2863</v>
      </c>
      <c r="F355" t="s">
        <v>2864</v>
      </c>
      <c r="G355" t="s">
        <v>2805</v>
      </c>
      <c r="H355" t="s">
        <v>2786</v>
      </c>
      <c r="I355" t="s">
        <v>28</v>
      </c>
      <c r="J355" t="s">
        <v>2865</v>
      </c>
      <c r="K355" t="s">
        <v>19</v>
      </c>
      <c r="L355" t="s">
        <v>20</v>
      </c>
      <c r="M355" t="s">
        <v>2866</v>
      </c>
      <c r="N355" t="s">
        <v>2867</v>
      </c>
      <c r="O355" t="s">
        <v>2868</v>
      </c>
      <c r="P355" t="s">
        <v>2869</v>
      </c>
    </row>
    <row r="356" spans="1:16" x14ac:dyDescent="0.35">
      <c r="A356" t="s">
        <v>1045</v>
      </c>
      <c r="B356" t="s">
        <v>32</v>
      </c>
      <c r="C356" t="s">
        <v>28</v>
      </c>
      <c r="D356" t="s">
        <v>28</v>
      </c>
      <c r="E356" t="s">
        <v>2870</v>
      </c>
      <c r="F356" t="s">
        <v>2871</v>
      </c>
      <c r="G356" t="s">
        <v>2872</v>
      </c>
      <c r="H356" t="s">
        <v>2786</v>
      </c>
      <c r="I356" t="s">
        <v>2873</v>
      </c>
      <c r="J356" t="s">
        <v>2874</v>
      </c>
      <c r="K356" t="s">
        <v>19</v>
      </c>
      <c r="L356" t="s">
        <v>20</v>
      </c>
      <c r="M356" t="s">
        <v>2875</v>
      </c>
      <c r="N356" t="s">
        <v>2876</v>
      </c>
      <c r="O356" t="s">
        <v>2877</v>
      </c>
      <c r="P356" t="s">
        <v>2878</v>
      </c>
    </row>
    <row r="357" spans="1:16" x14ac:dyDescent="0.35">
      <c r="A357" t="s">
        <v>2881</v>
      </c>
      <c r="B357" t="s">
        <v>55</v>
      </c>
      <c r="C357" t="s">
        <v>15</v>
      </c>
      <c r="D357" t="s">
        <v>27</v>
      </c>
      <c r="E357" t="s">
        <v>2882</v>
      </c>
      <c r="F357" t="s">
        <v>2883</v>
      </c>
      <c r="G357" t="s">
        <v>2785</v>
      </c>
      <c r="H357" t="s">
        <v>2786</v>
      </c>
      <c r="I357" t="s">
        <v>2884</v>
      </c>
      <c r="J357" t="s">
        <v>2885</v>
      </c>
      <c r="K357" t="s">
        <v>2886</v>
      </c>
      <c r="L357" t="s">
        <v>20</v>
      </c>
      <c r="M357" t="s">
        <v>2879</v>
      </c>
      <c r="N357" t="s">
        <v>2880</v>
      </c>
      <c r="O357" t="s">
        <v>2887</v>
      </c>
      <c r="P357" t="s">
        <v>2888</v>
      </c>
    </row>
    <row r="358" spans="1:16" x14ac:dyDescent="0.35">
      <c r="A358" t="s">
        <v>2889</v>
      </c>
      <c r="B358" t="s">
        <v>107</v>
      </c>
      <c r="C358" t="s">
        <v>28</v>
      </c>
      <c r="D358" t="s">
        <v>28</v>
      </c>
      <c r="E358" t="s">
        <v>2890</v>
      </c>
      <c r="F358" t="s">
        <v>2891</v>
      </c>
      <c r="G358" t="s">
        <v>2892</v>
      </c>
      <c r="H358" t="s">
        <v>2786</v>
      </c>
      <c r="I358" t="s">
        <v>28</v>
      </c>
      <c r="J358" t="s">
        <v>28</v>
      </c>
      <c r="K358" t="s">
        <v>19</v>
      </c>
      <c r="L358" t="s">
        <v>20</v>
      </c>
      <c r="M358" t="s">
        <v>2893</v>
      </c>
      <c r="N358" t="s">
        <v>2894</v>
      </c>
      <c r="O358" t="s">
        <v>2895</v>
      </c>
      <c r="P358" t="s">
        <v>2896</v>
      </c>
    </row>
    <row r="359" spans="1:16" x14ac:dyDescent="0.35">
      <c r="A359" t="s">
        <v>2897</v>
      </c>
      <c r="B359" t="s">
        <v>32</v>
      </c>
      <c r="C359" t="s">
        <v>25</v>
      </c>
      <c r="D359" t="s">
        <v>16</v>
      </c>
      <c r="E359" t="s">
        <v>2898</v>
      </c>
      <c r="F359" t="s">
        <v>2899</v>
      </c>
      <c r="G359" t="s">
        <v>2811</v>
      </c>
      <c r="H359" t="s">
        <v>2786</v>
      </c>
      <c r="I359" t="s">
        <v>28</v>
      </c>
      <c r="J359" t="s">
        <v>2900</v>
      </c>
      <c r="K359" t="s">
        <v>19</v>
      </c>
      <c r="L359" t="s">
        <v>20</v>
      </c>
      <c r="M359" t="s">
        <v>2901</v>
      </c>
      <c r="N359" t="s">
        <v>2902</v>
      </c>
      <c r="O359" t="s">
        <v>2903</v>
      </c>
      <c r="P359" t="s">
        <v>2904</v>
      </c>
    </row>
    <row r="360" spans="1:16" x14ac:dyDescent="0.35">
      <c r="A360" t="s">
        <v>2905</v>
      </c>
      <c r="B360" t="s">
        <v>55</v>
      </c>
      <c r="C360" t="s">
        <v>28</v>
      </c>
      <c r="D360" t="s">
        <v>28</v>
      </c>
      <c r="E360" t="s">
        <v>2906</v>
      </c>
      <c r="F360" t="s">
        <v>2907</v>
      </c>
      <c r="G360" t="s">
        <v>2908</v>
      </c>
      <c r="H360" t="s">
        <v>2786</v>
      </c>
      <c r="I360" t="s">
        <v>28</v>
      </c>
      <c r="J360" t="s">
        <v>2909</v>
      </c>
      <c r="K360" t="s">
        <v>19</v>
      </c>
      <c r="L360" t="s">
        <v>20</v>
      </c>
      <c r="M360" t="s">
        <v>2910</v>
      </c>
      <c r="N360" t="s">
        <v>2911</v>
      </c>
      <c r="O360" t="s">
        <v>2912</v>
      </c>
      <c r="P360" t="s">
        <v>2913</v>
      </c>
    </row>
    <row r="361" spans="1:16" x14ac:dyDescent="0.35">
      <c r="A361" t="s">
        <v>2914</v>
      </c>
      <c r="B361" t="s">
        <v>32</v>
      </c>
      <c r="C361" t="s">
        <v>28</v>
      </c>
      <c r="D361" t="s">
        <v>28</v>
      </c>
      <c r="E361" t="s">
        <v>2915</v>
      </c>
      <c r="F361" t="s">
        <v>2916</v>
      </c>
      <c r="G361" t="s">
        <v>2805</v>
      </c>
      <c r="H361" t="s">
        <v>2786</v>
      </c>
      <c r="I361" t="s">
        <v>28</v>
      </c>
      <c r="J361" t="s">
        <v>28</v>
      </c>
      <c r="K361" t="s">
        <v>19</v>
      </c>
      <c r="L361" t="s">
        <v>20</v>
      </c>
      <c r="M361" t="s">
        <v>2917</v>
      </c>
      <c r="N361" t="s">
        <v>2918</v>
      </c>
      <c r="O361" t="s">
        <v>2919</v>
      </c>
      <c r="P361" t="s">
        <v>2920</v>
      </c>
    </row>
    <row r="362" spans="1:16" x14ac:dyDescent="0.35">
      <c r="A362" t="s">
        <v>310</v>
      </c>
      <c r="B362" t="s">
        <v>55</v>
      </c>
      <c r="C362" t="s">
        <v>26</v>
      </c>
      <c r="D362" t="s">
        <v>141</v>
      </c>
      <c r="E362" t="s">
        <v>2921</v>
      </c>
      <c r="F362" t="s">
        <v>2922</v>
      </c>
      <c r="G362" t="s">
        <v>2787</v>
      </c>
      <c r="H362" t="s">
        <v>2786</v>
      </c>
      <c r="I362" t="s">
        <v>82</v>
      </c>
      <c r="J362" t="s">
        <v>2923</v>
      </c>
      <c r="K362" t="s">
        <v>84</v>
      </c>
      <c r="L362" t="s">
        <v>20</v>
      </c>
      <c r="M362" t="s">
        <v>2917</v>
      </c>
      <c r="N362" t="s">
        <v>2918</v>
      </c>
      <c r="O362" t="s">
        <v>2924</v>
      </c>
      <c r="P362" t="s">
        <v>2925</v>
      </c>
    </row>
    <row r="363" spans="1:16" x14ac:dyDescent="0.35">
      <c r="A363" t="s">
        <v>2926</v>
      </c>
      <c r="B363" t="s">
        <v>55</v>
      </c>
      <c r="C363" t="s">
        <v>96</v>
      </c>
      <c r="D363" t="s">
        <v>124</v>
      </c>
      <c r="E363" t="s">
        <v>2927</v>
      </c>
      <c r="F363" t="s">
        <v>2928</v>
      </c>
      <c r="G363" t="s">
        <v>2798</v>
      </c>
      <c r="H363" t="s">
        <v>2786</v>
      </c>
      <c r="I363" t="s">
        <v>2929</v>
      </c>
      <c r="J363" t="s">
        <v>2930</v>
      </c>
      <c r="K363" t="s">
        <v>19</v>
      </c>
      <c r="L363" t="s">
        <v>20</v>
      </c>
      <c r="M363" t="s">
        <v>2931</v>
      </c>
      <c r="N363" t="s">
        <v>2932</v>
      </c>
      <c r="O363" t="s">
        <v>2933</v>
      </c>
      <c r="P363" t="s">
        <v>2934</v>
      </c>
    </row>
    <row r="364" spans="1:16" x14ac:dyDescent="0.35">
      <c r="A364" t="s">
        <v>2935</v>
      </c>
      <c r="B364" t="s">
        <v>55</v>
      </c>
      <c r="C364" t="s">
        <v>357</v>
      </c>
      <c r="D364" t="s">
        <v>1591</v>
      </c>
      <c r="E364" t="s">
        <v>2936</v>
      </c>
      <c r="F364" t="s">
        <v>2937</v>
      </c>
      <c r="G364" t="s">
        <v>2805</v>
      </c>
      <c r="H364" t="s">
        <v>2786</v>
      </c>
      <c r="I364" t="s">
        <v>2938</v>
      </c>
      <c r="J364" t="s">
        <v>2939</v>
      </c>
      <c r="K364" t="s">
        <v>19</v>
      </c>
      <c r="L364" t="s">
        <v>20</v>
      </c>
      <c r="M364" t="s">
        <v>2931</v>
      </c>
      <c r="N364" t="s">
        <v>2932</v>
      </c>
      <c r="O364" t="s">
        <v>2940</v>
      </c>
      <c r="P364" t="s">
        <v>2941</v>
      </c>
    </row>
    <row r="365" spans="1:16" x14ac:dyDescent="0.35">
      <c r="A365" t="s">
        <v>2942</v>
      </c>
      <c r="B365" t="s">
        <v>55</v>
      </c>
      <c r="C365" t="s">
        <v>311</v>
      </c>
      <c r="D365" t="s">
        <v>324</v>
      </c>
      <c r="E365" t="s">
        <v>2943</v>
      </c>
      <c r="F365" t="s">
        <v>2944</v>
      </c>
      <c r="G365" t="s">
        <v>2785</v>
      </c>
      <c r="H365" t="s">
        <v>2786</v>
      </c>
      <c r="I365" t="s">
        <v>2945</v>
      </c>
      <c r="J365" t="s">
        <v>2946</v>
      </c>
      <c r="K365" t="s">
        <v>19</v>
      </c>
      <c r="L365" t="s">
        <v>20</v>
      </c>
      <c r="M365" t="s">
        <v>2931</v>
      </c>
      <c r="N365" t="s">
        <v>2932</v>
      </c>
      <c r="O365" t="s">
        <v>2947</v>
      </c>
      <c r="P365" t="s">
        <v>2948</v>
      </c>
    </row>
    <row r="366" spans="1:16" x14ac:dyDescent="0.35">
      <c r="A366" t="s">
        <v>2949</v>
      </c>
      <c r="B366" t="s">
        <v>194</v>
      </c>
      <c r="C366" t="s">
        <v>241</v>
      </c>
      <c r="D366" t="s">
        <v>324</v>
      </c>
      <c r="E366" t="s">
        <v>2950</v>
      </c>
      <c r="F366" t="s">
        <v>2951</v>
      </c>
      <c r="G366" t="s">
        <v>2805</v>
      </c>
      <c r="H366" t="s">
        <v>2786</v>
      </c>
      <c r="I366" t="s">
        <v>2952</v>
      </c>
      <c r="J366" t="s">
        <v>2953</v>
      </c>
      <c r="K366" t="s">
        <v>19</v>
      </c>
      <c r="L366" t="s">
        <v>20</v>
      </c>
      <c r="M366" t="s">
        <v>2931</v>
      </c>
      <c r="N366" t="s">
        <v>2932</v>
      </c>
      <c r="O366" t="s">
        <v>2954</v>
      </c>
      <c r="P366" t="s">
        <v>2955</v>
      </c>
    </row>
    <row r="367" spans="1:16" x14ac:dyDescent="0.35">
      <c r="A367" t="s">
        <v>1209</v>
      </c>
      <c r="B367" t="s">
        <v>55</v>
      </c>
      <c r="C367" t="s">
        <v>117</v>
      </c>
      <c r="D367" t="s">
        <v>16</v>
      </c>
      <c r="E367" t="s">
        <v>2956</v>
      </c>
      <c r="F367" t="s">
        <v>2957</v>
      </c>
      <c r="G367" t="s">
        <v>2958</v>
      </c>
      <c r="H367" t="s">
        <v>2786</v>
      </c>
      <c r="I367" t="s">
        <v>28</v>
      </c>
      <c r="J367" t="s">
        <v>2959</v>
      </c>
      <c r="K367" t="s">
        <v>19</v>
      </c>
      <c r="L367" t="s">
        <v>20</v>
      </c>
      <c r="M367" t="s">
        <v>2931</v>
      </c>
      <c r="N367" t="s">
        <v>2932</v>
      </c>
      <c r="O367" t="s">
        <v>2960</v>
      </c>
      <c r="P367" t="s">
        <v>2961</v>
      </c>
    </row>
    <row r="368" spans="1:16" x14ac:dyDescent="0.35">
      <c r="A368" t="s">
        <v>482</v>
      </c>
      <c r="B368" t="s">
        <v>55</v>
      </c>
      <c r="C368" t="s">
        <v>311</v>
      </c>
      <c r="D368" t="s">
        <v>2962</v>
      </c>
      <c r="E368" t="s">
        <v>2963</v>
      </c>
      <c r="F368" t="s">
        <v>2964</v>
      </c>
      <c r="G368" t="s">
        <v>2787</v>
      </c>
      <c r="H368" t="s">
        <v>2786</v>
      </c>
      <c r="I368" t="s">
        <v>162</v>
      </c>
      <c r="J368" t="s">
        <v>2965</v>
      </c>
      <c r="K368" t="s">
        <v>164</v>
      </c>
      <c r="L368" t="s">
        <v>20</v>
      </c>
      <c r="M368" t="s">
        <v>2931</v>
      </c>
      <c r="N368" t="s">
        <v>2932</v>
      </c>
      <c r="O368" t="s">
        <v>2966</v>
      </c>
      <c r="P368" t="s">
        <v>2967</v>
      </c>
    </row>
    <row r="369" spans="1:16" x14ac:dyDescent="0.35">
      <c r="A369" t="s">
        <v>2968</v>
      </c>
      <c r="B369" t="s">
        <v>55</v>
      </c>
      <c r="C369" t="s">
        <v>474</v>
      </c>
      <c r="D369" t="s">
        <v>774</v>
      </c>
      <c r="E369" t="s">
        <v>2969</v>
      </c>
      <c r="F369" t="s">
        <v>2970</v>
      </c>
      <c r="G369" t="s">
        <v>2785</v>
      </c>
      <c r="H369" t="s">
        <v>2786</v>
      </c>
      <c r="I369" t="s">
        <v>28</v>
      </c>
      <c r="J369" t="s">
        <v>2971</v>
      </c>
      <c r="K369" t="s">
        <v>19</v>
      </c>
      <c r="L369" t="s">
        <v>20</v>
      </c>
      <c r="M369" t="s">
        <v>2972</v>
      </c>
      <c r="N369" t="s">
        <v>2973</v>
      </c>
      <c r="O369" t="s">
        <v>2974</v>
      </c>
      <c r="P369" t="s">
        <v>2975</v>
      </c>
    </row>
    <row r="370" spans="1:16" x14ac:dyDescent="0.35">
      <c r="A370" t="s">
        <v>2976</v>
      </c>
      <c r="B370" t="s">
        <v>55</v>
      </c>
      <c r="C370" t="s">
        <v>78</v>
      </c>
      <c r="D370" t="s">
        <v>206</v>
      </c>
      <c r="E370" t="s">
        <v>2977</v>
      </c>
      <c r="F370" t="s">
        <v>2978</v>
      </c>
      <c r="G370" t="s">
        <v>2785</v>
      </c>
      <c r="H370" t="s">
        <v>2786</v>
      </c>
      <c r="I370" t="s">
        <v>2979</v>
      </c>
      <c r="J370" t="s">
        <v>2980</v>
      </c>
      <c r="K370" t="s">
        <v>2981</v>
      </c>
      <c r="L370" t="s">
        <v>20</v>
      </c>
      <c r="M370" t="s">
        <v>2972</v>
      </c>
      <c r="N370" t="s">
        <v>2973</v>
      </c>
      <c r="O370" t="s">
        <v>2982</v>
      </c>
      <c r="P370" t="s">
        <v>2983</v>
      </c>
    </row>
    <row r="371" spans="1:16" x14ac:dyDescent="0.35">
      <c r="A371" t="s">
        <v>2984</v>
      </c>
      <c r="B371" t="s">
        <v>107</v>
      </c>
      <c r="C371" t="s">
        <v>28</v>
      </c>
      <c r="D371" t="s">
        <v>28</v>
      </c>
      <c r="E371" t="s">
        <v>2985</v>
      </c>
      <c r="F371" t="s">
        <v>2986</v>
      </c>
      <c r="G371" t="s">
        <v>2872</v>
      </c>
      <c r="H371" t="s">
        <v>2786</v>
      </c>
      <c r="I371" t="s">
        <v>28</v>
      </c>
      <c r="J371" t="s">
        <v>28</v>
      </c>
      <c r="K371" t="s">
        <v>19</v>
      </c>
      <c r="L371" t="s">
        <v>20</v>
      </c>
      <c r="M371" t="s">
        <v>2972</v>
      </c>
      <c r="N371" t="s">
        <v>2973</v>
      </c>
      <c r="O371" t="s">
        <v>2987</v>
      </c>
      <c r="P371" t="s">
        <v>2988</v>
      </c>
    </row>
    <row r="372" spans="1:16" x14ac:dyDescent="0.35">
      <c r="A372" t="s">
        <v>2989</v>
      </c>
      <c r="B372" t="s">
        <v>55</v>
      </c>
      <c r="C372" t="s">
        <v>205</v>
      </c>
      <c r="D372" t="s">
        <v>2990</v>
      </c>
      <c r="E372" t="s">
        <v>2991</v>
      </c>
      <c r="F372" t="s">
        <v>2992</v>
      </c>
      <c r="G372" t="s">
        <v>2785</v>
      </c>
      <c r="H372" t="s">
        <v>2786</v>
      </c>
      <c r="I372" t="s">
        <v>2993</v>
      </c>
      <c r="J372" t="s">
        <v>2994</v>
      </c>
      <c r="K372" t="s">
        <v>2995</v>
      </c>
      <c r="L372" t="s">
        <v>20</v>
      </c>
      <c r="M372" t="s">
        <v>2972</v>
      </c>
      <c r="N372" t="s">
        <v>2973</v>
      </c>
      <c r="O372" t="s">
        <v>2996</v>
      </c>
      <c r="P372" t="s">
        <v>2997</v>
      </c>
    </row>
    <row r="373" spans="1:16" x14ac:dyDescent="0.35">
      <c r="A373" t="s">
        <v>482</v>
      </c>
      <c r="B373" t="s">
        <v>55</v>
      </c>
      <c r="C373" t="s">
        <v>140</v>
      </c>
      <c r="D373" t="s">
        <v>348</v>
      </c>
      <c r="E373" t="s">
        <v>2998</v>
      </c>
      <c r="F373" t="s">
        <v>2999</v>
      </c>
      <c r="G373" t="s">
        <v>3000</v>
      </c>
      <c r="H373" t="s">
        <v>2786</v>
      </c>
      <c r="I373" t="s">
        <v>162</v>
      </c>
      <c r="J373" t="s">
        <v>3001</v>
      </c>
      <c r="K373" t="s">
        <v>164</v>
      </c>
      <c r="L373" t="s">
        <v>20</v>
      </c>
      <c r="M373" t="s">
        <v>2972</v>
      </c>
      <c r="N373" t="s">
        <v>2973</v>
      </c>
      <c r="O373" t="s">
        <v>3002</v>
      </c>
      <c r="P373" t="s">
        <v>3003</v>
      </c>
    </row>
    <row r="374" spans="1:16" x14ac:dyDescent="0.35">
      <c r="A374" t="s">
        <v>482</v>
      </c>
      <c r="B374" t="s">
        <v>55</v>
      </c>
      <c r="C374" t="s">
        <v>158</v>
      </c>
      <c r="D374" t="s">
        <v>1798</v>
      </c>
      <c r="E374" t="s">
        <v>3004</v>
      </c>
      <c r="F374" t="s">
        <v>3005</v>
      </c>
      <c r="G374" t="s">
        <v>2805</v>
      </c>
      <c r="H374" t="s">
        <v>2786</v>
      </c>
      <c r="I374" t="s">
        <v>162</v>
      </c>
      <c r="J374" t="s">
        <v>3006</v>
      </c>
      <c r="K374" t="s">
        <v>164</v>
      </c>
      <c r="L374" t="s">
        <v>20</v>
      </c>
      <c r="M374" t="s">
        <v>2972</v>
      </c>
      <c r="N374" t="s">
        <v>2973</v>
      </c>
      <c r="O374" t="s">
        <v>3007</v>
      </c>
      <c r="P374" t="s">
        <v>3008</v>
      </c>
    </row>
    <row r="375" spans="1:16" x14ac:dyDescent="0.35">
      <c r="A375" t="s">
        <v>482</v>
      </c>
      <c r="B375" t="s">
        <v>55</v>
      </c>
      <c r="C375" t="s">
        <v>15</v>
      </c>
      <c r="D375" t="s">
        <v>124</v>
      </c>
      <c r="E375" t="s">
        <v>3009</v>
      </c>
      <c r="F375" t="s">
        <v>3010</v>
      </c>
      <c r="G375" t="s">
        <v>2829</v>
      </c>
      <c r="H375" t="s">
        <v>2786</v>
      </c>
      <c r="I375" t="s">
        <v>162</v>
      </c>
      <c r="J375" t="s">
        <v>3011</v>
      </c>
      <c r="K375" t="s">
        <v>164</v>
      </c>
      <c r="L375" t="s">
        <v>20</v>
      </c>
      <c r="M375" t="s">
        <v>2972</v>
      </c>
      <c r="N375" t="s">
        <v>2973</v>
      </c>
      <c r="O375" t="s">
        <v>3012</v>
      </c>
      <c r="P375" t="s">
        <v>3013</v>
      </c>
    </row>
    <row r="376" spans="1:16" x14ac:dyDescent="0.35">
      <c r="A376" t="s">
        <v>3014</v>
      </c>
      <c r="B376" t="s">
        <v>55</v>
      </c>
      <c r="C376" t="s">
        <v>699</v>
      </c>
      <c r="D376" t="s">
        <v>304</v>
      </c>
      <c r="E376" t="s">
        <v>3015</v>
      </c>
      <c r="F376" t="s">
        <v>3016</v>
      </c>
      <c r="G376" t="s">
        <v>2785</v>
      </c>
      <c r="H376" t="s">
        <v>2786</v>
      </c>
      <c r="I376" t="s">
        <v>3017</v>
      </c>
      <c r="J376" t="s">
        <v>3018</v>
      </c>
      <c r="K376" t="s">
        <v>3019</v>
      </c>
      <c r="L376" t="s">
        <v>20</v>
      </c>
      <c r="M376" t="s">
        <v>2972</v>
      </c>
      <c r="N376" t="s">
        <v>2973</v>
      </c>
      <c r="O376" t="s">
        <v>3020</v>
      </c>
      <c r="P376" t="s">
        <v>3021</v>
      </c>
    </row>
    <row r="377" spans="1:16" x14ac:dyDescent="0.35">
      <c r="A377" t="s">
        <v>3022</v>
      </c>
      <c r="B377" t="s">
        <v>55</v>
      </c>
      <c r="C377" t="s">
        <v>691</v>
      </c>
      <c r="D377" t="s">
        <v>3023</v>
      </c>
      <c r="E377" t="s">
        <v>3024</v>
      </c>
      <c r="F377" t="s">
        <v>3025</v>
      </c>
      <c r="G377" t="s">
        <v>3026</v>
      </c>
      <c r="H377" t="s">
        <v>2786</v>
      </c>
      <c r="I377" t="s">
        <v>3027</v>
      </c>
      <c r="J377" t="s">
        <v>3028</v>
      </c>
      <c r="K377" t="s">
        <v>3029</v>
      </c>
      <c r="L377" t="s">
        <v>20</v>
      </c>
      <c r="M377" t="s">
        <v>2972</v>
      </c>
      <c r="N377" t="s">
        <v>2973</v>
      </c>
      <c r="O377" t="s">
        <v>3030</v>
      </c>
      <c r="P377" t="s">
        <v>3031</v>
      </c>
    </row>
    <row r="378" spans="1:16" x14ac:dyDescent="0.35">
      <c r="A378" t="s">
        <v>3034</v>
      </c>
      <c r="B378" t="s">
        <v>55</v>
      </c>
      <c r="C378" t="s">
        <v>26</v>
      </c>
      <c r="D378" t="s">
        <v>374</v>
      </c>
      <c r="E378" t="s">
        <v>3035</v>
      </c>
      <c r="F378" t="s">
        <v>3036</v>
      </c>
      <c r="G378" t="s">
        <v>2805</v>
      </c>
      <c r="H378" t="s">
        <v>2786</v>
      </c>
      <c r="I378" t="s">
        <v>596</v>
      </c>
      <c r="J378" t="s">
        <v>3037</v>
      </c>
      <c r="K378" t="s">
        <v>598</v>
      </c>
      <c r="L378" t="s">
        <v>20</v>
      </c>
      <c r="M378" t="s">
        <v>3032</v>
      </c>
      <c r="N378" t="s">
        <v>3033</v>
      </c>
      <c r="O378" t="s">
        <v>3038</v>
      </c>
      <c r="P378" t="s">
        <v>3039</v>
      </c>
    </row>
    <row r="379" spans="1:16" x14ac:dyDescent="0.35">
      <c r="A379" t="s">
        <v>3040</v>
      </c>
      <c r="B379" t="s">
        <v>55</v>
      </c>
      <c r="C379" t="s">
        <v>241</v>
      </c>
      <c r="D379" t="s">
        <v>79</v>
      </c>
      <c r="E379" t="s">
        <v>3041</v>
      </c>
      <c r="F379" t="s">
        <v>3042</v>
      </c>
      <c r="G379" t="s">
        <v>2787</v>
      </c>
      <c r="H379" t="s">
        <v>2786</v>
      </c>
      <c r="I379" t="s">
        <v>28</v>
      </c>
      <c r="J379" t="s">
        <v>3043</v>
      </c>
      <c r="K379" t="s">
        <v>19</v>
      </c>
      <c r="L379" t="s">
        <v>20</v>
      </c>
      <c r="M379" t="s">
        <v>2799</v>
      </c>
      <c r="N379" t="s">
        <v>2800</v>
      </c>
      <c r="O379" t="s">
        <v>3044</v>
      </c>
      <c r="P379" t="s">
        <v>3045</v>
      </c>
    </row>
    <row r="380" spans="1:16" x14ac:dyDescent="0.35">
      <c r="A380" t="s">
        <v>3046</v>
      </c>
      <c r="B380" t="s">
        <v>55</v>
      </c>
      <c r="C380" t="s">
        <v>78</v>
      </c>
      <c r="D380" t="s">
        <v>68</v>
      </c>
      <c r="E380" t="s">
        <v>3047</v>
      </c>
      <c r="F380" t="s">
        <v>3048</v>
      </c>
      <c r="G380" t="s">
        <v>2787</v>
      </c>
      <c r="H380" t="s">
        <v>2786</v>
      </c>
      <c r="I380" t="s">
        <v>3049</v>
      </c>
      <c r="J380" t="s">
        <v>3050</v>
      </c>
      <c r="K380" t="s">
        <v>19</v>
      </c>
      <c r="L380" t="s">
        <v>20</v>
      </c>
      <c r="M380" t="s">
        <v>3051</v>
      </c>
      <c r="N380" t="s">
        <v>3052</v>
      </c>
      <c r="O380" t="s">
        <v>3053</v>
      </c>
      <c r="P380" t="s">
        <v>3054</v>
      </c>
    </row>
    <row r="381" spans="1:16" x14ac:dyDescent="0.35">
      <c r="A381" t="s">
        <v>482</v>
      </c>
      <c r="B381" t="s">
        <v>55</v>
      </c>
      <c r="C381" t="s">
        <v>15</v>
      </c>
      <c r="D381" t="s">
        <v>16</v>
      </c>
      <c r="E381" t="s">
        <v>3055</v>
      </c>
      <c r="F381" t="s">
        <v>3056</v>
      </c>
      <c r="G381" t="s">
        <v>3057</v>
      </c>
      <c r="H381" t="s">
        <v>2786</v>
      </c>
      <c r="I381" t="s">
        <v>28</v>
      </c>
      <c r="J381" t="s">
        <v>3058</v>
      </c>
      <c r="K381" t="s">
        <v>19</v>
      </c>
      <c r="L381" t="s">
        <v>20</v>
      </c>
      <c r="M381" t="s">
        <v>3059</v>
      </c>
      <c r="N381" t="s">
        <v>3060</v>
      </c>
      <c r="O381" t="s">
        <v>3061</v>
      </c>
      <c r="P381" t="s">
        <v>3062</v>
      </c>
    </row>
    <row r="382" spans="1:16" x14ac:dyDescent="0.35">
      <c r="A382" t="s">
        <v>3063</v>
      </c>
      <c r="B382" t="s">
        <v>55</v>
      </c>
      <c r="C382" t="s">
        <v>15</v>
      </c>
      <c r="D382" t="s">
        <v>16</v>
      </c>
      <c r="E382" t="s">
        <v>3064</v>
      </c>
      <c r="F382" t="s">
        <v>3065</v>
      </c>
      <c r="G382" t="s">
        <v>3066</v>
      </c>
      <c r="H382" t="s">
        <v>3067</v>
      </c>
      <c r="I382" t="s">
        <v>3068</v>
      </c>
      <c r="J382" t="s">
        <v>3069</v>
      </c>
      <c r="K382" t="s">
        <v>19</v>
      </c>
      <c r="L382" t="s">
        <v>20</v>
      </c>
      <c r="M382" t="s">
        <v>3070</v>
      </c>
      <c r="N382" t="s">
        <v>3071</v>
      </c>
      <c r="O382" t="s">
        <v>3072</v>
      </c>
      <c r="P382" t="s">
        <v>3073</v>
      </c>
    </row>
    <row r="383" spans="1:16" x14ac:dyDescent="0.35">
      <c r="A383" t="s">
        <v>3076</v>
      </c>
      <c r="B383" t="s">
        <v>55</v>
      </c>
      <c r="C383" t="s">
        <v>28</v>
      </c>
      <c r="D383" t="s">
        <v>28</v>
      </c>
      <c r="E383" t="s">
        <v>3077</v>
      </c>
      <c r="F383" t="s">
        <v>3078</v>
      </c>
      <c r="G383" t="s">
        <v>3079</v>
      </c>
      <c r="H383" t="s">
        <v>3067</v>
      </c>
      <c r="I383" t="s">
        <v>28</v>
      </c>
      <c r="J383" t="s">
        <v>3080</v>
      </c>
      <c r="K383" t="s">
        <v>19</v>
      </c>
      <c r="L383" t="s">
        <v>20</v>
      </c>
      <c r="M383" t="s">
        <v>3081</v>
      </c>
      <c r="N383" t="s">
        <v>3082</v>
      </c>
      <c r="O383" t="s">
        <v>3083</v>
      </c>
      <c r="P383" t="s">
        <v>3084</v>
      </c>
    </row>
    <row r="384" spans="1:16" x14ac:dyDescent="0.35">
      <c r="A384" t="s">
        <v>3087</v>
      </c>
      <c r="B384" t="s">
        <v>55</v>
      </c>
      <c r="C384" t="s">
        <v>23</v>
      </c>
      <c r="D384" t="s">
        <v>700</v>
      </c>
      <c r="E384" t="s">
        <v>3088</v>
      </c>
      <c r="F384" t="s">
        <v>3089</v>
      </c>
      <c r="G384" t="s">
        <v>3066</v>
      </c>
      <c r="H384" t="s">
        <v>3067</v>
      </c>
      <c r="I384" t="s">
        <v>3090</v>
      </c>
      <c r="J384" t="s">
        <v>3091</v>
      </c>
      <c r="K384" t="s">
        <v>3092</v>
      </c>
      <c r="L384" t="s">
        <v>20</v>
      </c>
      <c r="M384" t="s">
        <v>3085</v>
      </c>
      <c r="N384" t="s">
        <v>3086</v>
      </c>
      <c r="O384" t="s">
        <v>3093</v>
      </c>
      <c r="P384" t="s">
        <v>3094</v>
      </c>
    </row>
    <row r="385" spans="1:16" x14ac:dyDescent="0.35">
      <c r="A385" t="s">
        <v>3095</v>
      </c>
      <c r="B385" t="s">
        <v>55</v>
      </c>
      <c r="C385" t="s">
        <v>96</v>
      </c>
      <c r="D385" t="s">
        <v>304</v>
      </c>
      <c r="E385" t="s">
        <v>3096</v>
      </c>
      <c r="F385" t="s">
        <v>3097</v>
      </c>
      <c r="G385" t="s">
        <v>3066</v>
      </c>
      <c r="H385" t="s">
        <v>3074</v>
      </c>
      <c r="I385" t="s">
        <v>3098</v>
      </c>
      <c r="J385" t="s">
        <v>3099</v>
      </c>
      <c r="K385" t="s">
        <v>3100</v>
      </c>
      <c r="L385" t="s">
        <v>20</v>
      </c>
      <c r="M385" t="s">
        <v>3085</v>
      </c>
      <c r="N385" t="s">
        <v>3086</v>
      </c>
      <c r="O385" t="s">
        <v>3101</v>
      </c>
      <c r="P385" t="s">
        <v>3102</v>
      </c>
    </row>
    <row r="386" spans="1:16" x14ac:dyDescent="0.35">
      <c r="A386" t="s">
        <v>3103</v>
      </c>
      <c r="B386" t="s">
        <v>55</v>
      </c>
      <c r="C386" t="s">
        <v>28</v>
      </c>
      <c r="D386" t="s">
        <v>28</v>
      </c>
      <c r="E386" t="s">
        <v>3104</v>
      </c>
      <c r="F386" t="s">
        <v>3105</v>
      </c>
      <c r="G386" t="s">
        <v>3066</v>
      </c>
      <c r="H386" t="s">
        <v>3067</v>
      </c>
      <c r="I386" t="s">
        <v>3106</v>
      </c>
      <c r="J386" t="s">
        <v>3107</v>
      </c>
      <c r="K386" t="s">
        <v>3108</v>
      </c>
      <c r="L386" t="s">
        <v>20</v>
      </c>
      <c r="M386" t="s">
        <v>3085</v>
      </c>
      <c r="N386" t="s">
        <v>3086</v>
      </c>
      <c r="O386" t="s">
        <v>3109</v>
      </c>
      <c r="P386" t="s">
        <v>3110</v>
      </c>
    </row>
    <row r="387" spans="1:16" x14ac:dyDescent="0.35">
      <c r="A387" t="s">
        <v>3111</v>
      </c>
      <c r="B387" t="s">
        <v>55</v>
      </c>
      <c r="C387" t="s">
        <v>15</v>
      </c>
      <c r="D387" t="s">
        <v>16</v>
      </c>
      <c r="E387" t="s">
        <v>3112</v>
      </c>
      <c r="F387" t="s">
        <v>3113</v>
      </c>
      <c r="G387" t="s">
        <v>3066</v>
      </c>
      <c r="H387" t="s">
        <v>3067</v>
      </c>
      <c r="I387" t="s">
        <v>28</v>
      </c>
      <c r="J387" t="s">
        <v>3114</v>
      </c>
      <c r="K387" t="s">
        <v>19</v>
      </c>
      <c r="L387" t="s">
        <v>20</v>
      </c>
      <c r="M387" t="s">
        <v>3115</v>
      </c>
      <c r="N387" t="s">
        <v>3116</v>
      </c>
      <c r="O387" t="s">
        <v>3117</v>
      </c>
      <c r="P387" t="s">
        <v>3118</v>
      </c>
    </row>
    <row r="388" spans="1:16" x14ac:dyDescent="0.35">
      <c r="A388" t="s">
        <v>3121</v>
      </c>
      <c r="B388" t="s">
        <v>55</v>
      </c>
      <c r="C388" t="s">
        <v>15</v>
      </c>
      <c r="D388" t="s">
        <v>68</v>
      </c>
      <c r="E388" t="s">
        <v>3122</v>
      </c>
      <c r="F388" t="s">
        <v>3123</v>
      </c>
      <c r="G388" t="s">
        <v>3066</v>
      </c>
      <c r="H388" t="s">
        <v>3067</v>
      </c>
      <c r="I388" t="s">
        <v>3124</v>
      </c>
      <c r="J388" t="s">
        <v>3125</v>
      </c>
      <c r="K388" t="s">
        <v>3126</v>
      </c>
      <c r="L388" t="s">
        <v>20</v>
      </c>
      <c r="M388" t="s">
        <v>3119</v>
      </c>
      <c r="N388" t="s">
        <v>3120</v>
      </c>
      <c r="O388" t="s">
        <v>3127</v>
      </c>
      <c r="P388" t="s">
        <v>3128</v>
      </c>
    </row>
    <row r="389" spans="1:16" x14ac:dyDescent="0.35">
      <c r="A389" t="s">
        <v>3095</v>
      </c>
      <c r="B389" t="s">
        <v>55</v>
      </c>
      <c r="C389" t="s">
        <v>28</v>
      </c>
      <c r="D389" t="s">
        <v>28</v>
      </c>
      <c r="E389" t="s">
        <v>3129</v>
      </c>
      <c r="F389" t="s">
        <v>3130</v>
      </c>
      <c r="G389" t="s">
        <v>3131</v>
      </c>
      <c r="H389" t="s">
        <v>3067</v>
      </c>
      <c r="I389" t="s">
        <v>3098</v>
      </c>
      <c r="J389" t="s">
        <v>3132</v>
      </c>
      <c r="K389" t="s">
        <v>3100</v>
      </c>
      <c r="L389" t="s">
        <v>20</v>
      </c>
      <c r="M389" t="s">
        <v>3119</v>
      </c>
      <c r="N389" t="s">
        <v>3120</v>
      </c>
      <c r="O389" t="s">
        <v>3133</v>
      </c>
      <c r="P389" t="s">
        <v>3134</v>
      </c>
    </row>
    <row r="390" spans="1:16" x14ac:dyDescent="0.35">
      <c r="A390" t="s">
        <v>3135</v>
      </c>
      <c r="B390" t="s">
        <v>55</v>
      </c>
      <c r="C390" t="s">
        <v>311</v>
      </c>
      <c r="D390" t="s">
        <v>952</v>
      </c>
      <c r="E390" t="s">
        <v>3136</v>
      </c>
      <c r="F390" t="s">
        <v>3137</v>
      </c>
      <c r="G390" t="s">
        <v>3066</v>
      </c>
      <c r="H390" t="s">
        <v>3067</v>
      </c>
      <c r="I390" t="s">
        <v>3138</v>
      </c>
      <c r="J390" t="s">
        <v>3139</v>
      </c>
      <c r="K390" t="s">
        <v>19</v>
      </c>
      <c r="L390" t="s">
        <v>20</v>
      </c>
      <c r="M390" t="s">
        <v>3119</v>
      </c>
      <c r="N390" t="s">
        <v>3120</v>
      </c>
      <c r="O390" t="s">
        <v>3140</v>
      </c>
      <c r="P390" t="s">
        <v>3141</v>
      </c>
    </row>
    <row r="391" spans="1:16" x14ac:dyDescent="0.35">
      <c r="A391" t="s">
        <v>3142</v>
      </c>
      <c r="B391" t="s">
        <v>88</v>
      </c>
      <c r="C391" t="s">
        <v>15</v>
      </c>
      <c r="D391" t="s">
        <v>16</v>
      </c>
      <c r="E391" t="s">
        <v>3143</v>
      </c>
      <c r="F391" t="s">
        <v>3144</v>
      </c>
      <c r="G391" t="s">
        <v>3145</v>
      </c>
      <c r="H391" t="s">
        <v>3067</v>
      </c>
      <c r="I391" t="s">
        <v>28</v>
      </c>
      <c r="J391" t="s">
        <v>3146</v>
      </c>
      <c r="K391" t="s">
        <v>19</v>
      </c>
      <c r="L391" t="s">
        <v>20</v>
      </c>
      <c r="M391" t="s">
        <v>3119</v>
      </c>
      <c r="N391" t="s">
        <v>3120</v>
      </c>
      <c r="O391" t="s">
        <v>3147</v>
      </c>
      <c r="P391" t="s">
        <v>3148</v>
      </c>
    </row>
    <row r="392" spans="1:16" x14ac:dyDescent="0.35">
      <c r="A392" t="s">
        <v>1209</v>
      </c>
      <c r="B392" t="s">
        <v>55</v>
      </c>
      <c r="C392" t="s">
        <v>26</v>
      </c>
      <c r="D392" t="s">
        <v>27</v>
      </c>
      <c r="E392" t="s">
        <v>3152</v>
      </c>
      <c r="F392" t="s">
        <v>3153</v>
      </c>
      <c r="G392" t="s">
        <v>3154</v>
      </c>
      <c r="H392" t="s">
        <v>3067</v>
      </c>
      <c r="I392" t="s">
        <v>3155</v>
      </c>
      <c r="J392" t="s">
        <v>3156</v>
      </c>
      <c r="K392" t="s">
        <v>3157</v>
      </c>
      <c r="L392" t="s">
        <v>20</v>
      </c>
      <c r="M392" t="s">
        <v>3150</v>
      </c>
      <c r="N392" t="s">
        <v>3151</v>
      </c>
      <c r="O392" t="s">
        <v>3158</v>
      </c>
      <c r="P392" t="s">
        <v>3159</v>
      </c>
    </row>
    <row r="393" spans="1:16" x14ac:dyDescent="0.35">
      <c r="A393" t="s">
        <v>3160</v>
      </c>
      <c r="B393" t="s">
        <v>55</v>
      </c>
      <c r="C393" t="s">
        <v>15</v>
      </c>
      <c r="D393" t="s">
        <v>16</v>
      </c>
      <c r="E393" t="s">
        <v>3161</v>
      </c>
      <c r="F393" t="s">
        <v>3162</v>
      </c>
      <c r="G393" t="s">
        <v>3163</v>
      </c>
      <c r="H393" t="s">
        <v>3067</v>
      </c>
      <c r="I393" t="s">
        <v>28</v>
      </c>
      <c r="J393" t="s">
        <v>3164</v>
      </c>
      <c r="K393" t="s">
        <v>19</v>
      </c>
      <c r="L393" t="s">
        <v>20</v>
      </c>
      <c r="M393" t="s">
        <v>3165</v>
      </c>
      <c r="N393" t="s">
        <v>3166</v>
      </c>
      <c r="O393" t="s">
        <v>3167</v>
      </c>
      <c r="P393" t="s">
        <v>3168</v>
      </c>
    </row>
    <row r="394" spans="1:16" x14ac:dyDescent="0.35">
      <c r="A394" t="s">
        <v>3169</v>
      </c>
      <c r="B394" t="s">
        <v>55</v>
      </c>
      <c r="C394" t="s">
        <v>548</v>
      </c>
      <c r="D394" t="s">
        <v>374</v>
      </c>
      <c r="E394" t="s">
        <v>3170</v>
      </c>
      <c r="F394" t="s">
        <v>3171</v>
      </c>
      <c r="G394" t="s">
        <v>3066</v>
      </c>
      <c r="H394" t="s">
        <v>3067</v>
      </c>
      <c r="I394" t="s">
        <v>3172</v>
      </c>
      <c r="J394" t="s">
        <v>3173</v>
      </c>
      <c r="K394" t="s">
        <v>19</v>
      </c>
      <c r="L394" t="s">
        <v>20</v>
      </c>
      <c r="M394" t="s">
        <v>3174</v>
      </c>
      <c r="N394" t="s">
        <v>3175</v>
      </c>
      <c r="O394" t="s">
        <v>3176</v>
      </c>
      <c r="P394" t="s">
        <v>3177</v>
      </c>
    </row>
    <row r="395" spans="1:16" x14ac:dyDescent="0.35">
      <c r="A395" t="s">
        <v>1546</v>
      </c>
      <c r="B395" t="s">
        <v>32</v>
      </c>
      <c r="C395" t="s">
        <v>26</v>
      </c>
      <c r="D395" t="s">
        <v>27</v>
      </c>
      <c r="E395" t="s">
        <v>3179</v>
      </c>
      <c r="F395" t="s">
        <v>3180</v>
      </c>
      <c r="G395" t="s">
        <v>3181</v>
      </c>
      <c r="H395" t="s">
        <v>3074</v>
      </c>
      <c r="I395" t="s">
        <v>3182</v>
      </c>
      <c r="J395" t="s">
        <v>3183</v>
      </c>
      <c r="K395" t="s">
        <v>3184</v>
      </c>
      <c r="L395" t="s">
        <v>20</v>
      </c>
      <c r="M395" t="s">
        <v>3185</v>
      </c>
      <c r="N395" t="s">
        <v>3186</v>
      </c>
      <c r="O395" t="s">
        <v>3187</v>
      </c>
      <c r="P395" t="s">
        <v>3188</v>
      </c>
    </row>
    <row r="396" spans="1:16" x14ac:dyDescent="0.35">
      <c r="A396" t="s">
        <v>3189</v>
      </c>
      <c r="B396" t="s">
        <v>55</v>
      </c>
      <c r="C396" t="s">
        <v>691</v>
      </c>
      <c r="D396" t="s">
        <v>549</v>
      </c>
      <c r="E396" t="s">
        <v>3190</v>
      </c>
      <c r="F396" t="s">
        <v>3191</v>
      </c>
      <c r="G396" t="s">
        <v>3192</v>
      </c>
      <c r="H396" t="s">
        <v>3067</v>
      </c>
      <c r="I396" t="s">
        <v>3193</v>
      </c>
      <c r="J396" t="s">
        <v>3194</v>
      </c>
      <c r="K396" t="s">
        <v>19</v>
      </c>
      <c r="L396" t="s">
        <v>20</v>
      </c>
      <c r="M396" t="s">
        <v>3195</v>
      </c>
      <c r="N396" t="s">
        <v>3196</v>
      </c>
      <c r="O396" t="s">
        <v>3197</v>
      </c>
      <c r="P396" t="s">
        <v>3198</v>
      </c>
    </row>
    <row r="397" spans="1:16" x14ac:dyDescent="0.35">
      <c r="A397" t="s">
        <v>3201</v>
      </c>
      <c r="B397" t="s">
        <v>55</v>
      </c>
      <c r="C397" t="s">
        <v>28</v>
      </c>
      <c r="D397" t="s">
        <v>28</v>
      </c>
      <c r="E397" t="s">
        <v>3202</v>
      </c>
      <c r="F397" t="s">
        <v>3203</v>
      </c>
      <c r="G397" t="s">
        <v>3066</v>
      </c>
      <c r="H397" t="s">
        <v>3067</v>
      </c>
      <c r="I397" t="s">
        <v>28</v>
      </c>
      <c r="J397" t="s">
        <v>3204</v>
      </c>
      <c r="K397" t="s">
        <v>19</v>
      </c>
      <c r="L397" t="s">
        <v>20</v>
      </c>
      <c r="M397" t="s">
        <v>3199</v>
      </c>
      <c r="N397" t="s">
        <v>3200</v>
      </c>
      <c r="O397" t="s">
        <v>3205</v>
      </c>
      <c r="P397" t="s">
        <v>3206</v>
      </c>
    </row>
    <row r="398" spans="1:16" x14ac:dyDescent="0.35">
      <c r="A398" t="s">
        <v>3207</v>
      </c>
      <c r="B398" t="s">
        <v>55</v>
      </c>
      <c r="C398" t="s">
        <v>15</v>
      </c>
      <c r="D398" t="s">
        <v>16</v>
      </c>
      <c r="E398" t="s">
        <v>3208</v>
      </c>
      <c r="F398" t="s">
        <v>3209</v>
      </c>
      <c r="G398" t="s">
        <v>3066</v>
      </c>
      <c r="H398" t="s">
        <v>3074</v>
      </c>
      <c r="I398" t="s">
        <v>2599</v>
      </c>
      <c r="J398" t="s">
        <v>3210</v>
      </c>
      <c r="K398" t="s">
        <v>19</v>
      </c>
      <c r="L398" t="s">
        <v>20</v>
      </c>
      <c r="M398" t="s">
        <v>3199</v>
      </c>
      <c r="N398" t="s">
        <v>3200</v>
      </c>
      <c r="O398" t="s">
        <v>3211</v>
      </c>
      <c r="P398" t="s">
        <v>3212</v>
      </c>
    </row>
    <row r="399" spans="1:16" x14ac:dyDescent="0.35">
      <c r="A399" t="s">
        <v>3214</v>
      </c>
      <c r="B399" t="s">
        <v>55</v>
      </c>
      <c r="C399" t="s">
        <v>691</v>
      </c>
      <c r="D399" t="s">
        <v>124</v>
      </c>
      <c r="E399" t="s">
        <v>3215</v>
      </c>
      <c r="F399" t="s">
        <v>3216</v>
      </c>
      <c r="G399" t="s">
        <v>3066</v>
      </c>
      <c r="H399" t="s">
        <v>3067</v>
      </c>
      <c r="I399" t="s">
        <v>28</v>
      </c>
      <c r="J399" t="s">
        <v>3217</v>
      </c>
      <c r="K399" t="s">
        <v>19</v>
      </c>
      <c r="L399" t="s">
        <v>20</v>
      </c>
      <c r="M399" t="s">
        <v>3218</v>
      </c>
      <c r="N399" t="s">
        <v>3219</v>
      </c>
      <c r="O399" t="s">
        <v>3220</v>
      </c>
      <c r="P399" t="s">
        <v>3221</v>
      </c>
    </row>
    <row r="400" spans="1:16" x14ac:dyDescent="0.35">
      <c r="A400" t="s">
        <v>3222</v>
      </c>
      <c r="B400" t="s">
        <v>32</v>
      </c>
      <c r="C400" t="s">
        <v>15</v>
      </c>
      <c r="D400" t="s">
        <v>124</v>
      </c>
      <c r="E400" t="s">
        <v>3223</v>
      </c>
      <c r="F400" t="s">
        <v>3224</v>
      </c>
      <c r="G400" t="s">
        <v>3225</v>
      </c>
      <c r="H400" t="s">
        <v>3067</v>
      </c>
      <c r="I400" t="s">
        <v>3226</v>
      </c>
      <c r="J400" t="s">
        <v>3227</v>
      </c>
      <c r="K400" t="s">
        <v>3228</v>
      </c>
      <c r="L400" t="s">
        <v>20</v>
      </c>
      <c r="M400" t="s">
        <v>3229</v>
      </c>
      <c r="N400" t="s">
        <v>3230</v>
      </c>
      <c r="O400" t="s">
        <v>3231</v>
      </c>
      <c r="P400" t="s">
        <v>3232</v>
      </c>
    </row>
    <row r="401" spans="1:16" x14ac:dyDescent="0.35">
      <c r="A401" t="s">
        <v>3233</v>
      </c>
      <c r="B401" t="s">
        <v>55</v>
      </c>
      <c r="C401" t="s">
        <v>28</v>
      </c>
      <c r="D401" t="s">
        <v>28</v>
      </c>
      <c r="E401" t="s">
        <v>3234</v>
      </c>
      <c r="F401" t="s">
        <v>3235</v>
      </c>
      <c r="G401" t="s">
        <v>3066</v>
      </c>
      <c r="H401" t="s">
        <v>3067</v>
      </c>
      <c r="I401" t="s">
        <v>28</v>
      </c>
      <c r="J401" t="s">
        <v>28</v>
      </c>
      <c r="K401" t="s">
        <v>19</v>
      </c>
      <c r="L401" t="s">
        <v>20</v>
      </c>
      <c r="M401" t="s">
        <v>3229</v>
      </c>
      <c r="N401" t="s">
        <v>3230</v>
      </c>
      <c r="O401" t="s">
        <v>3236</v>
      </c>
      <c r="P401" t="s">
        <v>3237</v>
      </c>
    </row>
    <row r="402" spans="1:16" x14ac:dyDescent="0.35">
      <c r="A402" t="s">
        <v>3238</v>
      </c>
      <c r="B402" t="s">
        <v>55</v>
      </c>
      <c r="C402" t="s">
        <v>28</v>
      </c>
      <c r="D402" t="s">
        <v>28</v>
      </c>
      <c r="E402" t="s">
        <v>3239</v>
      </c>
      <c r="F402" t="s">
        <v>3240</v>
      </c>
      <c r="G402" t="s">
        <v>3241</v>
      </c>
      <c r="H402" t="s">
        <v>3067</v>
      </c>
      <c r="I402" t="s">
        <v>28</v>
      </c>
      <c r="J402" t="s">
        <v>3242</v>
      </c>
      <c r="K402" t="s">
        <v>19</v>
      </c>
      <c r="L402" t="s">
        <v>20</v>
      </c>
      <c r="M402" t="s">
        <v>3229</v>
      </c>
      <c r="N402" t="s">
        <v>3230</v>
      </c>
      <c r="O402" t="s">
        <v>3243</v>
      </c>
      <c r="P402" t="s">
        <v>3244</v>
      </c>
    </row>
    <row r="403" spans="1:16" x14ac:dyDescent="0.35">
      <c r="A403" t="s">
        <v>3247</v>
      </c>
      <c r="B403" t="s">
        <v>55</v>
      </c>
      <c r="C403" t="s">
        <v>28</v>
      </c>
      <c r="D403" t="s">
        <v>28</v>
      </c>
      <c r="E403" t="s">
        <v>3248</v>
      </c>
      <c r="F403" t="s">
        <v>3249</v>
      </c>
      <c r="G403" t="s">
        <v>3250</v>
      </c>
      <c r="H403" t="s">
        <v>3067</v>
      </c>
      <c r="I403" t="s">
        <v>28</v>
      </c>
      <c r="J403" t="s">
        <v>3251</v>
      </c>
      <c r="K403" t="s">
        <v>19</v>
      </c>
      <c r="L403" t="s">
        <v>20</v>
      </c>
      <c r="M403" t="s">
        <v>3245</v>
      </c>
      <c r="N403" t="s">
        <v>3246</v>
      </c>
      <c r="O403" t="s">
        <v>3252</v>
      </c>
      <c r="P403" t="s">
        <v>3253</v>
      </c>
    </row>
    <row r="404" spans="1:16" x14ac:dyDescent="0.35">
      <c r="A404" t="s">
        <v>3254</v>
      </c>
      <c r="B404" t="s">
        <v>32</v>
      </c>
      <c r="C404" t="s">
        <v>140</v>
      </c>
      <c r="D404" t="s">
        <v>1578</v>
      </c>
      <c r="E404" t="s">
        <v>3255</v>
      </c>
      <c r="F404" t="s">
        <v>3256</v>
      </c>
      <c r="G404" t="s">
        <v>3066</v>
      </c>
      <c r="H404" t="s">
        <v>3074</v>
      </c>
      <c r="I404" t="s">
        <v>3257</v>
      </c>
      <c r="J404" t="s">
        <v>3258</v>
      </c>
      <c r="K404" t="s">
        <v>3259</v>
      </c>
      <c r="L404" t="s">
        <v>20</v>
      </c>
      <c r="M404" t="s">
        <v>3245</v>
      </c>
      <c r="N404" t="s">
        <v>3246</v>
      </c>
      <c r="O404" t="s">
        <v>3260</v>
      </c>
      <c r="P404" t="s">
        <v>3261</v>
      </c>
    </row>
    <row r="405" spans="1:16" x14ac:dyDescent="0.35">
      <c r="A405" t="s">
        <v>3262</v>
      </c>
      <c r="B405" t="s">
        <v>55</v>
      </c>
      <c r="C405" t="s">
        <v>26</v>
      </c>
      <c r="D405" t="s">
        <v>124</v>
      </c>
      <c r="E405" t="s">
        <v>3263</v>
      </c>
      <c r="F405" t="s">
        <v>3264</v>
      </c>
      <c r="G405" t="s">
        <v>3066</v>
      </c>
      <c r="H405" t="s">
        <v>3067</v>
      </c>
      <c r="I405" t="s">
        <v>3265</v>
      </c>
      <c r="J405" t="s">
        <v>3266</v>
      </c>
      <c r="K405" t="s">
        <v>3267</v>
      </c>
      <c r="L405" t="s">
        <v>20</v>
      </c>
      <c r="M405" t="s">
        <v>3245</v>
      </c>
      <c r="N405" t="s">
        <v>3246</v>
      </c>
      <c r="O405" t="s">
        <v>3268</v>
      </c>
      <c r="P405" t="s">
        <v>3269</v>
      </c>
    </row>
    <row r="406" spans="1:16" x14ac:dyDescent="0.35">
      <c r="A406" t="s">
        <v>3272</v>
      </c>
      <c r="B406" t="s">
        <v>55</v>
      </c>
      <c r="C406" t="s">
        <v>96</v>
      </c>
      <c r="D406" t="s">
        <v>304</v>
      </c>
      <c r="E406" t="s">
        <v>3273</v>
      </c>
      <c r="F406" t="s">
        <v>3274</v>
      </c>
      <c r="G406" t="s">
        <v>3066</v>
      </c>
      <c r="H406" t="s">
        <v>3067</v>
      </c>
      <c r="I406" t="s">
        <v>3275</v>
      </c>
      <c r="J406" t="s">
        <v>3276</v>
      </c>
      <c r="K406" t="s">
        <v>3277</v>
      </c>
      <c r="L406" t="s">
        <v>20</v>
      </c>
      <c r="M406" t="s">
        <v>3270</v>
      </c>
      <c r="N406" t="s">
        <v>3271</v>
      </c>
      <c r="O406" t="s">
        <v>3278</v>
      </c>
      <c r="P406" t="s">
        <v>3279</v>
      </c>
    </row>
    <row r="407" spans="1:16" x14ac:dyDescent="0.35">
      <c r="A407" t="s">
        <v>3280</v>
      </c>
      <c r="B407" t="s">
        <v>32</v>
      </c>
      <c r="C407" t="s">
        <v>241</v>
      </c>
      <c r="D407" t="s">
        <v>1785</v>
      </c>
      <c r="E407" t="s">
        <v>3281</v>
      </c>
      <c r="F407" t="s">
        <v>3282</v>
      </c>
      <c r="G407" t="s">
        <v>3066</v>
      </c>
      <c r="H407" t="s">
        <v>3067</v>
      </c>
      <c r="I407" t="s">
        <v>3283</v>
      </c>
      <c r="J407" t="s">
        <v>3284</v>
      </c>
      <c r="K407" t="s">
        <v>19</v>
      </c>
      <c r="L407" t="s">
        <v>20</v>
      </c>
      <c r="M407" t="s">
        <v>3285</v>
      </c>
      <c r="N407" t="s">
        <v>3286</v>
      </c>
      <c r="O407" t="s">
        <v>3287</v>
      </c>
      <c r="P407" t="s">
        <v>3288</v>
      </c>
    </row>
    <row r="408" spans="1:16" x14ac:dyDescent="0.35">
      <c r="A408" t="s">
        <v>3289</v>
      </c>
      <c r="B408" t="s">
        <v>194</v>
      </c>
      <c r="C408" t="s">
        <v>28</v>
      </c>
      <c r="D408" t="s">
        <v>28</v>
      </c>
      <c r="E408" t="s">
        <v>3290</v>
      </c>
      <c r="F408" t="s">
        <v>3291</v>
      </c>
      <c r="G408" t="s">
        <v>3066</v>
      </c>
      <c r="H408" t="s">
        <v>3067</v>
      </c>
      <c r="I408" t="s">
        <v>28</v>
      </c>
      <c r="J408" t="s">
        <v>3292</v>
      </c>
      <c r="K408" t="s">
        <v>19</v>
      </c>
      <c r="L408" t="s">
        <v>20</v>
      </c>
      <c r="M408" t="s">
        <v>3285</v>
      </c>
      <c r="N408" t="s">
        <v>3286</v>
      </c>
      <c r="O408" t="s">
        <v>3293</v>
      </c>
      <c r="P408" t="s">
        <v>3294</v>
      </c>
    </row>
    <row r="409" spans="1:16" x14ac:dyDescent="0.35">
      <c r="A409" t="s">
        <v>3295</v>
      </c>
      <c r="B409" t="s">
        <v>55</v>
      </c>
      <c r="C409" t="s">
        <v>177</v>
      </c>
      <c r="D409" t="s">
        <v>206</v>
      </c>
      <c r="E409" t="s">
        <v>3296</v>
      </c>
      <c r="F409" t="s">
        <v>3297</v>
      </c>
      <c r="G409" t="s">
        <v>3213</v>
      </c>
      <c r="H409" t="s">
        <v>3067</v>
      </c>
      <c r="I409" t="s">
        <v>162</v>
      </c>
      <c r="J409" t="s">
        <v>3298</v>
      </c>
      <c r="K409" t="s">
        <v>164</v>
      </c>
      <c r="L409" t="s">
        <v>20</v>
      </c>
      <c r="M409" t="s">
        <v>3285</v>
      </c>
      <c r="N409" t="s">
        <v>3286</v>
      </c>
      <c r="O409" t="s">
        <v>3299</v>
      </c>
      <c r="P409" t="s">
        <v>3300</v>
      </c>
    </row>
    <row r="410" spans="1:16" x14ac:dyDescent="0.35">
      <c r="A410" t="s">
        <v>3301</v>
      </c>
      <c r="B410" t="s">
        <v>55</v>
      </c>
      <c r="C410" t="s">
        <v>341</v>
      </c>
      <c r="D410" t="s">
        <v>68</v>
      </c>
      <c r="E410" t="s">
        <v>3302</v>
      </c>
      <c r="F410" t="s">
        <v>3303</v>
      </c>
      <c r="G410" t="s">
        <v>3066</v>
      </c>
      <c r="H410" t="s">
        <v>3067</v>
      </c>
      <c r="I410" t="s">
        <v>28</v>
      </c>
      <c r="J410" t="s">
        <v>3304</v>
      </c>
      <c r="K410" t="s">
        <v>19</v>
      </c>
      <c r="L410" t="s">
        <v>20</v>
      </c>
      <c r="M410" t="s">
        <v>3305</v>
      </c>
      <c r="N410" t="s">
        <v>3306</v>
      </c>
      <c r="O410" t="s">
        <v>3307</v>
      </c>
      <c r="P410" t="s">
        <v>3308</v>
      </c>
    </row>
    <row r="411" spans="1:16" x14ac:dyDescent="0.35">
      <c r="A411" t="s">
        <v>3309</v>
      </c>
      <c r="B411" t="s">
        <v>107</v>
      </c>
      <c r="C411" t="s">
        <v>15</v>
      </c>
      <c r="D411" t="s">
        <v>206</v>
      </c>
      <c r="E411" t="s">
        <v>3310</v>
      </c>
      <c r="F411" t="s">
        <v>3311</v>
      </c>
      <c r="G411" t="s">
        <v>3066</v>
      </c>
      <c r="H411" t="s">
        <v>3067</v>
      </c>
      <c r="I411" t="s">
        <v>3312</v>
      </c>
      <c r="J411" t="s">
        <v>3313</v>
      </c>
      <c r="K411" t="s">
        <v>19</v>
      </c>
      <c r="L411" t="s">
        <v>20</v>
      </c>
      <c r="M411" t="s">
        <v>3305</v>
      </c>
      <c r="N411" t="s">
        <v>3306</v>
      </c>
      <c r="O411" t="s">
        <v>3314</v>
      </c>
      <c r="P411" t="s">
        <v>3315</v>
      </c>
    </row>
    <row r="412" spans="1:16" x14ac:dyDescent="0.35">
      <c r="A412" t="s">
        <v>538</v>
      </c>
      <c r="B412" t="s">
        <v>55</v>
      </c>
      <c r="C412" t="s">
        <v>26</v>
      </c>
      <c r="D412" t="s">
        <v>614</v>
      </c>
      <c r="E412" t="s">
        <v>3316</v>
      </c>
      <c r="F412" t="s">
        <v>3317</v>
      </c>
      <c r="G412" t="s">
        <v>3149</v>
      </c>
      <c r="H412" t="s">
        <v>3067</v>
      </c>
      <c r="I412" t="s">
        <v>82</v>
      </c>
      <c r="J412" t="s">
        <v>3318</v>
      </c>
      <c r="K412" t="s">
        <v>84</v>
      </c>
      <c r="L412" t="s">
        <v>20</v>
      </c>
      <c r="M412" t="s">
        <v>3319</v>
      </c>
      <c r="N412" t="s">
        <v>3320</v>
      </c>
      <c r="O412" t="s">
        <v>3321</v>
      </c>
      <c r="P412" t="s">
        <v>3322</v>
      </c>
    </row>
    <row r="413" spans="1:16" x14ac:dyDescent="0.35">
      <c r="A413" t="s">
        <v>310</v>
      </c>
      <c r="B413" t="s">
        <v>55</v>
      </c>
      <c r="C413" t="s">
        <v>26</v>
      </c>
      <c r="D413" t="s">
        <v>3323</v>
      </c>
      <c r="E413" t="s">
        <v>3324</v>
      </c>
      <c r="F413" t="s">
        <v>3325</v>
      </c>
      <c r="G413" t="s">
        <v>3066</v>
      </c>
      <c r="H413" t="s">
        <v>3067</v>
      </c>
      <c r="I413" t="s">
        <v>28</v>
      </c>
      <c r="J413" t="s">
        <v>3326</v>
      </c>
      <c r="K413" t="s">
        <v>19</v>
      </c>
      <c r="L413" t="s">
        <v>20</v>
      </c>
      <c r="M413" t="s">
        <v>3327</v>
      </c>
      <c r="N413" t="s">
        <v>3328</v>
      </c>
      <c r="O413" t="s">
        <v>3329</v>
      </c>
      <c r="P413" t="s">
        <v>3330</v>
      </c>
    </row>
    <row r="414" spans="1:16" x14ac:dyDescent="0.35">
      <c r="A414" t="s">
        <v>3331</v>
      </c>
      <c r="B414" t="s">
        <v>55</v>
      </c>
      <c r="C414" t="s">
        <v>241</v>
      </c>
      <c r="D414" t="s">
        <v>449</v>
      </c>
      <c r="E414" t="s">
        <v>3332</v>
      </c>
      <c r="F414" t="s">
        <v>3333</v>
      </c>
      <c r="G414" t="s">
        <v>3066</v>
      </c>
      <c r="H414" t="s">
        <v>3067</v>
      </c>
      <c r="I414" t="s">
        <v>3334</v>
      </c>
      <c r="J414" t="s">
        <v>3335</v>
      </c>
      <c r="K414" t="s">
        <v>19</v>
      </c>
      <c r="L414" t="s">
        <v>20</v>
      </c>
      <c r="M414" t="s">
        <v>3336</v>
      </c>
      <c r="N414" t="s">
        <v>3337</v>
      </c>
      <c r="O414" t="s">
        <v>3338</v>
      </c>
      <c r="P414" t="s">
        <v>3339</v>
      </c>
    </row>
    <row r="415" spans="1:16" x14ac:dyDescent="0.35">
      <c r="A415" t="s">
        <v>325</v>
      </c>
      <c r="B415" t="s">
        <v>55</v>
      </c>
      <c r="C415" t="s">
        <v>28</v>
      </c>
      <c r="D415" t="s">
        <v>28</v>
      </c>
      <c r="E415" t="s">
        <v>3340</v>
      </c>
      <c r="F415" t="s">
        <v>3341</v>
      </c>
      <c r="G415" t="s">
        <v>3342</v>
      </c>
      <c r="H415" t="s">
        <v>3067</v>
      </c>
      <c r="I415" t="s">
        <v>28</v>
      </c>
      <c r="J415" t="s">
        <v>28</v>
      </c>
      <c r="K415" t="s">
        <v>19</v>
      </c>
      <c r="L415" t="s">
        <v>20</v>
      </c>
      <c r="M415" t="s">
        <v>3343</v>
      </c>
      <c r="N415" t="s">
        <v>3344</v>
      </c>
      <c r="O415" t="s">
        <v>3345</v>
      </c>
      <c r="P415" t="s">
        <v>3346</v>
      </c>
    </row>
    <row r="416" spans="1:16" x14ac:dyDescent="0.35">
      <c r="A416" t="s">
        <v>3347</v>
      </c>
      <c r="B416" t="s">
        <v>55</v>
      </c>
      <c r="C416" t="s">
        <v>15</v>
      </c>
      <c r="D416" t="s">
        <v>16</v>
      </c>
      <c r="E416" t="s">
        <v>3348</v>
      </c>
      <c r="F416" t="s">
        <v>3349</v>
      </c>
      <c r="G416" t="s">
        <v>3149</v>
      </c>
      <c r="H416" t="s">
        <v>3067</v>
      </c>
      <c r="I416" t="s">
        <v>28</v>
      </c>
      <c r="J416" t="s">
        <v>3350</v>
      </c>
      <c r="K416" t="s">
        <v>19</v>
      </c>
      <c r="L416" t="s">
        <v>20</v>
      </c>
      <c r="M416" t="s">
        <v>3351</v>
      </c>
      <c r="N416" t="s">
        <v>3352</v>
      </c>
      <c r="O416" t="s">
        <v>3353</v>
      </c>
      <c r="P416" t="s">
        <v>3354</v>
      </c>
    </row>
    <row r="417" spans="1:16" x14ac:dyDescent="0.35">
      <c r="A417" t="s">
        <v>3355</v>
      </c>
      <c r="B417" t="s">
        <v>55</v>
      </c>
      <c r="C417" t="s">
        <v>205</v>
      </c>
      <c r="D417" t="s">
        <v>1795</v>
      </c>
      <c r="E417" t="s">
        <v>3356</v>
      </c>
      <c r="F417" t="s">
        <v>3357</v>
      </c>
      <c r="G417" t="s">
        <v>3066</v>
      </c>
      <c r="H417" t="s">
        <v>3067</v>
      </c>
      <c r="I417" t="s">
        <v>3358</v>
      </c>
      <c r="J417" t="s">
        <v>3359</v>
      </c>
      <c r="K417" t="s">
        <v>3360</v>
      </c>
      <c r="L417" t="s">
        <v>20</v>
      </c>
      <c r="M417" t="s">
        <v>3351</v>
      </c>
      <c r="N417" t="s">
        <v>3352</v>
      </c>
      <c r="O417" t="s">
        <v>3361</v>
      </c>
      <c r="P417" t="s">
        <v>3362</v>
      </c>
    </row>
    <row r="418" spans="1:16" x14ac:dyDescent="0.35">
      <c r="A418" t="s">
        <v>3363</v>
      </c>
      <c r="B418" t="s">
        <v>55</v>
      </c>
      <c r="C418" t="s">
        <v>140</v>
      </c>
      <c r="D418" t="s">
        <v>1785</v>
      </c>
      <c r="E418" t="s">
        <v>3364</v>
      </c>
      <c r="F418" t="s">
        <v>3365</v>
      </c>
      <c r="G418" t="s">
        <v>3066</v>
      </c>
      <c r="H418" t="s">
        <v>3067</v>
      </c>
      <c r="I418" t="s">
        <v>3366</v>
      </c>
      <c r="J418" t="s">
        <v>3367</v>
      </c>
      <c r="K418" t="s">
        <v>3368</v>
      </c>
      <c r="L418" t="s">
        <v>20</v>
      </c>
      <c r="M418" t="s">
        <v>3351</v>
      </c>
      <c r="N418" t="s">
        <v>3352</v>
      </c>
      <c r="O418" t="s">
        <v>3369</v>
      </c>
      <c r="P418" t="s">
        <v>3370</v>
      </c>
    </row>
    <row r="419" spans="1:16" x14ac:dyDescent="0.35">
      <c r="A419" t="s">
        <v>3371</v>
      </c>
      <c r="B419" t="s">
        <v>194</v>
      </c>
      <c r="C419" t="s">
        <v>691</v>
      </c>
      <c r="D419" t="s">
        <v>614</v>
      </c>
      <c r="E419" t="s">
        <v>3372</v>
      </c>
      <c r="F419" t="s">
        <v>3373</v>
      </c>
      <c r="G419" t="s">
        <v>3066</v>
      </c>
      <c r="H419" t="s">
        <v>3067</v>
      </c>
      <c r="I419" t="s">
        <v>3374</v>
      </c>
      <c r="J419" t="s">
        <v>3375</v>
      </c>
      <c r="K419" t="s">
        <v>3376</v>
      </c>
      <c r="L419" t="s">
        <v>20</v>
      </c>
      <c r="M419" t="s">
        <v>3351</v>
      </c>
      <c r="N419" t="s">
        <v>3352</v>
      </c>
      <c r="O419" t="s">
        <v>3377</v>
      </c>
      <c r="P419" t="s">
        <v>3378</v>
      </c>
    </row>
    <row r="420" spans="1:16" x14ac:dyDescent="0.35">
      <c r="A420" t="s">
        <v>3379</v>
      </c>
      <c r="B420" t="s">
        <v>55</v>
      </c>
      <c r="C420" t="s">
        <v>691</v>
      </c>
      <c r="D420" t="s">
        <v>27</v>
      </c>
      <c r="E420" t="s">
        <v>3380</v>
      </c>
      <c r="F420" t="s">
        <v>3381</v>
      </c>
      <c r="G420" t="s">
        <v>3382</v>
      </c>
      <c r="H420" t="s">
        <v>3067</v>
      </c>
      <c r="I420" t="s">
        <v>28</v>
      </c>
      <c r="J420" t="s">
        <v>3383</v>
      </c>
      <c r="K420" t="s">
        <v>19</v>
      </c>
      <c r="L420" t="s">
        <v>20</v>
      </c>
      <c r="M420" t="s">
        <v>3384</v>
      </c>
      <c r="N420" t="s">
        <v>3385</v>
      </c>
      <c r="O420" t="s">
        <v>3386</v>
      </c>
      <c r="P420" t="s">
        <v>3387</v>
      </c>
    </row>
    <row r="421" spans="1:16" x14ac:dyDescent="0.35">
      <c r="A421" t="s">
        <v>3388</v>
      </c>
      <c r="B421" t="s">
        <v>55</v>
      </c>
      <c r="C421" t="s">
        <v>691</v>
      </c>
      <c r="D421" t="s">
        <v>68</v>
      </c>
      <c r="E421" t="s">
        <v>3389</v>
      </c>
      <c r="F421" t="s">
        <v>3390</v>
      </c>
      <c r="G421" t="s">
        <v>3391</v>
      </c>
      <c r="H421" t="s">
        <v>3074</v>
      </c>
      <c r="I421" t="s">
        <v>28</v>
      </c>
      <c r="J421" t="s">
        <v>3392</v>
      </c>
      <c r="K421" t="s">
        <v>19</v>
      </c>
      <c r="L421" t="s">
        <v>20</v>
      </c>
      <c r="M421" t="s">
        <v>3393</v>
      </c>
      <c r="N421" t="s">
        <v>3394</v>
      </c>
      <c r="O421" t="s">
        <v>3395</v>
      </c>
      <c r="P421" t="s">
        <v>3396</v>
      </c>
    </row>
    <row r="422" spans="1:16" x14ac:dyDescent="0.35">
      <c r="A422" t="s">
        <v>3397</v>
      </c>
      <c r="B422" t="s">
        <v>55</v>
      </c>
      <c r="C422" t="s">
        <v>78</v>
      </c>
      <c r="D422" t="s">
        <v>22</v>
      </c>
      <c r="E422" t="s">
        <v>3398</v>
      </c>
      <c r="F422" t="s">
        <v>3399</v>
      </c>
      <c r="G422" t="s">
        <v>3163</v>
      </c>
      <c r="H422" t="s">
        <v>3067</v>
      </c>
      <c r="I422" t="s">
        <v>28</v>
      </c>
      <c r="J422" t="s">
        <v>3400</v>
      </c>
      <c r="K422" t="s">
        <v>19</v>
      </c>
      <c r="L422" t="s">
        <v>20</v>
      </c>
      <c r="M422" t="s">
        <v>3401</v>
      </c>
      <c r="N422" t="s">
        <v>3402</v>
      </c>
      <c r="O422" t="s">
        <v>3403</v>
      </c>
      <c r="P422" t="s">
        <v>3404</v>
      </c>
    </row>
    <row r="423" spans="1:16" x14ac:dyDescent="0.35">
      <c r="A423" t="s">
        <v>3405</v>
      </c>
      <c r="B423" t="s">
        <v>55</v>
      </c>
      <c r="C423" t="s">
        <v>15</v>
      </c>
      <c r="D423" t="s">
        <v>16</v>
      </c>
      <c r="E423" t="s">
        <v>3406</v>
      </c>
      <c r="F423" t="s">
        <v>3407</v>
      </c>
      <c r="G423" t="s">
        <v>3408</v>
      </c>
      <c r="H423" t="s">
        <v>3067</v>
      </c>
      <c r="I423" t="s">
        <v>28</v>
      </c>
      <c r="J423" t="s">
        <v>3409</v>
      </c>
      <c r="K423" t="s">
        <v>19</v>
      </c>
      <c r="L423" t="s">
        <v>20</v>
      </c>
      <c r="M423" t="s">
        <v>3410</v>
      </c>
      <c r="N423" t="s">
        <v>3411</v>
      </c>
      <c r="O423" t="s">
        <v>3412</v>
      </c>
      <c r="P423" t="s">
        <v>3413</v>
      </c>
    </row>
    <row r="424" spans="1:16" x14ac:dyDescent="0.35">
      <c r="A424" t="s">
        <v>3414</v>
      </c>
      <c r="B424" t="s">
        <v>55</v>
      </c>
      <c r="C424" t="s">
        <v>205</v>
      </c>
      <c r="D424" t="s">
        <v>304</v>
      </c>
      <c r="E424" t="s">
        <v>3415</v>
      </c>
      <c r="F424" t="s">
        <v>3416</v>
      </c>
      <c r="G424" t="s">
        <v>3163</v>
      </c>
      <c r="H424" t="s">
        <v>3067</v>
      </c>
      <c r="I424" t="s">
        <v>82</v>
      </c>
      <c r="J424" t="s">
        <v>3417</v>
      </c>
      <c r="K424" t="s">
        <v>84</v>
      </c>
      <c r="L424" t="s">
        <v>20</v>
      </c>
      <c r="M424" t="s">
        <v>3418</v>
      </c>
      <c r="N424" t="s">
        <v>3419</v>
      </c>
      <c r="O424" t="s">
        <v>3420</v>
      </c>
      <c r="P424" t="s">
        <v>3421</v>
      </c>
    </row>
    <row r="425" spans="1:16" x14ac:dyDescent="0.35">
      <c r="A425" t="s">
        <v>3422</v>
      </c>
      <c r="B425" t="s">
        <v>55</v>
      </c>
      <c r="C425" t="s">
        <v>241</v>
      </c>
      <c r="D425" t="s">
        <v>282</v>
      </c>
      <c r="E425" t="s">
        <v>3423</v>
      </c>
      <c r="F425" t="s">
        <v>3424</v>
      </c>
      <c r="G425" t="s">
        <v>3178</v>
      </c>
      <c r="H425" t="s">
        <v>3067</v>
      </c>
      <c r="I425" t="s">
        <v>3425</v>
      </c>
      <c r="J425" t="s">
        <v>3426</v>
      </c>
      <c r="K425" t="s">
        <v>3427</v>
      </c>
      <c r="L425" t="s">
        <v>20</v>
      </c>
      <c r="M425" t="s">
        <v>3428</v>
      </c>
      <c r="N425" t="s">
        <v>3429</v>
      </c>
      <c r="O425" t="s">
        <v>3430</v>
      </c>
      <c r="P425" t="s">
        <v>3431</v>
      </c>
    </row>
    <row r="426" spans="1:16" x14ac:dyDescent="0.35">
      <c r="A426" t="s">
        <v>3437</v>
      </c>
      <c r="B426" t="s">
        <v>55</v>
      </c>
      <c r="C426" t="s">
        <v>78</v>
      </c>
      <c r="D426" t="s">
        <v>124</v>
      </c>
      <c r="E426" t="s">
        <v>3438</v>
      </c>
      <c r="F426" t="s">
        <v>3439</v>
      </c>
      <c r="G426" t="s">
        <v>3436</v>
      </c>
      <c r="H426" t="s">
        <v>3433</v>
      </c>
      <c r="I426" t="s">
        <v>3440</v>
      </c>
      <c r="J426" t="s">
        <v>3441</v>
      </c>
      <c r="K426" t="s">
        <v>3442</v>
      </c>
      <c r="L426" t="s">
        <v>20</v>
      </c>
      <c r="M426" t="s">
        <v>3434</v>
      </c>
      <c r="N426" t="s">
        <v>3435</v>
      </c>
      <c r="O426" t="s">
        <v>3443</v>
      </c>
      <c r="P426" t="s">
        <v>3444</v>
      </c>
    </row>
    <row r="427" spans="1:16" x14ac:dyDescent="0.35">
      <c r="A427" t="s">
        <v>3445</v>
      </c>
      <c r="B427" t="s">
        <v>55</v>
      </c>
      <c r="C427" t="s">
        <v>691</v>
      </c>
      <c r="D427" t="s">
        <v>2718</v>
      </c>
      <c r="E427" t="s">
        <v>3446</v>
      </c>
      <c r="F427" t="s">
        <v>3447</v>
      </c>
      <c r="G427" t="s">
        <v>3436</v>
      </c>
      <c r="H427" t="s">
        <v>3433</v>
      </c>
      <c r="I427" t="s">
        <v>3448</v>
      </c>
      <c r="J427" t="s">
        <v>3449</v>
      </c>
      <c r="K427" t="s">
        <v>3450</v>
      </c>
      <c r="L427" t="s">
        <v>20</v>
      </c>
      <c r="M427" t="s">
        <v>3434</v>
      </c>
      <c r="N427" t="s">
        <v>3435</v>
      </c>
      <c r="O427" t="s">
        <v>3451</v>
      </c>
      <c r="P427" t="s">
        <v>3452</v>
      </c>
    </row>
    <row r="428" spans="1:16" x14ac:dyDescent="0.35">
      <c r="A428" t="s">
        <v>3453</v>
      </c>
      <c r="B428" t="s">
        <v>55</v>
      </c>
      <c r="C428" t="s">
        <v>241</v>
      </c>
      <c r="D428" t="s">
        <v>282</v>
      </c>
      <c r="E428" t="s">
        <v>3454</v>
      </c>
      <c r="F428" t="s">
        <v>3455</v>
      </c>
      <c r="G428" t="s">
        <v>3436</v>
      </c>
      <c r="H428" t="s">
        <v>3433</v>
      </c>
      <c r="I428" t="s">
        <v>3456</v>
      </c>
      <c r="J428" t="s">
        <v>3457</v>
      </c>
      <c r="K428" t="s">
        <v>3458</v>
      </c>
      <c r="L428" t="s">
        <v>20</v>
      </c>
      <c r="M428" t="s">
        <v>3434</v>
      </c>
      <c r="N428" t="s">
        <v>3435</v>
      </c>
      <c r="O428" t="s">
        <v>3459</v>
      </c>
      <c r="P428" t="s">
        <v>3460</v>
      </c>
    </row>
    <row r="429" spans="1:16" x14ac:dyDescent="0.35">
      <c r="A429" t="s">
        <v>3461</v>
      </c>
      <c r="B429" t="s">
        <v>55</v>
      </c>
      <c r="C429" t="s">
        <v>78</v>
      </c>
      <c r="D429" t="s">
        <v>324</v>
      </c>
      <c r="E429" t="s">
        <v>3462</v>
      </c>
      <c r="F429" t="s">
        <v>3463</v>
      </c>
      <c r="G429" t="s">
        <v>3436</v>
      </c>
      <c r="H429" t="s">
        <v>3433</v>
      </c>
      <c r="I429" t="s">
        <v>28</v>
      </c>
      <c r="J429" t="s">
        <v>3464</v>
      </c>
      <c r="K429" t="s">
        <v>19</v>
      </c>
      <c r="L429" t="s">
        <v>20</v>
      </c>
      <c r="M429" t="s">
        <v>3434</v>
      </c>
      <c r="N429" t="s">
        <v>3435</v>
      </c>
      <c r="O429" t="s">
        <v>3465</v>
      </c>
      <c r="P429" t="s">
        <v>3466</v>
      </c>
    </row>
    <row r="430" spans="1:16" x14ac:dyDescent="0.35">
      <c r="A430" t="s">
        <v>3467</v>
      </c>
      <c r="B430" t="s">
        <v>55</v>
      </c>
      <c r="C430" t="s">
        <v>15</v>
      </c>
      <c r="D430" t="s">
        <v>27</v>
      </c>
      <c r="E430" t="s">
        <v>3468</v>
      </c>
      <c r="F430" t="s">
        <v>3469</v>
      </c>
      <c r="G430" t="s">
        <v>3436</v>
      </c>
      <c r="H430" t="s">
        <v>3433</v>
      </c>
      <c r="I430" t="s">
        <v>502</v>
      </c>
      <c r="J430" t="s">
        <v>503</v>
      </c>
      <c r="K430" t="s">
        <v>504</v>
      </c>
      <c r="L430" t="s">
        <v>20</v>
      </c>
      <c r="M430" t="s">
        <v>3470</v>
      </c>
      <c r="N430" t="s">
        <v>3471</v>
      </c>
      <c r="O430" t="s">
        <v>3472</v>
      </c>
      <c r="P430" t="s">
        <v>3473</v>
      </c>
    </row>
    <row r="431" spans="1:16" x14ac:dyDescent="0.35">
      <c r="A431" t="s">
        <v>538</v>
      </c>
      <c r="B431" t="s">
        <v>55</v>
      </c>
      <c r="C431" t="s">
        <v>117</v>
      </c>
      <c r="D431" t="s">
        <v>27</v>
      </c>
      <c r="E431" t="s">
        <v>3474</v>
      </c>
      <c r="F431" t="s">
        <v>3475</v>
      </c>
      <c r="G431" t="s">
        <v>3476</v>
      </c>
      <c r="H431" t="s">
        <v>3433</v>
      </c>
      <c r="I431" t="s">
        <v>82</v>
      </c>
      <c r="J431" t="s">
        <v>3477</v>
      </c>
      <c r="K431" t="s">
        <v>84</v>
      </c>
      <c r="L431" t="s">
        <v>20</v>
      </c>
      <c r="M431" t="s">
        <v>3470</v>
      </c>
      <c r="N431" t="s">
        <v>3471</v>
      </c>
      <c r="O431" t="s">
        <v>3478</v>
      </c>
      <c r="P431" t="s">
        <v>3479</v>
      </c>
    </row>
    <row r="432" spans="1:16" x14ac:dyDescent="0.35">
      <c r="A432" t="s">
        <v>3480</v>
      </c>
      <c r="B432" t="s">
        <v>32</v>
      </c>
      <c r="C432" t="s">
        <v>3481</v>
      </c>
      <c r="D432" t="s">
        <v>374</v>
      </c>
      <c r="E432" t="s">
        <v>3482</v>
      </c>
      <c r="F432" t="s">
        <v>3483</v>
      </c>
      <c r="G432" t="s">
        <v>3436</v>
      </c>
      <c r="H432" t="s">
        <v>3433</v>
      </c>
      <c r="I432" t="s">
        <v>28</v>
      </c>
      <c r="J432" t="s">
        <v>3484</v>
      </c>
      <c r="K432" t="s">
        <v>19</v>
      </c>
      <c r="L432" t="s">
        <v>20</v>
      </c>
      <c r="M432" t="s">
        <v>3470</v>
      </c>
      <c r="N432" t="s">
        <v>3471</v>
      </c>
      <c r="O432" t="s">
        <v>3485</v>
      </c>
      <c r="P432" t="s">
        <v>3486</v>
      </c>
    </row>
    <row r="433" spans="1:16" x14ac:dyDescent="0.35">
      <c r="A433" t="s">
        <v>3487</v>
      </c>
      <c r="B433" t="s">
        <v>32</v>
      </c>
      <c r="C433" t="s">
        <v>25</v>
      </c>
      <c r="D433" t="s">
        <v>16</v>
      </c>
      <c r="E433" t="s">
        <v>3488</v>
      </c>
      <c r="F433" t="s">
        <v>3489</v>
      </c>
      <c r="G433" t="s">
        <v>3490</v>
      </c>
      <c r="H433" t="s">
        <v>3433</v>
      </c>
      <c r="I433" t="s">
        <v>3491</v>
      </c>
      <c r="J433" t="s">
        <v>3492</v>
      </c>
      <c r="K433" t="s">
        <v>19</v>
      </c>
      <c r="L433" t="s">
        <v>20</v>
      </c>
      <c r="M433" t="s">
        <v>3470</v>
      </c>
      <c r="N433" t="s">
        <v>3471</v>
      </c>
      <c r="O433" t="s">
        <v>3493</v>
      </c>
      <c r="P433" t="s">
        <v>3494</v>
      </c>
    </row>
    <row r="434" spans="1:16" x14ac:dyDescent="0.35">
      <c r="A434" t="s">
        <v>3495</v>
      </c>
      <c r="B434" t="s">
        <v>55</v>
      </c>
      <c r="C434" t="s">
        <v>26</v>
      </c>
      <c r="D434" t="s">
        <v>3496</v>
      </c>
      <c r="E434" t="s">
        <v>3497</v>
      </c>
      <c r="F434" t="s">
        <v>3498</v>
      </c>
      <c r="G434" t="s">
        <v>3436</v>
      </c>
      <c r="H434" t="s">
        <v>3433</v>
      </c>
      <c r="I434" t="s">
        <v>1323</v>
      </c>
      <c r="J434" t="s">
        <v>3499</v>
      </c>
      <c r="K434" t="s">
        <v>19</v>
      </c>
      <c r="L434" t="s">
        <v>20</v>
      </c>
      <c r="M434" t="s">
        <v>3470</v>
      </c>
      <c r="N434" t="s">
        <v>3471</v>
      </c>
      <c r="O434" t="s">
        <v>3500</v>
      </c>
      <c r="P434" t="s">
        <v>3501</v>
      </c>
    </row>
    <row r="435" spans="1:16" x14ac:dyDescent="0.35">
      <c r="A435" t="s">
        <v>156</v>
      </c>
      <c r="B435" t="s">
        <v>55</v>
      </c>
      <c r="C435" t="s">
        <v>474</v>
      </c>
      <c r="D435" t="s">
        <v>1129</v>
      </c>
      <c r="E435" t="s">
        <v>3502</v>
      </c>
      <c r="F435" t="s">
        <v>3503</v>
      </c>
      <c r="G435" t="s">
        <v>3504</v>
      </c>
      <c r="H435" t="s">
        <v>3433</v>
      </c>
      <c r="I435" t="s">
        <v>162</v>
      </c>
      <c r="J435" t="s">
        <v>3505</v>
      </c>
      <c r="K435" t="s">
        <v>164</v>
      </c>
      <c r="L435" t="s">
        <v>20</v>
      </c>
      <c r="M435" t="s">
        <v>3506</v>
      </c>
      <c r="N435" t="s">
        <v>3507</v>
      </c>
      <c r="O435" t="s">
        <v>3508</v>
      </c>
      <c r="P435" t="s">
        <v>3509</v>
      </c>
    </row>
    <row r="436" spans="1:16" x14ac:dyDescent="0.35">
      <c r="A436" t="s">
        <v>3510</v>
      </c>
      <c r="B436" t="s">
        <v>55</v>
      </c>
      <c r="C436" t="s">
        <v>357</v>
      </c>
      <c r="D436" t="s">
        <v>549</v>
      </c>
      <c r="E436" t="s">
        <v>3511</v>
      </c>
      <c r="F436" t="s">
        <v>3512</v>
      </c>
      <c r="G436" t="s">
        <v>3513</v>
      </c>
      <c r="H436" t="s">
        <v>3433</v>
      </c>
      <c r="I436" t="s">
        <v>1299</v>
      </c>
      <c r="J436" t="s">
        <v>3514</v>
      </c>
      <c r="K436" t="s">
        <v>19</v>
      </c>
      <c r="L436" t="s">
        <v>20</v>
      </c>
      <c r="M436" t="s">
        <v>3506</v>
      </c>
      <c r="N436" t="s">
        <v>3507</v>
      </c>
      <c r="O436" t="s">
        <v>3515</v>
      </c>
      <c r="P436" t="s">
        <v>3516</v>
      </c>
    </row>
    <row r="437" spans="1:16" x14ac:dyDescent="0.35">
      <c r="A437" t="s">
        <v>3520</v>
      </c>
      <c r="B437" t="s">
        <v>55</v>
      </c>
      <c r="C437" t="s">
        <v>117</v>
      </c>
      <c r="D437" t="s">
        <v>27</v>
      </c>
      <c r="E437" t="s">
        <v>3521</v>
      </c>
      <c r="F437" t="s">
        <v>3522</v>
      </c>
      <c r="G437" t="s">
        <v>3517</v>
      </c>
      <c r="H437" t="s">
        <v>3517</v>
      </c>
      <c r="I437" t="s">
        <v>3523</v>
      </c>
      <c r="J437" t="s">
        <v>3524</v>
      </c>
      <c r="K437" t="s">
        <v>3525</v>
      </c>
      <c r="L437" t="s">
        <v>20</v>
      </c>
      <c r="M437" t="s">
        <v>3518</v>
      </c>
      <c r="N437" t="s">
        <v>3519</v>
      </c>
      <c r="O437" t="s">
        <v>3526</v>
      </c>
      <c r="P437" t="s">
        <v>3527</v>
      </c>
    </row>
    <row r="438" spans="1:16" x14ac:dyDescent="0.35">
      <c r="A438" t="s">
        <v>3528</v>
      </c>
      <c r="B438" t="s">
        <v>88</v>
      </c>
      <c r="C438" t="s">
        <v>158</v>
      </c>
      <c r="D438" t="s">
        <v>282</v>
      </c>
      <c r="E438" t="s">
        <v>3529</v>
      </c>
      <c r="F438" t="s">
        <v>3530</v>
      </c>
      <c r="G438" t="s">
        <v>3517</v>
      </c>
      <c r="H438" t="s">
        <v>3517</v>
      </c>
      <c r="I438" t="s">
        <v>91</v>
      </c>
      <c r="J438" t="s">
        <v>3531</v>
      </c>
      <c r="K438" t="s">
        <v>19</v>
      </c>
      <c r="L438" t="s">
        <v>20</v>
      </c>
      <c r="M438" t="s">
        <v>3532</v>
      </c>
      <c r="N438" t="s">
        <v>3533</v>
      </c>
      <c r="O438" t="s">
        <v>3534</v>
      </c>
      <c r="P438" t="s">
        <v>3535</v>
      </c>
    </row>
    <row r="439" spans="1:16" x14ac:dyDescent="0.35">
      <c r="A439" t="s">
        <v>3487</v>
      </c>
      <c r="B439" t="s">
        <v>55</v>
      </c>
      <c r="C439" t="s">
        <v>15</v>
      </c>
      <c r="D439" t="s">
        <v>16</v>
      </c>
      <c r="E439" t="s">
        <v>28</v>
      </c>
      <c r="F439" t="s">
        <v>3536</v>
      </c>
      <c r="G439" t="s">
        <v>3537</v>
      </c>
      <c r="H439" t="s">
        <v>3517</v>
      </c>
      <c r="I439" t="s">
        <v>3491</v>
      </c>
      <c r="J439" t="s">
        <v>3538</v>
      </c>
      <c r="K439" t="s">
        <v>19</v>
      </c>
      <c r="L439" t="s">
        <v>20</v>
      </c>
      <c r="M439" t="s">
        <v>3539</v>
      </c>
      <c r="N439" t="s">
        <v>3540</v>
      </c>
      <c r="O439" t="s">
        <v>3541</v>
      </c>
      <c r="P439" t="s">
        <v>3542</v>
      </c>
    </row>
    <row r="440" spans="1:16" x14ac:dyDescent="0.35">
      <c r="A440" t="s">
        <v>3543</v>
      </c>
      <c r="B440" t="s">
        <v>32</v>
      </c>
      <c r="C440" t="s">
        <v>28</v>
      </c>
      <c r="D440" t="s">
        <v>28</v>
      </c>
      <c r="E440" t="s">
        <v>3544</v>
      </c>
      <c r="F440" t="s">
        <v>3545</v>
      </c>
      <c r="G440" t="s">
        <v>3517</v>
      </c>
      <c r="H440" t="s">
        <v>3517</v>
      </c>
      <c r="I440" t="s">
        <v>3491</v>
      </c>
      <c r="J440" t="s">
        <v>3546</v>
      </c>
      <c r="K440" t="s">
        <v>19</v>
      </c>
      <c r="L440" t="s">
        <v>20</v>
      </c>
      <c r="M440" t="s">
        <v>3518</v>
      </c>
      <c r="N440" t="s">
        <v>3519</v>
      </c>
      <c r="O440" t="s">
        <v>3547</v>
      </c>
      <c r="P440" t="s">
        <v>3548</v>
      </c>
    </row>
    <row r="441" spans="1:16" x14ac:dyDescent="0.35">
      <c r="A441" t="s">
        <v>3549</v>
      </c>
      <c r="B441" t="s">
        <v>55</v>
      </c>
      <c r="C441" t="s">
        <v>311</v>
      </c>
      <c r="D441" t="s">
        <v>449</v>
      </c>
      <c r="E441" t="s">
        <v>3550</v>
      </c>
      <c r="F441" t="s">
        <v>3551</v>
      </c>
      <c r="G441" t="s">
        <v>3517</v>
      </c>
      <c r="H441" t="s">
        <v>3517</v>
      </c>
      <c r="I441" t="s">
        <v>28</v>
      </c>
      <c r="J441" t="s">
        <v>3552</v>
      </c>
      <c r="K441" t="s">
        <v>19</v>
      </c>
      <c r="L441" t="s">
        <v>20</v>
      </c>
      <c r="M441" t="s">
        <v>3518</v>
      </c>
      <c r="N441" t="s">
        <v>3519</v>
      </c>
      <c r="O441" t="s">
        <v>3553</v>
      </c>
      <c r="P441" t="s">
        <v>3554</v>
      </c>
    </row>
    <row r="442" spans="1:16" x14ac:dyDescent="0.35">
      <c r="A442" t="s">
        <v>3549</v>
      </c>
      <c r="B442" t="s">
        <v>55</v>
      </c>
      <c r="C442" t="s">
        <v>78</v>
      </c>
      <c r="D442" t="s">
        <v>304</v>
      </c>
      <c r="E442" t="s">
        <v>3557</v>
      </c>
      <c r="F442" t="s">
        <v>3558</v>
      </c>
      <c r="G442" t="s">
        <v>3517</v>
      </c>
      <c r="H442" t="s">
        <v>3517</v>
      </c>
      <c r="I442" t="s">
        <v>3559</v>
      </c>
      <c r="J442" t="s">
        <v>28</v>
      </c>
      <c r="K442" t="s">
        <v>3560</v>
      </c>
      <c r="L442" t="s">
        <v>20</v>
      </c>
      <c r="M442" t="s">
        <v>3555</v>
      </c>
      <c r="N442" t="s">
        <v>3556</v>
      </c>
      <c r="O442" t="s">
        <v>3561</v>
      </c>
      <c r="P442" t="s">
        <v>3562</v>
      </c>
    </row>
    <row r="443" spans="1:16" x14ac:dyDescent="0.35">
      <c r="A443" t="s">
        <v>3549</v>
      </c>
      <c r="B443" t="s">
        <v>55</v>
      </c>
      <c r="C443" t="s">
        <v>691</v>
      </c>
      <c r="D443" t="s">
        <v>16</v>
      </c>
      <c r="E443" t="s">
        <v>3565</v>
      </c>
      <c r="F443" t="s">
        <v>3566</v>
      </c>
      <c r="G443" t="s">
        <v>3517</v>
      </c>
      <c r="H443" t="s">
        <v>3517</v>
      </c>
      <c r="I443" t="s">
        <v>28</v>
      </c>
      <c r="J443" t="s">
        <v>3567</v>
      </c>
      <c r="K443" t="s">
        <v>19</v>
      </c>
      <c r="L443" t="s">
        <v>20</v>
      </c>
      <c r="M443" t="s">
        <v>3563</v>
      </c>
      <c r="N443" t="s">
        <v>3564</v>
      </c>
      <c r="O443" t="s">
        <v>3568</v>
      </c>
      <c r="P443" t="s">
        <v>3569</v>
      </c>
    </row>
    <row r="444" spans="1:16" x14ac:dyDescent="0.35">
      <c r="A444" t="s">
        <v>3570</v>
      </c>
      <c r="B444" t="s">
        <v>55</v>
      </c>
      <c r="C444" t="s">
        <v>28</v>
      </c>
      <c r="D444" t="s">
        <v>28</v>
      </c>
      <c r="E444" t="s">
        <v>3571</v>
      </c>
      <c r="F444" t="s">
        <v>3572</v>
      </c>
      <c r="G444" t="s">
        <v>3517</v>
      </c>
      <c r="H444" t="s">
        <v>3517</v>
      </c>
      <c r="I444" t="s">
        <v>28</v>
      </c>
      <c r="J444" t="s">
        <v>3573</v>
      </c>
      <c r="K444" t="s">
        <v>19</v>
      </c>
      <c r="L444" t="s">
        <v>20</v>
      </c>
      <c r="M444" t="s">
        <v>3563</v>
      </c>
      <c r="N444" t="s">
        <v>3564</v>
      </c>
      <c r="O444" t="s">
        <v>3574</v>
      </c>
      <c r="P444" t="s">
        <v>3575</v>
      </c>
    </row>
    <row r="445" spans="1:16" x14ac:dyDescent="0.35">
      <c r="A445" t="s">
        <v>3576</v>
      </c>
      <c r="B445" t="s">
        <v>55</v>
      </c>
      <c r="C445" t="s">
        <v>28</v>
      </c>
      <c r="D445" t="s">
        <v>28</v>
      </c>
      <c r="E445" t="s">
        <v>3577</v>
      </c>
      <c r="F445" t="s">
        <v>3578</v>
      </c>
      <c r="G445" t="s">
        <v>3517</v>
      </c>
      <c r="H445" t="s">
        <v>3517</v>
      </c>
      <c r="I445" t="s">
        <v>28</v>
      </c>
      <c r="J445" t="s">
        <v>3579</v>
      </c>
      <c r="K445" t="s">
        <v>19</v>
      </c>
      <c r="L445" t="s">
        <v>20</v>
      </c>
      <c r="M445" t="s">
        <v>3563</v>
      </c>
      <c r="N445" t="s">
        <v>3564</v>
      </c>
      <c r="O445" t="s">
        <v>3580</v>
      </c>
      <c r="P445" t="s">
        <v>3581</v>
      </c>
    </row>
    <row r="446" spans="1:16" x14ac:dyDescent="0.35">
      <c r="A446" t="s">
        <v>3582</v>
      </c>
      <c r="B446" t="s">
        <v>55</v>
      </c>
      <c r="C446" t="s">
        <v>548</v>
      </c>
      <c r="D446" t="s">
        <v>812</v>
      </c>
      <c r="E446" t="s">
        <v>3583</v>
      </c>
      <c r="F446" t="s">
        <v>3584</v>
      </c>
      <c r="G446" t="s">
        <v>3585</v>
      </c>
      <c r="H446" t="s">
        <v>3517</v>
      </c>
      <c r="I446" t="s">
        <v>3586</v>
      </c>
      <c r="J446" t="s">
        <v>3587</v>
      </c>
      <c r="K446" t="s">
        <v>3588</v>
      </c>
      <c r="L446" t="s">
        <v>20</v>
      </c>
      <c r="M446" t="s">
        <v>3589</v>
      </c>
      <c r="N446" t="s">
        <v>3590</v>
      </c>
      <c r="O446" t="s">
        <v>3591</v>
      </c>
      <c r="P446" t="s">
        <v>3592</v>
      </c>
    </row>
    <row r="447" spans="1:16" x14ac:dyDescent="0.35">
      <c r="A447" t="s">
        <v>3593</v>
      </c>
      <c r="B447" t="s">
        <v>55</v>
      </c>
      <c r="C447" t="s">
        <v>78</v>
      </c>
      <c r="D447" t="s">
        <v>312</v>
      </c>
      <c r="E447" t="s">
        <v>3594</v>
      </c>
      <c r="F447" t="s">
        <v>3595</v>
      </c>
      <c r="G447" t="s">
        <v>3517</v>
      </c>
      <c r="H447" t="s">
        <v>3517</v>
      </c>
      <c r="I447" t="s">
        <v>3596</v>
      </c>
      <c r="J447" t="s">
        <v>3597</v>
      </c>
      <c r="K447" t="s">
        <v>3598</v>
      </c>
      <c r="L447" t="s">
        <v>20</v>
      </c>
      <c r="M447" t="s">
        <v>3599</v>
      </c>
      <c r="N447" t="s">
        <v>3600</v>
      </c>
      <c r="O447" t="s">
        <v>3601</v>
      </c>
      <c r="P447" t="s">
        <v>3602</v>
      </c>
    </row>
    <row r="448" spans="1:16" x14ac:dyDescent="0.35">
      <c r="A448" t="s">
        <v>3603</v>
      </c>
      <c r="B448" t="s">
        <v>55</v>
      </c>
      <c r="C448" t="s">
        <v>28</v>
      </c>
      <c r="D448" t="s">
        <v>28</v>
      </c>
      <c r="E448" t="s">
        <v>3604</v>
      </c>
      <c r="F448" t="s">
        <v>3605</v>
      </c>
      <c r="G448" t="s">
        <v>3517</v>
      </c>
      <c r="H448" t="s">
        <v>3517</v>
      </c>
      <c r="I448" t="s">
        <v>502</v>
      </c>
      <c r="J448" t="s">
        <v>503</v>
      </c>
      <c r="K448" t="s">
        <v>504</v>
      </c>
      <c r="L448" t="s">
        <v>20</v>
      </c>
      <c r="M448" t="s">
        <v>3599</v>
      </c>
      <c r="N448" t="s">
        <v>3600</v>
      </c>
      <c r="O448" t="s">
        <v>3606</v>
      </c>
      <c r="P448" t="s">
        <v>3607</v>
      </c>
    </row>
    <row r="449" spans="1:16" x14ac:dyDescent="0.35">
      <c r="A449" t="s">
        <v>3608</v>
      </c>
      <c r="B449" t="s">
        <v>55</v>
      </c>
      <c r="C449" t="s">
        <v>241</v>
      </c>
      <c r="D449" t="s">
        <v>965</v>
      </c>
      <c r="E449" t="s">
        <v>3609</v>
      </c>
      <c r="F449" t="s">
        <v>3610</v>
      </c>
      <c r="G449" t="s">
        <v>3517</v>
      </c>
      <c r="H449" t="s">
        <v>3517</v>
      </c>
      <c r="I449" t="s">
        <v>3611</v>
      </c>
      <c r="J449" t="s">
        <v>3612</v>
      </c>
      <c r="K449" t="s">
        <v>3613</v>
      </c>
      <c r="L449" t="s">
        <v>20</v>
      </c>
      <c r="M449" t="s">
        <v>3614</v>
      </c>
      <c r="N449" t="s">
        <v>3615</v>
      </c>
      <c r="O449" t="s">
        <v>3616</v>
      </c>
      <c r="P449" t="s">
        <v>3617</v>
      </c>
    </row>
    <row r="450" spans="1:16" x14ac:dyDescent="0.35">
      <c r="A450" t="s">
        <v>3620</v>
      </c>
      <c r="B450" t="s">
        <v>55</v>
      </c>
      <c r="C450" t="s">
        <v>15</v>
      </c>
      <c r="D450" t="s">
        <v>16</v>
      </c>
      <c r="E450" t="s">
        <v>3621</v>
      </c>
      <c r="F450" t="s">
        <v>3622</v>
      </c>
      <c r="G450" t="s">
        <v>3517</v>
      </c>
      <c r="H450" t="s">
        <v>3517</v>
      </c>
      <c r="I450" t="s">
        <v>3596</v>
      </c>
      <c r="J450" t="s">
        <v>28</v>
      </c>
      <c r="K450" t="s">
        <v>3598</v>
      </c>
      <c r="L450" t="s">
        <v>20</v>
      </c>
      <c r="M450" t="s">
        <v>3618</v>
      </c>
      <c r="N450" t="s">
        <v>3619</v>
      </c>
      <c r="O450" t="s">
        <v>3623</v>
      </c>
      <c r="P450" t="s">
        <v>3624</v>
      </c>
    </row>
    <row r="451" spans="1:16" x14ac:dyDescent="0.35">
      <c r="A451" t="s">
        <v>3549</v>
      </c>
      <c r="B451" t="s">
        <v>55</v>
      </c>
      <c r="C451" t="s">
        <v>15</v>
      </c>
      <c r="D451" t="s">
        <v>16</v>
      </c>
      <c r="E451" t="s">
        <v>28</v>
      </c>
      <c r="F451" t="s">
        <v>3625</v>
      </c>
      <c r="G451" t="s">
        <v>3537</v>
      </c>
      <c r="H451" t="s">
        <v>3517</v>
      </c>
      <c r="I451" t="s">
        <v>3559</v>
      </c>
      <c r="J451" t="s">
        <v>3626</v>
      </c>
      <c r="K451" t="s">
        <v>3560</v>
      </c>
      <c r="L451" t="s">
        <v>20</v>
      </c>
      <c r="M451" t="s">
        <v>3618</v>
      </c>
      <c r="N451" t="s">
        <v>3619</v>
      </c>
      <c r="O451" t="s">
        <v>3627</v>
      </c>
      <c r="P451" t="s">
        <v>3628</v>
      </c>
    </row>
    <row r="452" spans="1:16" x14ac:dyDescent="0.35">
      <c r="A452" t="s">
        <v>3487</v>
      </c>
      <c r="B452" t="s">
        <v>32</v>
      </c>
      <c r="C452" t="s">
        <v>28</v>
      </c>
      <c r="D452" t="s">
        <v>28</v>
      </c>
      <c r="E452" t="s">
        <v>28</v>
      </c>
      <c r="F452" t="s">
        <v>3629</v>
      </c>
      <c r="G452" t="s">
        <v>3537</v>
      </c>
      <c r="H452" t="s">
        <v>3517</v>
      </c>
      <c r="I452" t="s">
        <v>3491</v>
      </c>
      <c r="J452" t="s">
        <v>3630</v>
      </c>
      <c r="K452" t="s">
        <v>19</v>
      </c>
      <c r="L452" t="s">
        <v>20</v>
      </c>
      <c r="M452" t="s">
        <v>3618</v>
      </c>
      <c r="N452" t="s">
        <v>3619</v>
      </c>
      <c r="O452" t="s">
        <v>3631</v>
      </c>
      <c r="P452" t="s">
        <v>3628</v>
      </c>
    </row>
    <row r="453" spans="1:16" x14ac:dyDescent="0.35">
      <c r="A453" t="s">
        <v>3549</v>
      </c>
      <c r="B453" t="s">
        <v>55</v>
      </c>
      <c r="C453" t="s">
        <v>691</v>
      </c>
      <c r="D453" t="s">
        <v>124</v>
      </c>
      <c r="E453" t="s">
        <v>3632</v>
      </c>
      <c r="F453" t="s">
        <v>3633</v>
      </c>
      <c r="G453" t="s">
        <v>3517</v>
      </c>
      <c r="H453" t="s">
        <v>3517</v>
      </c>
      <c r="I453" t="s">
        <v>28</v>
      </c>
      <c r="J453" t="s">
        <v>3634</v>
      </c>
      <c r="K453" t="s">
        <v>19</v>
      </c>
      <c r="L453" t="s">
        <v>20</v>
      </c>
      <c r="M453" t="s">
        <v>3618</v>
      </c>
      <c r="N453" t="s">
        <v>3619</v>
      </c>
      <c r="O453" t="s">
        <v>3635</v>
      </c>
      <c r="P453" t="s">
        <v>3636</v>
      </c>
    </row>
    <row r="454" spans="1:16" x14ac:dyDescent="0.35">
      <c r="A454" t="s">
        <v>3637</v>
      </c>
      <c r="B454" t="s">
        <v>55</v>
      </c>
      <c r="C454" t="s">
        <v>78</v>
      </c>
      <c r="D454" t="s">
        <v>3638</v>
      </c>
      <c r="E454" t="s">
        <v>3639</v>
      </c>
      <c r="F454" t="s">
        <v>3640</v>
      </c>
      <c r="G454" t="s">
        <v>3517</v>
      </c>
      <c r="H454" t="s">
        <v>3517</v>
      </c>
      <c r="I454" t="s">
        <v>3641</v>
      </c>
      <c r="J454" t="s">
        <v>3642</v>
      </c>
      <c r="K454" t="s">
        <v>3643</v>
      </c>
      <c r="L454" t="s">
        <v>20</v>
      </c>
      <c r="M454" t="s">
        <v>3644</v>
      </c>
      <c r="N454" t="s">
        <v>3645</v>
      </c>
      <c r="O454" t="s">
        <v>3646</v>
      </c>
      <c r="P454" t="s">
        <v>28</v>
      </c>
    </row>
    <row r="455" spans="1:16" x14ac:dyDescent="0.35">
      <c r="A455" t="s">
        <v>3647</v>
      </c>
      <c r="B455" t="s">
        <v>55</v>
      </c>
      <c r="C455" t="s">
        <v>691</v>
      </c>
      <c r="D455" t="s">
        <v>124</v>
      </c>
      <c r="E455" t="s">
        <v>3648</v>
      </c>
      <c r="F455" t="s">
        <v>3649</v>
      </c>
      <c r="G455" t="s">
        <v>3517</v>
      </c>
      <c r="H455" t="s">
        <v>3517</v>
      </c>
      <c r="I455" t="s">
        <v>3650</v>
      </c>
      <c r="J455" t="s">
        <v>3651</v>
      </c>
      <c r="K455" t="s">
        <v>3652</v>
      </c>
      <c r="L455" t="s">
        <v>20</v>
      </c>
      <c r="M455" t="s">
        <v>3653</v>
      </c>
      <c r="N455" t="s">
        <v>3654</v>
      </c>
      <c r="O455" t="s">
        <v>3655</v>
      </c>
      <c r="P455" t="s">
        <v>3656</v>
      </c>
    </row>
    <row r="456" spans="1:16" x14ac:dyDescent="0.35">
      <c r="A456" t="s">
        <v>3657</v>
      </c>
      <c r="B456" t="s">
        <v>55</v>
      </c>
      <c r="C456" t="s">
        <v>15</v>
      </c>
      <c r="D456" t="s">
        <v>16</v>
      </c>
      <c r="E456" t="s">
        <v>3658</v>
      </c>
      <c r="F456" t="s">
        <v>3659</v>
      </c>
      <c r="G456" t="s">
        <v>3517</v>
      </c>
      <c r="H456" t="s">
        <v>3517</v>
      </c>
      <c r="I456" t="s">
        <v>3660</v>
      </c>
      <c r="J456" t="s">
        <v>3661</v>
      </c>
      <c r="K456" t="s">
        <v>3662</v>
      </c>
      <c r="L456" t="s">
        <v>20</v>
      </c>
      <c r="M456" t="s">
        <v>3653</v>
      </c>
      <c r="N456" t="s">
        <v>3654</v>
      </c>
      <c r="O456" t="s">
        <v>3663</v>
      </c>
      <c r="P456" t="s">
        <v>3664</v>
      </c>
    </row>
    <row r="457" spans="1:16" x14ac:dyDescent="0.35">
      <c r="A457" t="s">
        <v>3665</v>
      </c>
      <c r="B457" t="s">
        <v>55</v>
      </c>
      <c r="C457" t="s">
        <v>205</v>
      </c>
      <c r="D457" t="s">
        <v>3638</v>
      </c>
      <c r="E457" t="s">
        <v>3666</v>
      </c>
      <c r="F457" t="s">
        <v>3667</v>
      </c>
      <c r="G457" t="s">
        <v>3668</v>
      </c>
      <c r="H457" t="s">
        <v>3517</v>
      </c>
      <c r="I457" t="s">
        <v>28</v>
      </c>
      <c r="J457" t="s">
        <v>3669</v>
      </c>
      <c r="K457" t="s">
        <v>19</v>
      </c>
      <c r="L457" t="s">
        <v>20</v>
      </c>
      <c r="M457" t="s">
        <v>3670</v>
      </c>
      <c r="N457" t="s">
        <v>3671</v>
      </c>
      <c r="O457" t="s">
        <v>3672</v>
      </c>
      <c r="P457" t="s">
        <v>3673</v>
      </c>
    </row>
    <row r="458" spans="1:16" x14ac:dyDescent="0.35">
      <c r="A458" t="s">
        <v>3674</v>
      </c>
      <c r="B458" t="s">
        <v>55</v>
      </c>
      <c r="C458" t="s">
        <v>15</v>
      </c>
      <c r="D458" t="s">
        <v>16</v>
      </c>
      <c r="E458" t="s">
        <v>3675</v>
      </c>
      <c r="F458" t="s">
        <v>3676</v>
      </c>
      <c r="G458" t="s">
        <v>3517</v>
      </c>
      <c r="H458" t="s">
        <v>3517</v>
      </c>
      <c r="I458" t="s">
        <v>28</v>
      </c>
      <c r="J458" t="s">
        <v>3677</v>
      </c>
      <c r="K458" t="s">
        <v>19</v>
      </c>
      <c r="L458" t="s">
        <v>20</v>
      </c>
      <c r="M458" t="s">
        <v>3678</v>
      </c>
      <c r="N458" t="s">
        <v>3679</v>
      </c>
      <c r="O458" t="s">
        <v>3680</v>
      </c>
      <c r="P458" t="s">
        <v>3681</v>
      </c>
    </row>
    <row r="459" spans="1:16" x14ac:dyDescent="0.35">
      <c r="A459" t="s">
        <v>2774</v>
      </c>
      <c r="B459" t="s">
        <v>55</v>
      </c>
      <c r="C459" t="s">
        <v>691</v>
      </c>
      <c r="D459" t="s">
        <v>348</v>
      </c>
      <c r="E459" t="s">
        <v>3682</v>
      </c>
      <c r="F459" t="s">
        <v>3683</v>
      </c>
      <c r="G459" t="s">
        <v>3517</v>
      </c>
      <c r="H459" t="s">
        <v>3517</v>
      </c>
      <c r="I459" t="s">
        <v>2778</v>
      </c>
      <c r="J459" t="s">
        <v>3684</v>
      </c>
      <c r="K459" t="s">
        <v>2780</v>
      </c>
      <c r="L459" t="s">
        <v>20</v>
      </c>
      <c r="M459" t="s">
        <v>3678</v>
      </c>
      <c r="N459" t="s">
        <v>3679</v>
      </c>
      <c r="O459" t="s">
        <v>3685</v>
      </c>
      <c r="P459" t="s">
        <v>3686</v>
      </c>
    </row>
    <row r="460" spans="1:16" x14ac:dyDescent="0.35">
      <c r="A460" t="s">
        <v>3687</v>
      </c>
      <c r="B460" t="s">
        <v>55</v>
      </c>
      <c r="C460" t="s">
        <v>28</v>
      </c>
      <c r="D460" t="s">
        <v>28</v>
      </c>
      <c r="E460" t="s">
        <v>3688</v>
      </c>
      <c r="F460" t="s">
        <v>3689</v>
      </c>
      <c r="G460" t="s">
        <v>3517</v>
      </c>
      <c r="H460" t="s">
        <v>3517</v>
      </c>
      <c r="I460" t="s">
        <v>28</v>
      </c>
      <c r="J460" t="s">
        <v>3690</v>
      </c>
      <c r="K460" t="s">
        <v>19</v>
      </c>
      <c r="L460" t="s">
        <v>20</v>
      </c>
      <c r="M460" t="s">
        <v>3678</v>
      </c>
      <c r="N460" t="s">
        <v>3679</v>
      </c>
      <c r="O460" t="s">
        <v>3691</v>
      </c>
      <c r="P460" t="s">
        <v>3692</v>
      </c>
    </row>
    <row r="461" spans="1:16" x14ac:dyDescent="0.35">
      <c r="A461" t="s">
        <v>3693</v>
      </c>
      <c r="B461" t="s">
        <v>55</v>
      </c>
      <c r="C461" t="s">
        <v>28</v>
      </c>
      <c r="D461" t="s">
        <v>28</v>
      </c>
      <c r="E461" t="s">
        <v>3694</v>
      </c>
      <c r="F461" t="s">
        <v>3695</v>
      </c>
      <c r="G461" t="s">
        <v>3517</v>
      </c>
      <c r="H461" t="s">
        <v>3517</v>
      </c>
      <c r="I461" t="s">
        <v>3696</v>
      </c>
      <c r="J461" t="s">
        <v>3697</v>
      </c>
      <c r="K461" t="s">
        <v>3698</v>
      </c>
      <c r="L461" t="s">
        <v>20</v>
      </c>
      <c r="M461" t="s">
        <v>3699</v>
      </c>
      <c r="N461" t="s">
        <v>3700</v>
      </c>
      <c r="O461" t="s">
        <v>3701</v>
      </c>
      <c r="P461" t="s">
        <v>915</v>
      </c>
    </row>
    <row r="462" spans="1:16" x14ac:dyDescent="0.35">
      <c r="A462" t="s">
        <v>3702</v>
      </c>
      <c r="B462" t="s">
        <v>194</v>
      </c>
      <c r="C462" t="s">
        <v>78</v>
      </c>
      <c r="D462" t="s">
        <v>348</v>
      </c>
      <c r="E462" t="s">
        <v>3703</v>
      </c>
      <c r="F462" t="s">
        <v>3704</v>
      </c>
      <c r="G462" t="s">
        <v>3517</v>
      </c>
      <c r="H462" t="s">
        <v>3517</v>
      </c>
      <c r="I462" t="s">
        <v>28</v>
      </c>
      <c r="J462" t="s">
        <v>3705</v>
      </c>
      <c r="K462" t="s">
        <v>19</v>
      </c>
      <c r="L462" t="s">
        <v>20</v>
      </c>
      <c r="M462" t="s">
        <v>3706</v>
      </c>
      <c r="N462" t="s">
        <v>3707</v>
      </c>
      <c r="O462" t="s">
        <v>3708</v>
      </c>
      <c r="P462" t="s">
        <v>3709</v>
      </c>
    </row>
    <row r="463" spans="1:16" x14ac:dyDescent="0.35">
      <c r="A463" t="s">
        <v>3710</v>
      </c>
      <c r="B463" t="s">
        <v>55</v>
      </c>
      <c r="C463" t="s">
        <v>691</v>
      </c>
      <c r="D463" t="s">
        <v>2474</v>
      </c>
      <c r="E463" t="s">
        <v>3711</v>
      </c>
      <c r="F463" t="s">
        <v>3712</v>
      </c>
      <c r="G463" t="s">
        <v>3713</v>
      </c>
      <c r="H463" t="s">
        <v>3517</v>
      </c>
      <c r="I463" t="s">
        <v>3714</v>
      </c>
      <c r="J463" t="s">
        <v>3715</v>
      </c>
      <c r="K463" t="s">
        <v>19</v>
      </c>
      <c r="L463" t="s">
        <v>20</v>
      </c>
      <c r="M463" t="s">
        <v>3716</v>
      </c>
      <c r="N463" t="s">
        <v>3717</v>
      </c>
      <c r="O463" t="s">
        <v>3718</v>
      </c>
      <c r="P463" t="s">
        <v>3719</v>
      </c>
    </row>
    <row r="464" spans="1:16" x14ac:dyDescent="0.35">
      <c r="A464" t="s">
        <v>3720</v>
      </c>
      <c r="B464" t="s">
        <v>55</v>
      </c>
      <c r="C464" t="s">
        <v>26</v>
      </c>
      <c r="D464" t="s">
        <v>953</v>
      </c>
      <c r="E464" t="s">
        <v>3721</v>
      </c>
      <c r="F464" t="s">
        <v>3722</v>
      </c>
      <c r="G464" t="s">
        <v>3517</v>
      </c>
      <c r="H464" t="s">
        <v>3517</v>
      </c>
      <c r="I464" t="s">
        <v>28</v>
      </c>
      <c r="J464" t="s">
        <v>3723</v>
      </c>
      <c r="K464" t="s">
        <v>19</v>
      </c>
      <c r="L464" t="s">
        <v>20</v>
      </c>
      <c r="M464" t="s">
        <v>3724</v>
      </c>
      <c r="N464" t="s">
        <v>3725</v>
      </c>
      <c r="O464" t="s">
        <v>3726</v>
      </c>
      <c r="P464" t="s">
        <v>3727</v>
      </c>
    </row>
    <row r="465" spans="1:16" x14ac:dyDescent="0.35">
      <c r="A465" t="s">
        <v>538</v>
      </c>
      <c r="B465" t="s">
        <v>55</v>
      </c>
      <c r="C465" t="s">
        <v>474</v>
      </c>
      <c r="D465" t="s">
        <v>3728</v>
      </c>
      <c r="E465" t="s">
        <v>3729</v>
      </c>
      <c r="F465" t="s">
        <v>3730</v>
      </c>
      <c r="G465" t="s">
        <v>3517</v>
      </c>
      <c r="H465" t="s">
        <v>3517</v>
      </c>
      <c r="I465" t="s">
        <v>82</v>
      </c>
      <c r="J465" t="s">
        <v>3731</v>
      </c>
      <c r="K465" t="s">
        <v>84</v>
      </c>
      <c r="L465" t="s">
        <v>20</v>
      </c>
      <c r="M465" t="s">
        <v>3732</v>
      </c>
      <c r="N465" t="s">
        <v>3733</v>
      </c>
      <c r="O465" t="s">
        <v>3734</v>
      </c>
      <c r="P465" t="s">
        <v>3735</v>
      </c>
    </row>
    <row r="466" spans="1:16" x14ac:dyDescent="0.35">
      <c r="A466" t="s">
        <v>3736</v>
      </c>
      <c r="B466" t="s">
        <v>55</v>
      </c>
      <c r="C466" t="s">
        <v>28</v>
      </c>
      <c r="D466" t="s">
        <v>28</v>
      </c>
      <c r="E466" t="s">
        <v>3737</v>
      </c>
      <c r="F466" t="s">
        <v>3738</v>
      </c>
      <c r="G466" t="s">
        <v>3517</v>
      </c>
      <c r="H466" t="s">
        <v>3517</v>
      </c>
      <c r="I466" t="s">
        <v>3739</v>
      </c>
      <c r="J466" t="s">
        <v>3740</v>
      </c>
      <c r="K466" t="s">
        <v>3741</v>
      </c>
      <c r="L466" t="s">
        <v>20</v>
      </c>
      <c r="M466" t="s">
        <v>3742</v>
      </c>
      <c r="N466" t="s">
        <v>3743</v>
      </c>
      <c r="O466" t="s">
        <v>3744</v>
      </c>
      <c r="P466" t="s">
        <v>3745</v>
      </c>
    </row>
    <row r="467" spans="1:16" x14ac:dyDescent="0.35">
      <c r="A467" t="s">
        <v>3746</v>
      </c>
      <c r="B467" t="s">
        <v>55</v>
      </c>
      <c r="C467" t="s">
        <v>170</v>
      </c>
      <c r="D467" t="s">
        <v>68</v>
      </c>
      <c r="E467" t="s">
        <v>3747</v>
      </c>
      <c r="F467" t="s">
        <v>3748</v>
      </c>
      <c r="G467" t="s">
        <v>3517</v>
      </c>
      <c r="H467" t="s">
        <v>3517</v>
      </c>
      <c r="I467" t="s">
        <v>3749</v>
      </c>
      <c r="J467" t="s">
        <v>3750</v>
      </c>
      <c r="K467" t="s">
        <v>3751</v>
      </c>
      <c r="L467" t="s">
        <v>20</v>
      </c>
      <c r="M467" t="s">
        <v>3752</v>
      </c>
      <c r="N467" t="s">
        <v>3753</v>
      </c>
      <c r="O467" t="s">
        <v>3754</v>
      </c>
      <c r="P467" t="s">
        <v>3755</v>
      </c>
    </row>
    <row r="468" spans="1:16" x14ac:dyDescent="0.35">
      <c r="A468" t="s">
        <v>3756</v>
      </c>
      <c r="B468" t="s">
        <v>55</v>
      </c>
      <c r="C468" t="s">
        <v>15</v>
      </c>
      <c r="D468" t="s">
        <v>16</v>
      </c>
      <c r="E468" t="s">
        <v>3757</v>
      </c>
      <c r="F468" t="s">
        <v>3758</v>
      </c>
      <c r="G468" t="s">
        <v>3759</v>
      </c>
      <c r="H468" t="s">
        <v>3517</v>
      </c>
      <c r="I468" t="s">
        <v>1331</v>
      </c>
      <c r="J468" t="s">
        <v>3760</v>
      </c>
      <c r="K468" t="s">
        <v>19</v>
      </c>
      <c r="L468" t="s">
        <v>20</v>
      </c>
      <c r="M468" t="s">
        <v>3761</v>
      </c>
      <c r="N468" t="s">
        <v>3762</v>
      </c>
      <c r="O468" t="s">
        <v>3763</v>
      </c>
      <c r="P468" t="s">
        <v>3764</v>
      </c>
    </row>
    <row r="469" spans="1:16" x14ac:dyDescent="0.35">
      <c r="A469" t="s">
        <v>3765</v>
      </c>
      <c r="B469" t="s">
        <v>55</v>
      </c>
      <c r="C469" t="s">
        <v>28</v>
      </c>
      <c r="D469" t="s">
        <v>28</v>
      </c>
      <c r="E469" t="s">
        <v>3766</v>
      </c>
      <c r="F469" t="s">
        <v>3767</v>
      </c>
      <c r="G469" t="s">
        <v>3517</v>
      </c>
      <c r="H469" t="s">
        <v>3517</v>
      </c>
      <c r="I469" t="s">
        <v>3768</v>
      </c>
      <c r="J469" t="s">
        <v>3769</v>
      </c>
      <c r="K469" t="s">
        <v>3770</v>
      </c>
      <c r="L469" t="s">
        <v>20</v>
      </c>
      <c r="M469" t="s">
        <v>3771</v>
      </c>
      <c r="N469" t="s">
        <v>3772</v>
      </c>
      <c r="O469" t="s">
        <v>3773</v>
      </c>
      <c r="P469" t="s">
        <v>3774</v>
      </c>
    </row>
    <row r="470" spans="1:16" x14ac:dyDescent="0.35">
      <c r="A470" t="s">
        <v>3775</v>
      </c>
      <c r="B470" t="s">
        <v>107</v>
      </c>
      <c r="C470" t="s">
        <v>28</v>
      </c>
      <c r="D470" t="s">
        <v>28</v>
      </c>
      <c r="E470" t="s">
        <v>28</v>
      </c>
      <c r="F470" t="s">
        <v>28</v>
      </c>
      <c r="G470" t="s">
        <v>3537</v>
      </c>
      <c r="H470" t="s">
        <v>28</v>
      </c>
      <c r="I470" t="s">
        <v>28</v>
      </c>
      <c r="J470" t="s">
        <v>3776</v>
      </c>
      <c r="K470" t="s">
        <v>19</v>
      </c>
      <c r="L470" t="s">
        <v>20</v>
      </c>
      <c r="M470" t="s">
        <v>3771</v>
      </c>
      <c r="N470" t="s">
        <v>3772</v>
      </c>
      <c r="O470" t="s">
        <v>3777</v>
      </c>
      <c r="P470" t="s">
        <v>3778</v>
      </c>
    </row>
    <row r="471" spans="1:16" x14ac:dyDescent="0.35">
      <c r="A471" t="s">
        <v>3779</v>
      </c>
      <c r="B471" t="s">
        <v>55</v>
      </c>
      <c r="C471" t="s">
        <v>15</v>
      </c>
      <c r="D471" t="s">
        <v>27</v>
      </c>
      <c r="E471" t="s">
        <v>3780</v>
      </c>
      <c r="F471" t="s">
        <v>3781</v>
      </c>
      <c r="G471" t="s">
        <v>3713</v>
      </c>
      <c r="H471" t="s">
        <v>3517</v>
      </c>
      <c r="I471" t="s">
        <v>3782</v>
      </c>
      <c r="J471" t="s">
        <v>3783</v>
      </c>
      <c r="K471" t="s">
        <v>19</v>
      </c>
      <c r="L471" t="s">
        <v>20</v>
      </c>
      <c r="M471" t="s">
        <v>3784</v>
      </c>
      <c r="N471" t="s">
        <v>3785</v>
      </c>
      <c r="O471" t="s">
        <v>3786</v>
      </c>
      <c r="P471" t="s">
        <v>3787</v>
      </c>
    </row>
    <row r="472" spans="1:16" x14ac:dyDescent="0.35">
      <c r="A472" t="s">
        <v>156</v>
      </c>
      <c r="B472" t="s">
        <v>55</v>
      </c>
      <c r="C472" t="s">
        <v>28</v>
      </c>
      <c r="D472" t="s">
        <v>28</v>
      </c>
      <c r="E472" t="s">
        <v>3788</v>
      </c>
      <c r="F472" t="s">
        <v>3789</v>
      </c>
      <c r="G472" t="s">
        <v>3759</v>
      </c>
      <c r="H472" t="s">
        <v>3517</v>
      </c>
      <c r="I472" t="s">
        <v>28</v>
      </c>
      <c r="J472" t="s">
        <v>3790</v>
      </c>
      <c r="K472" t="s">
        <v>19</v>
      </c>
      <c r="L472" t="s">
        <v>20</v>
      </c>
      <c r="M472" t="s">
        <v>3791</v>
      </c>
      <c r="N472" t="s">
        <v>3792</v>
      </c>
      <c r="O472" t="s">
        <v>3793</v>
      </c>
      <c r="P472" t="s">
        <v>3794</v>
      </c>
    </row>
    <row r="473" spans="1:16" x14ac:dyDescent="0.35">
      <c r="A473" t="s">
        <v>3487</v>
      </c>
      <c r="B473" t="s">
        <v>32</v>
      </c>
      <c r="C473" t="s">
        <v>28</v>
      </c>
      <c r="D473" t="s">
        <v>28</v>
      </c>
      <c r="E473" t="s">
        <v>3795</v>
      </c>
      <c r="F473" t="s">
        <v>3796</v>
      </c>
      <c r="G473" t="s">
        <v>3713</v>
      </c>
      <c r="H473" t="s">
        <v>3517</v>
      </c>
      <c r="I473" t="s">
        <v>3491</v>
      </c>
      <c r="J473" t="s">
        <v>3797</v>
      </c>
      <c r="K473" t="s">
        <v>19</v>
      </c>
      <c r="L473" t="s">
        <v>20</v>
      </c>
      <c r="M473" t="s">
        <v>3798</v>
      </c>
      <c r="N473" t="s">
        <v>3799</v>
      </c>
      <c r="O473" t="s">
        <v>3800</v>
      </c>
      <c r="P473" t="s">
        <v>3801</v>
      </c>
    </row>
    <row r="474" spans="1:16" x14ac:dyDescent="0.35">
      <c r="A474" t="s">
        <v>3802</v>
      </c>
      <c r="B474" t="s">
        <v>107</v>
      </c>
      <c r="C474" t="s">
        <v>28</v>
      </c>
      <c r="D474" t="s">
        <v>28</v>
      </c>
      <c r="E474" t="s">
        <v>3803</v>
      </c>
      <c r="F474" t="s">
        <v>3804</v>
      </c>
      <c r="G474" t="s">
        <v>3805</v>
      </c>
      <c r="H474" t="s">
        <v>3517</v>
      </c>
      <c r="I474" t="s">
        <v>28</v>
      </c>
      <c r="J474" t="s">
        <v>28</v>
      </c>
      <c r="K474" t="s">
        <v>19</v>
      </c>
      <c r="L474" t="s">
        <v>20</v>
      </c>
      <c r="M474" t="s">
        <v>3798</v>
      </c>
      <c r="N474" t="s">
        <v>3799</v>
      </c>
      <c r="O474" t="s">
        <v>3806</v>
      </c>
      <c r="P474" t="s">
        <v>3807</v>
      </c>
    </row>
    <row r="475" spans="1:16" x14ac:dyDescent="0.35">
      <c r="A475" t="s">
        <v>3808</v>
      </c>
      <c r="B475" t="s">
        <v>55</v>
      </c>
      <c r="C475" t="s">
        <v>15</v>
      </c>
      <c r="D475" t="s">
        <v>16</v>
      </c>
      <c r="E475" t="s">
        <v>28</v>
      </c>
      <c r="F475" t="s">
        <v>3809</v>
      </c>
      <c r="G475" t="s">
        <v>3537</v>
      </c>
      <c r="H475" t="s">
        <v>3517</v>
      </c>
      <c r="I475" t="s">
        <v>28</v>
      </c>
      <c r="J475" t="s">
        <v>3810</v>
      </c>
      <c r="K475" t="s">
        <v>19</v>
      </c>
      <c r="L475" t="s">
        <v>20</v>
      </c>
      <c r="M475" t="s">
        <v>3811</v>
      </c>
      <c r="N475" t="s">
        <v>3812</v>
      </c>
      <c r="O475" t="s">
        <v>3813</v>
      </c>
      <c r="P475" t="s">
        <v>3814</v>
      </c>
    </row>
    <row r="476" spans="1:16" x14ac:dyDescent="0.35">
      <c r="A476" t="s">
        <v>3815</v>
      </c>
      <c r="B476" t="s">
        <v>55</v>
      </c>
      <c r="C476" t="s">
        <v>158</v>
      </c>
      <c r="D476" t="s">
        <v>282</v>
      </c>
      <c r="E476" t="s">
        <v>3816</v>
      </c>
      <c r="F476" t="s">
        <v>3817</v>
      </c>
      <c r="G476" t="s">
        <v>3713</v>
      </c>
      <c r="H476" t="s">
        <v>3517</v>
      </c>
      <c r="I476" t="s">
        <v>28</v>
      </c>
      <c r="J476" t="s">
        <v>3818</v>
      </c>
      <c r="K476" t="s">
        <v>19</v>
      </c>
      <c r="L476" t="s">
        <v>20</v>
      </c>
      <c r="M476" t="s">
        <v>3819</v>
      </c>
      <c r="N476" t="s">
        <v>3820</v>
      </c>
      <c r="O476" t="s">
        <v>3821</v>
      </c>
      <c r="P476" t="s">
        <v>3822</v>
      </c>
    </row>
    <row r="477" spans="1:16" x14ac:dyDescent="0.35">
      <c r="A477" t="s">
        <v>3549</v>
      </c>
      <c r="B477" t="s">
        <v>55</v>
      </c>
      <c r="C477" t="s">
        <v>15</v>
      </c>
      <c r="D477" t="s">
        <v>449</v>
      </c>
      <c r="E477" t="s">
        <v>3823</v>
      </c>
      <c r="F477" t="s">
        <v>3824</v>
      </c>
      <c r="G477" t="s">
        <v>3713</v>
      </c>
      <c r="H477" t="s">
        <v>3517</v>
      </c>
      <c r="I477" t="s">
        <v>28</v>
      </c>
      <c r="J477" t="s">
        <v>3825</v>
      </c>
      <c r="K477" t="s">
        <v>19</v>
      </c>
      <c r="L477" t="s">
        <v>20</v>
      </c>
      <c r="M477" t="s">
        <v>3826</v>
      </c>
      <c r="N477" t="s">
        <v>3827</v>
      </c>
      <c r="O477" t="s">
        <v>3828</v>
      </c>
      <c r="P477" t="s">
        <v>3829</v>
      </c>
    </row>
    <row r="478" spans="1:16" x14ac:dyDescent="0.35">
      <c r="A478" t="s">
        <v>3830</v>
      </c>
      <c r="B478" t="s">
        <v>55</v>
      </c>
      <c r="C478" t="s">
        <v>26</v>
      </c>
      <c r="D478" t="s">
        <v>27</v>
      </c>
      <c r="E478" t="s">
        <v>3831</v>
      </c>
      <c r="F478" t="s">
        <v>3832</v>
      </c>
      <c r="G478" t="s">
        <v>3713</v>
      </c>
      <c r="H478" t="s">
        <v>3517</v>
      </c>
      <c r="I478" t="s">
        <v>3833</v>
      </c>
      <c r="J478" t="s">
        <v>3834</v>
      </c>
      <c r="K478" t="s">
        <v>3835</v>
      </c>
      <c r="L478" t="s">
        <v>20</v>
      </c>
      <c r="M478" t="s">
        <v>3836</v>
      </c>
      <c r="N478" t="s">
        <v>3837</v>
      </c>
      <c r="O478" t="s">
        <v>3838</v>
      </c>
      <c r="P478" t="s">
        <v>3839</v>
      </c>
    </row>
    <row r="479" spans="1:16" x14ac:dyDescent="0.35">
      <c r="A479" t="s">
        <v>157</v>
      </c>
      <c r="B479" t="s">
        <v>32</v>
      </c>
      <c r="C479" t="s">
        <v>28</v>
      </c>
      <c r="D479" t="s">
        <v>28</v>
      </c>
      <c r="E479" t="s">
        <v>3840</v>
      </c>
      <c r="F479" t="s">
        <v>3841</v>
      </c>
      <c r="G479" t="s">
        <v>3842</v>
      </c>
      <c r="H479" t="s">
        <v>3517</v>
      </c>
      <c r="I479" t="s">
        <v>28</v>
      </c>
      <c r="J479" t="s">
        <v>3843</v>
      </c>
      <c r="K479" t="s">
        <v>19</v>
      </c>
      <c r="L479" t="s">
        <v>20</v>
      </c>
      <c r="M479" t="s">
        <v>3844</v>
      </c>
      <c r="N479" t="s">
        <v>3845</v>
      </c>
      <c r="O479" t="s">
        <v>3846</v>
      </c>
      <c r="P479" t="s">
        <v>3847</v>
      </c>
    </row>
    <row r="480" spans="1:16" x14ac:dyDescent="0.35">
      <c r="A480" t="s">
        <v>3848</v>
      </c>
      <c r="B480" t="s">
        <v>55</v>
      </c>
      <c r="C480" t="s">
        <v>474</v>
      </c>
      <c r="D480" t="s">
        <v>374</v>
      </c>
      <c r="E480" t="s">
        <v>3849</v>
      </c>
      <c r="F480" t="s">
        <v>3850</v>
      </c>
      <c r="G480" t="s">
        <v>3713</v>
      </c>
      <c r="H480" t="s">
        <v>3517</v>
      </c>
      <c r="I480" t="s">
        <v>28</v>
      </c>
      <c r="J480" t="s">
        <v>3851</v>
      </c>
      <c r="K480" t="s">
        <v>19</v>
      </c>
      <c r="L480" t="s">
        <v>20</v>
      </c>
      <c r="M480" t="s">
        <v>3852</v>
      </c>
      <c r="N480" t="s">
        <v>3853</v>
      </c>
      <c r="O480" t="s">
        <v>3854</v>
      </c>
      <c r="P480" t="s">
        <v>3855</v>
      </c>
    </row>
    <row r="481" spans="1:16" x14ac:dyDescent="0.35">
      <c r="A481" t="s">
        <v>3856</v>
      </c>
      <c r="B481" t="s">
        <v>55</v>
      </c>
      <c r="C481" t="s">
        <v>26</v>
      </c>
      <c r="D481" t="s">
        <v>1795</v>
      </c>
      <c r="E481" t="s">
        <v>3857</v>
      </c>
      <c r="F481" t="s">
        <v>3858</v>
      </c>
      <c r="G481" t="s">
        <v>3713</v>
      </c>
      <c r="H481" t="s">
        <v>3517</v>
      </c>
      <c r="I481" t="s">
        <v>3559</v>
      </c>
      <c r="J481" t="s">
        <v>3859</v>
      </c>
      <c r="K481" t="s">
        <v>3560</v>
      </c>
      <c r="L481" t="s">
        <v>20</v>
      </c>
      <c r="M481" t="s">
        <v>3860</v>
      </c>
      <c r="N481" t="s">
        <v>3861</v>
      </c>
      <c r="O481" t="s">
        <v>3862</v>
      </c>
      <c r="P481" t="s">
        <v>3863</v>
      </c>
    </row>
    <row r="482" spans="1:16" x14ac:dyDescent="0.35">
      <c r="A482" t="s">
        <v>310</v>
      </c>
      <c r="B482" t="s">
        <v>55</v>
      </c>
      <c r="C482" t="s">
        <v>311</v>
      </c>
      <c r="D482" t="s">
        <v>141</v>
      </c>
      <c r="E482" t="s">
        <v>3864</v>
      </c>
      <c r="F482" t="s">
        <v>3865</v>
      </c>
      <c r="G482" t="s">
        <v>3866</v>
      </c>
      <c r="H482" t="s">
        <v>3517</v>
      </c>
      <c r="I482" t="s">
        <v>82</v>
      </c>
      <c r="J482" t="s">
        <v>3867</v>
      </c>
      <c r="K482" t="s">
        <v>84</v>
      </c>
      <c r="L482" t="s">
        <v>20</v>
      </c>
      <c r="M482" t="s">
        <v>3868</v>
      </c>
      <c r="N482" t="s">
        <v>3869</v>
      </c>
      <c r="O482" t="s">
        <v>3870</v>
      </c>
      <c r="P482" t="s">
        <v>3871</v>
      </c>
    </row>
    <row r="483" spans="1:16" x14ac:dyDescent="0.35">
      <c r="A483" t="s">
        <v>3876</v>
      </c>
      <c r="B483" t="s">
        <v>55</v>
      </c>
      <c r="C483" t="s">
        <v>241</v>
      </c>
      <c r="D483" t="s">
        <v>304</v>
      </c>
      <c r="E483" t="s">
        <v>3877</v>
      </c>
      <c r="F483" t="s">
        <v>3878</v>
      </c>
      <c r="G483" t="s">
        <v>3879</v>
      </c>
      <c r="H483" t="s">
        <v>3873</v>
      </c>
      <c r="I483" t="s">
        <v>3880</v>
      </c>
      <c r="J483" t="s">
        <v>3881</v>
      </c>
      <c r="K483" t="s">
        <v>19</v>
      </c>
      <c r="L483" t="s">
        <v>20</v>
      </c>
      <c r="M483" t="s">
        <v>3882</v>
      </c>
      <c r="N483" t="s">
        <v>3883</v>
      </c>
      <c r="O483" t="s">
        <v>3884</v>
      </c>
      <c r="P483" t="s">
        <v>3885</v>
      </c>
    </row>
    <row r="484" spans="1:16" x14ac:dyDescent="0.35">
      <c r="A484" t="s">
        <v>3889</v>
      </c>
      <c r="B484" t="s">
        <v>32</v>
      </c>
      <c r="C484" t="s">
        <v>28</v>
      </c>
      <c r="D484" t="s">
        <v>28</v>
      </c>
      <c r="E484" t="s">
        <v>3890</v>
      </c>
      <c r="F484" t="s">
        <v>3891</v>
      </c>
      <c r="G484" t="s">
        <v>3892</v>
      </c>
      <c r="H484" t="s">
        <v>3873</v>
      </c>
      <c r="I484" t="s">
        <v>28</v>
      </c>
      <c r="J484" t="s">
        <v>3893</v>
      </c>
      <c r="K484" t="s">
        <v>19</v>
      </c>
      <c r="L484" t="s">
        <v>20</v>
      </c>
      <c r="M484" t="s">
        <v>3887</v>
      </c>
      <c r="N484" t="s">
        <v>3888</v>
      </c>
      <c r="O484" t="s">
        <v>3894</v>
      </c>
      <c r="P484" t="s">
        <v>3895</v>
      </c>
    </row>
    <row r="485" spans="1:16" x14ac:dyDescent="0.35">
      <c r="A485" t="s">
        <v>3896</v>
      </c>
      <c r="B485" t="s">
        <v>55</v>
      </c>
      <c r="C485" t="s">
        <v>15</v>
      </c>
      <c r="D485" t="s">
        <v>68</v>
      </c>
      <c r="E485" t="s">
        <v>3897</v>
      </c>
      <c r="F485" t="s">
        <v>3898</v>
      </c>
      <c r="G485" t="s">
        <v>3886</v>
      </c>
      <c r="H485" t="s">
        <v>3873</v>
      </c>
      <c r="I485" t="s">
        <v>28</v>
      </c>
      <c r="J485" t="s">
        <v>3899</v>
      </c>
      <c r="K485" t="s">
        <v>19</v>
      </c>
      <c r="L485" t="s">
        <v>20</v>
      </c>
      <c r="M485" t="s">
        <v>3887</v>
      </c>
      <c r="N485" t="s">
        <v>3888</v>
      </c>
      <c r="O485" t="s">
        <v>3900</v>
      </c>
      <c r="P485" t="s">
        <v>3901</v>
      </c>
    </row>
    <row r="486" spans="1:16" x14ac:dyDescent="0.35">
      <c r="A486" t="s">
        <v>3902</v>
      </c>
      <c r="B486" t="s">
        <v>55</v>
      </c>
      <c r="C486" t="s">
        <v>28</v>
      </c>
      <c r="D486" t="s">
        <v>28</v>
      </c>
      <c r="E486" t="s">
        <v>3903</v>
      </c>
      <c r="F486" t="s">
        <v>3904</v>
      </c>
      <c r="G486" t="s">
        <v>3872</v>
      </c>
      <c r="H486" t="s">
        <v>3873</v>
      </c>
      <c r="I486" t="s">
        <v>3905</v>
      </c>
      <c r="J486" t="s">
        <v>3906</v>
      </c>
      <c r="K486" t="s">
        <v>3907</v>
      </c>
      <c r="L486" t="s">
        <v>20</v>
      </c>
      <c r="M486" t="s">
        <v>3887</v>
      </c>
      <c r="N486" t="s">
        <v>3888</v>
      </c>
      <c r="O486" t="s">
        <v>3908</v>
      </c>
      <c r="P486" t="s">
        <v>3909</v>
      </c>
    </row>
    <row r="487" spans="1:16" x14ac:dyDescent="0.35">
      <c r="A487" t="s">
        <v>275</v>
      </c>
      <c r="B487" t="s">
        <v>55</v>
      </c>
      <c r="C487" t="s">
        <v>28</v>
      </c>
      <c r="D487" t="s">
        <v>28</v>
      </c>
      <c r="E487" t="s">
        <v>3910</v>
      </c>
      <c r="F487" t="s">
        <v>3911</v>
      </c>
      <c r="G487" t="s">
        <v>3872</v>
      </c>
      <c r="H487" t="s">
        <v>3873</v>
      </c>
      <c r="I487" t="s">
        <v>28</v>
      </c>
      <c r="J487" t="s">
        <v>3912</v>
      </c>
      <c r="K487" t="s">
        <v>19</v>
      </c>
      <c r="L487" t="s">
        <v>20</v>
      </c>
      <c r="M487" t="s">
        <v>3913</v>
      </c>
      <c r="N487" t="s">
        <v>3914</v>
      </c>
      <c r="O487" t="s">
        <v>3915</v>
      </c>
      <c r="P487" t="s">
        <v>3916</v>
      </c>
    </row>
    <row r="488" spans="1:16" x14ac:dyDescent="0.35">
      <c r="A488" t="s">
        <v>3917</v>
      </c>
      <c r="B488" t="s">
        <v>32</v>
      </c>
      <c r="C488" t="s">
        <v>28</v>
      </c>
      <c r="D488" t="s">
        <v>28</v>
      </c>
      <c r="E488" t="s">
        <v>3918</v>
      </c>
      <c r="F488" t="s">
        <v>3919</v>
      </c>
      <c r="G488" t="s">
        <v>3920</v>
      </c>
      <c r="H488" t="s">
        <v>3920</v>
      </c>
      <c r="I488" t="s">
        <v>28</v>
      </c>
      <c r="J488" t="s">
        <v>3921</v>
      </c>
      <c r="K488" t="s">
        <v>19</v>
      </c>
      <c r="L488" t="s">
        <v>20</v>
      </c>
      <c r="M488" t="s">
        <v>3913</v>
      </c>
      <c r="N488" t="s">
        <v>3914</v>
      </c>
      <c r="O488" t="s">
        <v>3922</v>
      </c>
      <c r="P488" t="s">
        <v>3923</v>
      </c>
    </row>
    <row r="489" spans="1:16" x14ac:dyDescent="0.35">
      <c r="A489" t="s">
        <v>3924</v>
      </c>
      <c r="B489" t="s">
        <v>55</v>
      </c>
      <c r="C489" t="s">
        <v>78</v>
      </c>
      <c r="D489" t="s">
        <v>614</v>
      </c>
      <c r="E489" t="s">
        <v>3925</v>
      </c>
      <c r="F489" t="s">
        <v>3926</v>
      </c>
      <c r="G489" t="s">
        <v>3872</v>
      </c>
      <c r="H489" t="s">
        <v>3873</v>
      </c>
      <c r="I489" t="s">
        <v>3927</v>
      </c>
      <c r="J489" t="s">
        <v>3928</v>
      </c>
      <c r="K489" t="s">
        <v>19</v>
      </c>
      <c r="L489" t="s">
        <v>20</v>
      </c>
      <c r="M489" t="s">
        <v>3929</v>
      </c>
      <c r="N489" t="s">
        <v>3930</v>
      </c>
      <c r="O489" t="s">
        <v>3931</v>
      </c>
      <c r="P489" t="s">
        <v>3932</v>
      </c>
    </row>
    <row r="490" spans="1:16" x14ac:dyDescent="0.35">
      <c r="A490" t="s">
        <v>3933</v>
      </c>
      <c r="B490" t="s">
        <v>55</v>
      </c>
      <c r="C490" t="s">
        <v>691</v>
      </c>
      <c r="D490" t="s">
        <v>124</v>
      </c>
      <c r="E490" t="s">
        <v>3934</v>
      </c>
      <c r="F490" t="s">
        <v>3935</v>
      </c>
      <c r="G490" t="s">
        <v>3936</v>
      </c>
      <c r="H490" t="s">
        <v>3873</v>
      </c>
      <c r="I490" t="s">
        <v>3937</v>
      </c>
      <c r="J490" t="s">
        <v>3938</v>
      </c>
      <c r="K490" t="s">
        <v>19</v>
      </c>
      <c r="L490" t="s">
        <v>20</v>
      </c>
      <c r="M490" t="s">
        <v>3929</v>
      </c>
      <c r="N490" t="s">
        <v>3930</v>
      </c>
      <c r="O490" t="s">
        <v>3939</v>
      </c>
      <c r="P490" t="s">
        <v>3940</v>
      </c>
    </row>
    <row r="491" spans="1:16" x14ac:dyDescent="0.35">
      <c r="A491" t="s">
        <v>3942</v>
      </c>
      <c r="B491" t="s">
        <v>55</v>
      </c>
      <c r="C491" t="s">
        <v>158</v>
      </c>
      <c r="D491" t="s">
        <v>282</v>
      </c>
      <c r="E491" t="s">
        <v>3943</v>
      </c>
      <c r="F491" t="s">
        <v>3944</v>
      </c>
      <c r="G491" t="s">
        <v>3872</v>
      </c>
      <c r="H491" t="s">
        <v>3873</v>
      </c>
      <c r="I491" t="s">
        <v>3945</v>
      </c>
      <c r="J491" t="s">
        <v>3946</v>
      </c>
      <c r="K491" t="s">
        <v>19</v>
      </c>
      <c r="L491" t="s">
        <v>20</v>
      </c>
      <c r="M491" t="s">
        <v>3947</v>
      </c>
      <c r="N491" t="s">
        <v>3948</v>
      </c>
      <c r="O491" t="s">
        <v>3949</v>
      </c>
      <c r="P491" t="s">
        <v>3950</v>
      </c>
    </row>
    <row r="492" spans="1:16" x14ac:dyDescent="0.35">
      <c r="A492" t="s">
        <v>3951</v>
      </c>
      <c r="B492" t="s">
        <v>55</v>
      </c>
      <c r="C492" t="s">
        <v>28</v>
      </c>
      <c r="D492" t="s">
        <v>28</v>
      </c>
      <c r="E492" t="s">
        <v>3952</v>
      </c>
      <c r="F492" t="s">
        <v>3953</v>
      </c>
      <c r="G492" t="s">
        <v>3954</v>
      </c>
      <c r="H492" t="s">
        <v>3954</v>
      </c>
      <c r="I492" t="s">
        <v>28</v>
      </c>
      <c r="J492" t="s">
        <v>3955</v>
      </c>
      <c r="K492" t="s">
        <v>19</v>
      </c>
      <c r="L492" t="s">
        <v>20</v>
      </c>
      <c r="M492" t="s">
        <v>3947</v>
      </c>
      <c r="N492" t="s">
        <v>3948</v>
      </c>
      <c r="O492" t="s">
        <v>3956</v>
      </c>
      <c r="P492" t="s">
        <v>3957</v>
      </c>
    </row>
    <row r="493" spans="1:16" x14ac:dyDescent="0.35">
      <c r="A493" t="s">
        <v>3958</v>
      </c>
      <c r="B493" t="s">
        <v>55</v>
      </c>
      <c r="C493" t="s">
        <v>15</v>
      </c>
      <c r="D493" t="s">
        <v>16</v>
      </c>
      <c r="E493" t="s">
        <v>3959</v>
      </c>
      <c r="F493" t="s">
        <v>3960</v>
      </c>
      <c r="G493" t="s">
        <v>3886</v>
      </c>
      <c r="H493" t="s">
        <v>3873</v>
      </c>
      <c r="I493" t="s">
        <v>3961</v>
      </c>
      <c r="J493" t="s">
        <v>3962</v>
      </c>
      <c r="K493" t="s">
        <v>19</v>
      </c>
      <c r="L493" t="s">
        <v>20</v>
      </c>
      <c r="M493" t="s">
        <v>3947</v>
      </c>
      <c r="N493" t="s">
        <v>3948</v>
      </c>
      <c r="O493" t="s">
        <v>3963</v>
      </c>
      <c r="P493" t="s">
        <v>3964</v>
      </c>
    </row>
    <row r="494" spans="1:16" x14ac:dyDescent="0.35">
      <c r="A494" t="s">
        <v>3965</v>
      </c>
      <c r="B494" t="s">
        <v>55</v>
      </c>
      <c r="C494" t="s">
        <v>25</v>
      </c>
      <c r="D494" t="s">
        <v>16</v>
      </c>
      <c r="E494" t="s">
        <v>3966</v>
      </c>
      <c r="F494" t="s">
        <v>3967</v>
      </c>
      <c r="G494" t="s">
        <v>3872</v>
      </c>
      <c r="H494" t="s">
        <v>3873</v>
      </c>
      <c r="I494" t="s">
        <v>28</v>
      </c>
      <c r="J494" t="s">
        <v>3968</v>
      </c>
      <c r="K494" t="s">
        <v>19</v>
      </c>
      <c r="L494" t="s">
        <v>20</v>
      </c>
      <c r="M494" t="s">
        <v>3947</v>
      </c>
      <c r="N494" t="s">
        <v>3948</v>
      </c>
      <c r="O494" t="s">
        <v>3969</v>
      </c>
      <c r="P494" t="s">
        <v>915</v>
      </c>
    </row>
    <row r="495" spans="1:16" x14ac:dyDescent="0.35">
      <c r="A495" t="s">
        <v>3970</v>
      </c>
      <c r="B495" t="s">
        <v>55</v>
      </c>
      <c r="C495" t="s">
        <v>28</v>
      </c>
      <c r="D495" t="s">
        <v>28</v>
      </c>
      <c r="E495" t="s">
        <v>3971</v>
      </c>
      <c r="F495" t="s">
        <v>3972</v>
      </c>
      <c r="G495" t="s">
        <v>3941</v>
      </c>
      <c r="H495" t="s">
        <v>3873</v>
      </c>
      <c r="I495" t="s">
        <v>28</v>
      </c>
      <c r="J495" t="s">
        <v>28</v>
      </c>
      <c r="K495" t="s">
        <v>19</v>
      </c>
      <c r="L495" t="s">
        <v>20</v>
      </c>
      <c r="M495" t="s">
        <v>3973</v>
      </c>
      <c r="N495" t="s">
        <v>3974</v>
      </c>
      <c r="O495" t="s">
        <v>3975</v>
      </c>
      <c r="P495" t="s">
        <v>3976</v>
      </c>
    </row>
    <row r="496" spans="1:16" x14ac:dyDescent="0.35">
      <c r="A496" t="s">
        <v>3977</v>
      </c>
      <c r="B496" t="s">
        <v>88</v>
      </c>
      <c r="C496" t="s">
        <v>170</v>
      </c>
      <c r="D496" t="s">
        <v>348</v>
      </c>
      <c r="E496" t="s">
        <v>3978</v>
      </c>
      <c r="F496" t="s">
        <v>3979</v>
      </c>
      <c r="G496" t="s">
        <v>3872</v>
      </c>
      <c r="H496" t="s">
        <v>3873</v>
      </c>
      <c r="I496" t="s">
        <v>28</v>
      </c>
      <c r="J496" t="s">
        <v>3980</v>
      </c>
      <c r="K496" t="s">
        <v>19</v>
      </c>
      <c r="L496" t="s">
        <v>20</v>
      </c>
      <c r="M496" t="s">
        <v>3973</v>
      </c>
      <c r="N496" t="s">
        <v>3974</v>
      </c>
      <c r="O496" t="s">
        <v>3981</v>
      </c>
      <c r="P496" t="s">
        <v>3982</v>
      </c>
    </row>
    <row r="497" spans="1:16" x14ac:dyDescent="0.35">
      <c r="A497" t="s">
        <v>3985</v>
      </c>
      <c r="B497" t="s">
        <v>55</v>
      </c>
      <c r="C497" t="s">
        <v>691</v>
      </c>
      <c r="D497" t="s">
        <v>124</v>
      </c>
      <c r="E497" t="s">
        <v>3986</v>
      </c>
      <c r="F497" t="s">
        <v>3987</v>
      </c>
      <c r="G497" t="s">
        <v>3872</v>
      </c>
      <c r="H497" t="s">
        <v>3873</v>
      </c>
      <c r="I497" t="s">
        <v>3988</v>
      </c>
      <c r="J497" t="s">
        <v>3989</v>
      </c>
      <c r="K497" t="s">
        <v>3990</v>
      </c>
      <c r="L497" t="s">
        <v>20</v>
      </c>
      <c r="M497" t="s">
        <v>3983</v>
      </c>
      <c r="N497" t="s">
        <v>3984</v>
      </c>
      <c r="O497" t="s">
        <v>3991</v>
      </c>
      <c r="P497" t="s">
        <v>3992</v>
      </c>
    </row>
    <row r="498" spans="1:16" x14ac:dyDescent="0.35">
      <c r="A498" t="s">
        <v>3993</v>
      </c>
      <c r="B498" t="s">
        <v>55</v>
      </c>
      <c r="C498" t="s">
        <v>117</v>
      </c>
      <c r="D498" t="s">
        <v>27</v>
      </c>
      <c r="E498" t="s">
        <v>3994</v>
      </c>
      <c r="F498" t="s">
        <v>3995</v>
      </c>
      <c r="G498" t="s">
        <v>3886</v>
      </c>
      <c r="H498" t="s">
        <v>3873</v>
      </c>
      <c r="I498" t="s">
        <v>3996</v>
      </c>
      <c r="J498" t="s">
        <v>3997</v>
      </c>
      <c r="K498" t="s">
        <v>19</v>
      </c>
      <c r="L498" t="s">
        <v>20</v>
      </c>
      <c r="M498" t="s">
        <v>3998</v>
      </c>
      <c r="N498" t="s">
        <v>3999</v>
      </c>
      <c r="O498" t="s">
        <v>4000</v>
      </c>
      <c r="P498" t="s">
        <v>4001</v>
      </c>
    </row>
    <row r="499" spans="1:16" x14ac:dyDescent="0.35">
      <c r="A499" t="s">
        <v>200</v>
      </c>
      <c r="B499" t="s">
        <v>55</v>
      </c>
      <c r="C499" t="s">
        <v>15</v>
      </c>
      <c r="D499" t="s">
        <v>124</v>
      </c>
      <c r="E499" t="s">
        <v>4002</v>
      </c>
      <c r="F499" t="s">
        <v>4003</v>
      </c>
      <c r="G499" t="s">
        <v>3872</v>
      </c>
      <c r="H499" t="s">
        <v>3873</v>
      </c>
      <c r="I499" t="s">
        <v>3106</v>
      </c>
      <c r="J499" t="s">
        <v>4004</v>
      </c>
      <c r="K499" t="s">
        <v>3108</v>
      </c>
      <c r="L499" t="s">
        <v>20</v>
      </c>
      <c r="M499" t="s">
        <v>3874</v>
      </c>
      <c r="N499" t="s">
        <v>3875</v>
      </c>
      <c r="O499" t="s">
        <v>4005</v>
      </c>
      <c r="P499" t="s">
        <v>4006</v>
      </c>
    </row>
    <row r="500" spans="1:16" x14ac:dyDescent="0.35">
      <c r="A500" t="s">
        <v>4007</v>
      </c>
      <c r="B500" t="s">
        <v>55</v>
      </c>
      <c r="C500" t="s">
        <v>15</v>
      </c>
      <c r="D500" t="s">
        <v>16</v>
      </c>
      <c r="E500" t="s">
        <v>4008</v>
      </c>
      <c r="F500" t="s">
        <v>4009</v>
      </c>
      <c r="G500" t="s">
        <v>3886</v>
      </c>
      <c r="H500" t="s">
        <v>3873</v>
      </c>
      <c r="I500" t="s">
        <v>4010</v>
      </c>
      <c r="J500" t="s">
        <v>4011</v>
      </c>
      <c r="K500" t="s">
        <v>4012</v>
      </c>
      <c r="L500" t="s">
        <v>20</v>
      </c>
      <c r="M500" t="s">
        <v>4013</v>
      </c>
      <c r="N500" t="s">
        <v>4014</v>
      </c>
      <c r="O500" t="s">
        <v>4015</v>
      </c>
      <c r="P500" t="s">
        <v>4016</v>
      </c>
    </row>
    <row r="501" spans="1:16" x14ac:dyDescent="0.35">
      <c r="A501" t="s">
        <v>4017</v>
      </c>
      <c r="B501" t="s">
        <v>55</v>
      </c>
      <c r="C501" t="s">
        <v>205</v>
      </c>
      <c r="D501" t="s">
        <v>68</v>
      </c>
      <c r="E501" t="s">
        <v>4018</v>
      </c>
      <c r="F501" t="s">
        <v>4019</v>
      </c>
      <c r="G501" t="s">
        <v>3872</v>
      </c>
      <c r="H501" t="s">
        <v>3873</v>
      </c>
      <c r="I501" t="s">
        <v>2599</v>
      </c>
      <c r="J501" t="s">
        <v>4020</v>
      </c>
      <c r="K501" t="s">
        <v>19</v>
      </c>
      <c r="L501" t="s">
        <v>20</v>
      </c>
      <c r="M501" t="s">
        <v>4013</v>
      </c>
      <c r="N501" t="s">
        <v>4014</v>
      </c>
      <c r="O501" t="s">
        <v>4021</v>
      </c>
      <c r="P501" t="s">
        <v>4022</v>
      </c>
    </row>
    <row r="502" spans="1:16" x14ac:dyDescent="0.35">
      <c r="A502" t="s">
        <v>4025</v>
      </c>
      <c r="B502" t="s">
        <v>107</v>
      </c>
      <c r="C502" t="s">
        <v>28</v>
      </c>
      <c r="D502" t="s">
        <v>28</v>
      </c>
      <c r="E502" t="s">
        <v>4026</v>
      </c>
      <c r="F502" t="s">
        <v>4027</v>
      </c>
      <c r="G502" t="s">
        <v>4028</v>
      </c>
      <c r="H502" t="s">
        <v>3873</v>
      </c>
      <c r="I502" t="s">
        <v>4029</v>
      </c>
      <c r="J502" t="s">
        <v>28</v>
      </c>
      <c r="K502" t="s">
        <v>4030</v>
      </c>
      <c r="L502" t="s">
        <v>20</v>
      </c>
      <c r="M502" t="s">
        <v>4023</v>
      </c>
      <c r="N502" t="s">
        <v>4024</v>
      </c>
      <c r="O502" t="s">
        <v>4031</v>
      </c>
      <c r="P502" t="s">
        <v>4032</v>
      </c>
    </row>
    <row r="503" spans="1:16" x14ac:dyDescent="0.35">
      <c r="A503" t="s">
        <v>482</v>
      </c>
      <c r="B503" t="s">
        <v>55</v>
      </c>
      <c r="C503" t="s">
        <v>26</v>
      </c>
      <c r="D503" t="s">
        <v>4033</v>
      </c>
      <c r="E503" t="s">
        <v>4034</v>
      </c>
      <c r="F503" t="s">
        <v>4035</v>
      </c>
      <c r="G503" t="s">
        <v>3886</v>
      </c>
      <c r="H503" t="s">
        <v>3873</v>
      </c>
      <c r="I503" t="s">
        <v>162</v>
      </c>
      <c r="J503" t="s">
        <v>4036</v>
      </c>
      <c r="K503" t="s">
        <v>164</v>
      </c>
      <c r="L503" t="s">
        <v>20</v>
      </c>
      <c r="M503" t="s">
        <v>4037</v>
      </c>
      <c r="N503" t="s">
        <v>4038</v>
      </c>
      <c r="O503" t="s">
        <v>4039</v>
      </c>
      <c r="P503" t="s">
        <v>4040</v>
      </c>
    </row>
    <row r="504" spans="1:16" x14ac:dyDescent="0.35">
      <c r="A504" t="s">
        <v>4041</v>
      </c>
      <c r="B504" t="s">
        <v>55</v>
      </c>
      <c r="C504" t="s">
        <v>177</v>
      </c>
      <c r="D504" t="s">
        <v>68</v>
      </c>
      <c r="E504" t="s">
        <v>4042</v>
      </c>
      <c r="F504" t="s">
        <v>4043</v>
      </c>
      <c r="G504" t="s">
        <v>3886</v>
      </c>
      <c r="H504" t="s">
        <v>3873</v>
      </c>
      <c r="I504" t="s">
        <v>28</v>
      </c>
      <c r="J504" t="s">
        <v>4044</v>
      </c>
      <c r="K504" t="s">
        <v>19</v>
      </c>
      <c r="L504" t="s">
        <v>20</v>
      </c>
      <c r="M504" t="s">
        <v>4037</v>
      </c>
      <c r="N504" t="s">
        <v>4038</v>
      </c>
      <c r="O504" t="s">
        <v>4045</v>
      </c>
      <c r="P504" t="s">
        <v>4046</v>
      </c>
    </row>
    <row r="505" spans="1:16" x14ac:dyDescent="0.35">
      <c r="A505" t="s">
        <v>2383</v>
      </c>
      <c r="B505" t="s">
        <v>55</v>
      </c>
      <c r="C505" t="s">
        <v>28</v>
      </c>
      <c r="D505" t="s">
        <v>28</v>
      </c>
      <c r="E505" t="s">
        <v>4047</v>
      </c>
      <c r="F505" t="s">
        <v>4048</v>
      </c>
      <c r="G505" t="s">
        <v>3872</v>
      </c>
      <c r="H505" t="s">
        <v>3873</v>
      </c>
      <c r="I505" t="s">
        <v>28</v>
      </c>
      <c r="J505" t="s">
        <v>4049</v>
      </c>
      <c r="K505" t="s">
        <v>19</v>
      </c>
      <c r="L505" t="s">
        <v>20</v>
      </c>
      <c r="M505" t="s">
        <v>4050</v>
      </c>
      <c r="N505" t="s">
        <v>4051</v>
      </c>
      <c r="O505" t="s">
        <v>4052</v>
      </c>
      <c r="P505" t="s">
        <v>4053</v>
      </c>
    </row>
    <row r="506" spans="1:16" x14ac:dyDescent="0.35">
      <c r="A506" t="s">
        <v>4054</v>
      </c>
      <c r="B506" t="s">
        <v>55</v>
      </c>
      <c r="C506" t="s">
        <v>241</v>
      </c>
      <c r="D506" t="s">
        <v>449</v>
      </c>
      <c r="E506" t="s">
        <v>4055</v>
      </c>
      <c r="F506" t="s">
        <v>4056</v>
      </c>
      <c r="G506" t="s">
        <v>4057</v>
      </c>
      <c r="H506" t="s">
        <v>4057</v>
      </c>
      <c r="I506" t="s">
        <v>4058</v>
      </c>
      <c r="J506" t="s">
        <v>4059</v>
      </c>
      <c r="K506" t="s">
        <v>4060</v>
      </c>
      <c r="L506" t="s">
        <v>20</v>
      </c>
      <c r="M506" t="s">
        <v>4050</v>
      </c>
      <c r="N506" t="s">
        <v>4051</v>
      </c>
      <c r="O506" t="s">
        <v>4061</v>
      </c>
      <c r="P506" t="s">
        <v>915</v>
      </c>
    </row>
    <row r="507" spans="1:16" x14ac:dyDescent="0.35">
      <c r="A507" t="s">
        <v>4062</v>
      </c>
      <c r="B507" t="s">
        <v>55</v>
      </c>
      <c r="C507" t="s">
        <v>117</v>
      </c>
      <c r="D507" t="s">
        <v>27</v>
      </c>
      <c r="E507" t="s">
        <v>4063</v>
      </c>
      <c r="F507" t="s">
        <v>4064</v>
      </c>
      <c r="G507" t="s">
        <v>3872</v>
      </c>
      <c r="H507" t="s">
        <v>3873</v>
      </c>
      <c r="I507" t="s">
        <v>4065</v>
      </c>
      <c r="J507" t="s">
        <v>4066</v>
      </c>
      <c r="K507" t="s">
        <v>4067</v>
      </c>
      <c r="L507" t="s">
        <v>20</v>
      </c>
      <c r="M507" t="s">
        <v>4050</v>
      </c>
      <c r="N507" t="s">
        <v>4051</v>
      </c>
      <c r="O507" t="s">
        <v>4068</v>
      </c>
      <c r="P507" t="s">
        <v>4069</v>
      </c>
    </row>
    <row r="508" spans="1:16" x14ac:dyDescent="0.35">
      <c r="A508" t="s">
        <v>3014</v>
      </c>
      <c r="B508" t="s">
        <v>55</v>
      </c>
      <c r="C508" t="s">
        <v>15</v>
      </c>
      <c r="D508" t="s">
        <v>16</v>
      </c>
      <c r="E508" t="s">
        <v>4070</v>
      </c>
      <c r="F508" t="s">
        <v>4071</v>
      </c>
      <c r="G508" t="s">
        <v>3872</v>
      </c>
      <c r="H508" t="s">
        <v>3873</v>
      </c>
      <c r="I508" t="s">
        <v>28</v>
      </c>
      <c r="J508" t="s">
        <v>4072</v>
      </c>
      <c r="K508" t="s">
        <v>19</v>
      </c>
      <c r="L508" t="s">
        <v>20</v>
      </c>
      <c r="M508" t="s">
        <v>4050</v>
      </c>
      <c r="N508" t="s">
        <v>4051</v>
      </c>
      <c r="O508" t="s">
        <v>4073</v>
      </c>
      <c r="P508" t="s">
        <v>4074</v>
      </c>
    </row>
    <row r="509" spans="1:16" x14ac:dyDescent="0.35">
      <c r="A509" t="s">
        <v>4075</v>
      </c>
      <c r="B509" t="s">
        <v>194</v>
      </c>
      <c r="C509" t="s">
        <v>15</v>
      </c>
      <c r="D509" t="s">
        <v>68</v>
      </c>
      <c r="E509" t="s">
        <v>4076</v>
      </c>
      <c r="F509" t="s">
        <v>4077</v>
      </c>
      <c r="G509" t="s">
        <v>4078</v>
      </c>
      <c r="H509" t="s">
        <v>3873</v>
      </c>
      <c r="I509" t="s">
        <v>28</v>
      </c>
      <c r="J509" t="s">
        <v>4079</v>
      </c>
      <c r="K509" t="s">
        <v>19</v>
      </c>
      <c r="L509" t="s">
        <v>20</v>
      </c>
      <c r="M509" t="s">
        <v>4050</v>
      </c>
      <c r="N509" t="s">
        <v>4051</v>
      </c>
      <c r="O509" t="s">
        <v>4080</v>
      </c>
      <c r="P509" t="s">
        <v>4081</v>
      </c>
    </row>
    <row r="510" spans="1:16" x14ac:dyDescent="0.35">
      <c r="A510" t="s">
        <v>482</v>
      </c>
      <c r="B510" t="s">
        <v>55</v>
      </c>
      <c r="C510" t="s">
        <v>28</v>
      </c>
      <c r="D510" t="s">
        <v>28</v>
      </c>
      <c r="E510" t="s">
        <v>4082</v>
      </c>
      <c r="F510" t="s">
        <v>4083</v>
      </c>
      <c r="G510" t="s">
        <v>3886</v>
      </c>
      <c r="H510" t="s">
        <v>3873</v>
      </c>
      <c r="I510" t="s">
        <v>162</v>
      </c>
      <c r="J510" t="s">
        <v>28</v>
      </c>
      <c r="K510" t="s">
        <v>164</v>
      </c>
      <c r="L510" t="s">
        <v>20</v>
      </c>
      <c r="M510" t="s">
        <v>4084</v>
      </c>
      <c r="N510" t="s">
        <v>4085</v>
      </c>
      <c r="O510" t="s">
        <v>4086</v>
      </c>
      <c r="P510" t="s">
        <v>4087</v>
      </c>
    </row>
    <row r="511" spans="1:16" x14ac:dyDescent="0.35">
      <c r="A511" t="s">
        <v>4088</v>
      </c>
      <c r="B511" t="s">
        <v>55</v>
      </c>
      <c r="C511" t="s">
        <v>15</v>
      </c>
      <c r="D511" t="s">
        <v>68</v>
      </c>
      <c r="E511" t="s">
        <v>4089</v>
      </c>
      <c r="F511" t="s">
        <v>4090</v>
      </c>
      <c r="G511" t="s">
        <v>4091</v>
      </c>
      <c r="H511" t="s">
        <v>3873</v>
      </c>
      <c r="I511" t="s">
        <v>28</v>
      </c>
      <c r="J511" t="s">
        <v>4092</v>
      </c>
      <c r="K511" t="s">
        <v>19</v>
      </c>
      <c r="L511" t="s">
        <v>20</v>
      </c>
      <c r="M511" t="s">
        <v>4084</v>
      </c>
      <c r="N511" t="s">
        <v>4085</v>
      </c>
      <c r="O511" t="s">
        <v>4093</v>
      </c>
      <c r="P511" t="s">
        <v>4094</v>
      </c>
    </row>
    <row r="512" spans="1:16" x14ac:dyDescent="0.35">
      <c r="A512" t="s">
        <v>4095</v>
      </c>
      <c r="B512" t="s">
        <v>55</v>
      </c>
      <c r="C512" t="s">
        <v>241</v>
      </c>
      <c r="D512" t="s">
        <v>449</v>
      </c>
      <c r="E512" t="s">
        <v>4096</v>
      </c>
      <c r="F512" t="s">
        <v>4097</v>
      </c>
      <c r="G512" t="s">
        <v>3872</v>
      </c>
      <c r="H512" t="s">
        <v>3873</v>
      </c>
      <c r="I512" t="s">
        <v>162</v>
      </c>
      <c r="J512" t="s">
        <v>4098</v>
      </c>
      <c r="K512" t="s">
        <v>164</v>
      </c>
      <c r="L512" t="s">
        <v>20</v>
      </c>
      <c r="M512" t="s">
        <v>4099</v>
      </c>
      <c r="N512" t="s">
        <v>4100</v>
      </c>
      <c r="O512" t="s">
        <v>4101</v>
      </c>
      <c r="P512" t="s">
        <v>4102</v>
      </c>
    </row>
    <row r="513" spans="1:16" x14ac:dyDescent="0.35">
      <c r="A513" t="s">
        <v>482</v>
      </c>
      <c r="B513" t="s">
        <v>55</v>
      </c>
      <c r="C513" t="s">
        <v>28</v>
      </c>
      <c r="D513" t="s">
        <v>28</v>
      </c>
      <c r="E513" t="s">
        <v>28</v>
      </c>
      <c r="F513" t="s">
        <v>4103</v>
      </c>
      <c r="G513" t="s">
        <v>4104</v>
      </c>
      <c r="H513" t="s">
        <v>3873</v>
      </c>
      <c r="I513" t="s">
        <v>162</v>
      </c>
      <c r="J513" t="s">
        <v>4105</v>
      </c>
      <c r="K513" t="s">
        <v>164</v>
      </c>
      <c r="L513" t="s">
        <v>20</v>
      </c>
      <c r="M513" t="s">
        <v>4106</v>
      </c>
      <c r="N513" t="s">
        <v>4107</v>
      </c>
      <c r="O513" t="s">
        <v>4108</v>
      </c>
      <c r="P513" t="s">
        <v>4109</v>
      </c>
    </row>
    <row r="514" spans="1:16" x14ac:dyDescent="0.35">
      <c r="A514" t="s">
        <v>4113</v>
      </c>
      <c r="B514" t="s">
        <v>55</v>
      </c>
      <c r="C514" t="s">
        <v>311</v>
      </c>
      <c r="D514" t="s">
        <v>449</v>
      </c>
      <c r="E514" t="s">
        <v>4114</v>
      </c>
      <c r="F514" t="s">
        <v>4115</v>
      </c>
      <c r="G514" t="s">
        <v>4110</v>
      </c>
      <c r="H514" t="s">
        <v>4110</v>
      </c>
      <c r="I514" t="s">
        <v>4116</v>
      </c>
      <c r="J514" t="s">
        <v>4117</v>
      </c>
      <c r="K514" t="s">
        <v>19</v>
      </c>
      <c r="L514" t="s">
        <v>20</v>
      </c>
      <c r="M514" t="s">
        <v>4111</v>
      </c>
      <c r="N514" t="s">
        <v>4112</v>
      </c>
      <c r="O514" t="s">
        <v>4118</v>
      </c>
      <c r="P514" t="s">
        <v>4119</v>
      </c>
    </row>
    <row r="515" spans="1:16" x14ac:dyDescent="0.35">
      <c r="A515" t="s">
        <v>4120</v>
      </c>
      <c r="B515" t="s">
        <v>55</v>
      </c>
      <c r="C515" t="s">
        <v>15</v>
      </c>
      <c r="D515" t="s">
        <v>16</v>
      </c>
      <c r="E515" t="s">
        <v>4121</v>
      </c>
      <c r="F515" t="s">
        <v>4122</v>
      </c>
      <c r="G515" t="s">
        <v>4110</v>
      </c>
      <c r="H515" t="s">
        <v>4110</v>
      </c>
      <c r="I515" t="s">
        <v>4123</v>
      </c>
      <c r="J515" t="s">
        <v>4124</v>
      </c>
      <c r="K515" t="s">
        <v>4125</v>
      </c>
      <c r="L515" t="s">
        <v>20</v>
      </c>
      <c r="M515" t="s">
        <v>4111</v>
      </c>
      <c r="N515" t="s">
        <v>4112</v>
      </c>
      <c r="O515" t="s">
        <v>4126</v>
      </c>
      <c r="P515" t="s">
        <v>4127</v>
      </c>
    </row>
    <row r="516" spans="1:16" x14ac:dyDescent="0.35">
      <c r="A516" t="s">
        <v>4128</v>
      </c>
      <c r="B516" t="s">
        <v>32</v>
      </c>
      <c r="C516" t="s">
        <v>28</v>
      </c>
      <c r="D516" t="s">
        <v>28</v>
      </c>
      <c r="E516" t="s">
        <v>28</v>
      </c>
      <c r="F516" t="s">
        <v>4129</v>
      </c>
      <c r="G516" t="s">
        <v>4130</v>
      </c>
      <c r="H516" t="s">
        <v>4110</v>
      </c>
      <c r="I516" t="s">
        <v>28</v>
      </c>
      <c r="J516" t="s">
        <v>4131</v>
      </c>
      <c r="K516" t="s">
        <v>19</v>
      </c>
      <c r="L516" t="s">
        <v>20</v>
      </c>
      <c r="M516" t="s">
        <v>4132</v>
      </c>
      <c r="N516" t="s">
        <v>4133</v>
      </c>
      <c r="O516" t="s">
        <v>4134</v>
      </c>
      <c r="P516" t="s">
        <v>4135</v>
      </c>
    </row>
    <row r="517" spans="1:16" x14ac:dyDescent="0.35">
      <c r="A517" t="s">
        <v>87</v>
      </c>
      <c r="B517" t="s">
        <v>88</v>
      </c>
      <c r="C517" t="s">
        <v>691</v>
      </c>
      <c r="D517" t="s">
        <v>16</v>
      </c>
      <c r="E517" t="s">
        <v>4136</v>
      </c>
      <c r="F517" t="s">
        <v>4137</v>
      </c>
      <c r="G517" t="s">
        <v>4110</v>
      </c>
      <c r="H517" t="s">
        <v>4110</v>
      </c>
      <c r="I517" t="s">
        <v>1222</v>
      </c>
      <c r="J517" t="s">
        <v>4138</v>
      </c>
      <c r="K517" t="s">
        <v>19</v>
      </c>
      <c r="L517" t="s">
        <v>20</v>
      </c>
      <c r="M517" t="s">
        <v>4139</v>
      </c>
      <c r="N517" t="s">
        <v>4140</v>
      </c>
      <c r="O517" t="s">
        <v>4141</v>
      </c>
      <c r="P517" t="s">
        <v>4142</v>
      </c>
    </row>
    <row r="518" spans="1:16" x14ac:dyDescent="0.35">
      <c r="A518" t="s">
        <v>4143</v>
      </c>
      <c r="B518" t="s">
        <v>55</v>
      </c>
      <c r="C518" t="s">
        <v>25</v>
      </c>
      <c r="D518" t="s">
        <v>16</v>
      </c>
      <c r="E518" t="s">
        <v>4144</v>
      </c>
      <c r="F518" t="s">
        <v>4145</v>
      </c>
      <c r="G518" t="s">
        <v>4110</v>
      </c>
      <c r="H518" t="s">
        <v>4110</v>
      </c>
      <c r="I518" t="s">
        <v>28</v>
      </c>
      <c r="J518" t="s">
        <v>4146</v>
      </c>
      <c r="K518" t="s">
        <v>19</v>
      </c>
      <c r="L518" t="s">
        <v>20</v>
      </c>
      <c r="M518" t="s">
        <v>4147</v>
      </c>
      <c r="N518" t="s">
        <v>4148</v>
      </c>
      <c r="O518" t="s">
        <v>4149</v>
      </c>
      <c r="P518" t="s">
        <v>4150</v>
      </c>
    </row>
    <row r="519" spans="1:16" x14ac:dyDescent="0.35">
      <c r="A519" t="s">
        <v>4151</v>
      </c>
      <c r="B519" t="s">
        <v>55</v>
      </c>
      <c r="C519" t="s">
        <v>205</v>
      </c>
      <c r="D519" t="s">
        <v>614</v>
      </c>
      <c r="E519" t="s">
        <v>4152</v>
      </c>
      <c r="F519" t="s">
        <v>4153</v>
      </c>
      <c r="G519" t="s">
        <v>4110</v>
      </c>
      <c r="H519" t="s">
        <v>4110</v>
      </c>
      <c r="I519" t="s">
        <v>4154</v>
      </c>
      <c r="J519" t="s">
        <v>4155</v>
      </c>
      <c r="K519" t="s">
        <v>4156</v>
      </c>
      <c r="L519" t="s">
        <v>20</v>
      </c>
      <c r="M519" t="s">
        <v>4147</v>
      </c>
      <c r="N519" t="s">
        <v>4148</v>
      </c>
      <c r="O519" t="s">
        <v>4157</v>
      </c>
      <c r="P519" t="s">
        <v>4158</v>
      </c>
    </row>
    <row r="520" spans="1:16" x14ac:dyDescent="0.35">
      <c r="A520" t="s">
        <v>4159</v>
      </c>
      <c r="B520" t="s">
        <v>55</v>
      </c>
      <c r="C520" t="s">
        <v>497</v>
      </c>
      <c r="D520" t="s">
        <v>348</v>
      </c>
      <c r="E520" t="s">
        <v>4160</v>
      </c>
      <c r="F520" t="s">
        <v>4161</v>
      </c>
      <c r="G520" t="s">
        <v>4110</v>
      </c>
      <c r="H520" t="s">
        <v>4110</v>
      </c>
      <c r="I520" t="s">
        <v>28</v>
      </c>
      <c r="J520" t="s">
        <v>4162</v>
      </c>
      <c r="K520" t="s">
        <v>19</v>
      </c>
      <c r="L520" t="s">
        <v>20</v>
      </c>
      <c r="M520" t="s">
        <v>4147</v>
      </c>
      <c r="N520" t="s">
        <v>4148</v>
      </c>
      <c r="O520" t="s">
        <v>4163</v>
      </c>
      <c r="P520" t="s">
        <v>4164</v>
      </c>
    </row>
    <row r="521" spans="1:16" x14ac:dyDescent="0.35">
      <c r="A521" t="s">
        <v>4165</v>
      </c>
      <c r="B521" t="s">
        <v>55</v>
      </c>
      <c r="C521" t="s">
        <v>691</v>
      </c>
      <c r="D521" t="s">
        <v>16</v>
      </c>
      <c r="E521" t="s">
        <v>4166</v>
      </c>
      <c r="F521" t="s">
        <v>4167</v>
      </c>
      <c r="G521" t="s">
        <v>4110</v>
      </c>
      <c r="H521" t="s">
        <v>4110</v>
      </c>
      <c r="I521" t="s">
        <v>28</v>
      </c>
      <c r="J521" t="s">
        <v>4168</v>
      </c>
      <c r="K521" t="s">
        <v>19</v>
      </c>
      <c r="L521" t="s">
        <v>20</v>
      </c>
      <c r="M521" t="s">
        <v>4169</v>
      </c>
      <c r="N521" t="s">
        <v>4170</v>
      </c>
      <c r="O521" t="s">
        <v>4171</v>
      </c>
      <c r="P521" t="s">
        <v>4172</v>
      </c>
    </row>
    <row r="522" spans="1:16" x14ac:dyDescent="0.35">
      <c r="A522" t="s">
        <v>4173</v>
      </c>
      <c r="B522" t="s">
        <v>55</v>
      </c>
      <c r="C522" t="s">
        <v>241</v>
      </c>
      <c r="D522" t="s">
        <v>1328</v>
      </c>
      <c r="E522" t="s">
        <v>4174</v>
      </c>
      <c r="F522" t="s">
        <v>4175</v>
      </c>
      <c r="G522" t="s">
        <v>4110</v>
      </c>
      <c r="H522" t="s">
        <v>4110</v>
      </c>
      <c r="I522" t="s">
        <v>82</v>
      </c>
      <c r="J522" t="s">
        <v>4176</v>
      </c>
      <c r="K522" t="s">
        <v>84</v>
      </c>
      <c r="L522" t="s">
        <v>20</v>
      </c>
      <c r="M522" t="s">
        <v>4169</v>
      </c>
      <c r="N522" t="s">
        <v>4170</v>
      </c>
      <c r="O522" t="s">
        <v>4177</v>
      </c>
      <c r="P522" t="s">
        <v>4178</v>
      </c>
    </row>
    <row r="523" spans="1:16" x14ac:dyDescent="0.35">
      <c r="A523" t="s">
        <v>4179</v>
      </c>
      <c r="B523" t="s">
        <v>55</v>
      </c>
      <c r="C523" t="s">
        <v>28</v>
      </c>
      <c r="D523" t="s">
        <v>28</v>
      </c>
      <c r="E523" t="s">
        <v>4180</v>
      </c>
      <c r="F523" t="s">
        <v>4181</v>
      </c>
      <c r="G523" t="s">
        <v>4110</v>
      </c>
      <c r="H523" t="s">
        <v>4110</v>
      </c>
      <c r="I523" t="s">
        <v>4182</v>
      </c>
      <c r="J523" t="s">
        <v>4183</v>
      </c>
      <c r="K523" t="s">
        <v>19</v>
      </c>
      <c r="L523" t="s">
        <v>20</v>
      </c>
      <c r="M523" t="s">
        <v>4111</v>
      </c>
      <c r="N523" t="s">
        <v>4112</v>
      </c>
      <c r="O523" t="s">
        <v>4184</v>
      </c>
      <c r="P523" t="s">
        <v>4185</v>
      </c>
    </row>
    <row r="524" spans="1:16" x14ac:dyDescent="0.35">
      <c r="A524" t="s">
        <v>4186</v>
      </c>
      <c r="B524" t="s">
        <v>55</v>
      </c>
      <c r="C524" t="s">
        <v>28</v>
      </c>
      <c r="D524" t="s">
        <v>28</v>
      </c>
      <c r="E524" t="s">
        <v>4187</v>
      </c>
      <c r="F524" t="s">
        <v>4188</v>
      </c>
      <c r="G524" t="s">
        <v>4110</v>
      </c>
      <c r="H524" t="s">
        <v>4110</v>
      </c>
      <c r="I524" t="s">
        <v>28</v>
      </c>
      <c r="J524" t="s">
        <v>4189</v>
      </c>
      <c r="K524" t="s">
        <v>19</v>
      </c>
      <c r="L524" t="s">
        <v>20</v>
      </c>
      <c r="M524" t="s">
        <v>4190</v>
      </c>
      <c r="N524" t="s">
        <v>4191</v>
      </c>
      <c r="O524" t="s">
        <v>4192</v>
      </c>
      <c r="P524" t="s">
        <v>4193</v>
      </c>
    </row>
    <row r="525" spans="1:16" x14ac:dyDescent="0.35">
      <c r="A525" t="s">
        <v>4194</v>
      </c>
      <c r="B525" t="s">
        <v>55</v>
      </c>
      <c r="C525" t="s">
        <v>28</v>
      </c>
      <c r="D525" t="s">
        <v>28</v>
      </c>
      <c r="E525" t="s">
        <v>28</v>
      </c>
      <c r="F525" t="s">
        <v>4195</v>
      </c>
      <c r="G525" t="s">
        <v>4130</v>
      </c>
      <c r="H525" t="s">
        <v>4110</v>
      </c>
      <c r="I525" t="s">
        <v>28</v>
      </c>
      <c r="J525" t="s">
        <v>4196</v>
      </c>
      <c r="K525" t="s">
        <v>19</v>
      </c>
      <c r="L525" t="s">
        <v>20</v>
      </c>
      <c r="M525" t="s">
        <v>4190</v>
      </c>
      <c r="N525" t="s">
        <v>4191</v>
      </c>
      <c r="O525" t="s">
        <v>4197</v>
      </c>
      <c r="P525" t="s">
        <v>4198</v>
      </c>
    </row>
    <row r="526" spans="1:16" x14ac:dyDescent="0.35">
      <c r="A526" t="s">
        <v>4199</v>
      </c>
      <c r="B526" t="s">
        <v>55</v>
      </c>
      <c r="C526" t="s">
        <v>28</v>
      </c>
      <c r="D526" t="s">
        <v>28</v>
      </c>
      <c r="E526" t="s">
        <v>4200</v>
      </c>
      <c r="F526" t="s">
        <v>4201</v>
      </c>
      <c r="G526" t="s">
        <v>4110</v>
      </c>
      <c r="H526" t="s">
        <v>4110</v>
      </c>
      <c r="I526" t="s">
        <v>28</v>
      </c>
      <c r="J526" t="s">
        <v>4202</v>
      </c>
      <c r="K526" t="s">
        <v>19</v>
      </c>
      <c r="L526" t="s">
        <v>20</v>
      </c>
      <c r="M526" t="s">
        <v>4190</v>
      </c>
      <c r="N526" t="s">
        <v>4191</v>
      </c>
      <c r="O526" t="s">
        <v>4203</v>
      </c>
      <c r="P526" t="s">
        <v>4204</v>
      </c>
    </row>
    <row r="527" spans="1:16" x14ac:dyDescent="0.35">
      <c r="A527" t="s">
        <v>4199</v>
      </c>
      <c r="B527" t="s">
        <v>55</v>
      </c>
      <c r="C527" t="s">
        <v>26</v>
      </c>
      <c r="D527" t="s">
        <v>27</v>
      </c>
      <c r="E527" t="s">
        <v>4205</v>
      </c>
      <c r="F527" t="s">
        <v>4206</v>
      </c>
      <c r="G527" t="s">
        <v>4110</v>
      </c>
      <c r="H527" t="s">
        <v>4110</v>
      </c>
      <c r="I527" t="s">
        <v>28</v>
      </c>
      <c r="J527" t="s">
        <v>4207</v>
      </c>
      <c r="K527" t="s">
        <v>19</v>
      </c>
      <c r="L527" t="s">
        <v>20</v>
      </c>
      <c r="M527" t="s">
        <v>4190</v>
      </c>
      <c r="N527" t="s">
        <v>4191</v>
      </c>
      <c r="O527" t="s">
        <v>4208</v>
      </c>
      <c r="P527" t="s">
        <v>4209</v>
      </c>
    </row>
    <row r="528" spans="1:16" x14ac:dyDescent="0.35">
      <c r="A528" t="s">
        <v>4210</v>
      </c>
      <c r="B528" t="s">
        <v>55</v>
      </c>
      <c r="C528" t="s">
        <v>28</v>
      </c>
      <c r="D528" t="s">
        <v>28</v>
      </c>
      <c r="E528" t="s">
        <v>4211</v>
      </c>
      <c r="F528" t="s">
        <v>4212</v>
      </c>
      <c r="G528" t="s">
        <v>4110</v>
      </c>
      <c r="H528" t="s">
        <v>4110</v>
      </c>
      <c r="I528" t="s">
        <v>1331</v>
      </c>
      <c r="J528" t="s">
        <v>4213</v>
      </c>
      <c r="K528" t="s">
        <v>19</v>
      </c>
      <c r="L528" t="s">
        <v>20</v>
      </c>
      <c r="M528" t="s">
        <v>4111</v>
      </c>
      <c r="N528" t="s">
        <v>4112</v>
      </c>
      <c r="O528" t="s">
        <v>4214</v>
      </c>
      <c r="P528" t="s">
        <v>4215</v>
      </c>
    </row>
    <row r="529" spans="1:16" x14ac:dyDescent="0.35">
      <c r="A529" t="s">
        <v>4219</v>
      </c>
      <c r="B529" t="s">
        <v>32</v>
      </c>
      <c r="C529" t="s">
        <v>28</v>
      </c>
      <c r="D529" t="s">
        <v>28</v>
      </c>
      <c r="E529" t="s">
        <v>4220</v>
      </c>
      <c r="F529" t="s">
        <v>4221</v>
      </c>
      <c r="G529" t="s">
        <v>4216</v>
      </c>
      <c r="H529" t="s">
        <v>4216</v>
      </c>
      <c r="I529" t="s">
        <v>4222</v>
      </c>
      <c r="J529" t="s">
        <v>4223</v>
      </c>
      <c r="K529" t="s">
        <v>4224</v>
      </c>
      <c r="L529" t="s">
        <v>20</v>
      </c>
      <c r="M529" t="s">
        <v>4217</v>
      </c>
      <c r="N529" t="s">
        <v>4218</v>
      </c>
      <c r="O529" t="s">
        <v>4225</v>
      </c>
      <c r="P529" t="s">
        <v>4226</v>
      </c>
    </row>
    <row r="530" spans="1:16" x14ac:dyDescent="0.35">
      <c r="A530" t="s">
        <v>4227</v>
      </c>
      <c r="B530" t="s">
        <v>55</v>
      </c>
      <c r="C530" t="s">
        <v>15</v>
      </c>
      <c r="D530" t="s">
        <v>16</v>
      </c>
      <c r="E530" t="s">
        <v>4228</v>
      </c>
      <c r="F530" t="s">
        <v>4229</v>
      </c>
      <c r="G530" t="s">
        <v>4216</v>
      </c>
      <c r="H530" t="s">
        <v>4216</v>
      </c>
      <c r="I530" t="s">
        <v>28</v>
      </c>
      <c r="J530" t="s">
        <v>4230</v>
      </c>
      <c r="K530" t="s">
        <v>19</v>
      </c>
      <c r="L530" t="s">
        <v>20</v>
      </c>
      <c r="M530" t="s">
        <v>4217</v>
      </c>
      <c r="N530" t="s">
        <v>4218</v>
      </c>
      <c r="O530" t="s">
        <v>4231</v>
      </c>
      <c r="P530" t="s">
        <v>4232</v>
      </c>
    </row>
    <row r="531" spans="1:16" x14ac:dyDescent="0.35">
      <c r="A531" t="s">
        <v>4233</v>
      </c>
      <c r="B531" t="s">
        <v>55</v>
      </c>
      <c r="C531" t="s">
        <v>699</v>
      </c>
      <c r="D531" t="s">
        <v>22</v>
      </c>
      <c r="E531" t="s">
        <v>4234</v>
      </c>
      <c r="F531" t="s">
        <v>4235</v>
      </c>
      <c r="G531" t="s">
        <v>4216</v>
      </c>
      <c r="H531" t="s">
        <v>4216</v>
      </c>
      <c r="I531" t="s">
        <v>28</v>
      </c>
      <c r="J531" t="s">
        <v>4236</v>
      </c>
      <c r="K531" t="s">
        <v>19</v>
      </c>
      <c r="L531" t="s">
        <v>20</v>
      </c>
      <c r="M531" t="s">
        <v>4217</v>
      </c>
      <c r="N531" t="s">
        <v>4218</v>
      </c>
      <c r="O531" t="s">
        <v>4237</v>
      </c>
      <c r="P531" t="s">
        <v>4238</v>
      </c>
    </row>
    <row r="532" spans="1:16" x14ac:dyDescent="0.35">
      <c r="A532" t="s">
        <v>4239</v>
      </c>
      <c r="B532" t="s">
        <v>55</v>
      </c>
      <c r="C532" t="s">
        <v>497</v>
      </c>
      <c r="D532" t="s">
        <v>16</v>
      </c>
      <c r="E532" t="s">
        <v>4240</v>
      </c>
      <c r="F532" t="s">
        <v>4241</v>
      </c>
      <c r="G532" t="s">
        <v>4216</v>
      </c>
      <c r="H532" t="s">
        <v>4216</v>
      </c>
      <c r="I532" t="s">
        <v>28</v>
      </c>
      <c r="J532" t="s">
        <v>4242</v>
      </c>
      <c r="K532" t="s">
        <v>19</v>
      </c>
      <c r="L532" t="s">
        <v>20</v>
      </c>
      <c r="M532" t="s">
        <v>4217</v>
      </c>
      <c r="N532" t="s">
        <v>4218</v>
      </c>
      <c r="O532" t="s">
        <v>4243</v>
      </c>
      <c r="P532" t="s">
        <v>4244</v>
      </c>
    </row>
    <row r="533" spans="1:16" x14ac:dyDescent="0.35">
      <c r="A533" t="s">
        <v>310</v>
      </c>
      <c r="B533" t="s">
        <v>55</v>
      </c>
      <c r="C533" t="s">
        <v>158</v>
      </c>
      <c r="D533" t="s">
        <v>348</v>
      </c>
      <c r="E533" t="s">
        <v>4245</v>
      </c>
      <c r="F533" t="s">
        <v>4246</v>
      </c>
      <c r="G533" t="s">
        <v>4216</v>
      </c>
      <c r="H533" t="s">
        <v>4216</v>
      </c>
      <c r="I533" t="s">
        <v>82</v>
      </c>
      <c r="J533" t="s">
        <v>4230</v>
      </c>
      <c r="K533" t="s">
        <v>84</v>
      </c>
      <c r="L533" t="s">
        <v>20</v>
      </c>
      <c r="M533" t="s">
        <v>4217</v>
      </c>
      <c r="N533" t="s">
        <v>4218</v>
      </c>
      <c r="O533" t="s">
        <v>4247</v>
      </c>
      <c r="P533" t="s">
        <v>4248</v>
      </c>
    </row>
    <row r="534" spans="1:16" x14ac:dyDescent="0.35">
      <c r="A534" t="s">
        <v>4249</v>
      </c>
      <c r="B534" t="s">
        <v>55</v>
      </c>
      <c r="C534" t="s">
        <v>474</v>
      </c>
      <c r="D534" t="s">
        <v>348</v>
      </c>
      <c r="E534" t="s">
        <v>4250</v>
      </c>
      <c r="F534" t="s">
        <v>4251</v>
      </c>
      <c r="G534" t="s">
        <v>4216</v>
      </c>
      <c r="H534" t="s">
        <v>4216</v>
      </c>
      <c r="I534" t="s">
        <v>4252</v>
      </c>
      <c r="J534" t="s">
        <v>4253</v>
      </c>
      <c r="K534" t="s">
        <v>19</v>
      </c>
      <c r="L534" t="s">
        <v>20</v>
      </c>
      <c r="M534" t="s">
        <v>4217</v>
      </c>
      <c r="N534" t="s">
        <v>4218</v>
      </c>
      <c r="O534" t="s">
        <v>4254</v>
      </c>
      <c r="P534" t="s">
        <v>4255</v>
      </c>
    </row>
    <row r="535" spans="1:16" x14ac:dyDescent="0.35">
      <c r="A535" t="s">
        <v>2098</v>
      </c>
      <c r="B535" t="s">
        <v>55</v>
      </c>
      <c r="C535" t="s">
        <v>15</v>
      </c>
      <c r="D535" t="s">
        <v>27</v>
      </c>
      <c r="E535" t="s">
        <v>4256</v>
      </c>
      <c r="F535" t="s">
        <v>4257</v>
      </c>
      <c r="G535" t="s">
        <v>4216</v>
      </c>
      <c r="H535" t="s">
        <v>4216</v>
      </c>
      <c r="I535" t="s">
        <v>2101</v>
      </c>
      <c r="J535" t="s">
        <v>4258</v>
      </c>
      <c r="K535" t="s">
        <v>2103</v>
      </c>
      <c r="L535" t="s">
        <v>20</v>
      </c>
      <c r="M535" t="s">
        <v>4217</v>
      </c>
      <c r="N535" t="s">
        <v>4218</v>
      </c>
      <c r="O535" t="s">
        <v>4259</v>
      </c>
      <c r="P535" t="s">
        <v>4260</v>
      </c>
    </row>
    <row r="536" spans="1:16" x14ac:dyDescent="0.35">
      <c r="A536" t="s">
        <v>4261</v>
      </c>
      <c r="B536" t="s">
        <v>55</v>
      </c>
      <c r="C536" t="s">
        <v>548</v>
      </c>
      <c r="D536" t="s">
        <v>97</v>
      </c>
      <c r="E536" t="s">
        <v>4262</v>
      </c>
      <c r="F536" t="s">
        <v>4263</v>
      </c>
      <c r="G536" t="s">
        <v>4216</v>
      </c>
      <c r="H536" t="s">
        <v>4216</v>
      </c>
      <c r="I536" t="s">
        <v>4264</v>
      </c>
      <c r="J536" t="s">
        <v>4265</v>
      </c>
      <c r="K536" t="s">
        <v>4266</v>
      </c>
      <c r="L536" t="s">
        <v>20</v>
      </c>
      <c r="M536" t="s">
        <v>4267</v>
      </c>
      <c r="N536" t="s">
        <v>4268</v>
      </c>
      <c r="O536" t="s">
        <v>4269</v>
      </c>
      <c r="P536" t="s">
        <v>4270</v>
      </c>
    </row>
    <row r="537" spans="1:16" x14ac:dyDescent="0.35">
      <c r="A537" t="s">
        <v>4271</v>
      </c>
      <c r="B537" t="s">
        <v>32</v>
      </c>
      <c r="C537" t="s">
        <v>357</v>
      </c>
      <c r="D537" t="s">
        <v>304</v>
      </c>
      <c r="E537" t="s">
        <v>4272</v>
      </c>
      <c r="F537" t="s">
        <v>4273</v>
      </c>
      <c r="G537" t="s">
        <v>4216</v>
      </c>
      <c r="H537" t="s">
        <v>4216</v>
      </c>
      <c r="I537" t="s">
        <v>4274</v>
      </c>
      <c r="J537" t="s">
        <v>4275</v>
      </c>
      <c r="K537" t="s">
        <v>19</v>
      </c>
      <c r="L537" t="s">
        <v>20</v>
      </c>
      <c r="M537" t="s">
        <v>4276</v>
      </c>
      <c r="N537" t="s">
        <v>4277</v>
      </c>
      <c r="O537" t="s">
        <v>4278</v>
      </c>
      <c r="P537" t="s">
        <v>4279</v>
      </c>
    </row>
    <row r="538" spans="1:16" x14ac:dyDescent="0.35">
      <c r="A538" t="s">
        <v>4280</v>
      </c>
      <c r="B538" t="s">
        <v>55</v>
      </c>
      <c r="C538" t="s">
        <v>474</v>
      </c>
      <c r="D538" t="s">
        <v>1795</v>
      </c>
      <c r="E538" t="s">
        <v>4281</v>
      </c>
      <c r="F538" t="s">
        <v>4282</v>
      </c>
      <c r="G538" t="s">
        <v>4216</v>
      </c>
      <c r="H538" t="s">
        <v>4216</v>
      </c>
      <c r="I538" t="s">
        <v>28</v>
      </c>
      <c r="J538" t="s">
        <v>4283</v>
      </c>
      <c r="K538" t="s">
        <v>19</v>
      </c>
      <c r="L538" t="s">
        <v>20</v>
      </c>
      <c r="M538" t="s">
        <v>4217</v>
      </c>
      <c r="N538" t="s">
        <v>4218</v>
      </c>
      <c r="O538" t="s">
        <v>4284</v>
      </c>
      <c r="P538" t="s">
        <v>4285</v>
      </c>
    </row>
    <row r="539" spans="1:16" x14ac:dyDescent="0.35">
      <c r="A539" t="s">
        <v>4286</v>
      </c>
      <c r="B539" t="s">
        <v>55</v>
      </c>
      <c r="C539" t="s">
        <v>28</v>
      </c>
      <c r="D539" t="s">
        <v>28</v>
      </c>
      <c r="E539" t="s">
        <v>4287</v>
      </c>
      <c r="F539" t="s">
        <v>4288</v>
      </c>
      <c r="G539" t="s">
        <v>4216</v>
      </c>
      <c r="H539" t="s">
        <v>4216</v>
      </c>
      <c r="I539" t="s">
        <v>1331</v>
      </c>
      <c r="J539" t="s">
        <v>4289</v>
      </c>
      <c r="K539" t="s">
        <v>19</v>
      </c>
      <c r="L539" t="s">
        <v>20</v>
      </c>
      <c r="M539" t="s">
        <v>4217</v>
      </c>
      <c r="N539" t="s">
        <v>4218</v>
      </c>
      <c r="O539" t="s">
        <v>4290</v>
      </c>
      <c r="P539" t="s">
        <v>4291</v>
      </c>
    </row>
    <row r="540" spans="1:16" x14ac:dyDescent="0.35">
      <c r="A540" t="s">
        <v>4292</v>
      </c>
      <c r="B540" t="s">
        <v>32</v>
      </c>
      <c r="C540" t="s">
        <v>26</v>
      </c>
      <c r="D540" t="s">
        <v>27</v>
      </c>
      <c r="E540" t="s">
        <v>4293</v>
      </c>
      <c r="F540" t="s">
        <v>4294</v>
      </c>
      <c r="G540" t="s">
        <v>4295</v>
      </c>
      <c r="H540" t="s">
        <v>4216</v>
      </c>
      <c r="I540" t="s">
        <v>1725</v>
      </c>
      <c r="J540" t="s">
        <v>4296</v>
      </c>
      <c r="K540" t="s">
        <v>19</v>
      </c>
      <c r="L540" t="s">
        <v>20</v>
      </c>
      <c r="M540" t="s">
        <v>4297</v>
      </c>
      <c r="N540" t="s">
        <v>4298</v>
      </c>
      <c r="O540" t="s">
        <v>4299</v>
      </c>
      <c r="P540" t="s">
        <v>4300</v>
      </c>
    </row>
    <row r="541" spans="1:16" x14ac:dyDescent="0.35">
      <c r="A541" t="s">
        <v>4301</v>
      </c>
      <c r="B541" t="s">
        <v>55</v>
      </c>
      <c r="C541" t="s">
        <v>28</v>
      </c>
      <c r="D541" t="s">
        <v>28</v>
      </c>
      <c r="E541" t="s">
        <v>4302</v>
      </c>
      <c r="F541" t="s">
        <v>4303</v>
      </c>
      <c r="G541" t="s">
        <v>4304</v>
      </c>
      <c r="H541" t="s">
        <v>4216</v>
      </c>
      <c r="I541" t="s">
        <v>28</v>
      </c>
      <c r="J541" t="s">
        <v>4305</v>
      </c>
      <c r="K541" t="s">
        <v>19</v>
      </c>
      <c r="L541" t="s">
        <v>20</v>
      </c>
      <c r="M541" t="s">
        <v>4306</v>
      </c>
      <c r="N541" t="s">
        <v>4307</v>
      </c>
      <c r="O541" t="s">
        <v>4308</v>
      </c>
      <c r="P541" t="s">
        <v>4309</v>
      </c>
    </row>
    <row r="542" spans="1:16" x14ac:dyDescent="0.35">
      <c r="A542" t="s">
        <v>4313</v>
      </c>
      <c r="B542" t="s">
        <v>32</v>
      </c>
      <c r="C542" t="s">
        <v>691</v>
      </c>
      <c r="D542" t="s">
        <v>4314</v>
      </c>
      <c r="E542" t="s">
        <v>4315</v>
      </c>
      <c r="F542" t="s">
        <v>4316</v>
      </c>
      <c r="G542" t="s">
        <v>4310</v>
      </c>
      <c r="H542" t="s">
        <v>4310</v>
      </c>
      <c r="I542" t="s">
        <v>4317</v>
      </c>
      <c r="J542" t="s">
        <v>4318</v>
      </c>
      <c r="K542" t="s">
        <v>19</v>
      </c>
      <c r="L542" t="s">
        <v>20</v>
      </c>
      <c r="M542" t="s">
        <v>4319</v>
      </c>
      <c r="N542" t="s">
        <v>4320</v>
      </c>
      <c r="O542" t="s">
        <v>4321</v>
      </c>
      <c r="P542" t="s">
        <v>4322</v>
      </c>
    </row>
    <row r="543" spans="1:16" x14ac:dyDescent="0.35">
      <c r="A543" t="s">
        <v>4323</v>
      </c>
      <c r="B543" t="s">
        <v>32</v>
      </c>
      <c r="C543" t="s">
        <v>15</v>
      </c>
      <c r="D543" t="s">
        <v>16</v>
      </c>
      <c r="E543" t="s">
        <v>4324</v>
      </c>
      <c r="F543" t="s">
        <v>4325</v>
      </c>
      <c r="G543" t="s">
        <v>4310</v>
      </c>
      <c r="H543" t="s">
        <v>4310</v>
      </c>
      <c r="I543" t="s">
        <v>28</v>
      </c>
      <c r="J543" t="s">
        <v>4326</v>
      </c>
      <c r="K543" t="s">
        <v>19</v>
      </c>
      <c r="L543" t="s">
        <v>20</v>
      </c>
      <c r="M543" t="s">
        <v>4327</v>
      </c>
      <c r="N543" t="s">
        <v>4328</v>
      </c>
      <c r="O543" t="s">
        <v>4329</v>
      </c>
      <c r="P543" t="s">
        <v>4330</v>
      </c>
    </row>
    <row r="544" spans="1:16" x14ac:dyDescent="0.35">
      <c r="A544" t="s">
        <v>4331</v>
      </c>
      <c r="B544" t="s">
        <v>32</v>
      </c>
      <c r="C544" t="s">
        <v>117</v>
      </c>
      <c r="D544" t="s">
        <v>124</v>
      </c>
      <c r="E544" t="s">
        <v>4332</v>
      </c>
      <c r="F544" t="s">
        <v>4333</v>
      </c>
      <c r="G544" t="s">
        <v>4310</v>
      </c>
      <c r="H544" t="s">
        <v>4310</v>
      </c>
      <c r="I544" t="s">
        <v>4334</v>
      </c>
      <c r="J544" t="s">
        <v>4335</v>
      </c>
      <c r="K544" t="s">
        <v>4336</v>
      </c>
      <c r="L544" t="s">
        <v>20</v>
      </c>
      <c r="M544" t="s">
        <v>4337</v>
      </c>
      <c r="N544" t="s">
        <v>4338</v>
      </c>
      <c r="O544" t="s">
        <v>4339</v>
      </c>
      <c r="P544" t="s">
        <v>4340</v>
      </c>
    </row>
    <row r="545" spans="1:16" x14ac:dyDescent="0.35">
      <c r="A545" t="s">
        <v>4341</v>
      </c>
      <c r="B545" t="s">
        <v>107</v>
      </c>
      <c r="C545" t="s">
        <v>28</v>
      </c>
      <c r="D545" t="s">
        <v>28</v>
      </c>
      <c r="E545" t="s">
        <v>4342</v>
      </c>
      <c r="F545" t="s">
        <v>4343</v>
      </c>
      <c r="G545" t="s">
        <v>4310</v>
      </c>
      <c r="H545" t="s">
        <v>4310</v>
      </c>
      <c r="I545" t="s">
        <v>28</v>
      </c>
      <c r="J545" t="s">
        <v>4344</v>
      </c>
      <c r="K545" t="s">
        <v>19</v>
      </c>
      <c r="L545" t="s">
        <v>20</v>
      </c>
      <c r="M545" t="s">
        <v>4345</v>
      </c>
      <c r="N545" t="s">
        <v>4346</v>
      </c>
      <c r="O545" t="s">
        <v>4347</v>
      </c>
      <c r="P545" t="s">
        <v>4348</v>
      </c>
    </row>
    <row r="546" spans="1:16" x14ac:dyDescent="0.35">
      <c r="A546" t="s">
        <v>4349</v>
      </c>
      <c r="B546" t="s">
        <v>55</v>
      </c>
      <c r="C546" t="s">
        <v>28</v>
      </c>
      <c r="D546" t="s">
        <v>28</v>
      </c>
      <c r="E546" t="s">
        <v>4350</v>
      </c>
      <c r="F546" t="s">
        <v>4351</v>
      </c>
      <c r="G546" t="s">
        <v>4310</v>
      </c>
      <c r="H546" t="s">
        <v>4310</v>
      </c>
      <c r="I546" t="s">
        <v>28</v>
      </c>
      <c r="J546" t="s">
        <v>4352</v>
      </c>
      <c r="K546" t="s">
        <v>19</v>
      </c>
      <c r="L546" t="s">
        <v>20</v>
      </c>
      <c r="M546" t="s">
        <v>4345</v>
      </c>
      <c r="N546" t="s">
        <v>4346</v>
      </c>
      <c r="O546" t="s">
        <v>4353</v>
      </c>
      <c r="P546" t="s">
        <v>4354</v>
      </c>
    </row>
    <row r="547" spans="1:16" x14ac:dyDescent="0.35">
      <c r="A547" t="s">
        <v>3977</v>
      </c>
      <c r="B547" t="s">
        <v>88</v>
      </c>
      <c r="C547" t="s">
        <v>28</v>
      </c>
      <c r="D547" t="s">
        <v>28</v>
      </c>
      <c r="E547" t="s">
        <v>4355</v>
      </c>
      <c r="F547" t="s">
        <v>4356</v>
      </c>
      <c r="G547" t="s">
        <v>4310</v>
      </c>
      <c r="H547" t="s">
        <v>4310</v>
      </c>
      <c r="I547" t="s">
        <v>28</v>
      </c>
      <c r="J547" t="s">
        <v>4357</v>
      </c>
      <c r="K547" t="s">
        <v>19</v>
      </c>
      <c r="L547" t="s">
        <v>20</v>
      </c>
      <c r="M547" t="s">
        <v>4345</v>
      </c>
      <c r="N547" t="s">
        <v>4346</v>
      </c>
      <c r="O547" t="s">
        <v>4358</v>
      </c>
      <c r="P547" t="s">
        <v>4359</v>
      </c>
    </row>
    <row r="548" spans="1:16" x14ac:dyDescent="0.35">
      <c r="A548" t="s">
        <v>4360</v>
      </c>
      <c r="B548" t="s">
        <v>32</v>
      </c>
      <c r="C548" t="s">
        <v>311</v>
      </c>
      <c r="D548" t="s">
        <v>141</v>
      </c>
      <c r="E548" t="s">
        <v>4361</v>
      </c>
      <c r="F548" t="s">
        <v>4362</v>
      </c>
      <c r="G548" t="s">
        <v>4310</v>
      </c>
      <c r="H548" t="s">
        <v>4310</v>
      </c>
      <c r="I548" t="s">
        <v>4317</v>
      </c>
      <c r="J548" t="s">
        <v>4363</v>
      </c>
      <c r="K548" t="s">
        <v>19</v>
      </c>
      <c r="L548" t="s">
        <v>20</v>
      </c>
      <c r="M548" t="s">
        <v>4364</v>
      </c>
      <c r="N548" t="s">
        <v>4365</v>
      </c>
      <c r="O548" t="s">
        <v>4366</v>
      </c>
      <c r="P548" t="s">
        <v>4367</v>
      </c>
    </row>
    <row r="549" spans="1:16" x14ac:dyDescent="0.35">
      <c r="A549" t="s">
        <v>4368</v>
      </c>
      <c r="B549" t="s">
        <v>107</v>
      </c>
      <c r="C549" t="s">
        <v>28</v>
      </c>
      <c r="D549" t="s">
        <v>28</v>
      </c>
      <c r="E549" t="s">
        <v>4369</v>
      </c>
      <c r="F549" t="s">
        <v>4370</v>
      </c>
      <c r="G549" t="s">
        <v>4310</v>
      </c>
      <c r="H549" t="s">
        <v>4310</v>
      </c>
      <c r="I549" t="s">
        <v>28</v>
      </c>
      <c r="J549" t="s">
        <v>28</v>
      </c>
      <c r="K549" t="s">
        <v>19</v>
      </c>
      <c r="L549" t="s">
        <v>20</v>
      </c>
      <c r="M549" t="s">
        <v>4371</v>
      </c>
      <c r="N549" t="s">
        <v>4372</v>
      </c>
      <c r="O549" t="s">
        <v>4373</v>
      </c>
      <c r="P549" t="s">
        <v>4374</v>
      </c>
    </row>
    <row r="550" spans="1:16" x14ac:dyDescent="0.35">
      <c r="A550" t="s">
        <v>4375</v>
      </c>
      <c r="B550" t="s">
        <v>55</v>
      </c>
      <c r="C550" t="s">
        <v>548</v>
      </c>
      <c r="D550" t="s">
        <v>2849</v>
      </c>
      <c r="E550" t="s">
        <v>4376</v>
      </c>
      <c r="F550" t="s">
        <v>4377</v>
      </c>
      <c r="G550" t="s">
        <v>4310</v>
      </c>
      <c r="H550" t="s">
        <v>4310</v>
      </c>
      <c r="I550" t="s">
        <v>28</v>
      </c>
      <c r="J550" t="s">
        <v>4378</v>
      </c>
      <c r="K550" t="s">
        <v>19</v>
      </c>
      <c r="L550" t="s">
        <v>20</v>
      </c>
      <c r="M550" t="s">
        <v>4371</v>
      </c>
      <c r="N550" t="s">
        <v>4372</v>
      </c>
      <c r="O550" t="s">
        <v>4379</v>
      </c>
      <c r="P550" t="s">
        <v>4380</v>
      </c>
    </row>
    <row r="551" spans="1:16" x14ac:dyDescent="0.35">
      <c r="A551" t="s">
        <v>4381</v>
      </c>
      <c r="B551" t="s">
        <v>55</v>
      </c>
      <c r="C551" t="s">
        <v>205</v>
      </c>
      <c r="D551" t="s">
        <v>68</v>
      </c>
      <c r="E551" t="s">
        <v>4382</v>
      </c>
      <c r="F551" t="s">
        <v>4383</v>
      </c>
      <c r="G551" t="s">
        <v>4310</v>
      </c>
      <c r="H551" t="s">
        <v>4310</v>
      </c>
      <c r="I551" t="s">
        <v>4384</v>
      </c>
      <c r="J551" t="s">
        <v>4385</v>
      </c>
      <c r="K551" t="s">
        <v>4386</v>
      </c>
      <c r="L551" t="s">
        <v>20</v>
      </c>
      <c r="M551" t="s">
        <v>4371</v>
      </c>
      <c r="N551" t="s">
        <v>4372</v>
      </c>
      <c r="O551" t="s">
        <v>4387</v>
      </c>
      <c r="P551" t="s">
        <v>4388</v>
      </c>
    </row>
    <row r="552" spans="1:16" x14ac:dyDescent="0.35">
      <c r="A552" t="s">
        <v>169</v>
      </c>
      <c r="B552" t="s">
        <v>55</v>
      </c>
      <c r="C552" t="s">
        <v>28</v>
      </c>
      <c r="D552" t="s">
        <v>28</v>
      </c>
      <c r="E552" t="s">
        <v>4389</v>
      </c>
      <c r="F552" t="s">
        <v>4343</v>
      </c>
      <c r="G552" t="s">
        <v>4310</v>
      </c>
      <c r="H552" t="s">
        <v>4310</v>
      </c>
      <c r="I552" t="s">
        <v>28</v>
      </c>
      <c r="J552" t="s">
        <v>4390</v>
      </c>
      <c r="K552" t="s">
        <v>19</v>
      </c>
      <c r="L552" t="s">
        <v>20</v>
      </c>
      <c r="M552" t="s">
        <v>4311</v>
      </c>
      <c r="N552" t="s">
        <v>4312</v>
      </c>
      <c r="O552" t="s">
        <v>4391</v>
      </c>
      <c r="P552" t="s">
        <v>4392</v>
      </c>
    </row>
    <row r="553" spans="1:16" x14ac:dyDescent="0.35">
      <c r="A553" t="s">
        <v>4393</v>
      </c>
      <c r="B553" t="s">
        <v>55</v>
      </c>
      <c r="C553" t="s">
        <v>28</v>
      </c>
      <c r="D553" t="s">
        <v>28</v>
      </c>
      <c r="E553" t="s">
        <v>4394</v>
      </c>
      <c r="F553" t="s">
        <v>4395</v>
      </c>
      <c r="G553" t="s">
        <v>4310</v>
      </c>
      <c r="H553" t="s">
        <v>4310</v>
      </c>
      <c r="I553" t="s">
        <v>28</v>
      </c>
      <c r="J553" t="s">
        <v>28</v>
      </c>
      <c r="K553" t="s">
        <v>19</v>
      </c>
      <c r="L553" t="s">
        <v>20</v>
      </c>
      <c r="M553" t="s">
        <v>4311</v>
      </c>
      <c r="N553" t="s">
        <v>4312</v>
      </c>
      <c r="O553" t="s">
        <v>4396</v>
      </c>
      <c r="P553" t="s">
        <v>4397</v>
      </c>
    </row>
    <row r="554" spans="1:16" x14ac:dyDescent="0.35">
      <c r="A554" t="s">
        <v>4398</v>
      </c>
      <c r="B554" t="s">
        <v>55</v>
      </c>
      <c r="C554" t="s">
        <v>177</v>
      </c>
      <c r="D554" t="s">
        <v>68</v>
      </c>
      <c r="E554" t="s">
        <v>4399</v>
      </c>
      <c r="F554" t="s">
        <v>4400</v>
      </c>
      <c r="G554" t="s">
        <v>4310</v>
      </c>
      <c r="H554" t="s">
        <v>4310</v>
      </c>
      <c r="I554" t="s">
        <v>28</v>
      </c>
      <c r="J554" t="s">
        <v>4401</v>
      </c>
      <c r="K554" t="s">
        <v>19</v>
      </c>
      <c r="L554" t="s">
        <v>20</v>
      </c>
      <c r="M554" t="s">
        <v>4311</v>
      </c>
      <c r="N554" t="s">
        <v>4312</v>
      </c>
      <c r="O554" t="s">
        <v>4402</v>
      </c>
      <c r="P554" t="s">
        <v>4403</v>
      </c>
    </row>
    <row r="555" spans="1:16" x14ac:dyDescent="0.35">
      <c r="A555" t="s">
        <v>538</v>
      </c>
      <c r="B555" t="s">
        <v>55</v>
      </c>
      <c r="C555" t="s">
        <v>311</v>
      </c>
      <c r="D555" t="s">
        <v>374</v>
      </c>
      <c r="E555" t="s">
        <v>4404</v>
      </c>
      <c r="F555" t="s">
        <v>4405</v>
      </c>
      <c r="G555" t="s">
        <v>4310</v>
      </c>
      <c r="H555" t="s">
        <v>4310</v>
      </c>
      <c r="I555" t="s">
        <v>82</v>
      </c>
      <c r="J555" t="s">
        <v>4406</v>
      </c>
      <c r="K555" t="s">
        <v>84</v>
      </c>
      <c r="L555" t="s">
        <v>20</v>
      </c>
      <c r="M555" t="s">
        <v>4407</v>
      </c>
      <c r="N555" t="s">
        <v>4408</v>
      </c>
      <c r="O555" t="s">
        <v>4409</v>
      </c>
      <c r="P555" t="s">
        <v>4410</v>
      </c>
    </row>
    <row r="556" spans="1:16" x14ac:dyDescent="0.35">
      <c r="A556" t="s">
        <v>4411</v>
      </c>
      <c r="B556" t="s">
        <v>55</v>
      </c>
      <c r="C556" t="s">
        <v>15</v>
      </c>
      <c r="D556" t="s">
        <v>16</v>
      </c>
      <c r="E556" t="s">
        <v>4412</v>
      </c>
      <c r="F556" t="s">
        <v>4413</v>
      </c>
      <c r="G556" t="s">
        <v>4414</v>
      </c>
      <c r="H556" t="s">
        <v>4310</v>
      </c>
      <c r="I556" t="s">
        <v>28</v>
      </c>
      <c r="J556" t="s">
        <v>4415</v>
      </c>
      <c r="K556" t="s">
        <v>19</v>
      </c>
      <c r="L556" t="s">
        <v>20</v>
      </c>
      <c r="M556" t="s">
        <v>4416</v>
      </c>
      <c r="N556" t="s">
        <v>4417</v>
      </c>
      <c r="O556" t="s">
        <v>4418</v>
      </c>
      <c r="P556" t="s">
        <v>4419</v>
      </c>
    </row>
    <row r="557" spans="1:16" x14ac:dyDescent="0.35">
      <c r="A557" t="s">
        <v>4420</v>
      </c>
      <c r="B557" t="s">
        <v>107</v>
      </c>
      <c r="C557" t="s">
        <v>28</v>
      </c>
      <c r="D557" t="s">
        <v>28</v>
      </c>
      <c r="E557" t="s">
        <v>4421</v>
      </c>
      <c r="F557" t="s">
        <v>4422</v>
      </c>
      <c r="G557" t="s">
        <v>4310</v>
      </c>
      <c r="H557" t="s">
        <v>4310</v>
      </c>
      <c r="I557" t="s">
        <v>28</v>
      </c>
      <c r="J557" t="s">
        <v>28</v>
      </c>
      <c r="K557" t="s">
        <v>19</v>
      </c>
      <c r="L557" t="s">
        <v>20</v>
      </c>
      <c r="M557" t="s">
        <v>4423</v>
      </c>
      <c r="N557" t="s">
        <v>4424</v>
      </c>
      <c r="O557" t="s">
        <v>4425</v>
      </c>
      <c r="P557" t="s">
        <v>4426</v>
      </c>
    </row>
    <row r="558" spans="1:16" x14ac:dyDescent="0.35">
      <c r="A558" t="s">
        <v>4427</v>
      </c>
      <c r="B558" t="s">
        <v>55</v>
      </c>
      <c r="C558" t="s">
        <v>15</v>
      </c>
      <c r="D558" t="s">
        <v>124</v>
      </c>
      <c r="E558" t="s">
        <v>4428</v>
      </c>
      <c r="F558" t="s">
        <v>4429</v>
      </c>
      <c r="G558" t="s">
        <v>4310</v>
      </c>
      <c r="H558" t="s">
        <v>4310</v>
      </c>
      <c r="I558" t="s">
        <v>28</v>
      </c>
      <c r="J558" t="s">
        <v>4430</v>
      </c>
      <c r="K558" t="s">
        <v>19</v>
      </c>
      <c r="L558" t="s">
        <v>20</v>
      </c>
      <c r="M558" t="s">
        <v>4431</v>
      </c>
      <c r="N558" t="s">
        <v>4432</v>
      </c>
      <c r="O558" t="s">
        <v>4433</v>
      </c>
      <c r="P558" t="s">
        <v>4434</v>
      </c>
    </row>
    <row r="559" spans="1:16" x14ac:dyDescent="0.35">
      <c r="A559" t="s">
        <v>4435</v>
      </c>
      <c r="B559" t="s">
        <v>55</v>
      </c>
      <c r="C559" t="s">
        <v>28</v>
      </c>
      <c r="D559" t="s">
        <v>28</v>
      </c>
      <c r="E559" t="s">
        <v>4436</v>
      </c>
      <c r="F559" t="s">
        <v>4437</v>
      </c>
      <c r="G559" t="s">
        <v>4310</v>
      </c>
      <c r="H559" t="s">
        <v>4310</v>
      </c>
      <c r="I559" t="s">
        <v>28</v>
      </c>
      <c r="J559" t="s">
        <v>28</v>
      </c>
      <c r="K559" t="s">
        <v>19</v>
      </c>
      <c r="L559" t="s">
        <v>20</v>
      </c>
      <c r="M559" t="s">
        <v>4438</v>
      </c>
      <c r="N559" t="s">
        <v>4439</v>
      </c>
      <c r="O559" t="s">
        <v>4440</v>
      </c>
      <c r="P559" t="s">
        <v>4441</v>
      </c>
    </row>
    <row r="560" spans="1:16" x14ac:dyDescent="0.35">
      <c r="A560" t="s">
        <v>4442</v>
      </c>
      <c r="B560" t="s">
        <v>157</v>
      </c>
      <c r="C560" t="s">
        <v>15</v>
      </c>
      <c r="D560" t="s">
        <v>16</v>
      </c>
      <c r="E560" t="s">
        <v>4443</v>
      </c>
      <c r="F560" t="s">
        <v>4444</v>
      </c>
      <c r="G560" t="s">
        <v>4310</v>
      </c>
      <c r="H560" t="s">
        <v>4310</v>
      </c>
      <c r="I560" t="s">
        <v>28</v>
      </c>
      <c r="J560" t="s">
        <v>4445</v>
      </c>
      <c r="K560" t="s">
        <v>19</v>
      </c>
      <c r="L560" t="s">
        <v>20</v>
      </c>
      <c r="M560" t="s">
        <v>4446</v>
      </c>
      <c r="N560" t="s">
        <v>4447</v>
      </c>
      <c r="O560" t="s">
        <v>4448</v>
      </c>
      <c r="P560" t="s">
        <v>4449</v>
      </c>
    </row>
    <row r="561" spans="1:16" x14ac:dyDescent="0.35">
      <c r="A561" t="s">
        <v>4450</v>
      </c>
      <c r="B561" t="s">
        <v>55</v>
      </c>
      <c r="C561" t="s">
        <v>28</v>
      </c>
      <c r="D561" t="s">
        <v>28</v>
      </c>
      <c r="E561" t="s">
        <v>4451</v>
      </c>
      <c r="F561" t="s">
        <v>4452</v>
      </c>
      <c r="G561" t="s">
        <v>4453</v>
      </c>
      <c r="H561" t="s">
        <v>4310</v>
      </c>
      <c r="I561" t="s">
        <v>28</v>
      </c>
      <c r="J561" t="s">
        <v>4454</v>
      </c>
      <c r="K561" t="s">
        <v>19</v>
      </c>
      <c r="L561" t="s">
        <v>20</v>
      </c>
      <c r="M561" t="s">
        <v>4455</v>
      </c>
      <c r="N561" t="s">
        <v>4456</v>
      </c>
      <c r="O561" t="s">
        <v>4457</v>
      </c>
      <c r="P561" t="s">
        <v>4458</v>
      </c>
    </row>
    <row r="562" spans="1:16" x14ac:dyDescent="0.35">
      <c r="A562" t="s">
        <v>4459</v>
      </c>
      <c r="B562" t="s">
        <v>55</v>
      </c>
      <c r="C562" t="s">
        <v>691</v>
      </c>
      <c r="D562" t="s">
        <v>16</v>
      </c>
      <c r="E562" t="s">
        <v>4460</v>
      </c>
      <c r="F562" t="s">
        <v>4461</v>
      </c>
      <c r="G562" t="s">
        <v>4462</v>
      </c>
      <c r="H562" t="s">
        <v>4310</v>
      </c>
      <c r="I562" t="s">
        <v>4463</v>
      </c>
      <c r="J562" t="s">
        <v>4464</v>
      </c>
      <c r="K562" t="s">
        <v>4465</v>
      </c>
      <c r="L562" t="s">
        <v>20</v>
      </c>
      <c r="M562" t="s">
        <v>4466</v>
      </c>
      <c r="N562" t="s">
        <v>4467</v>
      </c>
      <c r="O562" t="s">
        <v>4468</v>
      </c>
      <c r="P562" t="s">
        <v>4469</v>
      </c>
    </row>
    <row r="563" spans="1:16" x14ac:dyDescent="0.35">
      <c r="A563" t="s">
        <v>4470</v>
      </c>
      <c r="B563" t="s">
        <v>55</v>
      </c>
      <c r="C563" t="s">
        <v>117</v>
      </c>
      <c r="D563" t="s">
        <v>449</v>
      </c>
      <c r="E563" t="s">
        <v>4471</v>
      </c>
      <c r="F563" t="s">
        <v>4472</v>
      </c>
      <c r="G563" t="s">
        <v>4473</v>
      </c>
      <c r="H563" t="s">
        <v>4310</v>
      </c>
      <c r="I563" t="s">
        <v>28</v>
      </c>
      <c r="J563" t="s">
        <v>4474</v>
      </c>
      <c r="K563" t="s">
        <v>19</v>
      </c>
      <c r="L563" t="s">
        <v>20</v>
      </c>
      <c r="M563" t="s">
        <v>4475</v>
      </c>
      <c r="N563" t="s">
        <v>4476</v>
      </c>
      <c r="O563" t="s">
        <v>4477</v>
      </c>
      <c r="P563" t="s">
        <v>4478</v>
      </c>
    </row>
    <row r="564" spans="1:16" x14ac:dyDescent="0.35">
      <c r="A564" t="s">
        <v>4479</v>
      </c>
      <c r="B564" t="s">
        <v>55</v>
      </c>
      <c r="C564" t="s">
        <v>15</v>
      </c>
      <c r="D564" t="s">
        <v>16</v>
      </c>
      <c r="E564" t="s">
        <v>4480</v>
      </c>
      <c r="F564" t="s">
        <v>4481</v>
      </c>
      <c r="G564" t="s">
        <v>4462</v>
      </c>
      <c r="H564" t="s">
        <v>4310</v>
      </c>
      <c r="I564" t="s">
        <v>4463</v>
      </c>
      <c r="J564" t="s">
        <v>4482</v>
      </c>
      <c r="K564" t="s">
        <v>4465</v>
      </c>
      <c r="L564" t="s">
        <v>20</v>
      </c>
      <c r="M564" t="s">
        <v>4483</v>
      </c>
      <c r="N564" t="s">
        <v>4484</v>
      </c>
      <c r="O564" t="s">
        <v>4485</v>
      </c>
      <c r="P564" t="s">
        <v>4486</v>
      </c>
    </row>
    <row r="565" spans="1:16" x14ac:dyDescent="0.35">
      <c r="A565" t="s">
        <v>482</v>
      </c>
      <c r="B565" t="s">
        <v>55</v>
      </c>
      <c r="C565" t="s">
        <v>117</v>
      </c>
      <c r="D565" t="s">
        <v>16</v>
      </c>
      <c r="E565" t="s">
        <v>4487</v>
      </c>
      <c r="F565" t="s">
        <v>4488</v>
      </c>
      <c r="G565" t="s">
        <v>4489</v>
      </c>
      <c r="H565" t="s">
        <v>4310</v>
      </c>
      <c r="I565" t="s">
        <v>162</v>
      </c>
      <c r="J565" t="s">
        <v>4490</v>
      </c>
      <c r="K565" t="s">
        <v>164</v>
      </c>
      <c r="L565" t="s">
        <v>20</v>
      </c>
      <c r="M565" t="s">
        <v>4491</v>
      </c>
      <c r="N565" t="s">
        <v>4492</v>
      </c>
      <c r="O565" t="s">
        <v>4493</v>
      </c>
      <c r="P565" t="s">
        <v>4494</v>
      </c>
    </row>
    <row r="566" spans="1:16" x14ac:dyDescent="0.35">
      <c r="A566" t="s">
        <v>4496</v>
      </c>
      <c r="B566" t="s">
        <v>55</v>
      </c>
      <c r="C566" t="s">
        <v>28</v>
      </c>
      <c r="D566" t="s">
        <v>28</v>
      </c>
      <c r="E566" t="s">
        <v>4497</v>
      </c>
      <c r="F566" t="s">
        <v>4498</v>
      </c>
      <c r="G566" t="s">
        <v>4495</v>
      </c>
      <c r="H566" t="s">
        <v>4495</v>
      </c>
      <c r="I566" t="s">
        <v>4499</v>
      </c>
      <c r="J566" t="s">
        <v>4500</v>
      </c>
      <c r="K566" t="s">
        <v>4501</v>
      </c>
      <c r="L566" t="s">
        <v>20</v>
      </c>
      <c r="M566" t="s">
        <v>4502</v>
      </c>
      <c r="N566" t="s">
        <v>4503</v>
      </c>
      <c r="O566" t="s">
        <v>4504</v>
      </c>
      <c r="P566" t="s">
        <v>4505</v>
      </c>
    </row>
    <row r="567" spans="1:16" x14ac:dyDescent="0.35">
      <c r="A567" t="s">
        <v>538</v>
      </c>
      <c r="B567" t="s">
        <v>55</v>
      </c>
      <c r="C567" t="s">
        <v>78</v>
      </c>
      <c r="D567" t="s">
        <v>4506</v>
      </c>
      <c r="E567" t="s">
        <v>4507</v>
      </c>
      <c r="F567" t="s">
        <v>4508</v>
      </c>
      <c r="G567" t="s">
        <v>4495</v>
      </c>
      <c r="H567" t="s">
        <v>4495</v>
      </c>
      <c r="I567" t="s">
        <v>82</v>
      </c>
      <c r="J567" t="s">
        <v>4509</v>
      </c>
      <c r="K567" t="s">
        <v>84</v>
      </c>
      <c r="L567" t="s">
        <v>20</v>
      </c>
      <c r="M567" t="s">
        <v>4502</v>
      </c>
      <c r="N567" t="s">
        <v>4503</v>
      </c>
      <c r="O567" t="s">
        <v>4510</v>
      </c>
      <c r="P567" t="s">
        <v>4511</v>
      </c>
    </row>
    <row r="568" spans="1:16" x14ac:dyDescent="0.35">
      <c r="A568" t="s">
        <v>4381</v>
      </c>
      <c r="B568" t="s">
        <v>55</v>
      </c>
      <c r="C568" t="s">
        <v>28</v>
      </c>
      <c r="D568" t="s">
        <v>28</v>
      </c>
      <c r="E568" t="s">
        <v>4512</v>
      </c>
      <c r="F568" t="s">
        <v>4513</v>
      </c>
      <c r="G568" t="s">
        <v>4495</v>
      </c>
      <c r="H568" t="s">
        <v>4495</v>
      </c>
      <c r="I568" t="s">
        <v>4384</v>
      </c>
      <c r="J568" t="s">
        <v>4514</v>
      </c>
      <c r="K568" t="s">
        <v>4386</v>
      </c>
      <c r="L568" t="s">
        <v>20</v>
      </c>
      <c r="M568" t="s">
        <v>4515</v>
      </c>
      <c r="N568" t="s">
        <v>4516</v>
      </c>
      <c r="O568" t="s">
        <v>4517</v>
      </c>
      <c r="P568" t="s">
        <v>4518</v>
      </c>
    </row>
    <row r="569" spans="1:16" x14ac:dyDescent="0.35">
      <c r="A569" t="s">
        <v>4519</v>
      </c>
      <c r="B569" t="s">
        <v>55</v>
      </c>
      <c r="C569" t="s">
        <v>28</v>
      </c>
      <c r="D569" t="s">
        <v>28</v>
      </c>
      <c r="E569" t="s">
        <v>4520</v>
      </c>
      <c r="F569" t="s">
        <v>4521</v>
      </c>
      <c r="G569" t="s">
        <v>4495</v>
      </c>
      <c r="H569" t="s">
        <v>4495</v>
      </c>
      <c r="I569" t="s">
        <v>28</v>
      </c>
      <c r="J569" t="s">
        <v>4522</v>
      </c>
      <c r="K569" t="s">
        <v>19</v>
      </c>
      <c r="L569" t="s">
        <v>20</v>
      </c>
      <c r="M569" t="s">
        <v>4515</v>
      </c>
      <c r="N569" t="s">
        <v>4516</v>
      </c>
      <c r="O569" t="s">
        <v>4523</v>
      </c>
      <c r="P569" t="s">
        <v>4524</v>
      </c>
    </row>
    <row r="570" spans="1:16" x14ac:dyDescent="0.35">
      <c r="A570" t="s">
        <v>4525</v>
      </c>
      <c r="B570" t="s">
        <v>194</v>
      </c>
      <c r="C570" t="s">
        <v>15</v>
      </c>
      <c r="D570" t="s">
        <v>124</v>
      </c>
      <c r="E570" t="s">
        <v>4526</v>
      </c>
      <c r="F570" t="s">
        <v>4527</v>
      </c>
      <c r="G570" t="s">
        <v>4495</v>
      </c>
      <c r="H570" t="s">
        <v>4495</v>
      </c>
      <c r="I570" t="s">
        <v>162</v>
      </c>
      <c r="J570" t="s">
        <v>4528</v>
      </c>
      <c r="K570" t="s">
        <v>164</v>
      </c>
      <c r="L570" t="s">
        <v>20</v>
      </c>
      <c r="M570" t="s">
        <v>4515</v>
      </c>
      <c r="N570" t="s">
        <v>4516</v>
      </c>
      <c r="O570" t="s">
        <v>4529</v>
      </c>
      <c r="P570" t="s">
        <v>4530</v>
      </c>
    </row>
    <row r="571" spans="1:16" x14ac:dyDescent="0.35">
      <c r="A571" t="s">
        <v>780</v>
      </c>
      <c r="B571" t="s">
        <v>55</v>
      </c>
      <c r="C571" t="s">
        <v>15</v>
      </c>
      <c r="D571" t="s">
        <v>348</v>
      </c>
      <c r="E571" t="s">
        <v>4531</v>
      </c>
      <c r="F571" t="s">
        <v>4532</v>
      </c>
      <c r="G571" t="s">
        <v>4495</v>
      </c>
      <c r="H571" t="s">
        <v>4495</v>
      </c>
      <c r="I571" t="s">
        <v>4533</v>
      </c>
      <c r="J571" t="s">
        <v>4534</v>
      </c>
      <c r="K571" t="s">
        <v>19</v>
      </c>
      <c r="L571" t="s">
        <v>20</v>
      </c>
      <c r="M571" t="s">
        <v>4535</v>
      </c>
      <c r="N571" t="s">
        <v>4536</v>
      </c>
      <c r="O571" t="s">
        <v>4537</v>
      </c>
      <c r="P571" t="s">
        <v>4538</v>
      </c>
    </row>
    <row r="572" spans="1:16" x14ac:dyDescent="0.35">
      <c r="A572" t="s">
        <v>4539</v>
      </c>
      <c r="B572" t="s">
        <v>55</v>
      </c>
      <c r="C572" t="s">
        <v>28</v>
      </c>
      <c r="D572" t="s">
        <v>28</v>
      </c>
      <c r="E572" t="s">
        <v>4540</v>
      </c>
      <c r="F572" t="s">
        <v>4541</v>
      </c>
      <c r="G572" t="s">
        <v>4495</v>
      </c>
      <c r="H572" t="s">
        <v>4495</v>
      </c>
      <c r="I572" t="s">
        <v>4542</v>
      </c>
      <c r="J572" t="s">
        <v>4543</v>
      </c>
      <c r="K572" t="s">
        <v>4544</v>
      </c>
      <c r="L572" t="s">
        <v>20</v>
      </c>
      <c r="M572" t="s">
        <v>4535</v>
      </c>
      <c r="N572" t="s">
        <v>4536</v>
      </c>
      <c r="O572" t="s">
        <v>4545</v>
      </c>
      <c r="P572" t="s">
        <v>4546</v>
      </c>
    </row>
    <row r="573" spans="1:16" x14ac:dyDescent="0.35">
      <c r="A573" t="s">
        <v>4547</v>
      </c>
      <c r="B573" t="s">
        <v>55</v>
      </c>
      <c r="C573" t="s">
        <v>28</v>
      </c>
      <c r="D573" t="s">
        <v>28</v>
      </c>
      <c r="E573" t="s">
        <v>4548</v>
      </c>
      <c r="F573" t="s">
        <v>4549</v>
      </c>
      <c r="G573" t="s">
        <v>4495</v>
      </c>
      <c r="H573" t="s">
        <v>4495</v>
      </c>
      <c r="I573" t="s">
        <v>28</v>
      </c>
      <c r="J573" t="s">
        <v>4550</v>
      </c>
      <c r="K573" t="s">
        <v>19</v>
      </c>
      <c r="L573" t="s">
        <v>20</v>
      </c>
      <c r="M573" t="s">
        <v>4551</v>
      </c>
      <c r="N573" t="s">
        <v>4552</v>
      </c>
      <c r="O573" t="s">
        <v>4553</v>
      </c>
      <c r="P573" t="s">
        <v>4554</v>
      </c>
    </row>
    <row r="574" spans="1:16" x14ac:dyDescent="0.35">
      <c r="A574" t="s">
        <v>4555</v>
      </c>
      <c r="B574" t="s">
        <v>55</v>
      </c>
      <c r="C574" t="s">
        <v>28</v>
      </c>
      <c r="D574" t="s">
        <v>28</v>
      </c>
      <c r="E574" t="s">
        <v>4556</v>
      </c>
      <c r="F574" t="s">
        <v>4557</v>
      </c>
      <c r="G574" t="s">
        <v>4495</v>
      </c>
      <c r="H574" t="s">
        <v>4495</v>
      </c>
      <c r="I574" t="s">
        <v>28</v>
      </c>
      <c r="J574" t="s">
        <v>4558</v>
      </c>
      <c r="K574" t="s">
        <v>19</v>
      </c>
      <c r="L574" t="s">
        <v>20</v>
      </c>
      <c r="M574" t="s">
        <v>4551</v>
      </c>
      <c r="N574" t="s">
        <v>4552</v>
      </c>
      <c r="O574" t="s">
        <v>4559</v>
      </c>
      <c r="P574" t="s">
        <v>4560</v>
      </c>
    </row>
    <row r="575" spans="1:16" x14ac:dyDescent="0.35">
      <c r="A575" t="s">
        <v>200</v>
      </c>
      <c r="B575" t="s">
        <v>55</v>
      </c>
      <c r="C575" t="s">
        <v>15</v>
      </c>
      <c r="D575" t="s">
        <v>16</v>
      </c>
      <c r="E575" t="s">
        <v>4561</v>
      </c>
      <c r="F575" t="s">
        <v>4562</v>
      </c>
      <c r="G575" t="s">
        <v>4495</v>
      </c>
      <c r="H575" t="s">
        <v>4495</v>
      </c>
      <c r="I575" t="s">
        <v>28</v>
      </c>
      <c r="J575" t="s">
        <v>4563</v>
      </c>
      <c r="K575" t="s">
        <v>19</v>
      </c>
      <c r="L575" t="s">
        <v>20</v>
      </c>
      <c r="M575" t="s">
        <v>4564</v>
      </c>
      <c r="N575" t="s">
        <v>4565</v>
      </c>
      <c r="O575" t="s">
        <v>4566</v>
      </c>
      <c r="P575" t="s">
        <v>4567</v>
      </c>
    </row>
    <row r="576" spans="1:16" x14ac:dyDescent="0.35">
      <c r="A576" t="s">
        <v>4568</v>
      </c>
      <c r="B576" t="s">
        <v>55</v>
      </c>
      <c r="C576" t="s">
        <v>15</v>
      </c>
      <c r="D576" t="s">
        <v>27</v>
      </c>
      <c r="E576" t="s">
        <v>4569</v>
      </c>
      <c r="F576" t="s">
        <v>4570</v>
      </c>
      <c r="G576" t="s">
        <v>4495</v>
      </c>
      <c r="H576" t="s">
        <v>4495</v>
      </c>
      <c r="I576" t="s">
        <v>4571</v>
      </c>
      <c r="J576" t="s">
        <v>4572</v>
      </c>
      <c r="K576" t="s">
        <v>19</v>
      </c>
      <c r="L576" t="s">
        <v>20</v>
      </c>
      <c r="M576" t="s">
        <v>4515</v>
      </c>
      <c r="N576" t="s">
        <v>4516</v>
      </c>
      <c r="O576" t="s">
        <v>4573</v>
      </c>
      <c r="P576" t="s">
        <v>4574</v>
      </c>
    </row>
    <row r="577" spans="1:16" x14ac:dyDescent="0.35">
      <c r="A577" t="s">
        <v>4575</v>
      </c>
      <c r="B577" t="s">
        <v>55</v>
      </c>
      <c r="C577" t="s">
        <v>15</v>
      </c>
      <c r="D577" t="s">
        <v>16</v>
      </c>
      <c r="E577" t="s">
        <v>4576</v>
      </c>
      <c r="F577" t="s">
        <v>4577</v>
      </c>
      <c r="G577" t="s">
        <v>4495</v>
      </c>
      <c r="H577" t="s">
        <v>4495</v>
      </c>
      <c r="I577" t="s">
        <v>28</v>
      </c>
      <c r="J577" t="s">
        <v>4578</v>
      </c>
      <c r="K577" t="s">
        <v>19</v>
      </c>
      <c r="L577" t="s">
        <v>20</v>
      </c>
      <c r="M577" t="s">
        <v>4515</v>
      </c>
      <c r="N577" t="s">
        <v>4516</v>
      </c>
      <c r="O577" t="s">
        <v>4579</v>
      </c>
      <c r="P577" t="s">
        <v>4580</v>
      </c>
    </row>
    <row r="578" spans="1:16" x14ac:dyDescent="0.35">
      <c r="A578" t="s">
        <v>4581</v>
      </c>
      <c r="B578" t="s">
        <v>107</v>
      </c>
      <c r="C578" t="s">
        <v>15</v>
      </c>
      <c r="D578" t="s">
        <v>449</v>
      </c>
      <c r="E578" t="s">
        <v>4582</v>
      </c>
      <c r="F578" t="s">
        <v>4583</v>
      </c>
      <c r="G578" t="s">
        <v>4495</v>
      </c>
      <c r="H578" t="s">
        <v>4495</v>
      </c>
      <c r="I578" t="s">
        <v>4584</v>
      </c>
      <c r="J578" t="s">
        <v>4585</v>
      </c>
      <c r="K578" t="s">
        <v>19</v>
      </c>
      <c r="L578" t="s">
        <v>20</v>
      </c>
      <c r="M578" t="s">
        <v>4515</v>
      </c>
      <c r="N578" t="s">
        <v>4516</v>
      </c>
      <c r="O578" t="s">
        <v>4586</v>
      </c>
      <c r="P578" t="s">
        <v>4587</v>
      </c>
    </row>
    <row r="579" spans="1:16" x14ac:dyDescent="0.35">
      <c r="A579" t="s">
        <v>2774</v>
      </c>
      <c r="B579" t="s">
        <v>55</v>
      </c>
      <c r="C579" t="s">
        <v>15</v>
      </c>
      <c r="D579" t="s">
        <v>124</v>
      </c>
      <c r="E579" t="s">
        <v>4588</v>
      </c>
      <c r="F579" t="s">
        <v>4589</v>
      </c>
      <c r="G579" t="s">
        <v>4495</v>
      </c>
      <c r="H579" t="s">
        <v>4495</v>
      </c>
      <c r="I579" t="s">
        <v>2778</v>
      </c>
      <c r="J579" t="s">
        <v>4590</v>
      </c>
      <c r="K579" t="s">
        <v>2780</v>
      </c>
      <c r="L579" t="s">
        <v>20</v>
      </c>
      <c r="M579" t="s">
        <v>4515</v>
      </c>
      <c r="N579" t="s">
        <v>4516</v>
      </c>
      <c r="O579" t="s">
        <v>4591</v>
      </c>
      <c r="P579" t="s">
        <v>4592</v>
      </c>
    </row>
    <row r="580" spans="1:16" x14ac:dyDescent="0.35">
      <c r="A580" t="s">
        <v>4593</v>
      </c>
      <c r="B580" t="s">
        <v>55</v>
      </c>
      <c r="C580" t="s">
        <v>28</v>
      </c>
      <c r="D580" t="s">
        <v>28</v>
      </c>
      <c r="E580" t="s">
        <v>4594</v>
      </c>
      <c r="F580" t="s">
        <v>4595</v>
      </c>
      <c r="G580" t="s">
        <v>4495</v>
      </c>
      <c r="H580" t="s">
        <v>4495</v>
      </c>
      <c r="I580" t="s">
        <v>28</v>
      </c>
      <c r="J580" t="s">
        <v>4596</v>
      </c>
      <c r="K580" t="s">
        <v>19</v>
      </c>
      <c r="L580" t="s">
        <v>20</v>
      </c>
      <c r="M580" t="s">
        <v>4515</v>
      </c>
      <c r="N580" t="s">
        <v>4516</v>
      </c>
      <c r="O580" t="s">
        <v>4597</v>
      </c>
      <c r="P580" t="s">
        <v>4598</v>
      </c>
    </row>
    <row r="581" spans="1:16" x14ac:dyDescent="0.35">
      <c r="A581" t="s">
        <v>4599</v>
      </c>
      <c r="B581" t="s">
        <v>107</v>
      </c>
      <c r="C581" t="s">
        <v>117</v>
      </c>
      <c r="D581" t="s">
        <v>16</v>
      </c>
      <c r="E581" t="s">
        <v>4600</v>
      </c>
      <c r="F581" t="s">
        <v>4601</v>
      </c>
      <c r="G581" t="s">
        <v>4495</v>
      </c>
      <c r="H581" t="s">
        <v>4495</v>
      </c>
      <c r="I581" t="s">
        <v>4533</v>
      </c>
      <c r="J581" t="s">
        <v>4602</v>
      </c>
      <c r="K581" t="s">
        <v>19</v>
      </c>
      <c r="L581" t="s">
        <v>20</v>
      </c>
      <c r="M581" t="s">
        <v>4603</v>
      </c>
      <c r="N581" t="s">
        <v>4604</v>
      </c>
      <c r="O581" t="s">
        <v>4605</v>
      </c>
      <c r="P581" t="s">
        <v>915</v>
      </c>
    </row>
    <row r="582" spans="1:16" x14ac:dyDescent="0.35">
      <c r="A582" t="s">
        <v>4606</v>
      </c>
      <c r="B582" t="s">
        <v>55</v>
      </c>
      <c r="C582" t="s">
        <v>28</v>
      </c>
      <c r="D582" t="s">
        <v>28</v>
      </c>
      <c r="E582" t="s">
        <v>4607</v>
      </c>
      <c r="F582" t="s">
        <v>4608</v>
      </c>
      <c r="G582" t="s">
        <v>4495</v>
      </c>
      <c r="H582" t="s">
        <v>4495</v>
      </c>
      <c r="I582" t="s">
        <v>4609</v>
      </c>
      <c r="J582" t="s">
        <v>4610</v>
      </c>
      <c r="K582" t="s">
        <v>4611</v>
      </c>
      <c r="L582" t="s">
        <v>20</v>
      </c>
      <c r="M582" t="s">
        <v>4612</v>
      </c>
      <c r="N582" t="s">
        <v>4613</v>
      </c>
      <c r="O582" t="s">
        <v>4614</v>
      </c>
      <c r="P582" t="s">
        <v>4615</v>
      </c>
    </row>
    <row r="583" spans="1:16" x14ac:dyDescent="0.35">
      <c r="A583" t="s">
        <v>4616</v>
      </c>
      <c r="B583" t="s">
        <v>55</v>
      </c>
      <c r="C583" t="s">
        <v>28</v>
      </c>
      <c r="D583" t="s">
        <v>28</v>
      </c>
      <c r="E583" t="s">
        <v>4617</v>
      </c>
      <c r="F583" t="s">
        <v>4618</v>
      </c>
      <c r="G583" t="s">
        <v>4619</v>
      </c>
      <c r="H583" t="s">
        <v>4495</v>
      </c>
      <c r="I583" t="s">
        <v>4620</v>
      </c>
      <c r="J583" t="s">
        <v>4621</v>
      </c>
      <c r="K583" t="s">
        <v>4622</v>
      </c>
      <c r="L583" t="s">
        <v>20</v>
      </c>
      <c r="M583" t="s">
        <v>4623</v>
      </c>
      <c r="N583" t="s">
        <v>4624</v>
      </c>
      <c r="O583" t="s">
        <v>4625</v>
      </c>
      <c r="P583" t="s">
        <v>4626</v>
      </c>
    </row>
    <row r="584" spans="1:16" x14ac:dyDescent="0.35">
      <c r="A584" t="s">
        <v>4627</v>
      </c>
      <c r="B584" t="s">
        <v>107</v>
      </c>
      <c r="C584" t="s">
        <v>357</v>
      </c>
      <c r="D584" t="s">
        <v>1683</v>
      </c>
      <c r="E584" t="s">
        <v>4628</v>
      </c>
      <c r="F584" t="s">
        <v>4629</v>
      </c>
      <c r="G584" t="s">
        <v>4630</v>
      </c>
      <c r="H584" t="s">
        <v>4495</v>
      </c>
      <c r="I584" t="s">
        <v>4631</v>
      </c>
      <c r="J584" t="s">
        <v>4632</v>
      </c>
      <c r="K584" t="s">
        <v>4633</v>
      </c>
      <c r="L584" t="s">
        <v>20</v>
      </c>
      <c r="M584" t="s">
        <v>4634</v>
      </c>
      <c r="N584" t="s">
        <v>4635</v>
      </c>
      <c r="O584" t="s">
        <v>4636</v>
      </c>
      <c r="P584" t="s">
        <v>4637</v>
      </c>
    </row>
    <row r="585" spans="1:16" x14ac:dyDescent="0.35">
      <c r="A585" t="s">
        <v>4638</v>
      </c>
      <c r="B585" t="s">
        <v>55</v>
      </c>
      <c r="C585" t="s">
        <v>117</v>
      </c>
      <c r="D585" t="s">
        <v>449</v>
      </c>
      <c r="E585" t="s">
        <v>4639</v>
      </c>
      <c r="F585" t="s">
        <v>4640</v>
      </c>
      <c r="G585" t="s">
        <v>4641</v>
      </c>
      <c r="H585" t="s">
        <v>4495</v>
      </c>
      <c r="I585" t="s">
        <v>552</v>
      </c>
      <c r="J585" t="s">
        <v>4642</v>
      </c>
      <c r="K585" t="s">
        <v>554</v>
      </c>
      <c r="L585" t="s">
        <v>20</v>
      </c>
      <c r="M585" t="s">
        <v>4643</v>
      </c>
      <c r="N585" t="s">
        <v>4644</v>
      </c>
      <c r="O585" t="s">
        <v>4645</v>
      </c>
      <c r="P585" t="s">
        <v>4646</v>
      </c>
    </row>
    <row r="586" spans="1:16" x14ac:dyDescent="0.35">
      <c r="A586" t="s">
        <v>538</v>
      </c>
      <c r="B586" t="s">
        <v>55</v>
      </c>
      <c r="C586" t="s">
        <v>158</v>
      </c>
      <c r="D586" t="s">
        <v>374</v>
      </c>
      <c r="E586" t="s">
        <v>4647</v>
      </c>
      <c r="F586" t="s">
        <v>4648</v>
      </c>
      <c r="G586" t="s">
        <v>4649</v>
      </c>
      <c r="H586" t="s">
        <v>4650</v>
      </c>
      <c r="I586" t="s">
        <v>82</v>
      </c>
      <c r="J586" t="s">
        <v>4651</v>
      </c>
      <c r="K586" t="s">
        <v>84</v>
      </c>
      <c r="L586" t="s">
        <v>20</v>
      </c>
      <c r="M586" t="s">
        <v>4652</v>
      </c>
      <c r="N586" t="s">
        <v>4653</v>
      </c>
      <c r="O586" t="s">
        <v>4654</v>
      </c>
      <c r="P586" t="s">
        <v>4655</v>
      </c>
    </row>
    <row r="587" spans="1:16" x14ac:dyDescent="0.35">
      <c r="A587" t="s">
        <v>4657</v>
      </c>
      <c r="B587" t="s">
        <v>55</v>
      </c>
      <c r="C587" t="s">
        <v>691</v>
      </c>
      <c r="D587" t="s">
        <v>614</v>
      </c>
      <c r="E587" t="s">
        <v>4658</v>
      </c>
      <c r="F587" t="s">
        <v>4659</v>
      </c>
      <c r="G587" t="s">
        <v>4656</v>
      </c>
      <c r="H587" t="s">
        <v>4656</v>
      </c>
      <c r="I587" t="s">
        <v>4660</v>
      </c>
      <c r="J587" t="s">
        <v>4661</v>
      </c>
      <c r="K587" t="s">
        <v>4662</v>
      </c>
      <c r="L587" t="s">
        <v>20</v>
      </c>
      <c r="M587" t="s">
        <v>4663</v>
      </c>
      <c r="N587" t="s">
        <v>4664</v>
      </c>
      <c r="O587" t="s">
        <v>4665</v>
      </c>
      <c r="P587" t="s">
        <v>4666</v>
      </c>
    </row>
    <row r="588" spans="1:16" x14ac:dyDescent="0.35">
      <c r="A588" t="s">
        <v>4667</v>
      </c>
      <c r="B588" t="s">
        <v>55</v>
      </c>
      <c r="C588" t="s">
        <v>96</v>
      </c>
      <c r="D588" t="s">
        <v>1643</v>
      </c>
      <c r="E588" t="s">
        <v>4668</v>
      </c>
      <c r="F588" t="s">
        <v>4669</v>
      </c>
      <c r="G588" t="s">
        <v>4656</v>
      </c>
      <c r="H588" t="s">
        <v>4656</v>
      </c>
      <c r="I588" t="s">
        <v>596</v>
      </c>
      <c r="J588" t="s">
        <v>4670</v>
      </c>
      <c r="K588" t="s">
        <v>598</v>
      </c>
      <c r="L588" t="s">
        <v>20</v>
      </c>
      <c r="M588" t="s">
        <v>4663</v>
      </c>
      <c r="N588" t="s">
        <v>4664</v>
      </c>
      <c r="O588" t="s">
        <v>4671</v>
      </c>
      <c r="P588" t="s">
        <v>4672</v>
      </c>
    </row>
    <row r="589" spans="1:16" x14ac:dyDescent="0.35">
      <c r="A589" t="s">
        <v>4673</v>
      </c>
      <c r="B589" t="s">
        <v>88</v>
      </c>
      <c r="C589" t="s">
        <v>28</v>
      </c>
      <c r="D589" t="s">
        <v>28</v>
      </c>
      <c r="E589" t="s">
        <v>4674</v>
      </c>
      <c r="F589" t="s">
        <v>4675</v>
      </c>
      <c r="G589" t="s">
        <v>4656</v>
      </c>
      <c r="H589" t="s">
        <v>4656</v>
      </c>
      <c r="I589" t="s">
        <v>28</v>
      </c>
      <c r="J589" t="s">
        <v>4676</v>
      </c>
      <c r="K589" t="s">
        <v>19</v>
      </c>
      <c r="L589" t="s">
        <v>20</v>
      </c>
      <c r="M589" t="s">
        <v>4663</v>
      </c>
      <c r="N589" t="s">
        <v>4664</v>
      </c>
      <c r="O589" t="s">
        <v>4677</v>
      </c>
      <c r="P589" t="s">
        <v>4678</v>
      </c>
    </row>
    <row r="590" spans="1:16" x14ac:dyDescent="0.35">
      <c r="A590" t="s">
        <v>4679</v>
      </c>
      <c r="B590" t="s">
        <v>55</v>
      </c>
      <c r="C590" t="s">
        <v>15</v>
      </c>
      <c r="D590" t="s">
        <v>16</v>
      </c>
      <c r="E590" t="s">
        <v>4680</v>
      </c>
      <c r="F590" t="s">
        <v>4681</v>
      </c>
      <c r="G590" t="s">
        <v>4656</v>
      </c>
      <c r="H590" t="s">
        <v>4656</v>
      </c>
      <c r="I590" t="s">
        <v>28</v>
      </c>
      <c r="J590" t="s">
        <v>4682</v>
      </c>
      <c r="K590" t="s">
        <v>19</v>
      </c>
      <c r="L590" t="s">
        <v>20</v>
      </c>
      <c r="M590" t="s">
        <v>4663</v>
      </c>
      <c r="N590" t="s">
        <v>4664</v>
      </c>
      <c r="O590" t="s">
        <v>4683</v>
      </c>
      <c r="P590" t="s">
        <v>4684</v>
      </c>
    </row>
    <row r="591" spans="1:16" x14ac:dyDescent="0.35">
      <c r="A591" t="s">
        <v>4685</v>
      </c>
      <c r="B591" t="s">
        <v>55</v>
      </c>
      <c r="C591" t="s">
        <v>691</v>
      </c>
      <c r="D591" t="s">
        <v>124</v>
      </c>
      <c r="E591" t="s">
        <v>4686</v>
      </c>
      <c r="F591" t="s">
        <v>4687</v>
      </c>
      <c r="G591" t="s">
        <v>4656</v>
      </c>
      <c r="H591" t="s">
        <v>4656</v>
      </c>
      <c r="I591" t="s">
        <v>596</v>
      </c>
      <c r="J591" t="s">
        <v>4688</v>
      </c>
      <c r="K591" t="s">
        <v>598</v>
      </c>
      <c r="L591" t="s">
        <v>20</v>
      </c>
      <c r="M591" t="s">
        <v>4663</v>
      </c>
      <c r="N591" t="s">
        <v>4664</v>
      </c>
      <c r="O591" t="s">
        <v>4689</v>
      </c>
      <c r="P591" t="s">
        <v>4690</v>
      </c>
    </row>
    <row r="592" spans="1:16" x14ac:dyDescent="0.35">
      <c r="A592" t="s">
        <v>780</v>
      </c>
      <c r="B592" t="s">
        <v>55</v>
      </c>
      <c r="C592" t="s">
        <v>205</v>
      </c>
      <c r="D592" t="s">
        <v>1817</v>
      </c>
      <c r="E592" t="s">
        <v>4691</v>
      </c>
      <c r="F592" t="s">
        <v>4692</v>
      </c>
      <c r="G592" t="s">
        <v>4656</v>
      </c>
      <c r="H592" t="s">
        <v>4656</v>
      </c>
      <c r="I592" t="s">
        <v>596</v>
      </c>
      <c r="J592" t="s">
        <v>4693</v>
      </c>
      <c r="K592" t="s">
        <v>598</v>
      </c>
      <c r="L592" t="s">
        <v>20</v>
      </c>
      <c r="M592" t="s">
        <v>4663</v>
      </c>
      <c r="N592" t="s">
        <v>4664</v>
      </c>
      <c r="O592" t="s">
        <v>4694</v>
      </c>
      <c r="P592" t="s">
        <v>4695</v>
      </c>
    </row>
    <row r="593" spans="1:16" x14ac:dyDescent="0.35">
      <c r="A593" t="s">
        <v>4696</v>
      </c>
      <c r="B593" t="s">
        <v>55</v>
      </c>
      <c r="C593" t="s">
        <v>691</v>
      </c>
      <c r="D593" t="s">
        <v>16</v>
      </c>
      <c r="E593" t="s">
        <v>4697</v>
      </c>
      <c r="F593" t="s">
        <v>4698</v>
      </c>
      <c r="G593" t="s">
        <v>4656</v>
      </c>
      <c r="H593" t="s">
        <v>4656</v>
      </c>
      <c r="I593" t="s">
        <v>28</v>
      </c>
      <c r="J593" t="s">
        <v>4699</v>
      </c>
      <c r="K593" t="s">
        <v>19</v>
      </c>
      <c r="L593" t="s">
        <v>20</v>
      </c>
      <c r="M593" t="s">
        <v>4700</v>
      </c>
      <c r="N593" t="s">
        <v>4701</v>
      </c>
      <c r="O593" t="s">
        <v>4702</v>
      </c>
      <c r="P593" t="s">
        <v>4703</v>
      </c>
    </row>
    <row r="594" spans="1:16" x14ac:dyDescent="0.35">
      <c r="A594" t="s">
        <v>4704</v>
      </c>
      <c r="B594" t="s">
        <v>55</v>
      </c>
      <c r="C594" t="s">
        <v>28</v>
      </c>
      <c r="D594" t="s">
        <v>28</v>
      </c>
      <c r="E594" t="s">
        <v>4705</v>
      </c>
      <c r="F594" t="s">
        <v>4706</v>
      </c>
      <c r="G594" t="s">
        <v>4656</v>
      </c>
      <c r="H594" t="s">
        <v>4656</v>
      </c>
      <c r="I594" t="s">
        <v>4707</v>
      </c>
      <c r="J594" t="s">
        <v>4708</v>
      </c>
      <c r="K594" t="s">
        <v>4709</v>
      </c>
      <c r="L594" t="s">
        <v>20</v>
      </c>
      <c r="M594" t="s">
        <v>4700</v>
      </c>
      <c r="N594" t="s">
        <v>4701</v>
      </c>
      <c r="O594" t="s">
        <v>4710</v>
      </c>
      <c r="P594" t="s">
        <v>915</v>
      </c>
    </row>
    <row r="595" spans="1:16" x14ac:dyDescent="0.35">
      <c r="A595" t="s">
        <v>4711</v>
      </c>
      <c r="B595" t="s">
        <v>55</v>
      </c>
      <c r="C595" t="s">
        <v>15</v>
      </c>
      <c r="D595" t="s">
        <v>16</v>
      </c>
      <c r="E595" t="s">
        <v>4712</v>
      </c>
      <c r="F595" t="s">
        <v>4713</v>
      </c>
      <c r="G595" t="s">
        <v>4656</v>
      </c>
      <c r="H595" t="s">
        <v>4656</v>
      </c>
      <c r="I595" t="s">
        <v>28</v>
      </c>
      <c r="J595" t="s">
        <v>28</v>
      </c>
      <c r="K595" t="s">
        <v>19</v>
      </c>
      <c r="L595" t="s">
        <v>20</v>
      </c>
      <c r="M595" t="s">
        <v>4714</v>
      </c>
      <c r="N595" t="s">
        <v>4715</v>
      </c>
      <c r="O595" t="s">
        <v>4716</v>
      </c>
      <c r="P595" t="s">
        <v>4717</v>
      </c>
    </row>
    <row r="596" spans="1:16" x14ac:dyDescent="0.35">
      <c r="A596" t="s">
        <v>4718</v>
      </c>
      <c r="B596" t="s">
        <v>55</v>
      </c>
      <c r="C596" t="s">
        <v>15</v>
      </c>
      <c r="D596" t="s">
        <v>27</v>
      </c>
      <c r="E596" t="s">
        <v>4719</v>
      </c>
      <c r="F596" t="s">
        <v>4720</v>
      </c>
      <c r="G596" t="s">
        <v>4656</v>
      </c>
      <c r="H596" t="s">
        <v>4656</v>
      </c>
      <c r="I596" t="s">
        <v>28</v>
      </c>
      <c r="J596" t="s">
        <v>4721</v>
      </c>
      <c r="K596" t="s">
        <v>19</v>
      </c>
      <c r="L596" t="s">
        <v>20</v>
      </c>
      <c r="M596" t="s">
        <v>4722</v>
      </c>
      <c r="N596" t="s">
        <v>4723</v>
      </c>
      <c r="O596" t="s">
        <v>4724</v>
      </c>
      <c r="P596" t="s">
        <v>4725</v>
      </c>
    </row>
    <row r="597" spans="1:16" x14ac:dyDescent="0.35">
      <c r="A597" t="s">
        <v>4726</v>
      </c>
      <c r="B597" t="s">
        <v>55</v>
      </c>
      <c r="C597" t="s">
        <v>28</v>
      </c>
      <c r="D597" t="s">
        <v>28</v>
      </c>
      <c r="E597" t="s">
        <v>4727</v>
      </c>
      <c r="F597" t="s">
        <v>4728</v>
      </c>
      <c r="G597" t="s">
        <v>4656</v>
      </c>
      <c r="H597" t="s">
        <v>4656</v>
      </c>
      <c r="I597" t="s">
        <v>28</v>
      </c>
      <c r="J597" t="s">
        <v>28</v>
      </c>
      <c r="K597" t="s">
        <v>19</v>
      </c>
      <c r="L597" t="s">
        <v>20</v>
      </c>
      <c r="M597" t="s">
        <v>4729</v>
      </c>
      <c r="N597" t="s">
        <v>4730</v>
      </c>
      <c r="O597" t="s">
        <v>4731</v>
      </c>
      <c r="P597" t="s">
        <v>4732</v>
      </c>
    </row>
    <row r="598" spans="1:16" x14ac:dyDescent="0.35">
      <c r="A598" t="s">
        <v>2404</v>
      </c>
      <c r="B598" t="s">
        <v>55</v>
      </c>
      <c r="C598" t="s">
        <v>28</v>
      </c>
      <c r="D598" t="s">
        <v>28</v>
      </c>
      <c r="E598" t="s">
        <v>4733</v>
      </c>
      <c r="F598" t="s">
        <v>4734</v>
      </c>
      <c r="G598" t="s">
        <v>4656</v>
      </c>
      <c r="H598" t="s">
        <v>4656</v>
      </c>
      <c r="I598" t="s">
        <v>28</v>
      </c>
      <c r="J598" t="s">
        <v>4735</v>
      </c>
      <c r="K598" t="s">
        <v>19</v>
      </c>
      <c r="L598" t="s">
        <v>20</v>
      </c>
      <c r="M598" t="s">
        <v>4729</v>
      </c>
      <c r="N598" t="s">
        <v>4730</v>
      </c>
      <c r="O598" t="s">
        <v>4736</v>
      </c>
      <c r="P598" t="s">
        <v>4737</v>
      </c>
    </row>
    <row r="599" spans="1:16" x14ac:dyDescent="0.35">
      <c r="A599" t="s">
        <v>4738</v>
      </c>
      <c r="B599" t="s">
        <v>55</v>
      </c>
      <c r="C599" t="s">
        <v>28</v>
      </c>
      <c r="D599" t="s">
        <v>28</v>
      </c>
      <c r="E599" t="s">
        <v>4739</v>
      </c>
      <c r="F599" t="s">
        <v>4740</v>
      </c>
      <c r="G599" t="s">
        <v>4656</v>
      </c>
      <c r="H599" t="s">
        <v>4656</v>
      </c>
      <c r="I599" t="s">
        <v>28</v>
      </c>
      <c r="J599" t="s">
        <v>4741</v>
      </c>
      <c r="K599" t="s">
        <v>19</v>
      </c>
      <c r="L599" t="s">
        <v>20</v>
      </c>
      <c r="M599" t="s">
        <v>4742</v>
      </c>
      <c r="N599" t="s">
        <v>4743</v>
      </c>
      <c r="O599" t="s">
        <v>4744</v>
      </c>
      <c r="P599" t="s">
        <v>4745</v>
      </c>
    </row>
    <row r="600" spans="1:16" x14ac:dyDescent="0.35">
      <c r="A600" t="s">
        <v>482</v>
      </c>
      <c r="B600" t="s">
        <v>55</v>
      </c>
      <c r="C600" t="s">
        <v>15</v>
      </c>
      <c r="D600" t="s">
        <v>16</v>
      </c>
      <c r="E600" t="s">
        <v>4746</v>
      </c>
      <c r="F600" t="s">
        <v>4747</v>
      </c>
      <c r="G600" t="s">
        <v>4656</v>
      </c>
      <c r="H600" t="s">
        <v>4656</v>
      </c>
      <c r="I600" t="s">
        <v>162</v>
      </c>
      <c r="J600" t="s">
        <v>4748</v>
      </c>
      <c r="K600" t="s">
        <v>164</v>
      </c>
      <c r="L600" t="s">
        <v>20</v>
      </c>
      <c r="M600" t="s">
        <v>4749</v>
      </c>
      <c r="N600" t="s">
        <v>4750</v>
      </c>
      <c r="O600" t="s">
        <v>4751</v>
      </c>
      <c r="P600" t="s">
        <v>4752</v>
      </c>
    </row>
    <row r="601" spans="1:16" x14ac:dyDescent="0.35">
      <c r="A601" t="s">
        <v>482</v>
      </c>
      <c r="B601" t="s">
        <v>55</v>
      </c>
      <c r="C601" t="s">
        <v>158</v>
      </c>
      <c r="D601" t="s">
        <v>4753</v>
      </c>
      <c r="E601" t="s">
        <v>4754</v>
      </c>
      <c r="F601" t="s">
        <v>4755</v>
      </c>
      <c r="G601" t="s">
        <v>4656</v>
      </c>
      <c r="H601" t="s">
        <v>4656</v>
      </c>
      <c r="I601" t="s">
        <v>162</v>
      </c>
      <c r="J601" t="s">
        <v>4756</v>
      </c>
      <c r="K601" t="s">
        <v>164</v>
      </c>
      <c r="L601" t="s">
        <v>20</v>
      </c>
      <c r="M601" t="s">
        <v>4749</v>
      </c>
      <c r="N601" t="s">
        <v>4750</v>
      </c>
      <c r="O601" t="s">
        <v>4757</v>
      </c>
      <c r="P601" t="s">
        <v>4758</v>
      </c>
    </row>
    <row r="602" spans="1:16" x14ac:dyDescent="0.35">
      <c r="A602" t="s">
        <v>4759</v>
      </c>
      <c r="B602" t="s">
        <v>55</v>
      </c>
      <c r="C602" t="s">
        <v>28</v>
      </c>
      <c r="D602" t="s">
        <v>28</v>
      </c>
      <c r="E602" t="s">
        <v>28</v>
      </c>
      <c r="F602" t="s">
        <v>28</v>
      </c>
      <c r="G602" t="s">
        <v>4760</v>
      </c>
      <c r="H602" t="s">
        <v>28</v>
      </c>
      <c r="I602" t="s">
        <v>1725</v>
      </c>
      <c r="J602" t="s">
        <v>4761</v>
      </c>
      <c r="K602" t="s">
        <v>19</v>
      </c>
      <c r="L602" t="s">
        <v>20</v>
      </c>
      <c r="M602" t="s">
        <v>4762</v>
      </c>
      <c r="N602" t="s">
        <v>4763</v>
      </c>
      <c r="O602" t="s">
        <v>4764</v>
      </c>
      <c r="P602" t="s">
        <v>915</v>
      </c>
    </row>
    <row r="603" spans="1:16" x14ac:dyDescent="0.35">
      <c r="A603" t="s">
        <v>4765</v>
      </c>
      <c r="B603" t="s">
        <v>55</v>
      </c>
      <c r="C603" t="s">
        <v>691</v>
      </c>
      <c r="D603" t="s">
        <v>27</v>
      </c>
      <c r="E603" t="s">
        <v>4766</v>
      </c>
      <c r="F603" t="s">
        <v>4767</v>
      </c>
      <c r="G603" t="s">
        <v>4656</v>
      </c>
      <c r="H603" t="s">
        <v>4656</v>
      </c>
      <c r="I603" t="s">
        <v>4768</v>
      </c>
      <c r="J603" t="s">
        <v>4769</v>
      </c>
      <c r="K603" t="s">
        <v>4770</v>
      </c>
      <c r="L603" t="s">
        <v>20</v>
      </c>
      <c r="M603" t="s">
        <v>4771</v>
      </c>
      <c r="N603" t="s">
        <v>4772</v>
      </c>
      <c r="O603" t="s">
        <v>4773</v>
      </c>
      <c r="P603" t="s">
        <v>4774</v>
      </c>
    </row>
    <row r="604" spans="1:16" x14ac:dyDescent="0.35">
      <c r="A604" t="s">
        <v>4778</v>
      </c>
      <c r="B604" t="s">
        <v>32</v>
      </c>
      <c r="C604" t="s">
        <v>28</v>
      </c>
      <c r="D604" t="s">
        <v>28</v>
      </c>
      <c r="E604" t="s">
        <v>4779</v>
      </c>
      <c r="F604" t="s">
        <v>4780</v>
      </c>
      <c r="G604" t="s">
        <v>4775</v>
      </c>
      <c r="H604" t="s">
        <v>4775</v>
      </c>
      <c r="I604" t="s">
        <v>28</v>
      </c>
      <c r="J604" t="s">
        <v>4781</v>
      </c>
      <c r="K604" t="s">
        <v>19</v>
      </c>
      <c r="L604" t="s">
        <v>20</v>
      </c>
      <c r="M604" t="s">
        <v>4776</v>
      </c>
      <c r="N604" t="s">
        <v>4777</v>
      </c>
      <c r="O604" t="s">
        <v>4782</v>
      </c>
      <c r="P604" t="s">
        <v>4783</v>
      </c>
    </row>
    <row r="605" spans="1:16" x14ac:dyDescent="0.35">
      <c r="A605" t="s">
        <v>4784</v>
      </c>
      <c r="B605" t="s">
        <v>55</v>
      </c>
      <c r="C605" t="s">
        <v>28</v>
      </c>
      <c r="D605" t="s">
        <v>28</v>
      </c>
      <c r="E605" t="s">
        <v>4785</v>
      </c>
      <c r="F605" t="s">
        <v>4786</v>
      </c>
      <c r="G605" t="s">
        <v>4787</v>
      </c>
      <c r="H605" t="s">
        <v>4775</v>
      </c>
      <c r="I605" t="s">
        <v>28</v>
      </c>
      <c r="J605" t="s">
        <v>4788</v>
      </c>
      <c r="K605" t="s">
        <v>19</v>
      </c>
      <c r="L605" t="s">
        <v>20</v>
      </c>
      <c r="M605" t="s">
        <v>4789</v>
      </c>
      <c r="N605" t="s">
        <v>4790</v>
      </c>
      <c r="O605" t="s">
        <v>4791</v>
      </c>
      <c r="P605" t="s">
        <v>4792</v>
      </c>
    </row>
    <row r="606" spans="1:16" x14ac:dyDescent="0.35">
      <c r="A606" t="s">
        <v>4793</v>
      </c>
      <c r="B606" t="s">
        <v>55</v>
      </c>
      <c r="C606" t="s">
        <v>28</v>
      </c>
      <c r="D606" t="s">
        <v>28</v>
      </c>
      <c r="E606" t="s">
        <v>4794</v>
      </c>
      <c r="F606" t="s">
        <v>4795</v>
      </c>
      <c r="G606" t="s">
        <v>4775</v>
      </c>
      <c r="H606" t="s">
        <v>4775</v>
      </c>
      <c r="I606" t="s">
        <v>28</v>
      </c>
      <c r="J606" t="s">
        <v>4796</v>
      </c>
      <c r="K606" t="s">
        <v>19</v>
      </c>
      <c r="L606" t="s">
        <v>20</v>
      </c>
      <c r="M606" t="s">
        <v>4797</v>
      </c>
      <c r="N606" t="s">
        <v>4798</v>
      </c>
      <c r="O606" t="s">
        <v>4799</v>
      </c>
      <c r="P606" t="s">
        <v>4800</v>
      </c>
    </row>
    <row r="607" spans="1:16" x14ac:dyDescent="0.35">
      <c r="A607" t="s">
        <v>4801</v>
      </c>
      <c r="B607" t="s">
        <v>55</v>
      </c>
      <c r="C607" t="s">
        <v>117</v>
      </c>
      <c r="D607" t="s">
        <v>27</v>
      </c>
      <c r="E607" t="s">
        <v>4802</v>
      </c>
      <c r="F607" t="s">
        <v>4803</v>
      </c>
      <c r="G607" t="s">
        <v>4775</v>
      </c>
      <c r="H607" t="s">
        <v>4775</v>
      </c>
      <c r="I607" t="s">
        <v>3996</v>
      </c>
      <c r="J607" t="s">
        <v>4804</v>
      </c>
      <c r="K607" t="s">
        <v>19</v>
      </c>
      <c r="L607" t="s">
        <v>20</v>
      </c>
      <c r="M607" t="s">
        <v>4797</v>
      </c>
      <c r="N607" t="s">
        <v>4798</v>
      </c>
      <c r="O607" t="s">
        <v>4805</v>
      </c>
      <c r="P607" t="s">
        <v>4806</v>
      </c>
    </row>
    <row r="608" spans="1:16" x14ac:dyDescent="0.35">
      <c r="A608" t="s">
        <v>4807</v>
      </c>
      <c r="B608" t="s">
        <v>55</v>
      </c>
      <c r="C608" t="s">
        <v>691</v>
      </c>
      <c r="D608" t="s">
        <v>206</v>
      </c>
      <c r="E608" t="s">
        <v>4808</v>
      </c>
      <c r="F608" t="s">
        <v>4809</v>
      </c>
      <c r="G608" t="s">
        <v>4775</v>
      </c>
      <c r="H608" t="s">
        <v>4775</v>
      </c>
      <c r="I608" t="s">
        <v>28</v>
      </c>
      <c r="J608" t="s">
        <v>4810</v>
      </c>
      <c r="K608" t="s">
        <v>19</v>
      </c>
      <c r="L608" t="s">
        <v>20</v>
      </c>
      <c r="M608" t="s">
        <v>4797</v>
      </c>
      <c r="N608" t="s">
        <v>4798</v>
      </c>
      <c r="O608" t="s">
        <v>4811</v>
      </c>
      <c r="P608" t="s">
        <v>4812</v>
      </c>
    </row>
    <row r="609" spans="1:16" x14ac:dyDescent="0.35">
      <c r="A609" t="s">
        <v>4813</v>
      </c>
      <c r="B609" t="s">
        <v>55</v>
      </c>
      <c r="C609" t="s">
        <v>28</v>
      </c>
      <c r="D609" t="s">
        <v>28</v>
      </c>
      <c r="E609" t="s">
        <v>4814</v>
      </c>
      <c r="F609" t="s">
        <v>4815</v>
      </c>
      <c r="G609" t="s">
        <v>4775</v>
      </c>
      <c r="H609" t="s">
        <v>4775</v>
      </c>
      <c r="I609" t="s">
        <v>28</v>
      </c>
      <c r="J609" t="s">
        <v>4816</v>
      </c>
      <c r="K609" t="s">
        <v>19</v>
      </c>
      <c r="L609" t="s">
        <v>20</v>
      </c>
      <c r="M609" t="s">
        <v>4797</v>
      </c>
      <c r="N609" t="s">
        <v>4798</v>
      </c>
      <c r="O609" t="s">
        <v>4817</v>
      </c>
      <c r="P609" t="s">
        <v>4818</v>
      </c>
    </row>
    <row r="610" spans="1:16" x14ac:dyDescent="0.35">
      <c r="A610" t="s">
        <v>4819</v>
      </c>
      <c r="B610" t="s">
        <v>55</v>
      </c>
      <c r="C610" t="s">
        <v>28</v>
      </c>
      <c r="D610" t="s">
        <v>28</v>
      </c>
      <c r="E610" t="s">
        <v>4820</v>
      </c>
      <c r="F610" t="s">
        <v>4821</v>
      </c>
      <c r="G610" t="s">
        <v>4775</v>
      </c>
      <c r="H610" t="s">
        <v>4775</v>
      </c>
      <c r="I610" t="s">
        <v>4822</v>
      </c>
      <c r="J610" t="s">
        <v>4823</v>
      </c>
      <c r="K610" t="s">
        <v>4824</v>
      </c>
      <c r="L610" t="s">
        <v>20</v>
      </c>
      <c r="M610" t="s">
        <v>4797</v>
      </c>
      <c r="N610" t="s">
        <v>4798</v>
      </c>
      <c r="O610" t="s">
        <v>4825</v>
      </c>
      <c r="P610" t="s">
        <v>4826</v>
      </c>
    </row>
    <row r="611" spans="1:16" x14ac:dyDescent="0.35">
      <c r="A611" t="s">
        <v>4827</v>
      </c>
      <c r="B611" t="s">
        <v>55</v>
      </c>
      <c r="C611" t="s">
        <v>158</v>
      </c>
      <c r="D611" t="s">
        <v>1706</v>
      </c>
      <c r="E611" t="s">
        <v>4828</v>
      </c>
      <c r="F611" t="s">
        <v>4829</v>
      </c>
      <c r="G611" t="s">
        <v>4775</v>
      </c>
      <c r="H611" t="s">
        <v>4775</v>
      </c>
      <c r="I611" t="s">
        <v>4822</v>
      </c>
      <c r="J611" t="s">
        <v>4830</v>
      </c>
      <c r="K611" t="s">
        <v>4824</v>
      </c>
      <c r="L611" t="s">
        <v>20</v>
      </c>
      <c r="M611" t="s">
        <v>4797</v>
      </c>
      <c r="N611" t="s">
        <v>4798</v>
      </c>
      <c r="O611" t="s">
        <v>4831</v>
      </c>
      <c r="P611" t="s">
        <v>4832</v>
      </c>
    </row>
    <row r="612" spans="1:16" x14ac:dyDescent="0.35">
      <c r="A612" t="s">
        <v>275</v>
      </c>
      <c r="B612" t="s">
        <v>55</v>
      </c>
      <c r="C612" t="s">
        <v>28</v>
      </c>
      <c r="D612" t="s">
        <v>28</v>
      </c>
      <c r="E612" t="s">
        <v>4833</v>
      </c>
      <c r="F612" t="s">
        <v>4834</v>
      </c>
      <c r="G612" t="s">
        <v>4775</v>
      </c>
      <c r="H612" t="s">
        <v>4775</v>
      </c>
      <c r="I612" t="s">
        <v>28</v>
      </c>
      <c r="J612" t="s">
        <v>4835</v>
      </c>
      <c r="K612" t="s">
        <v>19</v>
      </c>
      <c r="L612" t="s">
        <v>20</v>
      </c>
      <c r="M612" t="s">
        <v>4836</v>
      </c>
      <c r="N612" t="s">
        <v>4837</v>
      </c>
      <c r="O612" t="s">
        <v>4838</v>
      </c>
      <c r="P612" t="s">
        <v>4839</v>
      </c>
    </row>
    <row r="613" spans="1:16" x14ac:dyDescent="0.35">
      <c r="A613" t="s">
        <v>4819</v>
      </c>
      <c r="B613" t="s">
        <v>55</v>
      </c>
      <c r="C613" t="s">
        <v>117</v>
      </c>
      <c r="D613" t="s">
        <v>16</v>
      </c>
      <c r="E613" t="s">
        <v>28</v>
      </c>
      <c r="F613" t="s">
        <v>4842</v>
      </c>
      <c r="G613" t="s">
        <v>4843</v>
      </c>
      <c r="H613" t="s">
        <v>4775</v>
      </c>
      <c r="I613" t="s">
        <v>4822</v>
      </c>
      <c r="J613" t="s">
        <v>4844</v>
      </c>
      <c r="K613" t="s">
        <v>4824</v>
      </c>
      <c r="L613" t="s">
        <v>20</v>
      </c>
      <c r="M613" t="s">
        <v>4836</v>
      </c>
      <c r="N613" t="s">
        <v>4837</v>
      </c>
      <c r="O613" t="s">
        <v>4845</v>
      </c>
      <c r="P613" t="s">
        <v>4846</v>
      </c>
    </row>
    <row r="614" spans="1:16" x14ac:dyDescent="0.35">
      <c r="A614" t="s">
        <v>4847</v>
      </c>
      <c r="B614" t="s">
        <v>32</v>
      </c>
      <c r="C614" t="s">
        <v>15</v>
      </c>
      <c r="D614" t="s">
        <v>16</v>
      </c>
      <c r="E614" t="s">
        <v>4848</v>
      </c>
      <c r="F614" t="s">
        <v>4849</v>
      </c>
      <c r="G614" t="s">
        <v>4775</v>
      </c>
      <c r="H614" t="s">
        <v>4775</v>
      </c>
      <c r="I614" t="s">
        <v>4850</v>
      </c>
      <c r="J614" t="s">
        <v>4851</v>
      </c>
      <c r="K614" t="s">
        <v>19</v>
      </c>
      <c r="L614" t="s">
        <v>20</v>
      </c>
      <c r="M614" t="s">
        <v>4836</v>
      </c>
      <c r="N614" t="s">
        <v>4837</v>
      </c>
      <c r="O614" t="s">
        <v>4852</v>
      </c>
      <c r="P614" t="s">
        <v>4853</v>
      </c>
    </row>
    <row r="615" spans="1:16" x14ac:dyDescent="0.35">
      <c r="A615" t="s">
        <v>4854</v>
      </c>
      <c r="B615" t="s">
        <v>55</v>
      </c>
      <c r="C615" t="s">
        <v>15</v>
      </c>
      <c r="D615" t="s">
        <v>68</v>
      </c>
      <c r="E615" t="s">
        <v>4855</v>
      </c>
      <c r="F615" t="s">
        <v>4856</v>
      </c>
      <c r="G615" t="s">
        <v>4775</v>
      </c>
      <c r="H615" t="s">
        <v>4775</v>
      </c>
      <c r="I615" t="s">
        <v>4857</v>
      </c>
      <c r="J615" t="s">
        <v>4858</v>
      </c>
      <c r="K615" t="s">
        <v>4859</v>
      </c>
      <c r="L615" t="s">
        <v>20</v>
      </c>
      <c r="M615" t="s">
        <v>4836</v>
      </c>
      <c r="N615" t="s">
        <v>4837</v>
      </c>
      <c r="O615" t="s">
        <v>4860</v>
      </c>
      <c r="P615" t="s">
        <v>4861</v>
      </c>
    </row>
    <row r="616" spans="1:16" x14ac:dyDescent="0.35">
      <c r="A616" t="s">
        <v>3977</v>
      </c>
      <c r="B616" t="s">
        <v>88</v>
      </c>
      <c r="C616" t="s">
        <v>170</v>
      </c>
      <c r="D616" t="s">
        <v>282</v>
      </c>
      <c r="E616" t="s">
        <v>4862</v>
      </c>
      <c r="F616" t="s">
        <v>4863</v>
      </c>
      <c r="G616" t="s">
        <v>4775</v>
      </c>
      <c r="H616" t="s">
        <v>4775</v>
      </c>
      <c r="I616" t="s">
        <v>91</v>
      </c>
      <c r="J616" t="s">
        <v>4864</v>
      </c>
      <c r="K616" t="s">
        <v>19</v>
      </c>
      <c r="L616" t="s">
        <v>20</v>
      </c>
      <c r="M616" t="s">
        <v>4836</v>
      </c>
      <c r="N616" t="s">
        <v>4837</v>
      </c>
      <c r="O616" t="s">
        <v>4865</v>
      </c>
      <c r="P616" t="s">
        <v>4866</v>
      </c>
    </row>
    <row r="617" spans="1:16" x14ac:dyDescent="0.35">
      <c r="A617" t="s">
        <v>4867</v>
      </c>
      <c r="B617" t="s">
        <v>55</v>
      </c>
      <c r="C617" t="s">
        <v>26</v>
      </c>
      <c r="D617" t="s">
        <v>124</v>
      </c>
      <c r="E617" t="s">
        <v>4868</v>
      </c>
      <c r="F617" t="s">
        <v>4869</v>
      </c>
      <c r="G617" t="s">
        <v>4775</v>
      </c>
      <c r="H617" t="s">
        <v>4775</v>
      </c>
      <c r="I617" t="s">
        <v>4822</v>
      </c>
      <c r="J617" t="s">
        <v>28</v>
      </c>
      <c r="K617" t="s">
        <v>4824</v>
      </c>
      <c r="L617" t="s">
        <v>20</v>
      </c>
      <c r="M617" t="s">
        <v>4836</v>
      </c>
      <c r="N617" t="s">
        <v>4837</v>
      </c>
      <c r="O617" t="s">
        <v>4870</v>
      </c>
      <c r="P617" t="s">
        <v>4871</v>
      </c>
    </row>
    <row r="618" spans="1:16" x14ac:dyDescent="0.35">
      <c r="A618" t="s">
        <v>4872</v>
      </c>
      <c r="B618" t="s">
        <v>55</v>
      </c>
      <c r="C618" t="s">
        <v>96</v>
      </c>
      <c r="D618" t="s">
        <v>700</v>
      </c>
      <c r="E618" t="s">
        <v>4873</v>
      </c>
      <c r="F618" t="s">
        <v>4874</v>
      </c>
      <c r="G618" t="s">
        <v>4775</v>
      </c>
      <c r="H618" t="s">
        <v>4775</v>
      </c>
      <c r="I618" t="s">
        <v>4875</v>
      </c>
      <c r="J618" t="s">
        <v>4876</v>
      </c>
      <c r="K618" t="s">
        <v>19</v>
      </c>
      <c r="L618" t="s">
        <v>20</v>
      </c>
      <c r="M618" t="s">
        <v>4836</v>
      </c>
      <c r="N618" t="s">
        <v>4837</v>
      </c>
      <c r="O618" t="s">
        <v>4877</v>
      </c>
      <c r="P618" t="s">
        <v>4878</v>
      </c>
    </row>
    <row r="619" spans="1:16" x14ac:dyDescent="0.35">
      <c r="A619" t="s">
        <v>4879</v>
      </c>
      <c r="B619" t="s">
        <v>55</v>
      </c>
      <c r="C619" t="s">
        <v>28</v>
      </c>
      <c r="D619" t="s">
        <v>28</v>
      </c>
      <c r="E619" t="s">
        <v>4880</v>
      </c>
      <c r="F619" t="s">
        <v>4881</v>
      </c>
      <c r="G619" t="s">
        <v>4775</v>
      </c>
      <c r="H619" t="s">
        <v>4775</v>
      </c>
      <c r="I619" t="s">
        <v>4707</v>
      </c>
      <c r="J619" t="s">
        <v>4882</v>
      </c>
      <c r="K619" t="s">
        <v>4709</v>
      </c>
      <c r="L619" t="s">
        <v>20</v>
      </c>
      <c r="M619" t="s">
        <v>4836</v>
      </c>
      <c r="N619" t="s">
        <v>4837</v>
      </c>
      <c r="O619" t="s">
        <v>4883</v>
      </c>
      <c r="P619" t="s">
        <v>915</v>
      </c>
    </row>
    <row r="620" spans="1:16" x14ac:dyDescent="0.35">
      <c r="A620" t="s">
        <v>4872</v>
      </c>
      <c r="B620" t="s">
        <v>55</v>
      </c>
      <c r="C620" t="s">
        <v>357</v>
      </c>
      <c r="D620" t="s">
        <v>124</v>
      </c>
      <c r="E620" t="s">
        <v>4884</v>
      </c>
      <c r="F620" t="s">
        <v>4885</v>
      </c>
      <c r="G620" t="s">
        <v>4775</v>
      </c>
      <c r="H620" t="s">
        <v>4775</v>
      </c>
      <c r="I620" t="s">
        <v>28</v>
      </c>
      <c r="J620" t="s">
        <v>4886</v>
      </c>
      <c r="K620" t="s">
        <v>19</v>
      </c>
      <c r="L620" t="s">
        <v>20</v>
      </c>
      <c r="M620" t="s">
        <v>4836</v>
      </c>
      <c r="N620" t="s">
        <v>4837</v>
      </c>
      <c r="O620" t="s">
        <v>4887</v>
      </c>
      <c r="P620" t="s">
        <v>4888</v>
      </c>
    </row>
    <row r="621" spans="1:16" x14ac:dyDescent="0.35">
      <c r="A621" t="s">
        <v>4889</v>
      </c>
      <c r="B621" t="s">
        <v>55</v>
      </c>
      <c r="C621" t="s">
        <v>241</v>
      </c>
      <c r="D621" t="s">
        <v>4890</v>
      </c>
      <c r="E621" t="s">
        <v>4891</v>
      </c>
      <c r="F621" t="s">
        <v>4892</v>
      </c>
      <c r="G621" t="s">
        <v>4775</v>
      </c>
      <c r="H621" t="s">
        <v>4775</v>
      </c>
      <c r="I621" t="s">
        <v>4850</v>
      </c>
      <c r="J621" t="s">
        <v>4893</v>
      </c>
      <c r="K621" t="s">
        <v>19</v>
      </c>
      <c r="L621" t="s">
        <v>20</v>
      </c>
      <c r="M621" t="s">
        <v>4894</v>
      </c>
      <c r="N621" t="s">
        <v>4895</v>
      </c>
      <c r="O621" t="s">
        <v>4896</v>
      </c>
      <c r="P621" t="s">
        <v>4897</v>
      </c>
    </row>
    <row r="622" spans="1:16" x14ac:dyDescent="0.35">
      <c r="A622" t="s">
        <v>4898</v>
      </c>
      <c r="B622" t="s">
        <v>55</v>
      </c>
      <c r="C622" t="s">
        <v>140</v>
      </c>
      <c r="D622" t="s">
        <v>282</v>
      </c>
      <c r="E622" t="s">
        <v>4899</v>
      </c>
      <c r="F622" t="s">
        <v>4900</v>
      </c>
      <c r="G622" t="s">
        <v>4775</v>
      </c>
      <c r="H622" t="s">
        <v>4775</v>
      </c>
      <c r="I622" t="s">
        <v>4901</v>
      </c>
      <c r="J622" t="s">
        <v>4902</v>
      </c>
      <c r="K622" t="s">
        <v>4903</v>
      </c>
      <c r="L622" t="s">
        <v>20</v>
      </c>
      <c r="M622" t="s">
        <v>4904</v>
      </c>
      <c r="N622" t="s">
        <v>4905</v>
      </c>
      <c r="O622" t="s">
        <v>4906</v>
      </c>
      <c r="P622" t="s">
        <v>4907</v>
      </c>
    </row>
    <row r="623" spans="1:16" x14ac:dyDescent="0.35">
      <c r="A623" t="s">
        <v>482</v>
      </c>
      <c r="B623" t="s">
        <v>55</v>
      </c>
      <c r="C623" t="s">
        <v>158</v>
      </c>
      <c r="D623" t="s">
        <v>4908</v>
      </c>
      <c r="E623" t="s">
        <v>4909</v>
      </c>
      <c r="F623" t="s">
        <v>4910</v>
      </c>
      <c r="G623" t="s">
        <v>4775</v>
      </c>
      <c r="H623" t="s">
        <v>4775</v>
      </c>
      <c r="I623" t="s">
        <v>162</v>
      </c>
      <c r="J623" t="s">
        <v>4911</v>
      </c>
      <c r="K623" t="s">
        <v>164</v>
      </c>
      <c r="L623" t="s">
        <v>20</v>
      </c>
      <c r="M623" t="s">
        <v>4904</v>
      </c>
      <c r="N623" t="s">
        <v>4905</v>
      </c>
      <c r="O623" t="s">
        <v>4912</v>
      </c>
      <c r="P623" t="s">
        <v>4913</v>
      </c>
    </row>
    <row r="624" spans="1:16" x14ac:dyDescent="0.35">
      <c r="A624" t="s">
        <v>4914</v>
      </c>
      <c r="B624" t="s">
        <v>55</v>
      </c>
      <c r="C624" t="s">
        <v>158</v>
      </c>
      <c r="D624" t="s">
        <v>1643</v>
      </c>
      <c r="E624" t="s">
        <v>4915</v>
      </c>
      <c r="F624" t="s">
        <v>4849</v>
      </c>
      <c r="G624" t="s">
        <v>4775</v>
      </c>
      <c r="H624" t="s">
        <v>4775</v>
      </c>
      <c r="I624" t="s">
        <v>4850</v>
      </c>
      <c r="J624" t="s">
        <v>4916</v>
      </c>
      <c r="K624" t="s">
        <v>19</v>
      </c>
      <c r="L624" t="s">
        <v>20</v>
      </c>
      <c r="M624" t="s">
        <v>4904</v>
      </c>
      <c r="N624" t="s">
        <v>4905</v>
      </c>
      <c r="O624" t="s">
        <v>4917</v>
      </c>
      <c r="P624" t="s">
        <v>4918</v>
      </c>
    </row>
    <row r="625" spans="1:16" x14ac:dyDescent="0.35">
      <c r="A625" t="s">
        <v>200</v>
      </c>
      <c r="B625" t="s">
        <v>55</v>
      </c>
      <c r="C625" t="s">
        <v>205</v>
      </c>
      <c r="D625" t="s">
        <v>68</v>
      </c>
      <c r="E625" t="s">
        <v>4919</v>
      </c>
      <c r="F625" t="s">
        <v>4920</v>
      </c>
      <c r="G625" t="s">
        <v>4775</v>
      </c>
      <c r="H625" t="s">
        <v>4775</v>
      </c>
      <c r="I625" t="s">
        <v>3106</v>
      </c>
      <c r="J625" t="s">
        <v>4921</v>
      </c>
      <c r="K625" t="s">
        <v>3108</v>
      </c>
      <c r="L625" t="s">
        <v>20</v>
      </c>
      <c r="M625" t="s">
        <v>4922</v>
      </c>
      <c r="N625" t="s">
        <v>4923</v>
      </c>
      <c r="O625" t="s">
        <v>4924</v>
      </c>
      <c r="P625" t="s">
        <v>4925</v>
      </c>
    </row>
    <row r="626" spans="1:16" x14ac:dyDescent="0.35">
      <c r="A626" t="s">
        <v>4926</v>
      </c>
      <c r="B626" t="s">
        <v>55</v>
      </c>
      <c r="C626" t="s">
        <v>15</v>
      </c>
      <c r="D626" t="s">
        <v>16</v>
      </c>
      <c r="E626" t="s">
        <v>4927</v>
      </c>
      <c r="F626" t="s">
        <v>4928</v>
      </c>
      <c r="G626" t="s">
        <v>4775</v>
      </c>
      <c r="H626" t="s">
        <v>4775</v>
      </c>
      <c r="I626" t="s">
        <v>4929</v>
      </c>
      <c r="J626" t="s">
        <v>4930</v>
      </c>
      <c r="K626" t="s">
        <v>4931</v>
      </c>
      <c r="L626" t="s">
        <v>20</v>
      </c>
      <c r="M626" t="s">
        <v>4922</v>
      </c>
      <c r="N626" t="s">
        <v>4923</v>
      </c>
      <c r="O626" t="s">
        <v>4932</v>
      </c>
      <c r="P626" t="s">
        <v>4933</v>
      </c>
    </row>
    <row r="627" spans="1:16" x14ac:dyDescent="0.35">
      <c r="A627" t="s">
        <v>4934</v>
      </c>
      <c r="B627" t="s">
        <v>32</v>
      </c>
      <c r="C627" t="s">
        <v>78</v>
      </c>
      <c r="D627" t="s">
        <v>141</v>
      </c>
      <c r="E627" t="s">
        <v>4935</v>
      </c>
      <c r="F627" t="s">
        <v>4936</v>
      </c>
      <c r="G627" t="s">
        <v>4775</v>
      </c>
      <c r="H627" t="s">
        <v>4775</v>
      </c>
      <c r="I627" t="s">
        <v>28</v>
      </c>
      <c r="J627" t="s">
        <v>4937</v>
      </c>
      <c r="K627" t="s">
        <v>19</v>
      </c>
      <c r="L627" t="s">
        <v>20</v>
      </c>
      <c r="M627" t="s">
        <v>4938</v>
      </c>
      <c r="N627" t="s">
        <v>4939</v>
      </c>
      <c r="O627" t="s">
        <v>4940</v>
      </c>
      <c r="P627" t="s">
        <v>4941</v>
      </c>
    </row>
    <row r="628" spans="1:16" x14ac:dyDescent="0.35">
      <c r="A628" t="s">
        <v>4943</v>
      </c>
      <c r="B628" t="s">
        <v>55</v>
      </c>
      <c r="C628" t="s">
        <v>28</v>
      </c>
      <c r="D628" t="s">
        <v>28</v>
      </c>
      <c r="E628" t="s">
        <v>4944</v>
      </c>
      <c r="F628" t="s">
        <v>4945</v>
      </c>
      <c r="G628" t="s">
        <v>4775</v>
      </c>
      <c r="H628" t="s">
        <v>4775</v>
      </c>
      <c r="I628" t="s">
        <v>28</v>
      </c>
      <c r="J628" t="s">
        <v>4946</v>
      </c>
      <c r="K628" t="s">
        <v>19</v>
      </c>
      <c r="L628" t="s">
        <v>20</v>
      </c>
      <c r="M628" t="s">
        <v>4947</v>
      </c>
      <c r="N628" t="s">
        <v>4948</v>
      </c>
      <c r="O628" t="s">
        <v>4949</v>
      </c>
      <c r="P628" t="s">
        <v>4950</v>
      </c>
    </row>
    <row r="629" spans="1:16" x14ac:dyDescent="0.35">
      <c r="A629" t="s">
        <v>4951</v>
      </c>
      <c r="B629" t="s">
        <v>55</v>
      </c>
      <c r="C629" t="s">
        <v>78</v>
      </c>
      <c r="D629" t="s">
        <v>282</v>
      </c>
      <c r="E629" t="s">
        <v>4952</v>
      </c>
      <c r="F629" t="s">
        <v>4953</v>
      </c>
      <c r="G629" t="s">
        <v>4775</v>
      </c>
      <c r="H629" t="s">
        <v>4775</v>
      </c>
      <c r="I629" t="s">
        <v>4954</v>
      </c>
      <c r="J629" t="s">
        <v>4955</v>
      </c>
      <c r="K629" t="s">
        <v>4956</v>
      </c>
      <c r="L629" t="s">
        <v>20</v>
      </c>
      <c r="M629" t="s">
        <v>4957</v>
      </c>
      <c r="N629" t="s">
        <v>4958</v>
      </c>
      <c r="O629" t="s">
        <v>4959</v>
      </c>
      <c r="P629" t="s">
        <v>4960</v>
      </c>
    </row>
    <row r="630" spans="1:16" x14ac:dyDescent="0.35">
      <c r="A630" t="s">
        <v>4819</v>
      </c>
      <c r="B630" t="s">
        <v>55</v>
      </c>
      <c r="C630" t="s">
        <v>28</v>
      </c>
      <c r="D630" t="s">
        <v>28</v>
      </c>
      <c r="E630" t="s">
        <v>4961</v>
      </c>
      <c r="F630" t="s">
        <v>4962</v>
      </c>
      <c r="G630" t="s">
        <v>4775</v>
      </c>
      <c r="H630" t="s">
        <v>4775</v>
      </c>
      <c r="I630" t="s">
        <v>4822</v>
      </c>
      <c r="J630" t="s">
        <v>4963</v>
      </c>
      <c r="K630" t="s">
        <v>4824</v>
      </c>
      <c r="L630" t="s">
        <v>20</v>
      </c>
      <c r="M630" t="s">
        <v>4964</v>
      </c>
      <c r="N630" t="s">
        <v>4965</v>
      </c>
      <c r="O630" t="s">
        <v>4966</v>
      </c>
      <c r="P630" t="s">
        <v>4967</v>
      </c>
    </row>
    <row r="631" spans="1:16" x14ac:dyDescent="0.35">
      <c r="A631" t="s">
        <v>4968</v>
      </c>
      <c r="B631" t="s">
        <v>55</v>
      </c>
      <c r="C631" t="s">
        <v>28</v>
      </c>
      <c r="D631" t="s">
        <v>28</v>
      </c>
      <c r="E631" t="s">
        <v>4969</v>
      </c>
      <c r="F631" t="s">
        <v>4970</v>
      </c>
      <c r="G631" t="s">
        <v>4775</v>
      </c>
      <c r="H631" t="s">
        <v>4775</v>
      </c>
      <c r="I631" t="s">
        <v>4971</v>
      </c>
      <c r="J631" t="s">
        <v>4972</v>
      </c>
      <c r="K631" t="s">
        <v>4973</v>
      </c>
      <c r="L631" t="s">
        <v>20</v>
      </c>
      <c r="M631" t="s">
        <v>4974</v>
      </c>
      <c r="N631" t="s">
        <v>4975</v>
      </c>
      <c r="O631" t="s">
        <v>4976</v>
      </c>
      <c r="P631" t="s">
        <v>4977</v>
      </c>
    </row>
    <row r="632" spans="1:16" x14ac:dyDescent="0.35">
      <c r="A632" t="s">
        <v>4978</v>
      </c>
      <c r="B632" t="s">
        <v>55</v>
      </c>
      <c r="C632" t="s">
        <v>15</v>
      </c>
      <c r="D632" t="s">
        <v>16</v>
      </c>
      <c r="E632" t="s">
        <v>4979</v>
      </c>
      <c r="F632" t="s">
        <v>4980</v>
      </c>
      <c r="G632" t="s">
        <v>4775</v>
      </c>
      <c r="H632" t="s">
        <v>4775</v>
      </c>
      <c r="I632" t="s">
        <v>28</v>
      </c>
      <c r="J632" t="s">
        <v>4981</v>
      </c>
      <c r="K632" t="s">
        <v>19</v>
      </c>
      <c r="L632" t="s">
        <v>20</v>
      </c>
      <c r="M632" t="s">
        <v>4982</v>
      </c>
      <c r="N632" t="s">
        <v>4983</v>
      </c>
      <c r="O632" t="s">
        <v>4984</v>
      </c>
      <c r="P632" t="s">
        <v>4985</v>
      </c>
    </row>
    <row r="633" spans="1:16" x14ac:dyDescent="0.35">
      <c r="A633" t="s">
        <v>200</v>
      </c>
      <c r="B633" t="s">
        <v>55</v>
      </c>
      <c r="C633" t="s">
        <v>28</v>
      </c>
      <c r="D633" t="s">
        <v>28</v>
      </c>
      <c r="E633" t="s">
        <v>4986</v>
      </c>
      <c r="F633" t="s">
        <v>4987</v>
      </c>
      <c r="G633" t="s">
        <v>4775</v>
      </c>
      <c r="H633" t="s">
        <v>4775</v>
      </c>
      <c r="I633" t="s">
        <v>28</v>
      </c>
      <c r="J633" t="s">
        <v>28</v>
      </c>
      <c r="K633" t="s">
        <v>19</v>
      </c>
      <c r="L633" t="s">
        <v>20</v>
      </c>
      <c r="M633" t="s">
        <v>4982</v>
      </c>
      <c r="N633" t="s">
        <v>4983</v>
      </c>
      <c r="O633" t="s">
        <v>4988</v>
      </c>
      <c r="P633" t="s">
        <v>4989</v>
      </c>
    </row>
    <row r="634" spans="1:16" x14ac:dyDescent="0.35">
      <c r="A634" t="s">
        <v>4990</v>
      </c>
      <c r="B634" t="s">
        <v>107</v>
      </c>
      <c r="C634" t="s">
        <v>117</v>
      </c>
      <c r="D634" t="s">
        <v>27</v>
      </c>
      <c r="E634" t="s">
        <v>4991</v>
      </c>
      <c r="F634" t="s">
        <v>4992</v>
      </c>
      <c r="G634" t="s">
        <v>4787</v>
      </c>
      <c r="H634" t="s">
        <v>4775</v>
      </c>
      <c r="I634" t="s">
        <v>4841</v>
      </c>
      <c r="J634" t="s">
        <v>4993</v>
      </c>
      <c r="K634" t="s">
        <v>19</v>
      </c>
      <c r="L634" t="s">
        <v>20</v>
      </c>
      <c r="M634" t="s">
        <v>4994</v>
      </c>
      <c r="N634" t="s">
        <v>4995</v>
      </c>
      <c r="O634" t="s">
        <v>4996</v>
      </c>
      <c r="P634" t="s">
        <v>4997</v>
      </c>
    </row>
    <row r="635" spans="1:16" x14ac:dyDescent="0.35">
      <c r="A635" t="s">
        <v>4998</v>
      </c>
      <c r="B635" t="s">
        <v>107</v>
      </c>
      <c r="C635" t="s">
        <v>628</v>
      </c>
      <c r="D635" t="s">
        <v>374</v>
      </c>
      <c r="E635" t="s">
        <v>4999</v>
      </c>
      <c r="F635" t="s">
        <v>5000</v>
      </c>
      <c r="G635" t="s">
        <v>4775</v>
      </c>
      <c r="H635" t="s">
        <v>4775</v>
      </c>
      <c r="I635" t="s">
        <v>28</v>
      </c>
      <c r="J635" t="s">
        <v>28</v>
      </c>
      <c r="K635" t="s">
        <v>19</v>
      </c>
      <c r="L635" t="s">
        <v>20</v>
      </c>
      <c r="M635" t="s">
        <v>5001</v>
      </c>
      <c r="N635" t="s">
        <v>5002</v>
      </c>
      <c r="O635" t="s">
        <v>5003</v>
      </c>
      <c r="P635" t="s">
        <v>915</v>
      </c>
    </row>
    <row r="636" spans="1:16" x14ac:dyDescent="0.35">
      <c r="A636" t="s">
        <v>5004</v>
      </c>
      <c r="B636" t="s">
        <v>55</v>
      </c>
      <c r="C636" t="s">
        <v>28</v>
      </c>
      <c r="D636" t="s">
        <v>28</v>
      </c>
      <c r="E636" t="s">
        <v>5005</v>
      </c>
      <c r="F636" t="s">
        <v>5006</v>
      </c>
      <c r="G636" t="s">
        <v>4775</v>
      </c>
      <c r="H636" t="s">
        <v>4775</v>
      </c>
      <c r="I636" t="s">
        <v>28</v>
      </c>
      <c r="J636" t="s">
        <v>5007</v>
      </c>
      <c r="K636" t="s">
        <v>19</v>
      </c>
      <c r="L636" t="s">
        <v>20</v>
      </c>
      <c r="M636" t="s">
        <v>5008</v>
      </c>
      <c r="N636" t="s">
        <v>5009</v>
      </c>
      <c r="O636" t="s">
        <v>5010</v>
      </c>
      <c r="P636" t="s">
        <v>5011</v>
      </c>
    </row>
    <row r="637" spans="1:16" x14ac:dyDescent="0.35">
      <c r="A637" t="s">
        <v>5015</v>
      </c>
      <c r="B637" t="s">
        <v>55</v>
      </c>
      <c r="C637" t="s">
        <v>28</v>
      </c>
      <c r="D637" t="s">
        <v>28</v>
      </c>
      <c r="E637" t="s">
        <v>5016</v>
      </c>
      <c r="F637" t="s">
        <v>5017</v>
      </c>
      <c r="G637" t="s">
        <v>5012</v>
      </c>
      <c r="H637" t="s">
        <v>5012</v>
      </c>
      <c r="I637" t="s">
        <v>28</v>
      </c>
      <c r="J637" t="s">
        <v>5018</v>
      </c>
      <c r="K637" t="s">
        <v>19</v>
      </c>
      <c r="L637" t="s">
        <v>20</v>
      </c>
      <c r="M637" t="s">
        <v>5013</v>
      </c>
      <c r="N637" t="s">
        <v>5014</v>
      </c>
      <c r="O637" t="s">
        <v>5019</v>
      </c>
      <c r="P637" t="s">
        <v>5020</v>
      </c>
    </row>
    <row r="638" spans="1:16" x14ac:dyDescent="0.35">
      <c r="A638" t="s">
        <v>5021</v>
      </c>
      <c r="B638" t="s">
        <v>55</v>
      </c>
      <c r="C638" t="s">
        <v>28</v>
      </c>
      <c r="D638" t="s">
        <v>28</v>
      </c>
      <c r="E638" t="s">
        <v>5022</v>
      </c>
      <c r="F638" t="s">
        <v>5023</v>
      </c>
      <c r="G638" t="s">
        <v>5012</v>
      </c>
      <c r="H638" t="s">
        <v>5012</v>
      </c>
      <c r="I638" t="s">
        <v>28</v>
      </c>
      <c r="J638" t="s">
        <v>5024</v>
      </c>
      <c r="K638" t="s">
        <v>19</v>
      </c>
      <c r="L638" t="s">
        <v>20</v>
      </c>
      <c r="M638" t="s">
        <v>5013</v>
      </c>
      <c r="N638" t="s">
        <v>5014</v>
      </c>
      <c r="O638" t="s">
        <v>5025</v>
      </c>
      <c r="P638" t="s">
        <v>5026</v>
      </c>
    </row>
    <row r="639" spans="1:16" x14ac:dyDescent="0.35">
      <c r="A639" t="s">
        <v>5027</v>
      </c>
      <c r="B639" t="s">
        <v>194</v>
      </c>
      <c r="C639" t="s">
        <v>691</v>
      </c>
      <c r="D639" t="s">
        <v>1817</v>
      </c>
      <c r="E639" t="s">
        <v>5028</v>
      </c>
      <c r="F639" t="s">
        <v>5029</v>
      </c>
      <c r="G639" t="s">
        <v>5012</v>
      </c>
      <c r="H639" t="s">
        <v>5012</v>
      </c>
      <c r="I639" t="s">
        <v>28</v>
      </c>
      <c r="J639" t="s">
        <v>5030</v>
      </c>
      <c r="K639" t="s">
        <v>19</v>
      </c>
      <c r="L639" t="s">
        <v>20</v>
      </c>
      <c r="M639" t="s">
        <v>5013</v>
      </c>
      <c r="N639" t="s">
        <v>5014</v>
      </c>
      <c r="O639" t="s">
        <v>5031</v>
      </c>
      <c r="P639" t="s">
        <v>5032</v>
      </c>
    </row>
    <row r="640" spans="1:16" x14ac:dyDescent="0.35">
      <c r="A640" t="s">
        <v>5033</v>
      </c>
      <c r="B640" t="s">
        <v>55</v>
      </c>
      <c r="C640" t="s">
        <v>78</v>
      </c>
      <c r="D640" t="s">
        <v>124</v>
      </c>
      <c r="E640" t="s">
        <v>5034</v>
      </c>
      <c r="F640" t="s">
        <v>5035</v>
      </c>
      <c r="G640" t="s">
        <v>5012</v>
      </c>
      <c r="H640" t="s">
        <v>5012</v>
      </c>
      <c r="I640" t="s">
        <v>5036</v>
      </c>
      <c r="J640" t="s">
        <v>5037</v>
      </c>
      <c r="K640" t="s">
        <v>5038</v>
      </c>
      <c r="L640" t="s">
        <v>20</v>
      </c>
      <c r="M640" t="s">
        <v>5013</v>
      </c>
      <c r="N640" t="s">
        <v>5014</v>
      </c>
      <c r="O640" t="s">
        <v>5039</v>
      </c>
      <c r="P640" t="s">
        <v>5040</v>
      </c>
    </row>
    <row r="641" spans="1:16" x14ac:dyDescent="0.35">
      <c r="A641" t="s">
        <v>5041</v>
      </c>
      <c r="B641" t="s">
        <v>32</v>
      </c>
      <c r="C641" t="s">
        <v>170</v>
      </c>
      <c r="D641" t="s">
        <v>124</v>
      </c>
      <c r="E641" t="s">
        <v>5042</v>
      </c>
      <c r="F641" t="s">
        <v>5043</v>
      </c>
      <c r="G641" t="s">
        <v>5012</v>
      </c>
      <c r="H641" t="s">
        <v>5012</v>
      </c>
      <c r="I641" t="s">
        <v>28</v>
      </c>
      <c r="J641" t="s">
        <v>5044</v>
      </c>
      <c r="K641" t="s">
        <v>19</v>
      </c>
      <c r="L641" t="s">
        <v>20</v>
      </c>
      <c r="M641" t="s">
        <v>5013</v>
      </c>
      <c r="N641" t="s">
        <v>5014</v>
      </c>
      <c r="O641" t="s">
        <v>5045</v>
      </c>
      <c r="P641" t="s">
        <v>5046</v>
      </c>
    </row>
    <row r="642" spans="1:16" x14ac:dyDescent="0.35">
      <c r="A642" t="s">
        <v>5047</v>
      </c>
      <c r="B642" t="s">
        <v>55</v>
      </c>
      <c r="C642" t="s">
        <v>497</v>
      </c>
      <c r="D642" t="s">
        <v>16</v>
      </c>
      <c r="E642" t="s">
        <v>5048</v>
      </c>
      <c r="F642" t="s">
        <v>5049</v>
      </c>
      <c r="G642" t="s">
        <v>5012</v>
      </c>
      <c r="H642" t="s">
        <v>5012</v>
      </c>
      <c r="I642" t="s">
        <v>28</v>
      </c>
      <c r="J642" t="s">
        <v>5050</v>
      </c>
      <c r="K642" t="s">
        <v>19</v>
      </c>
      <c r="L642" t="s">
        <v>20</v>
      </c>
      <c r="M642" t="s">
        <v>5013</v>
      </c>
      <c r="N642" t="s">
        <v>5014</v>
      </c>
      <c r="O642" t="s">
        <v>5051</v>
      </c>
      <c r="P642" t="s">
        <v>5052</v>
      </c>
    </row>
    <row r="643" spans="1:16" x14ac:dyDescent="0.35">
      <c r="A643" t="s">
        <v>5053</v>
      </c>
      <c r="B643" t="s">
        <v>32</v>
      </c>
      <c r="C643" t="s">
        <v>117</v>
      </c>
      <c r="D643" t="s">
        <v>16</v>
      </c>
      <c r="E643" t="s">
        <v>5054</v>
      </c>
      <c r="F643" t="s">
        <v>5055</v>
      </c>
      <c r="G643" t="s">
        <v>5012</v>
      </c>
      <c r="H643" t="s">
        <v>5012</v>
      </c>
      <c r="I643" t="s">
        <v>5056</v>
      </c>
      <c r="J643" t="s">
        <v>28</v>
      </c>
      <c r="K643" t="s">
        <v>19</v>
      </c>
      <c r="L643" t="s">
        <v>20</v>
      </c>
      <c r="M643" t="s">
        <v>5013</v>
      </c>
      <c r="N643" t="s">
        <v>5014</v>
      </c>
      <c r="O643" t="s">
        <v>5057</v>
      </c>
      <c r="P643" t="s">
        <v>5058</v>
      </c>
    </row>
    <row r="644" spans="1:16" x14ac:dyDescent="0.35">
      <c r="A644" t="s">
        <v>5059</v>
      </c>
      <c r="B644" t="s">
        <v>55</v>
      </c>
      <c r="C644" t="s">
        <v>28</v>
      </c>
      <c r="D644" t="s">
        <v>28</v>
      </c>
      <c r="E644" t="s">
        <v>5060</v>
      </c>
      <c r="F644" t="s">
        <v>5061</v>
      </c>
      <c r="G644" t="s">
        <v>5012</v>
      </c>
      <c r="H644" t="s">
        <v>5012</v>
      </c>
      <c r="I644" t="s">
        <v>5062</v>
      </c>
      <c r="J644" t="s">
        <v>28</v>
      </c>
      <c r="K644" t="s">
        <v>5063</v>
      </c>
      <c r="L644" t="s">
        <v>20</v>
      </c>
      <c r="M644" t="s">
        <v>5064</v>
      </c>
      <c r="N644" t="s">
        <v>5065</v>
      </c>
      <c r="O644" t="s">
        <v>5066</v>
      </c>
      <c r="P644" t="s">
        <v>5067</v>
      </c>
    </row>
    <row r="645" spans="1:16" x14ac:dyDescent="0.35">
      <c r="A645" t="s">
        <v>5068</v>
      </c>
      <c r="B645" t="s">
        <v>55</v>
      </c>
      <c r="C645" t="s">
        <v>158</v>
      </c>
      <c r="D645" t="s">
        <v>3323</v>
      </c>
      <c r="E645" t="s">
        <v>5069</v>
      </c>
      <c r="F645" t="s">
        <v>5070</v>
      </c>
      <c r="G645" t="s">
        <v>5012</v>
      </c>
      <c r="H645" t="s">
        <v>5012</v>
      </c>
      <c r="I645" t="s">
        <v>162</v>
      </c>
      <c r="J645" t="s">
        <v>5071</v>
      </c>
      <c r="K645" t="s">
        <v>164</v>
      </c>
      <c r="L645" t="s">
        <v>20</v>
      </c>
      <c r="M645" t="s">
        <v>5064</v>
      </c>
      <c r="N645" t="s">
        <v>5065</v>
      </c>
      <c r="O645" t="s">
        <v>5072</v>
      </c>
      <c r="P645" t="s">
        <v>5073</v>
      </c>
    </row>
    <row r="646" spans="1:16" x14ac:dyDescent="0.35">
      <c r="A646" t="s">
        <v>5074</v>
      </c>
      <c r="B646" t="s">
        <v>55</v>
      </c>
      <c r="C646" t="s">
        <v>170</v>
      </c>
      <c r="D646" t="s">
        <v>68</v>
      </c>
      <c r="E646" t="s">
        <v>5075</v>
      </c>
      <c r="F646" t="s">
        <v>5076</v>
      </c>
      <c r="G646" t="s">
        <v>5012</v>
      </c>
      <c r="H646" t="s">
        <v>5012</v>
      </c>
      <c r="I646" t="s">
        <v>4707</v>
      </c>
      <c r="J646" t="s">
        <v>5077</v>
      </c>
      <c r="K646" t="s">
        <v>4709</v>
      </c>
      <c r="L646" t="s">
        <v>20</v>
      </c>
      <c r="M646" t="s">
        <v>5064</v>
      </c>
      <c r="N646" t="s">
        <v>5065</v>
      </c>
      <c r="O646" t="s">
        <v>5078</v>
      </c>
      <c r="P646" t="s">
        <v>5079</v>
      </c>
    </row>
    <row r="647" spans="1:16" x14ac:dyDescent="0.35">
      <c r="A647" t="s">
        <v>5080</v>
      </c>
      <c r="B647" t="s">
        <v>55</v>
      </c>
      <c r="C647" t="s">
        <v>28</v>
      </c>
      <c r="D647" t="s">
        <v>28</v>
      </c>
      <c r="E647" t="s">
        <v>5081</v>
      </c>
      <c r="F647" t="s">
        <v>5082</v>
      </c>
      <c r="G647" t="s">
        <v>5012</v>
      </c>
      <c r="H647" t="s">
        <v>5012</v>
      </c>
      <c r="I647" t="s">
        <v>5083</v>
      </c>
      <c r="J647" t="s">
        <v>5084</v>
      </c>
      <c r="K647" t="s">
        <v>5085</v>
      </c>
      <c r="L647" t="s">
        <v>20</v>
      </c>
      <c r="M647" t="s">
        <v>5086</v>
      </c>
      <c r="N647" t="s">
        <v>5087</v>
      </c>
      <c r="O647" t="s">
        <v>5088</v>
      </c>
      <c r="P647" t="s">
        <v>5089</v>
      </c>
    </row>
    <row r="648" spans="1:16" x14ac:dyDescent="0.35">
      <c r="A648" t="s">
        <v>5090</v>
      </c>
      <c r="B648" t="s">
        <v>55</v>
      </c>
      <c r="C648" t="s">
        <v>28</v>
      </c>
      <c r="D648" t="s">
        <v>28</v>
      </c>
      <c r="E648" t="s">
        <v>5091</v>
      </c>
      <c r="F648" t="s">
        <v>5092</v>
      </c>
      <c r="G648" t="s">
        <v>5012</v>
      </c>
      <c r="H648" t="s">
        <v>5012</v>
      </c>
      <c r="I648" t="s">
        <v>5093</v>
      </c>
      <c r="J648" t="s">
        <v>5094</v>
      </c>
      <c r="K648" t="s">
        <v>5095</v>
      </c>
      <c r="L648" t="s">
        <v>20</v>
      </c>
      <c r="M648" t="s">
        <v>5096</v>
      </c>
      <c r="N648" t="s">
        <v>5097</v>
      </c>
      <c r="O648" t="s">
        <v>5098</v>
      </c>
      <c r="P648" t="s">
        <v>5099</v>
      </c>
    </row>
    <row r="649" spans="1:16" x14ac:dyDescent="0.35">
      <c r="A649" t="s">
        <v>5100</v>
      </c>
      <c r="B649" t="s">
        <v>55</v>
      </c>
      <c r="C649" t="s">
        <v>28</v>
      </c>
      <c r="D649" t="s">
        <v>28</v>
      </c>
      <c r="E649" t="s">
        <v>5101</v>
      </c>
      <c r="F649" t="s">
        <v>5102</v>
      </c>
      <c r="G649" t="s">
        <v>5012</v>
      </c>
      <c r="H649" t="s">
        <v>5012</v>
      </c>
      <c r="I649" t="s">
        <v>28</v>
      </c>
      <c r="J649" t="s">
        <v>5103</v>
      </c>
      <c r="K649" t="s">
        <v>19</v>
      </c>
      <c r="L649" t="s">
        <v>20</v>
      </c>
      <c r="M649" t="s">
        <v>5096</v>
      </c>
      <c r="N649" t="s">
        <v>5097</v>
      </c>
      <c r="O649" t="s">
        <v>5104</v>
      </c>
      <c r="P649" t="s">
        <v>5105</v>
      </c>
    </row>
    <row r="650" spans="1:16" x14ac:dyDescent="0.35">
      <c r="A650" t="s">
        <v>5106</v>
      </c>
      <c r="B650" t="s">
        <v>55</v>
      </c>
      <c r="C650" t="s">
        <v>28</v>
      </c>
      <c r="D650" t="s">
        <v>28</v>
      </c>
      <c r="E650" t="s">
        <v>5107</v>
      </c>
      <c r="F650" t="s">
        <v>5108</v>
      </c>
      <c r="G650" t="s">
        <v>5012</v>
      </c>
      <c r="H650" t="s">
        <v>5012</v>
      </c>
      <c r="I650" t="s">
        <v>28</v>
      </c>
      <c r="J650" t="s">
        <v>3573</v>
      </c>
      <c r="K650" t="s">
        <v>19</v>
      </c>
      <c r="L650" t="s">
        <v>20</v>
      </c>
      <c r="M650" t="s">
        <v>5096</v>
      </c>
      <c r="N650" t="s">
        <v>5097</v>
      </c>
      <c r="O650" t="s">
        <v>5109</v>
      </c>
      <c r="P650" t="s">
        <v>5110</v>
      </c>
    </row>
    <row r="651" spans="1:16" x14ac:dyDescent="0.35">
      <c r="A651" t="s">
        <v>169</v>
      </c>
      <c r="B651" t="s">
        <v>55</v>
      </c>
      <c r="C651" t="s">
        <v>28</v>
      </c>
      <c r="D651" t="s">
        <v>28</v>
      </c>
      <c r="E651" t="s">
        <v>5111</v>
      </c>
      <c r="F651" t="s">
        <v>5112</v>
      </c>
      <c r="G651" t="s">
        <v>5012</v>
      </c>
      <c r="H651" t="s">
        <v>5012</v>
      </c>
      <c r="I651" t="s">
        <v>28</v>
      </c>
      <c r="J651" t="s">
        <v>5113</v>
      </c>
      <c r="K651" t="s">
        <v>19</v>
      </c>
      <c r="L651" t="s">
        <v>20</v>
      </c>
      <c r="M651" t="s">
        <v>5096</v>
      </c>
      <c r="N651" t="s">
        <v>5097</v>
      </c>
      <c r="O651" t="s">
        <v>5114</v>
      </c>
      <c r="P651" t="s">
        <v>5115</v>
      </c>
    </row>
    <row r="652" spans="1:16" x14ac:dyDescent="0.35">
      <c r="A652" t="s">
        <v>5116</v>
      </c>
      <c r="B652" t="s">
        <v>55</v>
      </c>
      <c r="C652" t="s">
        <v>28</v>
      </c>
      <c r="D652" t="s">
        <v>28</v>
      </c>
      <c r="E652" t="s">
        <v>5117</v>
      </c>
      <c r="F652" t="s">
        <v>5118</v>
      </c>
      <c r="G652" t="s">
        <v>5012</v>
      </c>
      <c r="H652" t="s">
        <v>5012</v>
      </c>
      <c r="I652" t="s">
        <v>28</v>
      </c>
      <c r="J652" t="s">
        <v>5119</v>
      </c>
      <c r="K652" t="s">
        <v>19</v>
      </c>
      <c r="L652" t="s">
        <v>20</v>
      </c>
      <c r="M652" t="s">
        <v>5120</v>
      </c>
      <c r="N652" t="s">
        <v>5121</v>
      </c>
      <c r="O652" t="s">
        <v>5122</v>
      </c>
      <c r="P652" t="s">
        <v>5123</v>
      </c>
    </row>
    <row r="653" spans="1:16" x14ac:dyDescent="0.35">
      <c r="A653" t="s">
        <v>5124</v>
      </c>
      <c r="B653" t="s">
        <v>55</v>
      </c>
      <c r="C653" t="s">
        <v>96</v>
      </c>
      <c r="D653" t="s">
        <v>3323</v>
      </c>
      <c r="E653" t="s">
        <v>5125</v>
      </c>
      <c r="F653" t="s">
        <v>5126</v>
      </c>
      <c r="G653" t="s">
        <v>5012</v>
      </c>
      <c r="H653" t="s">
        <v>5012</v>
      </c>
      <c r="I653" t="s">
        <v>5127</v>
      </c>
      <c r="J653" t="s">
        <v>5128</v>
      </c>
      <c r="K653" t="s">
        <v>5129</v>
      </c>
      <c r="L653" t="s">
        <v>20</v>
      </c>
      <c r="M653" t="s">
        <v>5120</v>
      </c>
      <c r="N653" t="s">
        <v>5121</v>
      </c>
      <c r="O653" t="s">
        <v>5130</v>
      </c>
      <c r="P653" t="s">
        <v>5131</v>
      </c>
    </row>
    <row r="654" spans="1:16" x14ac:dyDescent="0.35">
      <c r="A654" t="s">
        <v>5132</v>
      </c>
      <c r="B654" t="s">
        <v>55</v>
      </c>
      <c r="C654" t="s">
        <v>15</v>
      </c>
      <c r="D654" t="s">
        <v>16</v>
      </c>
      <c r="E654" t="s">
        <v>5133</v>
      </c>
      <c r="F654" t="s">
        <v>5134</v>
      </c>
      <c r="G654" t="s">
        <v>5012</v>
      </c>
      <c r="H654" t="s">
        <v>5012</v>
      </c>
      <c r="I654" t="s">
        <v>5135</v>
      </c>
      <c r="J654" t="s">
        <v>5136</v>
      </c>
      <c r="K654" t="s">
        <v>5137</v>
      </c>
      <c r="L654" t="s">
        <v>20</v>
      </c>
      <c r="M654" t="s">
        <v>5138</v>
      </c>
      <c r="N654" t="s">
        <v>5139</v>
      </c>
      <c r="O654" t="s">
        <v>5140</v>
      </c>
      <c r="P654" t="s">
        <v>5141</v>
      </c>
    </row>
    <row r="655" spans="1:16" x14ac:dyDescent="0.35">
      <c r="A655" t="s">
        <v>5142</v>
      </c>
      <c r="B655" t="s">
        <v>55</v>
      </c>
      <c r="C655" t="s">
        <v>205</v>
      </c>
      <c r="D655" t="s">
        <v>282</v>
      </c>
      <c r="E655" t="s">
        <v>5143</v>
      </c>
      <c r="F655" t="s">
        <v>5144</v>
      </c>
      <c r="G655" t="s">
        <v>5012</v>
      </c>
      <c r="H655" t="s">
        <v>5012</v>
      </c>
      <c r="I655" t="s">
        <v>5145</v>
      </c>
      <c r="J655" t="s">
        <v>5146</v>
      </c>
      <c r="K655" t="s">
        <v>5147</v>
      </c>
      <c r="L655" t="s">
        <v>20</v>
      </c>
      <c r="M655" t="s">
        <v>5148</v>
      </c>
      <c r="N655" t="s">
        <v>5149</v>
      </c>
      <c r="O655" t="s">
        <v>5150</v>
      </c>
      <c r="P655" t="s">
        <v>5151</v>
      </c>
    </row>
    <row r="656" spans="1:16" x14ac:dyDescent="0.35">
      <c r="A656" t="s">
        <v>5154</v>
      </c>
      <c r="B656" t="s">
        <v>55</v>
      </c>
      <c r="C656" t="s">
        <v>4840</v>
      </c>
      <c r="D656" t="s">
        <v>141</v>
      </c>
      <c r="E656" t="s">
        <v>5155</v>
      </c>
      <c r="F656" t="s">
        <v>5156</v>
      </c>
      <c r="G656" t="s">
        <v>5012</v>
      </c>
      <c r="H656" t="s">
        <v>5012</v>
      </c>
      <c r="I656" t="s">
        <v>5157</v>
      </c>
      <c r="J656" t="s">
        <v>5158</v>
      </c>
      <c r="K656" t="s">
        <v>19</v>
      </c>
      <c r="L656" t="s">
        <v>20</v>
      </c>
      <c r="M656" t="s">
        <v>5152</v>
      </c>
      <c r="N656" t="s">
        <v>5153</v>
      </c>
      <c r="O656" t="s">
        <v>5159</v>
      </c>
      <c r="P656" t="s">
        <v>5160</v>
      </c>
    </row>
    <row r="657" spans="1:16" x14ac:dyDescent="0.35">
      <c r="A657" t="s">
        <v>5161</v>
      </c>
      <c r="B657" t="s">
        <v>55</v>
      </c>
      <c r="C657" t="s">
        <v>691</v>
      </c>
      <c r="D657" t="s">
        <v>2141</v>
      </c>
      <c r="E657" t="s">
        <v>5162</v>
      </c>
      <c r="F657" t="s">
        <v>5163</v>
      </c>
      <c r="G657" t="s">
        <v>5012</v>
      </c>
      <c r="H657" t="s">
        <v>5012</v>
      </c>
      <c r="I657" t="s">
        <v>5164</v>
      </c>
      <c r="J657" t="s">
        <v>5165</v>
      </c>
      <c r="K657" t="s">
        <v>5166</v>
      </c>
      <c r="L657" t="s">
        <v>20</v>
      </c>
      <c r="M657" t="s">
        <v>5152</v>
      </c>
      <c r="N657" t="s">
        <v>5153</v>
      </c>
      <c r="O657" t="s">
        <v>5167</v>
      </c>
      <c r="P657" t="s">
        <v>5168</v>
      </c>
    </row>
    <row r="658" spans="1:16" x14ac:dyDescent="0.35">
      <c r="A658" t="s">
        <v>5169</v>
      </c>
      <c r="B658" t="s">
        <v>55</v>
      </c>
      <c r="C658" t="s">
        <v>140</v>
      </c>
      <c r="D658" t="s">
        <v>141</v>
      </c>
      <c r="E658" t="s">
        <v>5170</v>
      </c>
      <c r="F658" t="s">
        <v>5171</v>
      </c>
      <c r="G658" t="s">
        <v>5012</v>
      </c>
      <c r="H658" t="s">
        <v>5012</v>
      </c>
      <c r="I658" t="s">
        <v>2101</v>
      </c>
      <c r="J658" t="s">
        <v>5172</v>
      </c>
      <c r="K658" t="s">
        <v>2103</v>
      </c>
      <c r="L658" t="s">
        <v>20</v>
      </c>
      <c r="M658" t="s">
        <v>5152</v>
      </c>
      <c r="N658" t="s">
        <v>5153</v>
      </c>
      <c r="O658" t="s">
        <v>5173</v>
      </c>
      <c r="P658" t="s">
        <v>5174</v>
      </c>
    </row>
    <row r="659" spans="1:16" x14ac:dyDescent="0.35">
      <c r="A659" t="s">
        <v>538</v>
      </c>
      <c r="B659" t="s">
        <v>55</v>
      </c>
      <c r="C659" t="s">
        <v>474</v>
      </c>
      <c r="D659" t="s">
        <v>403</v>
      </c>
      <c r="E659" t="s">
        <v>5175</v>
      </c>
      <c r="F659" t="s">
        <v>5176</v>
      </c>
      <c r="G659" t="s">
        <v>5012</v>
      </c>
      <c r="H659" t="s">
        <v>5012</v>
      </c>
      <c r="I659" t="s">
        <v>82</v>
      </c>
      <c r="J659" t="s">
        <v>5177</v>
      </c>
      <c r="K659" t="s">
        <v>84</v>
      </c>
      <c r="L659" t="s">
        <v>20</v>
      </c>
      <c r="M659" t="s">
        <v>5152</v>
      </c>
      <c r="N659" t="s">
        <v>5153</v>
      </c>
      <c r="O659" t="s">
        <v>5178</v>
      </c>
      <c r="P659" t="s">
        <v>5179</v>
      </c>
    </row>
    <row r="660" spans="1:16" x14ac:dyDescent="0.35">
      <c r="A660" t="s">
        <v>5180</v>
      </c>
      <c r="B660" t="s">
        <v>55</v>
      </c>
      <c r="C660" t="s">
        <v>28</v>
      </c>
      <c r="D660" t="s">
        <v>28</v>
      </c>
      <c r="E660" t="s">
        <v>5181</v>
      </c>
      <c r="F660" t="s">
        <v>5182</v>
      </c>
      <c r="G660" t="s">
        <v>5183</v>
      </c>
      <c r="H660" t="s">
        <v>5012</v>
      </c>
      <c r="I660" t="s">
        <v>28</v>
      </c>
      <c r="J660" t="s">
        <v>5184</v>
      </c>
      <c r="K660" t="s">
        <v>19</v>
      </c>
      <c r="L660" t="s">
        <v>20</v>
      </c>
      <c r="M660" t="s">
        <v>5185</v>
      </c>
      <c r="N660" t="s">
        <v>5186</v>
      </c>
      <c r="O660" t="s">
        <v>5187</v>
      </c>
      <c r="P660" t="s">
        <v>5188</v>
      </c>
    </row>
    <row r="661" spans="1:16" x14ac:dyDescent="0.35">
      <c r="A661" t="s">
        <v>5189</v>
      </c>
      <c r="B661" t="s">
        <v>55</v>
      </c>
      <c r="C661" t="s">
        <v>548</v>
      </c>
      <c r="D661" t="s">
        <v>348</v>
      </c>
      <c r="E661" t="s">
        <v>5190</v>
      </c>
      <c r="F661" t="s">
        <v>5191</v>
      </c>
      <c r="G661" t="s">
        <v>5012</v>
      </c>
      <c r="H661" t="s">
        <v>5012</v>
      </c>
      <c r="I661" t="s">
        <v>5192</v>
      </c>
      <c r="J661" t="s">
        <v>5193</v>
      </c>
      <c r="K661" t="s">
        <v>5194</v>
      </c>
      <c r="L661" t="s">
        <v>20</v>
      </c>
      <c r="M661" t="s">
        <v>5195</v>
      </c>
      <c r="N661" t="s">
        <v>5196</v>
      </c>
      <c r="O661" t="s">
        <v>5197</v>
      </c>
      <c r="P661" t="s">
        <v>5198</v>
      </c>
    </row>
    <row r="662" spans="1:16" x14ac:dyDescent="0.35">
      <c r="A662" t="s">
        <v>5199</v>
      </c>
      <c r="B662" t="s">
        <v>373</v>
      </c>
      <c r="C662" t="s">
        <v>28</v>
      </c>
      <c r="D662" t="s">
        <v>28</v>
      </c>
      <c r="E662" t="s">
        <v>5200</v>
      </c>
      <c r="F662" t="s">
        <v>5201</v>
      </c>
      <c r="G662" t="s">
        <v>5012</v>
      </c>
      <c r="H662" t="s">
        <v>5012</v>
      </c>
      <c r="I662" t="s">
        <v>28</v>
      </c>
      <c r="J662" t="s">
        <v>28</v>
      </c>
      <c r="K662" t="s">
        <v>19</v>
      </c>
      <c r="L662" t="s">
        <v>20</v>
      </c>
      <c r="M662" t="s">
        <v>5195</v>
      </c>
      <c r="N662" t="s">
        <v>5196</v>
      </c>
      <c r="O662" t="s">
        <v>5202</v>
      </c>
      <c r="P662" t="s">
        <v>5203</v>
      </c>
    </row>
    <row r="663" spans="1:16" x14ac:dyDescent="0.35">
      <c r="A663" t="s">
        <v>5204</v>
      </c>
      <c r="B663" t="s">
        <v>194</v>
      </c>
      <c r="C663" t="s">
        <v>28</v>
      </c>
      <c r="D663" t="s">
        <v>28</v>
      </c>
      <c r="E663" t="s">
        <v>5205</v>
      </c>
      <c r="F663" t="s">
        <v>5206</v>
      </c>
      <c r="G663" t="s">
        <v>5012</v>
      </c>
      <c r="H663" t="s">
        <v>5012</v>
      </c>
      <c r="I663" t="s">
        <v>5207</v>
      </c>
      <c r="J663" t="s">
        <v>28</v>
      </c>
      <c r="K663" t="s">
        <v>5208</v>
      </c>
      <c r="L663" t="s">
        <v>20</v>
      </c>
      <c r="M663" t="s">
        <v>5195</v>
      </c>
      <c r="N663" t="s">
        <v>5196</v>
      </c>
      <c r="O663" t="s">
        <v>5209</v>
      </c>
      <c r="P663" t="s">
        <v>5210</v>
      </c>
    </row>
    <row r="664" spans="1:16" x14ac:dyDescent="0.35">
      <c r="A664" t="s">
        <v>5211</v>
      </c>
      <c r="B664" t="s">
        <v>55</v>
      </c>
      <c r="C664" t="s">
        <v>28</v>
      </c>
      <c r="D664" t="s">
        <v>28</v>
      </c>
      <c r="E664" t="s">
        <v>5212</v>
      </c>
      <c r="F664" t="s">
        <v>5213</v>
      </c>
      <c r="G664" t="s">
        <v>5214</v>
      </c>
      <c r="H664" t="s">
        <v>5012</v>
      </c>
      <c r="I664" t="s">
        <v>4707</v>
      </c>
      <c r="J664" t="s">
        <v>5215</v>
      </c>
      <c r="K664" t="s">
        <v>4709</v>
      </c>
      <c r="L664" t="s">
        <v>20</v>
      </c>
      <c r="M664" t="s">
        <v>5216</v>
      </c>
      <c r="N664" t="s">
        <v>5217</v>
      </c>
      <c r="O664" t="s">
        <v>5218</v>
      </c>
      <c r="P664" t="s">
        <v>5219</v>
      </c>
    </row>
    <row r="665" spans="1:16" x14ac:dyDescent="0.35">
      <c r="A665" t="s">
        <v>4854</v>
      </c>
      <c r="B665" t="s">
        <v>55</v>
      </c>
      <c r="C665" t="s">
        <v>15</v>
      </c>
      <c r="D665" t="s">
        <v>27</v>
      </c>
      <c r="E665" t="s">
        <v>5220</v>
      </c>
      <c r="F665" t="s">
        <v>5221</v>
      </c>
      <c r="G665" t="s">
        <v>5183</v>
      </c>
      <c r="H665" t="s">
        <v>5012</v>
      </c>
      <c r="I665" t="s">
        <v>4857</v>
      </c>
      <c r="J665" t="s">
        <v>5222</v>
      </c>
      <c r="K665" t="s">
        <v>4859</v>
      </c>
      <c r="L665" t="s">
        <v>20</v>
      </c>
      <c r="M665" t="s">
        <v>5223</v>
      </c>
      <c r="N665" t="s">
        <v>5224</v>
      </c>
      <c r="O665" t="s">
        <v>5225</v>
      </c>
      <c r="P665" t="s">
        <v>5226</v>
      </c>
    </row>
    <row r="666" spans="1:16" x14ac:dyDescent="0.35">
      <c r="A666" t="s">
        <v>5227</v>
      </c>
      <c r="B666" t="s">
        <v>55</v>
      </c>
      <c r="C666" t="s">
        <v>28</v>
      </c>
      <c r="D666" t="s">
        <v>28</v>
      </c>
      <c r="E666" t="s">
        <v>5228</v>
      </c>
      <c r="F666" t="s">
        <v>5229</v>
      </c>
      <c r="G666" t="s">
        <v>5230</v>
      </c>
      <c r="H666" t="s">
        <v>5012</v>
      </c>
      <c r="I666" t="s">
        <v>28</v>
      </c>
      <c r="J666" t="s">
        <v>5231</v>
      </c>
      <c r="K666" t="s">
        <v>19</v>
      </c>
      <c r="L666" t="s">
        <v>20</v>
      </c>
      <c r="M666" t="s">
        <v>5232</v>
      </c>
      <c r="N666" t="s">
        <v>5233</v>
      </c>
      <c r="O666" t="s">
        <v>5234</v>
      </c>
      <c r="P666" t="s">
        <v>5235</v>
      </c>
    </row>
    <row r="667" spans="1:16" x14ac:dyDescent="0.35">
      <c r="A667" t="s">
        <v>1296</v>
      </c>
      <c r="B667" t="s">
        <v>55</v>
      </c>
      <c r="C667" t="s">
        <v>117</v>
      </c>
      <c r="D667" t="s">
        <v>124</v>
      </c>
      <c r="E667" t="s">
        <v>5236</v>
      </c>
      <c r="F667" t="s">
        <v>5237</v>
      </c>
      <c r="G667" t="s">
        <v>5012</v>
      </c>
      <c r="H667" t="s">
        <v>5012</v>
      </c>
      <c r="I667" t="s">
        <v>1299</v>
      </c>
      <c r="J667" t="s">
        <v>5238</v>
      </c>
      <c r="K667" t="s">
        <v>19</v>
      </c>
      <c r="L667" t="s">
        <v>20</v>
      </c>
      <c r="M667" t="s">
        <v>5239</v>
      </c>
      <c r="N667" t="s">
        <v>5240</v>
      </c>
      <c r="O667" t="s">
        <v>5241</v>
      </c>
      <c r="P667" t="s">
        <v>5242</v>
      </c>
    </row>
    <row r="668" spans="1:16" x14ac:dyDescent="0.35">
      <c r="A668" t="s">
        <v>5243</v>
      </c>
      <c r="B668" t="s">
        <v>55</v>
      </c>
      <c r="C668" t="s">
        <v>28</v>
      </c>
      <c r="D668" t="s">
        <v>28</v>
      </c>
      <c r="E668" t="s">
        <v>5244</v>
      </c>
      <c r="F668" t="s">
        <v>5245</v>
      </c>
      <c r="G668" t="s">
        <v>5246</v>
      </c>
      <c r="H668" t="s">
        <v>5012</v>
      </c>
      <c r="I668" t="s">
        <v>5036</v>
      </c>
      <c r="J668" t="s">
        <v>5247</v>
      </c>
      <c r="K668" t="s">
        <v>5038</v>
      </c>
      <c r="L668" t="s">
        <v>20</v>
      </c>
      <c r="M668" t="s">
        <v>5248</v>
      </c>
      <c r="N668" t="s">
        <v>5249</v>
      </c>
      <c r="O668" t="s">
        <v>5250</v>
      </c>
      <c r="P668" t="s">
        <v>5251</v>
      </c>
    </row>
    <row r="669" spans="1:16" x14ac:dyDescent="0.35">
      <c r="A669" t="s">
        <v>5253</v>
      </c>
      <c r="B669" t="s">
        <v>32</v>
      </c>
      <c r="C669" t="s">
        <v>205</v>
      </c>
      <c r="D669" t="s">
        <v>68</v>
      </c>
      <c r="E669" t="s">
        <v>5254</v>
      </c>
      <c r="F669" t="s">
        <v>5255</v>
      </c>
      <c r="G669" t="s">
        <v>5252</v>
      </c>
      <c r="H669" t="s">
        <v>5252</v>
      </c>
      <c r="I669" t="s">
        <v>5256</v>
      </c>
      <c r="J669" t="s">
        <v>5257</v>
      </c>
      <c r="K669" t="s">
        <v>5258</v>
      </c>
      <c r="L669" t="s">
        <v>20</v>
      </c>
      <c r="M669" t="s">
        <v>5259</v>
      </c>
      <c r="N669" t="s">
        <v>5260</v>
      </c>
      <c r="O669" t="s">
        <v>5261</v>
      </c>
      <c r="P669" t="s">
        <v>5262</v>
      </c>
    </row>
    <row r="670" spans="1:16" x14ac:dyDescent="0.35">
      <c r="A670" t="s">
        <v>5263</v>
      </c>
      <c r="B670" t="s">
        <v>32</v>
      </c>
      <c r="C670" t="s">
        <v>28</v>
      </c>
      <c r="D670" t="s">
        <v>28</v>
      </c>
      <c r="E670" t="s">
        <v>5264</v>
      </c>
      <c r="F670" t="s">
        <v>5265</v>
      </c>
      <c r="G670" t="s">
        <v>5252</v>
      </c>
      <c r="H670" t="s">
        <v>5252</v>
      </c>
      <c r="I670" t="s">
        <v>28</v>
      </c>
      <c r="J670" t="s">
        <v>5266</v>
      </c>
      <c r="K670" t="s">
        <v>19</v>
      </c>
      <c r="L670" t="s">
        <v>20</v>
      </c>
      <c r="M670" t="s">
        <v>5267</v>
      </c>
      <c r="N670" t="s">
        <v>5268</v>
      </c>
      <c r="O670" t="s">
        <v>5269</v>
      </c>
      <c r="P670" t="s">
        <v>5270</v>
      </c>
    </row>
    <row r="671" spans="1:16" x14ac:dyDescent="0.35">
      <c r="A671" t="s">
        <v>5271</v>
      </c>
      <c r="B671" t="s">
        <v>55</v>
      </c>
      <c r="C671" t="s">
        <v>241</v>
      </c>
      <c r="D671" t="s">
        <v>449</v>
      </c>
      <c r="E671" t="s">
        <v>5272</v>
      </c>
      <c r="F671" t="s">
        <v>5273</v>
      </c>
      <c r="G671" t="s">
        <v>5252</v>
      </c>
      <c r="H671" t="s">
        <v>5252</v>
      </c>
      <c r="I671" t="s">
        <v>28</v>
      </c>
      <c r="J671" t="s">
        <v>5274</v>
      </c>
      <c r="K671" t="s">
        <v>19</v>
      </c>
      <c r="L671" t="s">
        <v>20</v>
      </c>
      <c r="M671" t="s">
        <v>5275</v>
      </c>
      <c r="N671" t="s">
        <v>5276</v>
      </c>
      <c r="O671" t="s">
        <v>5277</v>
      </c>
      <c r="P671" t="s">
        <v>5278</v>
      </c>
    </row>
    <row r="672" spans="1:16" x14ac:dyDescent="0.35">
      <c r="A672" t="s">
        <v>5279</v>
      </c>
      <c r="B672" t="s">
        <v>55</v>
      </c>
      <c r="C672" t="s">
        <v>15</v>
      </c>
      <c r="D672" t="s">
        <v>16</v>
      </c>
      <c r="E672" t="s">
        <v>5280</v>
      </c>
      <c r="F672" t="s">
        <v>5281</v>
      </c>
      <c r="G672" t="s">
        <v>5252</v>
      </c>
      <c r="H672" t="s">
        <v>5252</v>
      </c>
      <c r="I672" t="s">
        <v>28</v>
      </c>
      <c r="J672" t="s">
        <v>28</v>
      </c>
      <c r="K672" t="s">
        <v>19</v>
      </c>
      <c r="L672" t="s">
        <v>20</v>
      </c>
      <c r="M672" t="s">
        <v>5282</v>
      </c>
      <c r="N672" t="s">
        <v>5283</v>
      </c>
      <c r="O672" t="s">
        <v>5284</v>
      </c>
      <c r="P672" t="s">
        <v>5285</v>
      </c>
    </row>
    <row r="673" spans="1:16" x14ac:dyDescent="0.35">
      <c r="A673" t="s">
        <v>5286</v>
      </c>
      <c r="B673" t="s">
        <v>55</v>
      </c>
      <c r="C673" t="s">
        <v>357</v>
      </c>
      <c r="D673" t="s">
        <v>1795</v>
      </c>
      <c r="E673" t="s">
        <v>5287</v>
      </c>
      <c r="F673" t="s">
        <v>5288</v>
      </c>
      <c r="G673" t="s">
        <v>5252</v>
      </c>
      <c r="H673" t="s">
        <v>5252</v>
      </c>
      <c r="I673" t="s">
        <v>5289</v>
      </c>
      <c r="J673" t="s">
        <v>5290</v>
      </c>
      <c r="K673" t="s">
        <v>19</v>
      </c>
      <c r="L673" t="s">
        <v>20</v>
      </c>
      <c r="M673" t="s">
        <v>5291</v>
      </c>
      <c r="N673" t="s">
        <v>5292</v>
      </c>
      <c r="O673" t="s">
        <v>5293</v>
      </c>
      <c r="P673" t="s">
        <v>5294</v>
      </c>
    </row>
    <row r="674" spans="1:16" x14ac:dyDescent="0.35">
      <c r="A674" t="s">
        <v>5295</v>
      </c>
      <c r="B674" t="s">
        <v>55</v>
      </c>
      <c r="C674" t="s">
        <v>28</v>
      </c>
      <c r="D674" t="s">
        <v>28</v>
      </c>
      <c r="E674" t="s">
        <v>5296</v>
      </c>
      <c r="F674" t="s">
        <v>5297</v>
      </c>
      <c r="G674" t="s">
        <v>5252</v>
      </c>
      <c r="H674" t="s">
        <v>5252</v>
      </c>
      <c r="I674" t="s">
        <v>4707</v>
      </c>
      <c r="J674" t="s">
        <v>5298</v>
      </c>
      <c r="K674" t="s">
        <v>4709</v>
      </c>
      <c r="L674" t="s">
        <v>20</v>
      </c>
      <c r="M674" t="s">
        <v>5299</v>
      </c>
      <c r="N674" t="s">
        <v>5300</v>
      </c>
      <c r="O674" t="s">
        <v>5301</v>
      </c>
      <c r="P674" t="s">
        <v>915</v>
      </c>
    </row>
    <row r="675" spans="1:16" x14ac:dyDescent="0.35">
      <c r="A675" t="s">
        <v>5271</v>
      </c>
      <c r="B675" t="s">
        <v>55</v>
      </c>
      <c r="C675" t="s">
        <v>241</v>
      </c>
      <c r="D675" t="s">
        <v>1706</v>
      </c>
      <c r="E675" t="s">
        <v>5302</v>
      </c>
      <c r="F675" t="s">
        <v>5303</v>
      </c>
      <c r="G675" t="s">
        <v>5252</v>
      </c>
      <c r="H675" t="s">
        <v>5252</v>
      </c>
      <c r="I675" t="s">
        <v>28</v>
      </c>
      <c r="J675" t="s">
        <v>5274</v>
      </c>
      <c r="K675" t="s">
        <v>19</v>
      </c>
      <c r="L675" t="s">
        <v>20</v>
      </c>
      <c r="M675" t="s">
        <v>5304</v>
      </c>
      <c r="N675" t="s">
        <v>5305</v>
      </c>
      <c r="O675" t="s">
        <v>5306</v>
      </c>
      <c r="P675" t="s">
        <v>5307</v>
      </c>
    </row>
    <row r="676" spans="1:16" x14ac:dyDescent="0.35">
      <c r="A676" t="s">
        <v>5308</v>
      </c>
      <c r="B676" t="s">
        <v>194</v>
      </c>
      <c r="C676" t="s">
        <v>28</v>
      </c>
      <c r="D676" t="s">
        <v>28</v>
      </c>
      <c r="E676" t="s">
        <v>5309</v>
      </c>
      <c r="F676" t="s">
        <v>5310</v>
      </c>
      <c r="G676" t="s">
        <v>5252</v>
      </c>
      <c r="H676" t="s">
        <v>5252</v>
      </c>
      <c r="I676" t="s">
        <v>5311</v>
      </c>
      <c r="J676" t="s">
        <v>5312</v>
      </c>
      <c r="K676" t="s">
        <v>5313</v>
      </c>
      <c r="L676" t="s">
        <v>20</v>
      </c>
      <c r="M676" t="s">
        <v>5304</v>
      </c>
      <c r="N676" t="s">
        <v>5305</v>
      </c>
      <c r="O676" t="s">
        <v>5314</v>
      </c>
      <c r="P676" t="s">
        <v>5315</v>
      </c>
    </row>
    <row r="677" spans="1:16" x14ac:dyDescent="0.35">
      <c r="A677" t="s">
        <v>5316</v>
      </c>
      <c r="B677" t="s">
        <v>55</v>
      </c>
      <c r="C677" t="s">
        <v>158</v>
      </c>
      <c r="D677" t="s">
        <v>374</v>
      </c>
      <c r="E677" t="s">
        <v>5317</v>
      </c>
      <c r="F677" t="s">
        <v>5318</v>
      </c>
      <c r="G677" t="s">
        <v>5252</v>
      </c>
      <c r="H677" t="s">
        <v>5252</v>
      </c>
      <c r="I677" t="s">
        <v>28</v>
      </c>
      <c r="J677" t="s">
        <v>5319</v>
      </c>
      <c r="K677" t="s">
        <v>19</v>
      </c>
      <c r="L677" t="s">
        <v>20</v>
      </c>
      <c r="M677" t="s">
        <v>5304</v>
      </c>
      <c r="N677" t="s">
        <v>5305</v>
      </c>
      <c r="O677" t="s">
        <v>5320</v>
      </c>
      <c r="P677" t="s">
        <v>5321</v>
      </c>
    </row>
    <row r="678" spans="1:16" x14ac:dyDescent="0.35">
      <c r="A678" t="s">
        <v>538</v>
      </c>
      <c r="B678" t="s">
        <v>55</v>
      </c>
      <c r="C678" t="s">
        <v>241</v>
      </c>
      <c r="D678" t="s">
        <v>206</v>
      </c>
      <c r="E678" t="s">
        <v>5322</v>
      </c>
      <c r="F678" t="s">
        <v>5323</v>
      </c>
      <c r="G678" t="s">
        <v>5252</v>
      </c>
      <c r="H678" t="s">
        <v>5252</v>
      </c>
      <c r="I678" t="s">
        <v>82</v>
      </c>
      <c r="J678" t="s">
        <v>5324</v>
      </c>
      <c r="K678" t="s">
        <v>84</v>
      </c>
      <c r="L678" t="s">
        <v>20</v>
      </c>
      <c r="M678" t="s">
        <v>5304</v>
      </c>
      <c r="N678" t="s">
        <v>5305</v>
      </c>
      <c r="O678" t="s">
        <v>5325</v>
      </c>
      <c r="P678" t="s">
        <v>5326</v>
      </c>
    </row>
    <row r="679" spans="1:16" x14ac:dyDescent="0.35">
      <c r="A679" t="s">
        <v>5327</v>
      </c>
      <c r="B679" t="s">
        <v>55</v>
      </c>
      <c r="C679" t="s">
        <v>15</v>
      </c>
      <c r="D679" t="s">
        <v>141</v>
      </c>
      <c r="E679" t="s">
        <v>5328</v>
      </c>
      <c r="F679" t="s">
        <v>5329</v>
      </c>
      <c r="G679" t="s">
        <v>5252</v>
      </c>
      <c r="H679" t="s">
        <v>5252</v>
      </c>
      <c r="I679" t="s">
        <v>28</v>
      </c>
      <c r="J679" t="s">
        <v>5330</v>
      </c>
      <c r="K679" t="s">
        <v>19</v>
      </c>
      <c r="L679" t="s">
        <v>20</v>
      </c>
      <c r="M679" t="s">
        <v>5331</v>
      </c>
      <c r="N679" t="s">
        <v>5332</v>
      </c>
      <c r="O679" t="s">
        <v>5333</v>
      </c>
      <c r="P679" t="s">
        <v>5334</v>
      </c>
    </row>
    <row r="680" spans="1:16" x14ac:dyDescent="0.35">
      <c r="A680" t="s">
        <v>5335</v>
      </c>
      <c r="B680" t="s">
        <v>55</v>
      </c>
      <c r="C680" t="s">
        <v>205</v>
      </c>
      <c r="D680" t="s">
        <v>614</v>
      </c>
      <c r="E680" t="s">
        <v>5336</v>
      </c>
      <c r="F680" t="s">
        <v>5337</v>
      </c>
      <c r="G680" t="s">
        <v>5252</v>
      </c>
      <c r="H680" t="s">
        <v>5252</v>
      </c>
      <c r="I680" t="s">
        <v>5338</v>
      </c>
      <c r="J680" t="s">
        <v>5339</v>
      </c>
      <c r="K680" t="s">
        <v>19</v>
      </c>
      <c r="L680" t="s">
        <v>20</v>
      </c>
      <c r="M680" t="s">
        <v>5340</v>
      </c>
      <c r="N680" t="s">
        <v>5341</v>
      </c>
      <c r="O680" t="s">
        <v>5342</v>
      </c>
      <c r="P680" t="s">
        <v>5343</v>
      </c>
    </row>
    <row r="681" spans="1:16" x14ac:dyDescent="0.35">
      <c r="A681" t="s">
        <v>5344</v>
      </c>
      <c r="B681" t="s">
        <v>55</v>
      </c>
      <c r="C681" t="s">
        <v>28</v>
      </c>
      <c r="D681" t="s">
        <v>28</v>
      </c>
      <c r="E681" t="s">
        <v>5345</v>
      </c>
      <c r="F681" t="s">
        <v>5346</v>
      </c>
      <c r="G681" t="s">
        <v>5252</v>
      </c>
      <c r="H681" t="s">
        <v>5252</v>
      </c>
      <c r="I681" t="s">
        <v>28</v>
      </c>
      <c r="J681" t="s">
        <v>28</v>
      </c>
      <c r="K681" t="s">
        <v>19</v>
      </c>
      <c r="L681" t="s">
        <v>20</v>
      </c>
      <c r="M681" t="s">
        <v>5340</v>
      </c>
      <c r="N681" t="s">
        <v>5341</v>
      </c>
      <c r="O681" t="s">
        <v>5347</v>
      </c>
      <c r="P681" t="s">
        <v>5348</v>
      </c>
    </row>
    <row r="682" spans="1:16" x14ac:dyDescent="0.35">
      <c r="A682" t="s">
        <v>325</v>
      </c>
      <c r="B682" t="s">
        <v>55</v>
      </c>
      <c r="C682" t="s">
        <v>21</v>
      </c>
      <c r="D682" t="s">
        <v>549</v>
      </c>
      <c r="E682" t="s">
        <v>5349</v>
      </c>
      <c r="F682" t="s">
        <v>5350</v>
      </c>
      <c r="G682" t="s">
        <v>5252</v>
      </c>
      <c r="H682" t="s">
        <v>5252</v>
      </c>
      <c r="I682" t="s">
        <v>5351</v>
      </c>
      <c r="J682" t="s">
        <v>5352</v>
      </c>
      <c r="K682" t="s">
        <v>5353</v>
      </c>
      <c r="L682" t="s">
        <v>20</v>
      </c>
      <c r="M682" t="s">
        <v>5340</v>
      </c>
      <c r="N682" t="s">
        <v>5341</v>
      </c>
      <c r="O682" t="s">
        <v>5354</v>
      </c>
      <c r="P682" t="s">
        <v>5355</v>
      </c>
    </row>
    <row r="683" spans="1:16" x14ac:dyDescent="0.35">
      <c r="A683" t="s">
        <v>5356</v>
      </c>
      <c r="B683" t="s">
        <v>55</v>
      </c>
      <c r="C683" t="s">
        <v>15</v>
      </c>
      <c r="D683" t="s">
        <v>16</v>
      </c>
      <c r="E683" t="s">
        <v>5357</v>
      </c>
      <c r="F683" t="s">
        <v>5358</v>
      </c>
      <c r="G683" t="s">
        <v>5252</v>
      </c>
      <c r="H683" t="s">
        <v>5252</v>
      </c>
      <c r="I683" t="s">
        <v>5359</v>
      </c>
      <c r="J683" t="s">
        <v>5360</v>
      </c>
      <c r="K683" t="s">
        <v>5361</v>
      </c>
      <c r="L683" t="s">
        <v>20</v>
      </c>
      <c r="M683" t="s">
        <v>5340</v>
      </c>
      <c r="N683" t="s">
        <v>5341</v>
      </c>
      <c r="O683" t="s">
        <v>5362</v>
      </c>
      <c r="P683" t="s">
        <v>5363</v>
      </c>
    </row>
    <row r="684" spans="1:16" x14ac:dyDescent="0.35">
      <c r="A684" t="s">
        <v>5364</v>
      </c>
      <c r="B684" t="s">
        <v>55</v>
      </c>
      <c r="C684" t="s">
        <v>158</v>
      </c>
      <c r="D684" t="s">
        <v>324</v>
      </c>
      <c r="E684" t="s">
        <v>5365</v>
      </c>
      <c r="F684" t="s">
        <v>5366</v>
      </c>
      <c r="G684" t="s">
        <v>5252</v>
      </c>
      <c r="H684" t="s">
        <v>5252</v>
      </c>
      <c r="I684" t="s">
        <v>28</v>
      </c>
      <c r="J684" t="s">
        <v>5367</v>
      </c>
      <c r="K684" t="s">
        <v>19</v>
      </c>
      <c r="L684" t="s">
        <v>20</v>
      </c>
      <c r="M684" t="s">
        <v>5340</v>
      </c>
      <c r="N684" t="s">
        <v>5341</v>
      </c>
      <c r="O684" t="s">
        <v>5368</v>
      </c>
      <c r="P684" t="s">
        <v>5369</v>
      </c>
    </row>
    <row r="685" spans="1:16" x14ac:dyDescent="0.35">
      <c r="A685" t="s">
        <v>5370</v>
      </c>
      <c r="B685" t="s">
        <v>55</v>
      </c>
      <c r="C685" t="s">
        <v>28</v>
      </c>
      <c r="D685" t="s">
        <v>28</v>
      </c>
      <c r="E685" t="s">
        <v>5371</v>
      </c>
      <c r="F685" t="s">
        <v>5372</v>
      </c>
      <c r="G685" t="s">
        <v>5252</v>
      </c>
      <c r="H685" t="s">
        <v>5252</v>
      </c>
      <c r="I685" t="s">
        <v>28</v>
      </c>
      <c r="J685" t="s">
        <v>28</v>
      </c>
      <c r="K685" t="s">
        <v>19</v>
      </c>
      <c r="L685" t="s">
        <v>20</v>
      </c>
      <c r="M685" t="s">
        <v>5340</v>
      </c>
      <c r="N685" t="s">
        <v>5341</v>
      </c>
      <c r="O685" t="s">
        <v>5373</v>
      </c>
      <c r="P685" t="s">
        <v>5374</v>
      </c>
    </row>
    <row r="686" spans="1:16" x14ac:dyDescent="0.35">
      <c r="A686" t="s">
        <v>2404</v>
      </c>
      <c r="B686" t="s">
        <v>55</v>
      </c>
      <c r="C686" t="s">
        <v>28</v>
      </c>
      <c r="D686" t="s">
        <v>28</v>
      </c>
      <c r="E686" t="s">
        <v>5375</v>
      </c>
      <c r="F686" t="s">
        <v>5376</v>
      </c>
      <c r="G686" t="s">
        <v>5252</v>
      </c>
      <c r="H686" t="s">
        <v>5252</v>
      </c>
      <c r="I686" t="s">
        <v>28</v>
      </c>
      <c r="J686" t="s">
        <v>5377</v>
      </c>
      <c r="K686" t="s">
        <v>19</v>
      </c>
      <c r="L686" t="s">
        <v>20</v>
      </c>
      <c r="M686" t="s">
        <v>5340</v>
      </c>
      <c r="N686" t="s">
        <v>5341</v>
      </c>
      <c r="O686" t="s">
        <v>5378</v>
      </c>
      <c r="P686" t="s">
        <v>5379</v>
      </c>
    </row>
    <row r="687" spans="1:16" x14ac:dyDescent="0.35">
      <c r="A687" t="s">
        <v>5380</v>
      </c>
      <c r="B687" t="s">
        <v>32</v>
      </c>
      <c r="C687" t="s">
        <v>250</v>
      </c>
      <c r="D687" t="s">
        <v>242</v>
      </c>
      <c r="E687" t="s">
        <v>5381</v>
      </c>
      <c r="F687" t="s">
        <v>5382</v>
      </c>
      <c r="G687" t="s">
        <v>5383</v>
      </c>
      <c r="H687" t="s">
        <v>5383</v>
      </c>
      <c r="I687" t="s">
        <v>5384</v>
      </c>
      <c r="J687" t="s">
        <v>5385</v>
      </c>
      <c r="K687" t="s">
        <v>19</v>
      </c>
      <c r="L687" t="s">
        <v>20</v>
      </c>
      <c r="M687" t="s">
        <v>5386</v>
      </c>
      <c r="N687" t="s">
        <v>5387</v>
      </c>
      <c r="O687" t="s">
        <v>5388</v>
      </c>
      <c r="P687" t="s">
        <v>5389</v>
      </c>
    </row>
    <row r="688" spans="1:16" x14ac:dyDescent="0.35">
      <c r="A688" t="s">
        <v>5390</v>
      </c>
      <c r="B688" t="s">
        <v>32</v>
      </c>
      <c r="C688" t="s">
        <v>78</v>
      </c>
      <c r="D688" t="s">
        <v>348</v>
      </c>
      <c r="E688" t="s">
        <v>5391</v>
      </c>
      <c r="F688" t="s">
        <v>5392</v>
      </c>
      <c r="G688" t="s">
        <v>5383</v>
      </c>
      <c r="H688" t="s">
        <v>5383</v>
      </c>
      <c r="I688" t="s">
        <v>28</v>
      </c>
      <c r="J688" t="s">
        <v>5393</v>
      </c>
      <c r="K688" t="s">
        <v>19</v>
      </c>
      <c r="L688" t="s">
        <v>20</v>
      </c>
      <c r="M688" t="s">
        <v>5386</v>
      </c>
      <c r="N688" t="s">
        <v>5387</v>
      </c>
      <c r="O688" t="s">
        <v>5394</v>
      </c>
      <c r="P688" t="s">
        <v>5395</v>
      </c>
    </row>
    <row r="689" spans="1:16" x14ac:dyDescent="0.35">
      <c r="A689" t="s">
        <v>5396</v>
      </c>
      <c r="B689" t="s">
        <v>32</v>
      </c>
      <c r="C689" t="s">
        <v>205</v>
      </c>
      <c r="D689" t="s">
        <v>68</v>
      </c>
      <c r="E689" t="s">
        <v>5397</v>
      </c>
      <c r="F689" t="s">
        <v>5398</v>
      </c>
      <c r="G689" t="s">
        <v>5383</v>
      </c>
      <c r="H689" t="s">
        <v>5383</v>
      </c>
      <c r="I689" t="s">
        <v>5399</v>
      </c>
      <c r="J689" t="s">
        <v>5400</v>
      </c>
      <c r="K689" t="s">
        <v>5401</v>
      </c>
      <c r="L689" t="s">
        <v>20</v>
      </c>
      <c r="M689" t="s">
        <v>5402</v>
      </c>
      <c r="N689" t="s">
        <v>5403</v>
      </c>
      <c r="O689" t="s">
        <v>5404</v>
      </c>
      <c r="P689" t="s">
        <v>5405</v>
      </c>
    </row>
    <row r="690" spans="1:16" x14ac:dyDescent="0.35">
      <c r="A690" t="s">
        <v>5406</v>
      </c>
      <c r="B690" t="s">
        <v>32</v>
      </c>
      <c r="C690" t="s">
        <v>78</v>
      </c>
      <c r="D690" t="s">
        <v>614</v>
      </c>
      <c r="E690" t="s">
        <v>5407</v>
      </c>
      <c r="F690" t="s">
        <v>5408</v>
      </c>
      <c r="G690" t="s">
        <v>5383</v>
      </c>
      <c r="H690" t="s">
        <v>5383</v>
      </c>
      <c r="I690" t="s">
        <v>28</v>
      </c>
      <c r="J690" t="s">
        <v>5409</v>
      </c>
      <c r="K690" t="s">
        <v>19</v>
      </c>
      <c r="L690" t="s">
        <v>20</v>
      </c>
      <c r="M690" t="s">
        <v>5410</v>
      </c>
      <c r="N690" t="s">
        <v>5411</v>
      </c>
      <c r="O690" t="s">
        <v>5412</v>
      </c>
      <c r="P690" t="s">
        <v>5413</v>
      </c>
    </row>
    <row r="691" spans="1:16" x14ac:dyDescent="0.35">
      <c r="A691" t="s">
        <v>5041</v>
      </c>
      <c r="B691" t="s">
        <v>55</v>
      </c>
      <c r="C691" t="s">
        <v>15</v>
      </c>
      <c r="D691" t="s">
        <v>16</v>
      </c>
      <c r="E691" t="s">
        <v>5414</v>
      </c>
      <c r="F691" t="s">
        <v>5415</v>
      </c>
      <c r="G691" t="s">
        <v>5383</v>
      </c>
      <c r="H691" t="s">
        <v>5383</v>
      </c>
      <c r="I691" t="s">
        <v>28</v>
      </c>
      <c r="J691" t="s">
        <v>5416</v>
      </c>
      <c r="K691" t="s">
        <v>19</v>
      </c>
      <c r="L691" t="s">
        <v>20</v>
      </c>
      <c r="M691" t="s">
        <v>5417</v>
      </c>
      <c r="N691" t="s">
        <v>5418</v>
      </c>
      <c r="O691" t="s">
        <v>5419</v>
      </c>
      <c r="P691" t="s">
        <v>5420</v>
      </c>
    </row>
    <row r="692" spans="1:16" x14ac:dyDescent="0.35">
      <c r="A692" t="s">
        <v>5421</v>
      </c>
      <c r="B692" t="s">
        <v>55</v>
      </c>
      <c r="C692" t="s">
        <v>205</v>
      </c>
      <c r="D692" t="s">
        <v>403</v>
      </c>
      <c r="E692" t="s">
        <v>5422</v>
      </c>
      <c r="F692" t="s">
        <v>5423</v>
      </c>
      <c r="G692" t="s">
        <v>5383</v>
      </c>
      <c r="H692" t="s">
        <v>5383</v>
      </c>
      <c r="I692" t="s">
        <v>4857</v>
      </c>
      <c r="J692" t="s">
        <v>5424</v>
      </c>
      <c r="K692" t="s">
        <v>4859</v>
      </c>
      <c r="L692" t="s">
        <v>20</v>
      </c>
      <c r="M692" t="s">
        <v>5417</v>
      </c>
      <c r="N692" t="s">
        <v>5418</v>
      </c>
      <c r="O692" t="s">
        <v>5425</v>
      </c>
      <c r="P692" t="s">
        <v>5426</v>
      </c>
    </row>
    <row r="693" spans="1:16" x14ac:dyDescent="0.35">
      <c r="A693" t="s">
        <v>5427</v>
      </c>
      <c r="B693" t="s">
        <v>55</v>
      </c>
      <c r="C693" t="s">
        <v>158</v>
      </c>
      <c r="D693" t="s">
        <v>304</v>
      </c>
      <c r="E693" t="s">
        <v>5428</v>
      </c>
      <c r="F693" t="s">
        <v>5429</v>
      </c>
      <c r="G693" t="s">
        <v>5383</v>
      </c>
      <c r="H693" t="s">
        <v>5383</v>
      </c>
      <c r="I693" t="s">
        <v>3996</v>
      </c>
      <c r="J693" t="s">
        <v>5430</v>
      </c>
      <c r="K693" t="s">
        <v>19</v>
      </c>
      <c r="L693" t="s">
        <v>20</v>
      </c>
      <c r="M693" t="s">
        <v>5417</v>
      </c>
      <c r="N693" t="s">
        <v>5418</v>
      </c>
      <c r="O693" t="s">
        <v>5431</v>
      </c>
      <c r="P693" t="s">
        <v>5432</v>
      </c>
    </row>
    <row r="694" spans="1:16" x14ac:dyDescent="0.35">
      <c r="A694" t="s">
        <v>5041</v>
      </c>
      <c r="B694" t="s">
        <v>55</v>
      </c>
      <c r="C694" t="s">
        <v>691</v>
      </c>
      <c r="D694" t="s">
        <v>68</v>
      </c>
      <c r="E694" t="s">
        <v>5433</v>
      </c>
      <c r="F694" t="s">
        <v>5434</v>
      </c>
      <c r="G694" t="s">
        <v>5383</v>
      </c>
      <c r="H694" t="s">
        <v>5383</v>
      </c>
      <c r="I694" t="s">
        <v>28</v>
      </c>
      <c r="J694" t="s">
        <v>5435</v>
      </c>
      <c r="K694" t="s">
        <v>19</v>
      </c>
      <c r="L694" t="s">
        <v>20</v>
      </c>
      <c r="M694" t="s">
        <v>5417</v>
      </c>
      <c r="N694" t="s">
        <v>5418</v>
      </c>
      <c r="O694" t="s">
        <v>5436</v>
      </c>
      <c r="P694" t="s">
        <v>5437</v>
      </c>
    </row>
    <row r="695" spans="1:16" x14ac:dyDescent="0.35">
      <c r="A695" t="s">
        <v>5438</v>
      </c>
      <c r="B695" t="s">
        <v>55</v>
      </c>
      <c r="C695" t="s">
        <v>117</v>
      </c>
      <c r="D695" t="s">
        <v>16</v>
      </c>
      <c r="E695" t="s">
        <v>5439</v>
      </c>
      <c r="F695" t="s">
        <v>5440</v>
      </c>
      <c r="G695" t="s">
        <v>5383</v>
      </c>
      <c r="H695" t="s">
        <v>5383</v>
      </c>
      <c r="I695" t="s">
        <v>5441</v>
      </c>
      <c r="J695" t="s">
        <v>5442</v>
      </c>
      <c r="K695" t="s">
        <v>5443</v>
      </c>
      <c r="L695" t="s">
        <v>20</v>
      </c>
      <c r="M695" t="s">
        <v>5417</v>
      </c>
      <c r="N695" t="s">
        <v>5418</v>
      </c>
      <c r="O695" t="s">
        <v>5444</v>
      </c>
      <c r="P695" t="s">
        <v>5445</v>
      </c>
    </row>
    <row r="696" spans="1:16" x14ac:dyDescent="0.35">
      <c r="A696" t="s">
        <v>5446</v>
      </c>
      <c r="B696" t="s">
        <v>55</v>
      </c>
      <c r="C696" t="s">
        <v>474</v>
      </c>
      <c r="D696" t="s">
        <v>1795</v>
      </c>
      <c r="E696" t="s">
        <v>5447</v>
      </c>
      <c r="F696" t="s">
        <v>5448</v>
      </c>
      <c r="G696" t="s">
        <v>5383</v>
      </c>
      <c r="H696" t="s">
        <v>5383</v>
      </c>
      <c r="I696" t="s">
        <v>28</v>
      </c>
      <c r="J696" t="s">
        <v>5449</v>
      </c>
      <c r="K696" t="s">
        <v>19</v>
      </c>
      <c r="L696" t="s">
        <v>20</v>
      </c>
      <c r="M696" t="s">
        <v>5417</v>
      </c>
      <c r="N696" t="s">
        <v>5418</v>
      </c>
      <c r="O696" t="s">
        <v>5450</v>
      </c>
      <c r="P696" t="s">
        <v>5451</v>
      </c>
    </row>
    <row r="697" spans="1:16" x14ac:dyDescent="0.35">
      <c r="A697" t="s">
        <v>5452</v>
      </c>
      <c r="B697" t="s">
        <v>55</v>
      </c>
      <c r="C697" t="s">
        <v>28</v>
      </c>
      <c r="D697" t="s">
        <v>28</v>
      </c>
      <c r="E697" t="s">
        <v>5453</v>
      </c>
      <c r="F697" t="s">
        <v>5454</v>
      </c>
      <c r="G697" t="s">
        <v>5383</v>
      </c>
      <c r="H697" t="s">
        <v>5383</v>
      </c>
      <c r="I697" t="s">
        <v>2599</v>
      </c>
      <c r="J697" t="s">
        <v>5455</v>
      </c>
      <c r="K697" t="s">
        <v>19</v>
      </c>
      <c r="L697" t="s">
        <v>20</v>
      </c>
      <c r="M697" t="s">
        <v>5456</v>
      </c>
      <c r="N697" t="s">
        <v>5457</v>
      </c>
      <c r="O697" t="s">
        <v>5458</v>
      </c>
      <c r="P697" t="s">
        <v>5459</v>
      </c>
    </row>
    <row r="698" spans="1:16" x14ac:dyDescent="0.35">
      <c r="A698" t="s">
        <v>5460</v>
      </c>
      <c r="B698" t="s">
        <v>55</v>
      </c>
      <c r="C698" t="s">
        <v>177</v>
      </c>
      <c r="D698" t="s">
        <v>304</v>
      </c>
      <c r="E698" t="s">
        <v>5461</v>
      </c>
      <c r="F698" t="s">
        <v>5462</v>
      </c>
      <c r="G698" t="s">
        <v>5383</v>
      </c>
      <c r="H698" t="s">
        <v>5383</v>
      </c>
      <c r="I698" t="s">
        <v>4707</v>
      </c>
      <c r="J698" t="s">
        <v>5463</v>
      </c>
      <c r="K698" t="s">
        <v>4709</v>
      </c>
      <c r="L698" t="s">
        <v>20</v>
      </c>
      <c r="M698" t="s">
        <v>5456</v>
      </c>
      <c r="N698" t="s">
        <v>5457</v>
      </c>
      <c r="O698" t="s">
        <v>5464</v>
      </c>
      <c r="P698" t="s">
        <v>5465</v>
      </c>
    </row>
    <row r="699" spans="1:16" x14ac:dyDescent="0.35">
      <c r="A699" t="s">
        <v>5466</v>
      </c>
      <c r="B699" t="s">
        <v>55</v>
      </c>
      <c r="C699" t="s">
        <v>15</v>
      </c>
      <c r="D699" t="s">
        <v>68</v>
      </c>
      <c r="E699" t="s">
        <v>5467</v>
      </c>
      <c r="F699" t="s">
        <v>5468</v>
      </c>
      <c r="G699" t="s">
        <v>5383</v>
      </c>
      <c r="H699" t="s">
        <v>5383</v>
      </c>
      <c r="I699" t="s">
        <v>5469</v>
      </c>
      <c r="J699" t="s">
        <v>5470</v>
      </c>
      <c r="K699" t="s">
        <v>19</v>
      </c>
      <c r="L699" t="s">
        <v>20</v>
      </c>
      <c r="M699" t="s">
        <v>5456</v>
      </c>
      <c r="N699" t="s">
        <v>5457</v>
      </c>
      <c r="O699" t="s">
        <v>5471</v>
      </c>
      <c r="P699" t="s">
        <v>5472</v>
      </c>
    </row>
    <row r="700" spans="1:16" x14ac:dyDescent="0.35">
      <c r="A700" t="s">
        <v>5473</v>
      </c>
      <c r="B700" t="s">
        <v>55</v>
      </c>
      <c r="C700" t="s">
        <v>26</v>
      </c>
      <c r="D700" t="s">
        <v>1795</v>
      </c>
      <c r="E700" t="s">
        <v>5474</v>
      </c>
      <c r="F700" t="s">
        <v>5475</v>
      </c>
      <c r="G700" t="s">
        <v>5383</v>
      </c>
      <c r="H700" t="s">
        <v>5383</v>
      </c>
      <c r="I700" t="s">
        <v>28</v>
      </c>
      <c r="J700" t="s">
        <v>5476</v>
      </c>
      <c r="K700" t="s">
        <v>19</v>
      </c>
      <c r="L700" t="s">
        <v>20</v>
      </c>
      <c r="M700" t="s">
        <v>5477</v>
      </c>
      <c r="N700" t="s">
        <v>5478</v>
      </c>
      <c r="O700" t="s">
        <v>5479</v>
      </c>
      <c r="P700" t="s">
        <v>5480</v>
      </c>
    </row>
    <row r="701" spans="1:16" x14ac:dyDescent="0.35">
      <c r="A701" t="s">
        <v>4227</v>
      </c>
      <c r="B701" t="s">
        <v>55</v>
      </c>
      <c r="C701" t="s">
        <v>26</v>
      </c>
      <c r="D701" t="s">
        <v>965</v>
      </c>
      <c r="E701" t="s">
        <v>5481</v>
      </c>
      <c r="F701" t="s">
        <v>5482</v>
      </c>
      <c r="G701" t="s">
        <v>5383</v>
      </c>
      <c r="H701" t="s">
        <v>5383</v>
      </c>
      <c r="I701" t="s">
        <v>82</v>
      </c>
      <c r="J701" t="s">
        <v>5483</v>
      </c>
      <c r="K701" t="s">
        <v>84</v>
      </c>
      <c r="L701" t="s">
        <v>20</v>
      </c>
      <c r="M701" t="s">
        <v>5477</v>
      </c>
      <c r="N701" t="s">
        <v>5478</v>
      </c>
      <c r="O701" t="s">
        <v>5484</v>
      </c>
      <c r="P701" t="s">
        <v>5485</v>
      </c>
    </row>
    <row r="702" spans="1:16" x14ac:dyDescent="0.35">
      <c r="A702" t="s">
        <v>5486</v>
      </c>
      <c r="B702" t="s">
        <v>55</v>
      </c>
      <c r="C702" t="s">
        <v>205</v>
      </c>
      <c r="D702" t="s">
        <v>68</v>
      </c>
      <c r="E702" t="s">
        <v>5487</v>
      </c>
      <c r="F702" t="s">
        <v>5488</v>
      </c>
      <c r="G702" t="s">
        <v>5383</v>
      </c>
      <c r="H702" t="s">
        <v>5383</v>
      </c>
      <c r="I702" t="s">
        <v>5489</v>
      </c>
      <c r="J702" t="s">
        <v>5490</v>
      </c>
      <c r="K702" t="s">
        <v>19</v>
      </c>
      <c r="L702" t="s">
        <v>20</v>
      </c>
      <c r="M702" t="s">
        <v>5477</v>
      </c>
      <c r="N702" t="s">
        <v>5478</v>
      </c>
      <c r="O702" t="s">
        <v>5491</v>
      </c>
      <c r="P702" t="s">
        <v>5492</v>
      </c>
    </row>
    <row r="703" spans="1:16" x14ac:dyDescent="0.35">
      <c r="A703" t="s">
        <v>5493</v>
      </c>
      <c r="B703" t="s">
        <v>55</v>
      </c>
      <c r="C703" t="s">
        <v>28</v>
      </c>
      <c r="D703" t="s">
        <v>28</v>
      </c>
      <c r="E703" t="s">
        <v>5494</v>
      </c>
      <c r="F703" t="s">
        <v>5495</v>
      </c>
      <c r="G703" t="s">
        <v>5383</v>
      </c>
      <c r="H703" t="s">
        <v>5383</v>
      </c>
      <c r="I703" t="s">
        <v>28</v>
      </c>
      <c r="J703" t="s">
        <v>5496</v>
      </c>
      <c r="K703" t="s">
        <v>19</v>
      </c>
      <c r="L703" t="s">
        <v>20</v>
      </c>
      <c r="M703" t="s">
        <v>5477</v>
      </c>
      <c r="N703" t="s">
        <v>5478</v>
      </c>
      <c r="O703" t="s">
        <v>5497</v>
      </c>
      <c r="P703" t="s">
        <v>5498</v>
      </c>
    </row>
    <row r="704" spans="1:16" x14ac:dyDescent="0.35">
      <c r="A704" t="s">
        <v>4854</v>
      </c>
      <c r="B704" t="s">
        <v>55</v>
      </c>
      <c r="C704" t="s">
        <v>96</v>
      </c>
      <c r="D704" t="s">
        <v>124</v>
      </c>
      <c r="E704" t="s">
        <v>5499</v>
      </c>
      <c r="F704" t="s">
        <v>5500</v>
      </c>
      <c r="G704" t="s">
        <v>5383</v>
      </c>
      <c r="H704" t="s">
        <v>5383</v>
      </c>
      <c r="I704" t="s">
        <v>4857</v>
      </c>
      <c r="J704" t="s">
        <v>5501</v>
      </c>
      <c r="K704" t="s">
        <v>4859</v>
      </c>
      <c r="L704" t="s">
        <v>20</v>
      </c>
      <c r="M704" t="s">
        <v>5502</v>
      </c>
      <c r="N704" t="s">
        <v>5503</v>
      </c>
      <c r="O704" t="s">
        <v>5504</v>
      </c>
      <c r="P704" t="s">
        <v>5505</v>
      </c>
    </row>
    <row r="705" spans="1:16" x14ac:dyDescent="0.35">
      <c r="A705" t="s">
        <v>169</v>
      </c>
      <c r="B705" t="s">
        <v>55</v>
      </c>
      <c r="C705" t="s">
        <v>15</v>
      </c>
      <c r="D705" t="s">
        <v>16</v>
      </c>
      <c r="E705" t="s">
        <v>5506</v>
      </c>
      <c r="F705" t="s">
        <v>5507</v>
      </c>
      <c r="G705" t="s">
        <v>5383</v>
      </c>
      <c r="H705" t="s">
        <v>5383</v>
      </c>
      <c r="I705" t="s">
        <v>28</v>
      </c>
      <c r="J705" t="s">
        <v>5508</v>
      </c>
      <c r="K705" t="s">
        <v>19</v>
      </c>
      <c r="L705" t="s">
        <v>20</v>
      </c>
      <c r="M705" t="s">
        <v>5509</v>
      </c>
      <c r="N705" t="s">
        <v>5510</v>
      </c>
      <c r="O705" t="s">
        <v>5511</v>
      </c>
      <c r="P705" t="s">
        <v>5512</v>
      </c>
    </row>
    <row r="706" spans="1:16" x14ac:dyDescent="0.35">
      <c r="A706" t="s">
        <v>5513</v>
      </c>
      <c r="B706" t="s">
        <v>55</v>
      </c>
      <c r="C706" t="s">
        <v>311</v>
      </c>
      <c r="D706" t="s">
        <v>185</v>
      </c>
      <c r="E706" t="s">
        <v>5514</v>
      </c>
      <c r="F706" t="s">
        <v>5515</v>
      </c>
      <c r="G706" t="s">
        <v>5383</v>
      </c>
      <c r="H706" t="s">
        <v>5383</v>
      </c>
      <c r="I706" t="s">
        <v>162</v>
      </c>
      <c r="J706" t="s">
        <v>5516</v>
      </c>
      <c r="K706" t="s">
        <v>164</v>
      </c>
      <c r="L706" t="s">
        <v>20</v>
      </c>
      <c r="M706" t="s">
        <v>5517</v>
      </c>
      <c r="N706" t="s">
        <v>5518</v>
      </c>
      <c r="O706" t="s">
        <v>5519</v>
      </c>
      <c r="P706" t="s">
        <v>5520</v>
      </c>
    </row>
    <row r="707" spans="1:16" x14ac:dyDescent="0.35">
      <c r="A707" t="s">
        <v>5521</v>
      </c>
      <c r="B707" t="s">
        <v>55</v>
      </c>
      <c r="C707" t="s">
        <v>28</v>
      </c>
      <c r="D707" t="s">
        <v>28</v>
      </c>
      <c r="E707" t="s">
        <v>5522</v>
      </c>
      <c r="F707" t="s">
        <v>5523</v>
      </c>
      <c r="G707" t="s">
        <v>5383</v>
      </c>
      <c r="H707" t="s">
        <v>5383</v>
      </c>
      <c r="I707" t="s">
        <v>28</v>
      </c>
      <c r="J707" t="s">
        <v>503</v>
      </c>
      <c r="K707" t="s">
        <v>19</v>
      </c>
      <c r="L707" t="s">
        <v>20</v>
      </c>
      <c r="M707" t="s">
        <v>5386</v>
      </c>
      <c r="N707" t="s">
        <v>5387</v>
      </c>
      <c r="O707" t="s">
        <v>5524</v>
      </c>
      <c r="P707" t="s">
        <v>5525</v>
      </c>
    </row>
    <row r="708" spans="1:16" x14ac:dyDescent="0.35">
      <c r="A708" t="s">
        <v>5526</v>
      </c>
      <c r="B708" t="s">
        <v>157</v>
      </c>
      <c r="C708" t="s">
        <v>28</v>
      </c>
      <c r="D708" t="s">
        <v>28</v>
      </c>
      <c r="E708" t="s">
        <v>5527</v>
      </c>
      <c r="F708" t="s">
        <v>5528</v>
      </c>
      <c r="G708" t="s">
        <v>5383</v>
      </c>
      <c r="H708" t="s">
        <v>5383</v>
      </c>
      <c r="I708" t="s">
        <v>5529</v>
      </c>
      <c r="J708" t="s">
        <v>5530</v>
      </c>
      <c r="K708" t="s">
        <v>5531</v>
      </c>
      <c r="L708" t="s">
        <v>20</v>
      </c>
      <c r="M708" t="s">
        <v>5532</v>
      </c>
      <c r="N708" t="s">
        <v>5533</v>
      </c>
      <c r="O708" t="s">
        <v>5534</v>
      </c>
      <c r="P708" t="s">
        <v>5535</v>
      </c>
    </row>
    <row r="709" spans="1:16" x14ac:dyDescent="0.35">
      <c r="A709" t="s">
        <v>5536</v>
      </c>
      <c r="B709" t="s">
        <v>55</v>
      </c>
      <c r="C709" t="s">
        <v>26</v>
      </c>
      <c r="D709" t="s">
        <v>1683</v>
      </c>
      <c r="E709" t="s">
        <v>5537</v>
      </c>
      <c r="F709" t="s">
        <v>5538</v>
      </c>
      <c r="G709" t="s">
        <v>5383</v>
      </c>
      <c r="H709" t="s">
        <v>5383</v>
      </c>
      <c r="I709" t="s">
        <v>5539</v>
      </c>
      <c r="J709" t="s">
        <v>5540</v>
      </c>
      <c r="K709" t="s">
        <v>5095</v>
      </c>
      <c r="L709" t="s">
        <v>20</v>
      </c>
      <c r="M709" t="s">
        <v>5532</v>
      </c>
      <c r="N709" t="s">
        <v>5533</v>
      </c>
      <c r="O709" t="s">
        <v>5541</v>
      </c>
      <c r="P709" t="s">
        <v>5542</v>
      </c>
    </row>
    <row r="710" spans="1:16" x14ac:dyDescent="0.35">
      <c r="A710" t="s">
        <v>5543</v>
      </c>
      <c r="B710" t="s">
        <v>55</v>
      </c>
      <c r="C710" t="s">
        <v>311</v>
      </c>
      <c r="D710" t="s">
        <v>449</v>
      </c>
      <c r="E710" t="s">
        <v>5544</v>
      </c>
      <c r="F710" t="s">
        <v>5545</v>
      </c>
      <c r="G710" t="s">
        <v>5383</v>
      </c>
      <c r="H710" t="s">
        <v>5383</v>
      </c>
      <c r="I710" t="s">
        <v>28</v>
      </c>
      <c r="J710" t="s">
        <v>5546</v>
      </c>
      <c r="K710" t="s">
        <v>19</v>
      </c>
      <c r="L710" t="s">
        <v>20</v>
      </c>
      <c r="M710" t="s">
        <v>5532</v>
      </c>
      <c r="N710" t="s">
        <v>5533</v>
      </c>
      <c r="O710" t="s">
        <v>5547</v>
      </c>
      <c r="P710" t="s">
        <v>915</v>
      </c>
    </row>
    <row r="711" spans="1:16" x14ac:dyDescent="0.35">
      <c r="A711" t="s">
        <v>5548</v>
      </c>
      <c r="B711" t="s">
        <v>55</v>
      </c>
      <c r="C711" t="s">
        <v>311</v>
      </c>
      <c r="D711" t="s">
        <v>304</v>
      </c>
      <c r="E711" t="s">
        <v>5549</v>
      </c>
      <c r="F711" t="s">
        <v>5550</v>
      </c>
      <c r="G711" t="s">
        <v>5551</v>
      </c>
      <c r="H711" t="s">
        <v>5383</v>
      </c>
      <c r="I711" t="s">
        <v>5552</v>
      </c>
      <c r="J711" t="s">
        <v>5553</v>
      </c>
      <c r="K711" t="s">
        <v>19</v>
      </c>
      <c r="L711" t="s">
        <v>20</v>
      </c>
      <c r="M711" t="s">
        <v>5554</v>
      </c>
      <c r="N711" t="s">
        <v>5555</v>
      </c>
      <c r="O711" t="s">
        <v>5556</v>
      </c>
      <c r="P711" t="s">
        <v>5557</v>
      </c>
    </row>
    <row r="712" spans="1:16" x14ac:dyDescent="0.35">
      <c r="A712" t="s">
        <v>5558</v>
      </c>
      <c r="B712" t="s">
        <v>55</v>
      </c>
      <c r="C712" t="s">
        <v>15</v>
      </c>
      <c r="D712" t="s">
        <v>16</v>
      </c>
      <c r="E712" t="s">
        <v>5559</v>
      </c>
      <c r="F712" t="s">
        <v>5560</v>
      </c>
      <c r="G712" t="s">
        <v>5383</v>
      </c>
      <c r="H712" t="s">
        <v>5383</v>
      </c>
      <c r="I712" t="s">
        <v>28</v>
      </c>
      <c r="J712" t="s">
        <v>5561</v>
      </c>
      <c r="K712" t="s">
        <v>19</v>
      </c>
      <c r="L712" t="s">
        <v>20</v>
      </c>
      <c r="M712" t="s">
        <v>5562</v>
      </c>
      <c r="N712" t="s">
        <v>5563</v>
      </c>
      <c r="O712" t="s">
        <v>5564</v>
      </c>
      <c r="P712" t="s">
        <v>5565</v>
      </c>
    </row>
    <row r="713" spans="1:16" x14ac:dyDescent="0.35">
      <c r="A713" t="s">
        <v>5566</v>
      </c>
      <c r="B713" t="s">
        <v>107</v>
      </c>
      <c r="C713" t="s">
        <v>28</v>
      </c>
      <c r="D713" t="s">
        <v>28</v>
      </c>
      <c r="E713" t="s">
        <v>5567</v>
      </c>
      <c r="F713" t="s">
        <v>5568</v>
      </c>
      <c r="G713" t="s">
        <v>5551</v>
      </c>
      <c r="H713" t="s">
        <v>5383</v>
      </c>
      <c r="I713" t="s">
        <v>28</v>
      </c>
      <c r="J713" t="s">
        <v>5569</v>
      </c>
      <c r="K713" t="s">
        <v>19</v>
      </c>
      <c r="L713" t="s">
        <v>20</v>
      </c>
      <c r="M713" t="s">
        <v>5570</v>
      </c>
      <c r="N713" t="s">
        <v>5571</v>
      </c>
      <c r="O713" t="s">
        <v>5572</v>
      </c>
      <c r="P713" t="s">
        <v>5573</v>
      </c>
    </row>
    <row r="714" spans="1:16" x14ac:dyDescent="0.35">
      <c r="A714" t="s">
        <v>5574</v>
      </c>
      <c r="B714" t="s">
        <v>32</v>
      </c>
      <c r="C714" t="s">
        <v>28</v>
      </c>
      <c r="D714" t="s">
        <v>28</v>
      </c>
      <c r="E714" t="s">
        <v>5575</v>
      </c>
      <c r="F714" t="s">
        <v>5576</v>
      </c>
      <c r="G714" t="s">
        <v>5577</v>
      </c>
      <c r="H714" t="s">
        <v>5383</v>
      </c>
      <c r="I714" t="s">
        <v>5578</v>
      </c>
      <c r="J714" t="s">
        <v>5579</v>
      </c>
      <c r="K714" t="s">
        <v>5580</v>
      </c>
      <c r="L714" t="s">
        <v>20</v>
      </c>
      <c r="M714" t="s">
        <v>5581</v>
      </c>
      <c r="N714" t="s">
        <v>5582</v>
      </c>
      <c r="O714" t="s">
        <v>5583</v>
      </c>
      <c r="P714" t="s">
        <v>5584</v>
      </c>
    </row>
    <row r="715" spans="1:16" x14ac:dyDescent="0.35">
      <c r="A715" t="s">
        <v>1219</v>
      </c>
      <c r="B715" t="s">
        <v>88</v>
      </c>
      <c r="C715" t="s">
        <v>26</v>
      </c>
      <c r="D715" t="s">
        <v>27</v>
      </c>
      <c r="E715" t="s">
        <v>5588</v>
      </c>
      <c r="F715" t="s">
        <v>5589</v>
      </c>
      <c r="G715" t="s">
        <v>5585</v>
      </c>
      <c r="H715" t="s">
        <v>5585</v>
      </c>
      <c r="I715" t="s">
        <v>28</v>
      </c>
      <c r="J715" t="s">
        <v>5590</v>
      </c>
      <c r="K715" t="s">
        <v>19</v>
      </c>
      <c r="L715" t="s">
        <v>20</v>
      </c>
      <c r="M715" t="s">
        <v>5586</v>
      </c>
      <c r="N715" t="s">
        <v>5587</v>
      </c>
      <c r="O715" t="s">
        <v>5591</v>
      </c>
      <c r="P715" t="s">
        <v>5592</v>
      </c>
    </row>
    <row r="716" spans="1:16" x14ac:dyDescent="0.35">
      <c r="A716" t="s">
        <v>5593</v>
      </c>
      <c r="B716" t="s">
        <v>55</v>
      </c>
      <c r="C716" t="s">
        <v>691</v>
      </c>
      <c r="D716" t="s">
        <v>812</v>
      </c>
      <c r="E716" t="s">
        <v>5594</v>
      </c>
      <c r="F716" t="s">
        <v>5595</v>
      </c>
      <c r="G716" t="s">
        <v>5585</v>
      </c>
      <c r="H716" t="s">
        <v>5585</v>
      </c>
      <c r="I716" t="s">
        <v>28</v>
      </c>
      <c r="J716" t="s">
        <v>5596</v>
      </c>
      <c r="K716" t="s">
        <v>19</v>
      </c>
      <c r="L716" t="s">
        <v>20</v>
      </c>
      <c r="M716" t="s">
        <v>5597</v>
      </c>
      <c r="N716" t="s">
        <v>5598</v>
      </c>
      <c r="O716" t="s">
        <v>5599</v>
      </c>
      <c r="P716" t="s">
        <v>5600</v>
      </c>
    </row>
    <row r="717" spans="1:16" x14ac:dyDescent="0.35">
      <c r="A717" t="s">
        <v>5047</v>
      </c>
      <c r="B717" t="s">
        <v>55</v>
      </c>
      <c r="C717" t="s">
        <v>28</v>
      </c>
      <c r="D717" t="s">
        <v>28</v>
      </c>
      <c r="E717" t="s">
        <v>5601</v>
      </c>
      <c r="F717" t="s">
        <v>5602</v>
      </c>
      <c r="G717" t="s">
        <v>5585</v>
      </c>
      <c r="H717" t="s">
        <v>5585</v>
      </c>
      <c r="I717" t="s">
        <v>28</v>
      </c>
      <c r="J717" t="s">
        <v>5603</v>
      </c>
      <c r="K717" t="s">
        <v>19</v>
      </c>
      <c r="L717" t="s">
        <v>20</v>
      </c>
      <c r="M717" t="s">
        <v>5597</v>
      </c>
      <c r="N717" t="s">
        <v>5598</v>
      </c>
      <c r="O717" t="s">
        <v>5604</v>
      </c>
      <c r="P717" t="s">
        <v>5605</v>
      </c>
    </row>
    <row r="718" spans="1:16" x14ac:dyDescent="0.35">
      <c r="A718" t="s">
        <v>310</v>
      </c>
      <c r="B718" t="s">
        <v>55</v>
      </c>
      <c r="C718" t="s">
        <v>78</v>
      </c>
      <c r="D718" t="s">
        <v>348</v>
      </c>
      <c r="E718" t="s">
        <v>5606</v>
      </c>
      <c r="F718" t="s">
        <v>5607</v>
      </c>
      <c r="G718" t="s">
        <v>5585</v>
      </c>
      <c r="H718" t="s">
        <v>5585</v>
      </c>
      <c r="I718" t="s">
        <v>82</v>
      </c>
      <c r="J718" t="s">
        <v>5608</v>
      </c>
      <c r="K718" t="s">
        <v>84</v>
      </c>
      <c r="L718" t="s">
        <v>20</v>
      </c>
      <c r="M718" t="s">
        <v>5597</v>
      </c>
      <c r="N718" t="s">
        <v>5598</v>
      </c>
      <c r="O718" t="s">
        <v>5609</v>
      </c>
      <c r="P718" t="s">
        <v>5610</v>
      </c>
    </row>
    <row r="719" spans="1:16" x14ac:dyDescent="0.35">
      <c r="A719" t="s">
        <v>5611</v>
      </c>
      <c r="B719" t="s">
        <v>55</v>
      </c>
      <c r="C719" t="s">
        <v>28</v>
      </c>
      <c r="D719" t="s">
        <v>28</v>
      </c>
      <c r="E719" t="s">
        <v>5612</v>
      </c>
      <c r="F719" t="s">
        <v>5613</v>
      </c>
      <c r="G719" t="s">
        <v>5585</v>
      </c>
      <c r="H719" t="s">
        <v>5585</v>
      </c>
      <c r="I719" t="s">
        <v>4707</v>
      </c>
      <c r="J719" t="s">
        <v>5614</v>
      </c>
      <c r="K719" t="s">
        <v>4709</v>
      </c>
      <c r="L719" t="s">
        <v>20</v>
      </c>
      <c r="M719" t="s">
        <v>5597</v>
      </c>
      <c r="N719" t="s">
        <v>5598</v>
      </c>
      <c r="O719" t="s">
        <v>5615</v>
      </c>
      <c r="P719" t="s">
        <v>5616</v>
      </c>
    </row>
    <row r="720" spans="1:16" x14ac:dyDescent="0.35">
      <c r="A720" t="s">
        <v>5617</v>
      </c>
      <c r="B720" t="s">
        <v>55</v>
      </c>
      <c r="C720" t="s">
        <v>117</v>
      </c>
      <c r="D720" t="s">
        <v>16</v>
      </c>
      <c r="E720" t="s">
        <v>5618</v>
      </c>
      <c r="F720" t="s">
        <v>5619</v>
      </c>
      <c r="G720" t="s">
        <v>5585</v>
      </c>
      <c r="H720" t="s">
        <v>5585</v>
      </c>
      <c r="I720" t="s">
        <v>28</v>
      </c>
      <c r="J720" t="s">
        <v>5620</v>
      </c>
      <c r="K720" t="s">
        <v>19</v>
      </c>
      <c r="L720" t="s">
        <v>20</v>
      </c>
      <c r="M720" t="s">
        <v>5597</v>
      </c>
      <c r="N720" t="s">
        <v>5598</v>
      </c>
      <c r="O720" t="s">
        <v>5621</v>
      </c>
      <c r="P720" t="s">
        <v>5622</v>
      </c>
    </row>
    <row r="721" spans="1:16" x14ac:dyDescent="0.35">
      <c r="A721" t="s">
        <v>5623</v>
      </c>
      <c r="B721" t="s">
        <v>55</v>
      </c>
      <c r="C721" t="s">
        <v>691</v>
      </c>
      <c r="D721" t="s">
        <v>16</v>
      </c>
      <c r="E721" t="s">
        <v>5624</v>
      </c>
      <c r="F721" t="s">
        <v>5625</v>
      </c>
      <c r="G721" t="s">
        <v>5585</v>
      </c>
      <c r="H721" t="s">
        <v>5585</v>
      </c>
      <c r="I721" t="s">
        <v>28</v>
      </c>
      <c r="J721" t="s">
        <v>28</v>
      </c>
      <c r="K721" t="s">
        <v>19</v>
      </c>
      <c r="L721" t="s">
        <v>20</v>
      </c>
      <c r="M721" t="s">
        <v>5626</v>
      </c>
      <c r="N721" t="s">
        <v>5627</v>
      </c>
      <c r="O721" t="s">
        <v>5628</v>
      </c>
      <c r="P721" t="s">
        <v>5629</v>
      </c>
    </row>
    <row r="722" spans="1:16" x14ac:dyDescent="0.35">
      <c r="A722" t="s">
        <v>5630</v>
      </c>
      <c r="B722" t="s">
        <v>107</v>
      </c>
      <c r="C722" t="s">
        <v>28</v>
      </c>
      <c r="D722" t="s">
        <v>28</v>
      </c>
      <c r="E722" t="s">
        <v>5631</v>
      </c>
      <c r="F722" t="s">
        <v>5632</v>
      </c>
      <c r="G722" t="s">
        <v>5585</v>
      </c>
      <c r="H722" t="s">
        <v>5585</v>
      </c>
      <c r="I722" t="s">
        <v>28</v>
      </c>
      <c r="J722" t="s">
        <v>5633</v>
      </c>
      <c r="K722" t="s">
        <v>19</v>
      </c>
      <c r="L722" t="s">
        <v>20</v>
      </c>
      <c r="M722" t="s">
        <v>5626</v>
      </c>
      <c r="N722" t="s">
        <v>5627</v>
      </c>
      <c r="O722" t="s">
        <v>5634</v>
      </c>
      <c r="P722" t="s">
        <v>5635</v>
      </c>
    </row>
    <row r="723" spans="1:16" x14ac:dyDescent="0.35">
      <c r="A723" t="s">
        <v>5636</v>
      </c>
      <c r="B723" t="s">
        <v>107</v>
      </c>
      <c r="C723" t="s">
        <v>28</v>
      </c>
      <c r="D723" t="s">
        <v>28</v>
      </c>
      <c r="E723" t="s">
        <v>5637</v>
      </c>
      <c r="F723" t="s">
        <v>5638</v>
      </c>
      <c r="G723" t="s">
        <v>5585</v>
      </c>
      <c r="H723" t="s">
        <v>5585</v>
      </c>
      <c r="I723" t="s">
        <v>5639</v>
      </c>
      <c r="J723" t="s">
        <v>5640</v>
      </c>
      <c r="K723" t="s">
        <v>19</v>
      </c>
      <c r="L723" t="s">
        <v>20</v>
      </c>
      <c r="M723" t="s">
        <v>5626</v>
      </c>
      <c r="N723" t="s">
        <v>5627</v>
      </c>
      <c r="O723" t="s">
        <v>5641</v>
      </c>
      <c r="P723" t="s">
        <v>5642</v>
      </c>
    </row>
    <row r="724" spans="1:16" x14ac:dyDescent="0.35">
      <c r="A724" t="s">
        <v>5643</v>
      </c>
      <c r="B724" t="s">
        <v>55</v>
      </c>
      <c r="C724" t="s">
        <v>548</v>
      </c>
      <c r="D724" t="s">
        <v>1328</v>
      </c>
      <c r="E724" t="s">
        <v>5644</v>
      </c>
      <c r="F724" t="s">
        <v>5645</v>
      </c>
      <c r="G724" t="s">
        <v>5585</v>
      </c>
      <c r="H724" t="s">
        <v>5585</v>
      </c>
      <c r="I724" t="s">
        <v>5646</v>
      </c>
      <c r="J724" t="s">
        <v>5647</v>
      </c>
      <c r="K724" t="s">
        <v>5648</v>
      </c>
      <c r="L724" t="s">
        <v>20</v>
      </c>
      <c r="M724" t="s">
        <v>5649</v>
      </c>
      <c r="N724" t="s">
        <v>5650</v>
      </c>
      <c r="O724" t="s">
        <v>5651</v>
      </c>
      <c r="P724" t="s">
        <v>5652</v>
      </c>
    </row>
    <row r="725" spans="1:16" x14ac:dyDescent="0.35">
      <c r="A725" t="s">
        <v>5653</v>
      </c>
      <c r="B725" t="s">
        <v>55</v>
      </c>
      <c r="C725" t="s">
        <v>311</v>
      </c>
      <c r="D725" t="s">
        <v>304</v>
      </c>
      <c r="E725" t="s">
        <v>5654</v>
      </c>
      <c r="F725" t="s">
        <v>5655</v>
      </c>
      <c r="G725" t="s">
        <v>5656</v>
      </c>
      <c r="H725" t="s">
        <v>5585</v>
      </c>
      <c r="I725" t="s">
        <v>28</v>
      </c>
      <c r="J725" t="s">
        <v>28</v>
      </c>
      <c r="K725" t="s">
        <v>19</v>
      </c>
      <c r="L725" t="s">
        <v>20</v>
      </c>
      <c r="M725" t="s">
        <v>5657</v>
      </c>
      <c r="N725" t="s">
        <v>5658</v>
      </c>
      <c r="O725" t="s">
        <v>5659</v>
      </c>
      <c r="P725" t="s">
        <v>5660</v>
      </c>
    </row>
    <row r="726" spans="1:16" x14ac:dyDescent="0.35">
      <c r="A726" t="s">
        <v>5344</v>
      </c>
      <c r="B726" t="s">
        <v>55</v>
      </c>
      <c r="C726" t="s">
        <v>158</v>
      </c>
      <c r="D726" t="s">
        <v>963</v>
      </c>
      <c r="E726" t="s">
        <v>5661</v>
      </c>
      <c r="F726" t="s">
        <v>5662</v>
      </c>
      <c r="G726" t="s">
        <v>5656</v>
      </c>
      <c r="H726" t="s">
        <v>5585</v>
      </c>
      <c r="I726" t="s">
        <v>5663</v>
      </c>
      <c r="J726" t="s">
        <v>5664</v>
      </c>
      <c r="K726" t="s">
        <v>5665</v>
      </c>
      <c r="L726" t="s">
        <v>20</v>
      </c>
      <c r="M726" t="s">
        <v>5666</v>
      </c>
      <c r="N726" t="s">
        <v>5667</v>
      </c>
      <c r="O726" t="s">
        <v>5668</v>
      </c>
      <c r="P726" t="s">
        <v>5669</v>
      </c>
    </row>
    <row r="727" spans="1:16" x14ac:dyDescent="0.35">
      <c r="A727" t="s">
        <v>5670</v>
      </c>
      <c r="B727" t="s">
        <v>55</v>
      </c>
      <c r="C727" t="s">
        <v>691</v>
      </c>
      <c r="D727" t="s">
        <v>16</v>
      </c>
      <c r="E727" t="s">
        <v>5671</v>
      </c>
      <c r="F727" t="s">
        <v>5672</v>
      </c>
      <c r="G727" t="s">
        <v>5673</v>
      </c>
      <c r="H727" t="s">
        <v>5585</v>
      </c>
      <c r="I727" t="s">
        <v>28</v>
      </c>
      <c r="J727" t="s">
        <v>5674</v>
      </c>
      <c r="K727" t="s">
        <v>19</v>
      </c>
      <c r="L727" t="s">
        <v>20</v>
      </c>
      <c r="M727" t="s">
        <v>5675</v>
      </c>
      <c r="N727" t="s">
        <v>5676</v>
      </c>
      <c r="O727" t="s">
        <v>5677</v>
      </c>
      <c r="P727" t="s">
        <v>5678</v>
      </c>
    </row>
    <row r="728" spans="1:16" x14ac:dyDescent="0.35">
      <c r="A728" t="s">
        <v>5636</v>
      </c>
      <c r="B728" t="s">
        <v>107</v>
      </c>
      <c r="C728" t="s">
        <v>28</v>
      </c>
      <c r="D728" t="s">
        <v>28</v>
      </c>
      <c r="E728" t="s">
        <v>5679</v>
      </c>
      <c r="F728" t="s">
        <v>5680</v>
      </c>
      <c r="G728" t="s">
        <v>5681</v>
      </c>
      <c r="H728" t="s">
        <v>5585</v>
      </c>
      <c r="I728" t="s">
        <v>1725</v>
      </c>
      <c r="J728" t="s">
        <v>5682</v>
      </c>
      <c r="K728" t="s">
        <v>19</v>
      </c>
      <c r="L728" t="s">
        <v>20</v>
      </c>
      <c r="M728" t="s">
        <v>5683</v>
      </c>
      <c r="N728" t="s">
        <v>5684</v>
      </c>
      <c r="O728" t="s">
        <v>5685</v>
      </c>
      <c r="P728" t="s">
        <v>5686</v>
      </c>
    </row>
    <row r="729" spans="1:16" x14ac:dyDescent="0.35">
      <c r="A729" t="s">
        <v>5041</v>
      </c>
      <c r="B729" t="s">
        <v>55</v>
      </c>
      <c r="C729" t="s">
        <v>15</v>
      </c>
      <c r="D729" t="s">
        <v>68</v>
      </c>
      <c r="E729" t="s">
        <v>5687</v>
      </c>
      <c r="F729" t="s">
        <v>5688</v>
      </c>
      <c r="G729" t="s">
        <v>5689</v>
      </c>
      <c r="H729" t="s">
        <v>5585</v>
      </c>
      <c r="I729" t="s">
        <v>28</v>
      </c>
      <c r="J729" t="s">
        <v>5690</v>
      </c>
      <c r="K729" t="s">
        <v>19</v>
      </c>
      <c r="L729" t="s">
        <v>20</v>
      </c>
      <c r="M729" t="s">
        <v>5691</v>
      </c>
      <c r="N729" t="s">
        <v>5692</v>
      </c>
      <c r="O729" t="s">
        <v>5693</v>
      </c>
      <c r="P729" t="s">
        <v>5694</v>
      </c>
    </row>
    <row r="730" spans="1:16" x14ac:dyDescent="0.35">
      <c r="A730" t="s">
        <v>5695</v>
      </c>
      <c r="B730" t="s">
        <v>107</v>
      </c>
      <c r="C730" t="s">
        <v>241</v>
      </c>
      <c r="D730" t="s">
        <v>774</v>
      </c>
      <c r="E730" t="s">
        <v>5696</v>
      </c>
      <c r="F730" t="s">
        <v>5697</v>
      </c>
      <c r="G730" t="s">
        <v>5681</v>
      </c>
      <c r="H730" t="s">
        <v>5585</v>
      </c>
      <c r="I730" t="s">
        <v>28</v>
      </c>
      <c r="J730" t="s">
        <v>28</v>
      </c>
      <c r="K730" t="s">
        <v>19</v>
      </c>
      <c r="L730" t="s">
        <v>20</v>
      </c>
      <c r="M730" t="s">
        <v>5698</v>
      </c>
      <c r="N730" t="s">
        <v>5699</v>
      </c>
      <c r="O730" t="s">
        <v>5700</v>
      </c>
      <c r="P730" t="s">
        <v>5701</v>
      </c>
    </row>
    <row r="731" spans="1:16" x14ac:dyDescent="0.35">
      <c r="A731" t="s">
        <v>5705</v>
      </c>
      <c r="B731" t="s">
        <v>55</v>
      </c>
      <c r="C731" t="s">
        <v>28</v>
      </c>
      <c r="D731" t="s">
        <v>28</v>
      </c>
      <c r="E731" t="s">
        <v>5706</v>
      </c>
      <c r="F731" t="s">
        <v>5707</v>
      </c>
      <c r="G731" t="s">
        <v>5702</v>
      </c>
      <c r="H731" t="s">
        <v>5702</v>
      </c>
      <c r="I731" t="s">
        <v>28</v>
      </c>
      <c r="J731" t="s">
        <v>5708</v>
      </c>
      <c r="K731" t="s">
        <v>19</v>
      </c>
      <c r="L731" t="s">
        <v>20</v>
      </c>
      <c r="M731" t="s">
        <v>5703</v>
      </c>
      <c r="N731" t="s">
        <v>5704</v>
      </c>
      <c r="O731" t="s">
        <v>5709</v>
      </c>
      <c r="P731" t="s">
        <v>5710</v>
      </c>
    </row>
    <row r="732" spans="1:16" x14ac:dyDescent="0.35">
      <c r="A732" t="s">
        <v>5711</v>
      </c>
      <c r="B732" t="s">
        <v>55</v>
      </c>
      <c r="C732" t="s">
        <v>28</v>
      </c>
      <c r="D732" t="s">
        <v>28</v>
      </c>
      <c r="E732" t="s">
        <v>5712</v>
      </c>
      <c r="F732" t="s">
        <v>5713</v>
      </c>
      <c r="G732" t="s">
        <v>5702</v>
      </c>
      <c r="H732" t="s">
        <v>5702</v>
      </c>
      <c r="I732" t="s">
        <v>28</v>
      </c>
      <c r="J732" t="s">
        <v>5714</v>
      </c>
      <c r="K732" t="s">
        <v>19</v>
      </c>
      <c r="L732" t="s">
        <v>20</v>
      </c>
      <c r="M732" t="s">
        <v>5703</v>
      </c>
      <c r="N732" t="s">
        <v>5704</v>
      </c>
      <c r="O732" t="s">
        <v>5715</v>
      </c>
      <c r="P732" t="s">
        <v>5716</v>
      </c>
    </row>
    <row r="733" spans="1:16" x14ac:dyDescent="0.35">
      <c r="A733" t="s">
        <v>5717</v>
      </c>
      <c r="B733" t="s">
        <v>55</v>
      </c>
      <c r="C733" t="s">
        <v>28</v>
      </c>
      <c r="D733" t="s">
        <v>28</v>
      </c>
      <c r="E733" t="s">
        <v>5718</v>
      </c>
      <c r="F733" t="s">
        <v>5719</v>
      </c>
      <c r="G733" t="s">
        <v>5702</v>
      </c>
      <c r="H733" t="s">
        <v>5702</v>
      </c>
      <c r="I733" t="s">
        <v>4707</v>
      </c>
      <c r="J733" t="s">
        <v>5720</v>
      </c>
      <c r="K733" t="s">
        <v>4709</v>
      </c>
      <c r="L733" t="s">
        <v>20</v>
      </c>
      <c r="M733" t="s">
        <v>5721</v>
      </c>
      <c r="N733" t="s">
        <v>5722</v>
      </c>
      <c r="O733" t="s">
        <v>5723</v>
      </c>
      <c r="P733" t="s">
        <v>5724</v>
      </c>
    </row>
    <row r="734" spans="1:16" x14ac:dyDescent="0.35">
      <c r="A734" t="s">
        <v>5725</v>
      </c>
      <c r="B734" t="s">
        <v>55</v>
      </c>
      <c r="C734" t="s">
        <v>15</v>
      </c>
      <c r="D734" t="s">
        <v>449</v>
      </c>
      <c r="E734" t="s">
        <v>5726</v>
      </c>
      <c r="F734" t="s">
        <v>5727</v>
      </c>
      <c r="G734" t="s">
        <v>5702</v>
      </c>
      <c r="H734" t="s">
        <v>5702</v>
      </c>
      <c r="I734" t="s">
        <v>5728</v>
      </c>
      <c r="J734" t="s">
        <v>5729</v>
      </c>
      <c r="K734" t="s">
        <v>19</v>
      </c>
      <c r="L734" t="s">
        <v>20</v>
      </c>
      <c r="M734" t="s">
        <v>5730</v>
      </c>
      <c r="N734" t="s">
        <v>5731</v>
      </c>
      <c r="O734" t="s">
        <v>5732</v>
      </c>
      <c r="P734" t="s">
        <v>5733</v>
      </c>
    </row>
    <row r="735" spans="1:16" x14ac:dyDescent="0.35">
      <c r="A735" t="s">
        <v>5593</v>
      </c>
      <c r="B735" t="s">
        <v>55</v>
      </c>
      <c r="C735" t="s">
        <v>96</v>
      </c>
      <c r="D735" t="s">
        <v>1785</v>
      </c>
      <c r="E735" t="s">
        <v>5734</v>
      </c>
      <c r="F735" t="s">
        <v>5735</v>
      </c>
      <c r="G735" t="s">
        <v>5702</v>
      </c>
      <c r="H735" t="s">
        <v>5702</v>
      </c>
      <c r="I735" t="s">
        <v>28</v>
      </c>
      <c r="J735" t="s">
        <v>5736</v>
      </c>
      <c r="K735" t="s">
        <v>19</v>
      </c>
      <c r="L735" t="s">
        <v>20</v>
      </c>
      <c r="M735" t="s">
        <v>5730</v>
      </c>
      <c r="N735" t="s">
        <v>5731</v>
      </c>
      <c r="O735" t="s">
        <v>5737</v>
      </c>
      <c r="P735" t="s">
        <v>5738</v>
      </c>
    </row>
    <row r="736" spans="1:16" x14ac:dyDescent="0.35">
      <c r="A736" t="s">
        <v>2404</v>
      </c>
      <c r="B736" t="s">
        <v>55</v>
      </c>
      <c r="C736" t="s">
        <v>28</v>
      </c>
      <c r="D736" t="s">
        <v>28</v>
      </c>
      <c r="E736" t="s">
        <v>5739</v>
      </c>
      <c r="F736" t="s">
        <v>5740</v>
      </c>
      <c r="G736" t="s">
        <v>5702</v>
      </c>
      <c r="H736" t="s">
        <v>5702</v>
      </c>
      <c r="I736" t="s">
        <v>28</v>
      </c>
      <c r="J736" t="s">
        <v>5741</v>
      </c>
      <c r="K736" t="s">
        <v>19</v>
      </c>
      <c r="L736" t="s">
        <v>20</v>
      </c>
      <c r="M736" t="s">
        <v>5730</v>
      </c>
      <c r="N736" t="s">
        <v>5731</v>
      </c>
      <c r="O736" t="s">
        <v>5742</v>
      </c>
      <c r="P736" t="s">
        <v>5743</v>
      </c>
    </row>
    <row r="737" spans="1:16" x14ac:dyDescent="0.35">
      <c r="A737" t="s">
        <v>5744</v>
      </c>
      <c r="B737" t="s">
        <v>55</v>
      </c>
      <c r="C737" t="s">
        <v>28</v>
      </c>
      <c r="D737" t="s">
        <v>28</v>
      </c>
      <c r="E737" t="s">
        <v>5745</v>
      </c>
      <c r="F737" t="s">
        <v>5746</v>
      </c>
      <c r="G737" t="s">
        <v>5702</v>
      </c>
      <c r="H737" t="s">
        <v>5702</v>
      </c>
      <c r="I737" t="s">
        <v>28</v>
      </c>
      <c r="J737" t="s">
        <v>5747</v>
      </c>
      <c r="K737" t="s">
        <v>19</v>
      </c>
      <c r="L737" t="s">
        <v>20</v>
      </c>
      <c r="M737" t="s">
        <v>5730</v>
      </c>
      <c r="N737" t="s">
        <v>5731</v>
      </c>
      <c r="O737" t="s">
        <v>5748</v>
      </c>
      <c r="P737" t="s">
        <v>5749</v>
      </c>
    </row>
    <row r="738" spans="1:16" x14ac:dyDescent="0.35">
      <c r="A738" t="s">
        <v>5750</v>
      </c>
      <c r="B738" t="s">
        <v>107</v>
      </c>
      <c r="C738" t="s">
        <v>28</v>
      </c>
      <c r="D738" t="s">
        <v>28</v>
      </c>
      <c r="E738" t="s">
        <v>5751</v>
      </c>
      <c r="F738" t="s">
        <v>5752</v>
      </c>
      <c r="G738" t="s">
        <v>5753</v>
      </c>
      <c r="H738" t="s">
        <v>5702</v>
      </c>
      <c r="I738" t="s">
        <v>28</v>
      </c>
      <c r="J738" t="s">
        <v>28</v>
      </c>
      <c r="K738" t="s">
        <v>19</v>
      </c>
      <c r="L738" t="s">
        <v>20</v>
      </c>
      <c r="M738" t="s">
        <v>5754</v>
      </c>
      <c r="N738" t="s">
        <v>5755</v>
      </c>
      <c r="O738" t="s">
        <v>5756</v>
      </c>
      <c r="P738" t="s">
        <v>5757</v>
      </c>
    </row>
    <row r="739" spans="1:16" x14ac:dyDescent="0.35">
      <c r="A739" t="s">
        <v>5761</v>
      </c>
      <c r="B739" t="s">
        <v>32</v>
      </c>
      <c r="C739" t="s">
        <v>250</v>
      </c>
      <c r="D739" t="s">
        <v>5762</v>
      </c>
      <c r="E739" t="s">
        <v>5763</v>
      </c>
      <c r="F739" t="s">
        <v>5764</v>
      </c>
      <c r="G739" t="s">
        <v>5758</v>
      </c>
      <c r="H739" t="s">
        <v>5758</v>
      </c>
      <c r="I739" t="s">
        <v>5384</v>
      </c>
      <c r="J739" t="s">
        <v>5765</v>
      </c>
      <c r="K739" t="s">
        <v>19</v>
      </c>
      <c r="L739" t="s">
        <v>20</v>
      </c>
      <c r="M739" t="s">
        <v>5759</v>
      </c>
      <c r="N739" t="s">
        <v>5760</v>
      </c>
      <c r="O739" t="s">
        <v>5766</v>
      </c>
      <c r="P739" t="s">
        <v>5767</v>
      </c>
    </row>
    <row r="740" spans="1:16" x14ac:dyDescent="0.35">
      <c r="A740" t="s">
        <v>5768</v>
      </c>
      <c r="B740" t="s">
        <v>32</v>
      </c>
      <c r="C740" t="s">
        <v>177</v>
      </c>
      <c r="D740" t="s">
        <v>282</v>
      </c>
      <c r="E740" t="s">
        <v>5769</v>
      </c>
      <c r="F740" t="s">
        <v>5770</v>
      </c>
      <c r="G740" t="s">
        <v>5758</v>
      </c>
      <c r="H740" t="s">
        <v>5758</v>
      </c>
      <c r="I740" t="s">
        <v>28</v>
      </c>
      <c r="J740" t="s">
        <v>5771</v>
      </c>
      <c r="K740" t="s">
        <v>19</v>
      </c>
      <c r="L740" t="s">
        <v>20</v>
      </c>
      <c r="M740" t="s">
        <v>5759</v>
      </c>
      <c r="N740" t="s">
        <v>5760</v>
      </c>
      <c r="O740" t="s">
        <v>5772</v>
      </c>
      <c r="P740" t="s">
        <v>5773</v>
      </c>
    </row>
    <row r="741" spans="1:16" x14ac:dyDescent="0.35">
      <c r="A741" t="s">
        <v>5774</v>
      </c>
      <c r="B741" t="s">
        <v>88</v>
      </c>
      <c r="C741" t="s">
        <v>28</v>
      </c>
      <c r="D741" t="s">
        <v>28</v>
      </c>
      <c r="E741" t="s">
        <v>5775</v>
      </c>
      <c r="F741" t="s">
        <v>5776</v>
      </c>
      <c r="G741" t="s">
        <v>5758</v>
      </c>
      <c r="H741" t="s">
        <v>5758</v>
      </c>
      <c r="I741" t="s">
        <v>1222</v>
      </c>
      <c r="J741" t="s">
        <v>5777</v>
      </c>
      <c r="K741" t="s">
        <v>19</v>
      </c>
      <c r="L741" t="s">
        <v>20</v>
      </c>
      <c r="M741" t="s">
        <v>5759</v>
      </c>
      <c r="N741" t="s">
        <v>5760</v>
      </c>
      <c r="O741" t="s">
        <v>5778</v>
      </c>
      <c r="P741" t="s">
        <v>5779</v>
      </c>
    </row>
    <row r="742" spans="1:16" x14ac:dyDescent="0.35">
      <c r="A742" t="s">
        <v>5780</v>
      </c>
      <c r="B742" t="s">
        <v>55</v>
      </c>
      <c r="C742" t="s">
        <v>15</v>
      </c>
      <c r="D742" t="s">
        <v>16</v>
      </c>
      <c r="E742" t="s">
        <v>5781</v>
      </c>
      <c r="F742" t="s">
        <v>5782</v>
      </c>
      <c r="G742" t="s">
        <v>5758</v>
      </c>
      <c r="H742" t="s">
        <v>5758</v>
      </c>
      <c r="I742" t="s">
        <v>28</v>
      </c>
      <c r="J742" t="s">
        <v>5783</v>
      </c>
      <c r="K742" t="s">
        <v>19</v>
      </c>
      <c r="L742" t="s">
        <v>20</v>
      </c>
      <c r="M742" t="s">
        <v>5759</v>
      </c>
      <c r="N742" t="s">
        <v>5760</v>
      </c>
      <c r="O742" t="s">
        <v>5784</v>
      </c>
      <c r="P742" t="s">
        <v>5785</v>
      </c>
    </row>
    <row r="743" spans="1:16" x14ac:dyDescent="0.35">
      <c r="A743" t="s">
        <v>5786</v>
      </c>
      <c r="B743" t="s">
        <v>55</v>
      </c>
      <c r="C743" t="s">
        <v>28</v>
      </c>
      <c r="D743" t="s">
        <v>28</v>
      </c>
      <c r="E743" t="s">
        <v>5787</v>
      </c>
      <c r="F743" t="s">
        <v>5788</v>
      </c>
      <c r="G743" t="s">
        <v>5758</v>
      </c>
      <c r="H743" t="s">
        <v>5758</v>
      </c>
      <c r="I743" t="s">
        <v>5789</v>
      </c>
      <c r="J743" t="s">
        <v>5790</v>
      </c>
      <c r="K743" t="s">
        <v>5791</v>
      </c>
      <c r="L743" t="s">
        <v>20</v>
      </c>
      <c r="M743" t="s">
        <v>5759</v>
      </c>
      <c r="N743" t="s">
        <v>5760</v>
      </c>
      <c r="O743" t="s">
        <v>5792</v>
      </c>
      <c r="P743" t="s">
        <v>5793</v>
      </c>
    </row>
    <row r="744" spans="1:16" x14ac:dyDescent="0.35">
      <c r="A744" t="s">
        <v>5794</v>
      </c>
      <c r="B744" t="s">
        <v>55</v>
      </c>
      <c r="C744" t="s">
        <v>15</v>
      </c>
      <c r="D744" t="s">
        <v>16</v>
      </c>
      <c r="E744" t="s">
        <v>5795</v>
      </c>
      <c r="F744" t="s">
        <v>5796</v>
      </c>
      <c r="G744" t="s">
        <v>5758</v>
      </c>
      <c r="H744" t="s">
        <v>5758</v>
      </c>
      <c r="I744" t="s">
        <v>5797</v>
      </c>
      <c r="J744" t="s">
        <v>5798</v>
      </c>
      <c r="K744" t="s">
        <v>5799</v>
      </c>
      <c r="L744" t="s">
        <v>20</v>
      </c>
      <c r="M744" t="s">
        <v>5759</v>
      </c>
      <c r="N744" t="s">
        <v>5760</v>
      </c>
      <c r="O744" t="s">
        <v>5800</v>
      </c>
      <c r="P744" t="s">
        <v>5801</v>
      </c>
    </row>
    <row r="745" spans="1:16" x14ac:dyDescent="0.35">
      <c r="A745" t="s">
        <v>5802</v>
      </c>
      <c r="B745" t="s">
        <v>32</v>
      </c>
      <c r="C745" t="s">
        <v>341</v>
      </c>
      <c r="D745" t="s">
        <v>614</v>
      </c>
      <c r="E745" t="s">
        <v>5803</v>
      </c>
      <c r="F745" t="s">
        <v>5804</v>
      </c>
      <c r="G745" t="s">
        <v>5758</v>
      </c>
      <c r="H745" t="s">
        <v>5758</v>
      </c>
      <c r="I745" t="s">
        <v>28</v>
      </c>
      <c r="J745" t="s">
        <v>5805</v>
      </c>
      <c r="K745" t="s">
        <v>19</v>
      </c>
      <c r="L745" t="s">
        <v>20</v>
      </c>
      <c r="M745" t="s">
        <v>5759</v>
      </c>
      <c r="N745" t="s">
        <v>5760</v>
      </c>
      <c r="O745" t="s">
        <v>5806</v>
      </c>
      <c r="P745" t="s">
        <v>5807</v>
      </c>
    </row>
    <row r="746" spans="1:16" x14ac:dyDescent="0.35">
      <c r="A746" t="s">
        <v>5808</v>
      </c>
      <c r="B746" t="s">
        <v>55</v>
      </c>
      <c r="C746" t="s">
        <v>28</v>
      </c>
      <c r="D746" t="s">
        <v>28</v>
      </c>
      <c r="E746" t="s">
        <v>5809</v>
      </c>
      <c r="F746" t="s">
        <v>5810</v>
      </c>
      <c r="G746" t="s">
        <v>5758</v>
      </c>
      <c r="H746" t="s">
        <v>5758</v>
      </c>
      <c r="I746" t="s">
        <v>28</v>
      </c>
      <c r="J746" t="s">
        <v>5811</v>
      </c>
      <c r="K746" t="s">
        <v>19</v>
      </c>
      <c r="L746" t="s">
        <v>20</v>
      </c>
      <c r="M746" t="s">
        <v>5759</v>
      </c>
      <c r="N746" t="s">
        <v>5760</v>
      </c>
      <c r="O746" t="s">
        <v>5812</v>
      </c>
      <c r="P746" t="s">
        <v>5813</v>
      </c>
    </row>
    <row r="747" spans="1:16" x14ac:dyDescent="0.35">
      <c r="A747" t="s">
        <v>5814</v>
      </c>
      <c r="B747" t="s">
        <v>55</v>
      </c>
      <c r="C747" t="s">
        <v>28</v>
      </c>
      <c r="D747" t="s">
        <v>28</v>
      </c>
      <c r="E747" t="s">
        <v>5815</v>
      </c>
      <c r="F747" t="s">
        <v>5816</v>
      </c>
      <c r="G747" t="s">
        <v>5758</v>
      </c>
      <c r="H747" t="s">
        <v>5758</v>
      </c>
      <c r="I747" t="s">
        <v>5817</v>
      </c>
      <c r="J747" t="s">
        <v>5818</v>
      </c>
      <c r="K747" t="s">
        <v>5819</v>
      </c>
      <c r="L747" t="s">
        <v>20</v>
      </c>
      <c r="M747" t="s">
        <v>5759</v>
      </c>
      <c r="N747" t="s">
        <v>5760</v>
      </c>
      <c r="O747" t="s">
        <v>5820</v>
      </c>
      <c r="P747" t="s">
        <v>5821</v>
      </c>
    </row>
    <row r="748" spans="1:16" x14ac:dyDescent="0.35">
      <c r="A748" t="s">
        <v>5822</v>
      </c>
      <c r="B748" t="s">
        <v>194</v>
      </c>
      <c r="C748" t="s">
        <v>474</v>
      </c>
      <c r="D748" t="s">
        <v>700</v>
      </c>
      <c r="E748" t="s">
        <v>5823</v>
      </c>
      <c r="F748" t="s">
        <v>5824</v>
      </c>
      <c r="G748" t="s">
        <v>5758</v>
      </c>
      <c r="H748" t="s">
        <v>5758</v>
      </c>
      <c r="I748" t="s">
        <v>5825</v>
      </c>
      <c r="J748" t="s">
        <v>5826</v>
      </c>
      <c r="K748" t="s">
        <v>19</v>
      </c>
      <c r="L748" t="s">
        <v>20</v>
      </c>
      <c r="M748" t="s">
        <v>5827</v>
      </c>
      <c r="N748" t="s">
        <v>5828</v>
      </c>
      <c r="O748" t="s">
        <v>5829</v>
      </c>
      <c r="P748" t="s">
        <v>5830</v>
      </c>
    </row>
    <row r="749" spans="1:16" x14ac:dyDescent="0.35">
      <c r="A749" t="s">
        <v>538</v>
      </c>
      <c r="B749" t="s">
        <v>55</v>
      </c>
      <c r="C749" t="s">
        <v>158</v>
      </c>
      <c r="D749" t="s">
        <v>2141</v>
      </c>
      <c r="E749" t="s">
        <v>5831</v>
      </c>
      <c r="F749" t="s">
        <v>5832</v>
      </c>
      <c r="G749" t="s">
        <v>5758</v>
      </c>
      <c r="H749" t="s">
        <v>5758</v>
      </c>
      <c r="I749" t="s">
        <v>82</v>
      </c>
      <c r="J749" t="s">
        <v>5833</v>
      </c>
      <c r="K749" t="s">
        <v>84</v>
      </c>
      <c r="L749" t="s">
        <v>20</v>
      </c>
      <c r="M749" t="s">
        <v>5827</v>
      </c>
      <c r="N749" t="s">
        <v>5828</v>
      </c>
      <c r="O749" t="s">
        <v>5834</v>
      </c>
      <c r="P749" t="s">
        <v>5835</v>
      </c>
    </row>
    <row r="750" spans="1:16" x14ac:dyDescent="0.35">
      <c r="A750" t="s">
        <v>5836</v>
      </c>
      <c r="B750" t="s">
        <v>55</v>
      </c>
      <c r="C750" t="s">
        <v>28</v>
      </c>
      <c r="D750" t="s">
        <v>28</v>
      </c>
      <c r="E750" t="s">
        <v>5837</v>
      </c>
      <c r="F750" t="s">
        <v>5838</v>
      </c>
      <c r="G750" t="s">
        <v>5758</v>
      </c>
      <c r="H750" t="s">
        <v>5758</v>
      </c>
      <c r="I750" t="s">
        <v>4707</v>
      </c>
      <c r="J750" t="s">
        <v>5839</v>
      </c>
      <c r="K750" t="s">
        <v>4709</v>
      </c>
      <c r="L750" t="s">
        <v>20</v>
      </c>
      <c r="M750" t="s">
        <v>5827</v>
      </c>
      <c r="N750" t="s">
        <v>5828</v>
      </c>
      <c r="O750" t="s">
        <v>5840</v>
      </c>
      <c r="P750" t="s">
        <v>915</v>
      </c>
    </row>
    <row r="751" spans="1:16" x14ac:dyDescent="0.35">
      <c r="A751" t="s">
        <v>5841</v>
      </c>
      <c r="B751" t="s">
        <v>55</v>
      </c>
      <c r="C751" t="s">
        <v>1128</v>
      </c>
      <c r="D751" t="s">
        <v>614</v>
      </c>
      <c r="E751" t="s">
        <v>5842</v>
      </c>
      <c r="F751" t="s">
        <v>5843</v>
      </c>
      <c r="G751" t="s">
        <v>5758</v>
      </c>
      <c r="H751" t="s">
        <v>5758</v>
      </c>
      <c r="I751" t="s">
        <v>4707</v>
      </c>
      <c r="J751" t="s">
        <v>5844</v>
      </c>
      <c r="K751" t="s">
        <v>4709</v>
      </c>
      <c r="L751" t="s">
        <v>20</v>
      </c>
      <c r="M751" t="s">
        <v>5827</v>
      </c>
      <c r="N751" t="s">
        <v>5828</v>
      </c>
      <c r="O751" t="s">
        <v>5845</v>
      </c>
      <c r="P751" t="s">
        <v>5846</v>
      </c>
    </row>
    <row r="752" spans="1:16" x14ac:dyDescent="0.35">
      <c r="A752" t="s">
        <v>5847</v>
      </c>
      <c r="B752" t="s">
        <v>55</v>
      </c>
      <c r="C752" t="s">
        <v>15</v>
      </c>
      <c r="D752" t="s">
        <v>16</v>
      </c>
      <c r="E752" t="s">
        <v>5848</v>
      </c>
      <c r="F752" t="s">
        <v>5849</v>
      </c>
      <c r="G752" t="s">
        <v>5758</v>
      </c>
      <c r="H752" t="s">
        <v>5758</v>
      </c>
      <c r="I752" t="s">
        <v>5850</v>
      </c>
      <c r="J752" t="s">
        <v>5851</v>
      </c>
      <c r="K752" t="s">
        <v>19</v>
      </c>
      <c r="L752" t="s">
        <v>20</v>
      </c>
      <c r="M752" t="s">
        <v>5827</v>
      </c>
      <c r="N752" t="s">
        <v>5828</v>
      </c>
      <c r="O752" t="s">
        <v>5852</v>
      </c>
      <c r="P752" t="s">
        <v>5853</v>
      </c>
    </row>
    <row r="753" spans="1:16" x14ac:dyDescent="0.35">
      <c r="A753" t="s">
        <v>5854</v>
      </c>
      <c r="B753" t="s">
        <v>55</v>
      </c>
      <c r="C753" t="s">
        <v>241</v>
      </c>
      <c r="D753" t="s">
        <v>242</v>
      </c>
      <c r="E753" t="s">
        <v>5855</v>
      </c>
      <c r="F753" t="s">
        <v>5856</v>
      </c>
      <c r="G753" t="s">
        <v>5758</v>
      </c>
      <c r="H753" t="s">
        <v>5758</v>
      </c>
      <c r="I753" t="s">
        <v>5857</v>
      </c>
      <c r="J753" t="s">
        <v>5858</v>
      </c>
      <c r="K753" t="s">
        <v>5859</v>
      </c>
      <c r="L753" t="s">
        <v>20</v>
      </c>
      <c r="M753" t="s">
        <v>5827</v>
      </c>
      <c r="N753" t="s">
        <v>5828</v>
      </c>
      <c r="O753" t="s">
        <v>5860</v>
      </c>
      <c r="P753" t="s">
        <v>5861</v>
      </c>
    </row>
    <row r="754" spans="1:16" x14ac:dyDescent="0.35">
      <c r="A754" t="s">
        <v>5862</v>
      </c>
      <c r="B754" t="s">
        <v>55</v>
      </c>
      <c r="C754" t="s">
        <v>78</v>
      </c>
      <c r="D754" t="s">
        <v>614</v>
      </c>
      <c r="E754" t="s">
        <v>5863</v>
      </c>
      <c r="F754" t="s">
        <v>5864</v>
      </c>
      <c r="G754" t="s">
        <v>5758</v>
      </c>
      <c r="H754" t="s">
        <v>5758</v>
      </c>
      <c r="I754" t="s">
        <v>5865</v>
      </c>
      <c r="J754" t="s">
        <v>5866</v>
      </c>
      <c r="K754" t="s">
        <v>19</v>
      </c>
      <c r="L754" t="s">
        <v>20</v>
      </c>
      <c r="M754" t="s">
        <v>5827</v>
      </c>
      <c r="N754" t="s">
        <v>5828</v>
      </c>
      <c r="O754" t="s">
        <v>5867</v>
      </c>
      <c r="P754" t="s">
        <v>5868</v>
      </c>
    </row>
    <row r="755" spans="1:16" x14ac:dyDescent="0.35">
      <c r="A755" t="s">
        <v>547</v>
      </c>
      <c r="B755" t="s">
        <v>55</v>
      </c>
      <c r="C755" t="s">
        <v>96</v>
      </c>
      <c r="D755" t="s">
        <v>449</v>
      </c>
      <c r="E755" t="s">
        <v>5869</v>
      </c>
      <c r="F755" t="s">
        <v>5870</v>
      </c>
      <c r="G755" t="s">
        <v>5758</v>
      </c>
      <c r="H755" t="s">
        <v>5758</v>
      </c>
      <c r="I755" t="s">
        <v>552</v>
      </c>
      <c r="J755" t="s">
        <v>5871</v>
      </c>
      <c r="K755" t="s">
        <v>554</v>
      </c>
      <c r="L755" t="s">
        <v>20</v>
      </c>
      <c r="M755" t="s">
        <v>5827</v>
      </c>
      <c r="N755" t="s">
        <v>5828</v>
      </c>
      <c r="O755" t="s">
        <v>5872</v>
      </c>
      <c r="P755" t="s">
        <v>5873</v>
      </c>
    </row>
    <row r="756" spans="1:16" x14ac:dyDescent="0.35">
      <c r="A756" t="s">
        <v>5875</v>
      </c>
      <c r="B756" t="s">
        <v>55</v>
      </c>
      <c r="C756" t="s">
        <v>78</v>
      </c>
      <c r="D756" t="s">
        <v>185</v>
      </c>
      <c r="E756" t="s">
        <v>5876</v>
      </c>
      <c r="F756" t="s">
        <v>5877</v>
      </c>
      <c r="G756" t="s">
        <v>5758</v>
      </c>
      <c r="H756" t="s">
        <v>5758</v>
      </c>
      <c r="I756" t="s">
        <v>5878</v>
      </c>
      <c r="J756" t="s">
        <v>5879</v>
      </c>
      <c r="K756" t="s">
        <v>5859</v>
      </c>
      <c r="L756" t="s">
        <v>20</v>
      </c>
      <c r="M756" t="s">
        <v>5827</v>
      </c>
      <c r="N756" t="s">
        <v>5828</v>
      </c>
      <c r="O756" t="s">
        <v>5880</v>
      </c>
      <c r="P756" t="s">
        <v>5881</v>
      </c>
    </row>
    <row r="757" spans="1:16" x14ac:dyDescent="0.35">
      <c r="A757" t="s">
        <v>5882</v>
      </c>
      <c r="B757" t="s">
        <v>55</v>
      </c>
      <c r="C757" t="s">
        <v>311</v>
      </c>
      <c r="D757" t="s">
        <v>449</v>
      </c>
      <c r="E757" t="s">
        <v>5883</v>
      </c>
      <c r="F757" t="s">
        <v>5856</v>
      </c>
      <c r="G757" t="s">
        <v>5758</v>
      </c>
      <c r="H757" t="s">
        <v>5758</v>
      </c>
      <c r="I757" t="s">
        <v>5884</v>
      </c>
      <c r="J757" t="s">
        <v>5885</v>
      </c>
      <c r="K757" t="s">
        <v>5886</v>
      </c>
      <c r="L757" t="s">
        <v>20</v>
      </c>
      <c r="M757" t="s">
        <v>5827</v>
      </c>
      <c r="N757" t="s">
        <v>5828</v>
      </c>
      <c r="O757" t="s">
        <v>5887</v>
      </c>
      <c r="P757" t="s">
        <v>5888</v>
      </c>
    </row>
    <row r="758" spans="1:16" x14ac:dyDescent="0.35">
      <c r="A758" t="s">
        <v>5889</v>
      </c>
      <c r="B758" t="s">
        <v>55</v>
      </c>
      <c r="C758" t="s">
        <v>1128</v>
      </c>
      <c r="D758" t="s">
        <v>1785</v>
      </c>
      <c r="E758" t="s">
        <v>5890</v>
      </c>
      <c r="F758" t="s">
        <v>5891</v>
      </c>
      <c r="G758" t="s">
        <v>5758</v>
      </c>
      <c r="H758" t="s">
        <v>5758</v>
      </c>
      <c r="I758" t="s">
        <v>28</v>
      </c>
      <c r="J758" t="s">
        <v>5892</v>
      </c>
      <c r="K758" t="s">
        <v>19</v>
      </c>
      <c r="L758" t="s">
        <v>20</v>
      </c>
      <c r="M758" t="s">
        <v>5893</v>
      </c>
      <c r="N758" t="s">
        <v>5894</v>
      </c>
      <c r="O758" t="s">
        <v>5895</v>
      </c>
      <c r="P758" t="s">
        <v>5896</v>
      </c>
    </row>
    <row r="759" spans="1:16" x14ac:dyDescent="0.35">
      <c r="A759" t="s">
        <v>5897</v>
      </c>
      <c r="B759" t="s">
        <v>55</v>
      </c>
      <c r="C759" t="s">
        <v>15</v>
      </c>
      <c r="D759" t="s">
        <v>27</v>
      </c>
      <c r="E759" t="s">
        <v>5898</v>
      </c>
      <c r="F759" t="s">
        <v>5899</v>
      </c>
      <c r="G759" t="s">
        <v>5758</v>
      </c>
      <c r="H759" t="s">
        <v>5758</v>
      </c>
      <c r="I759" t="s">
        <v>5865</v>
      </c>
      <c r="J759" t="s">
        <v>5900</v>
      </c>
      <c r="K759" t="s">
        <v>19</v>
      </c>
      <c r="L759" t="s">
        <v>20</v>
      </c>
      <c r="M759" t="s">
        <v>5893</v>
      </c>
      <c r="N759" t="s">
        <v>5894</v>
      </c>
      <c r="O759" t="s">
        <v>5901</v>
      </c>
      <c r="P759" t="s">
        <v>5902</v>
      </c>
    </row>
    <row r="760" spans="1:16" x14ac:dyDescent="0.35">
      <c r="A760" t="s">
        <v>5903</v>
      </c>
      <c r="B760" t="s">
        <v>55</v>
      </c>
      <c r="C760" t="s">
        <v>140</v>
      </c>
      <c r="D760" t="s">
        <v>963</v>
      </c>
      <c r="E760" t="s">
        <v>5904</v>
      </c>
      <c r="F760" t="s">
        <v>5905</v>
      </c>
      <c r="G760" t="s">
        <v>5758</v>
      </c>
      <c r="H760" t="s">
        <v>5758</v>
      </c>
      <c r="I760" t="s">
        <v>5906</v>
      </c>
      <c r="J760" t="s">
        <v>5907</v>
      </c>
      <c r="K760" t="s">
        <v>5908</v>
      </c>
      <c r="L760" t="s">
        <v>20</v>
      </c>
      <c r="M760" t="s">
        <v>5893</v>
      </c>
      <c r="N760" t="s">
        <v>5894</v>
      </c>
      <c r="O760" t="s">
        <v>5909</v>
      </c>
      <c r="P760" t="s">
        <v>5910</v>
      </c>
    </row>
    <row r="761" spans="1:16" x14ac:dyDescent="0.35">
      <c r="A761" t="s">
        <v>5911</v>
      </c>
      <c r="B761" t="s">
        <v>55</v>
      </c>
      <c r="C761" t="s">
        <v>28</v>
      </c>
      <c r="D761" t="s">
        <v>28</v>
      </c>
      <c r="E761" t="s">
        <v>5848</v>
      </c>
      <c r="F761" t="s">
        <v>5912</v>
      </c>
      <c r="G761" t="s">
        <v>5758</v>
      </c>
      <c r="H761" t="s">
        <v>5758</v>
      </c>
      <c r="I761" t="s">
        <v>28</v>
      </c>
      <c r="J761" t="s">
        <v>28</v>
      </c>
      <c r="K761" t="s">
        <v>19</v>
      </c>
      <c r="L761" t="s">
        <v>20</v>
      </c>
      <c r="M761" t="s">
        <v>5893</v>
      </c>
      <c r="N761" t="s">
        <v>5894</v>
      </c>
      <c r="O761" t="s">
        <v>5913</v>
      </c>
      <c r="P761" t="s">
        <v>5914</v>
      </c>
    </row>
    <row r="762" spans="1:16" x14ac:dyDescent="0.35">
      <c r="A762" t="s">
        <v>200</v>
      </c>
      <c r="B762" t="s">
        <v>55</v>
      </c>
      <c r="C762" t="s">
        <v>658</v>
      </c>
      <c r="D762" t="s">
        <v>348</v>
      </c>
      <c r="E762" t="s">
        <v>5915</v>
      </c>
      <c r="F762" t="s">
        <v>5916</v>
      </c>
      <c r="G762" t="s">
        <v>5758</v>
      </c>
      <c r="H762" t="s">
        <v>5758</v>
      </c>
      <c r="I762" t="s">
        <v>3106</v>
      </c>
      <c r="J762" t="s">
        <v>5917</v>
      </c>
      <c r="K762" t="s">
        <v>3108</v>
      </c>
      <c r="L762" t="s">
        <v>20</v>
      </c>
      <c r="M762" t="s">
        <v>5893</v>
      </c>
      <c r="N762" t="s">
        <v>5894</v>
      </c>
      <c r="O762" t="s">
        <v>5918</v>
      </c>
      <c r="P762" t="s">
        <v>5919</v>
      </c>
    </row>
    <row r="763" spans="1:16" x14ac:dyDescent="0.35">
      <c r="A763" t="s">
        <v>5920</v>
      </c>
      <c r="B763" t="s">
        <v>55</v>
      </c>
      <c r="C763" t="s">
        <v>691</v>
      </c>
      <c r="D763" t="s">
        <v>1863</v>
      </c>
      <c r="E763" t="s">
        <v>5921</v>
      </c>
      <c r="F763" t="s">
        <v>5922</v>
      </c>
      <c r="G763" t="s">
        <v>5758</v>
      </c>
      <c r="H763" t="s">
        <v>5758</v>
      </c>
      <c r="I763" t="s">
        <v>162</v>
      </c>
      <c r="J763" t="s">
        <v>5923</v>
      </c>
      <c r="K763" t="s">
        <v>164</v>
      </c>
      <c r="L763" t="s">
        <v>20</v>
      </c>
      <c r="M763" t="s">
        <v>5893</v>
      </c>
      <c r="N763" t="s">
        <v>5894</v>
      </c>
      <c r="O763" t="s">
        <v>5924</v>
      </c>
      <c r="P763" t="s">
        <v>5925</v>
      </c>
    </row>
    <row r="764" spans="1:16" x14ac:dyDescent="0.35">
      <c r="A764" t="s">
        <v>5926</v>
      </c>
      <c r="B764" t="s">
        <v>32</v>
      </c>
      <c r="C764" t="s">
        <v>691</v>
      </c>
      <c r="D764" t="s">
        <v>16</v>
      </c>
      <c r="E764" t="s">
        <v>5927</v>
      </c>
      <c r="F764" t="s">
        <v>5928</v>
      </c>
      <c r="G764" t="s">
        <v>5929</v>
      </c>
      <c r="H764" t="s">
        <v>5758</v>
      </c>
      <c r="I764" t="s">
        <v>28</v>
      </c>
      <c r="J764" t="s">
        <v>5930</v>
      </c>
      <c r="K764" t="s">
        <v>19</v>
      </c>
      <c r="L764" t="s">
        <v>20</v>
      </c>
      <c r="M764" t="s">
        <v>5931</v>
      </c>
      <c r="N764" t="s">
        <v>5932</v>
      </c>
      <c r="O764" t="s">
        <v>5933</v>
      </c>
      <c r="P764" t="s">
        <v>5934</v>
      </c>
    </row>
    <row r="765" spans="1:16" x14ac:dyDescent="0.35">
      <c r="A765" t="s">
        <v>5935</v>
      </c>
      <c r="B765" t="s">
        <v>55</v>
      </c>
      <c r="C765" t="s">
        <v>96</v>
      </c>
      <c r="D765" t="s">
        <v>324</v>
      </c>
      <c r="E765" t="s">
        <v>5936</v>
      </c>
      <c r="F765" t="s">
        <v>5937</v>
      </c>
      <c r="G765" t="s">
        <v>5758</v>
      </c>
      <c r="H765" t="s">
        <v>5758</v>
      </c>
      <c r="I765" t="s">
        <v>2101</v>
      </c>
      <c r="J765" t="s">
        <v>5938</v>
      </c>
      <c r="K765" t="s">
        <v>2103</v>
      </c>
      <c r="L765" t="s">
        <v>20</v>
      </c>
      <c r="M765" t="s">
        <v>5931</v>
      </c>
      <c r="N765" t="s">
        <v>5932</v>
      </c>
      <c r="O765" t="s">
        <v>5939</v>
      </c>
      <c r="P765" t="s">
        <v>5940</v>
      </c>
    </row>
    <row r="766" spans="1:16" x14ac:dyDescent="0.35">
      <c r="A766" t="s">
        <v>5941</v>
      </c>
      <c r="B766" t="s">
        <v>55</v>
      </c>
      <c r="C766" t="s">
        <v>28</v>
      </c>
      <c r="D766" t="s">
        <v>28</v>
      </c>
      <c r="E766" t="s">
        <v>5942</v>
      </c>
      <c r="F766" t="s">
        <v>5943</v>
      </c>
      <c r="G766" t="s">
        <v>5758</v>
      </c>
      <c r="H766" t="s">
        <v>5758</v>
      </c>
      <c r="I766" t="s">
        <v>28</v>
      </c>
      <c r="J766" t="s">
        <v>5944</v>
      </c>
      <c r="K766" t="s">
        <v>19</v>
      </c>
      <c r="L766" t="s">
        <v>20</v>
      </c>
      <c r="M766" t="s">
        <v>5931</v>
      </c>
      <c r="N766" t="s">
        <v>5932</v>
      </c>
      <c r="O766" t="s">
        <v>5945</v>
      </c>
      <c r="P766" t="s">
        <v>5946</v>
      </c>
    </row>
    <row r="767" spans="1:16" x14ac:dyDescent="0.35">
      <c r="A767" t="s">
        <v>5947</v>
      </c>
      <c r="B767" t="s">
        <v>55</v>
      </c>
      <c r="C767" t="s">
        <v>28</v>
      </c>
      <c r="D767" t="s">
        <v>28</v>
      </c>
      <c r="E767" t="s">
        <v>5948</v>
      </c>
      <c r="F767" t="s">
        <v>5949</v>
      </c>
      <c r="G767" t="s">
        <v>5758</v>
      </c>
      <c r="H767" t="s">
        <v>5758</v>
      </c>
      <c r="I767" t="s">
        <v>28</v>
      </c>
      <c r="J767" t="s">
        <v>5950</v>
      </c>
      <c r="K767" t="s">
        <v>19</v>
      </c>
      <c r="L767" t="s">
        <v>20</v>
      </c>
      <c r="M767" t="s">
        <v>5931</v>
      </c>
      <c r="N767" t="s">
        <v>5932</v>
      </c>
      <c r="O767" t="s">
        <v>5951</v>
      </c>
      <c r="P767" t="s">
        <v>5952</v>
      </c>
    </row>
    <row r="768" spans="1:16" x14ac:dyDescent="0.35">
      <c r="A768" t="s">
        <v>5953</v>
      </c>
      <c r="B768" t="s">
        <v>55</v>
      </c>
      <c r="C768" t="s">
        <v>241</v>
      </c>
      <c r="D768" t="s">
        <v>614</v>
      </c>
      <c r="E768" t="s">
        <v>5954</v>
      </c>
      <c r="F768" t="s">
        <v>5955</v>
      </c>
      <c r="G768" t="s">
        <v>5758</v>
      </c>
      <c r="H768" t="s">
        <v>5758</v>
      </c>
      <c r="I768" t="s">
        <v>5956</v>
      </c>
      <c r="J768" t="s">
        <v>5957</v>
      </c>
      <c r="K768" t="s">
        <v>5958</v>
      </c>
      <c r="L768" t="s">
        <v>20</v>
      </c>
      <c r="M768" t="s">
        <v>5931</v>
      </c>
      <c r="N768" t="s">
        <v>5932</v>
      </c>
      <c r="O768" t="s">
        <v>5959</v>
      </c>
      <c r="P768" t="s">
        <v>5960</v>
      </c>
    </row>
    <row r="769" spans="1:16" x14ac:dyDescent="0.35">
      <c r="A769" t="s">
        <v>5961</v>
      </c>
      <c r="B769" t="s">
        <v>55</v>
      </c>
      <c r="C769" t="s">
        <v>15</v>
      </c>
      <c r="D769" t="s">
        <v>124</v>
      </c>
      <c r="E769" t="s">
        <v>5962</v>
      </c>
      <c r="F769" t="s">
        <v>5796</v>
      </c>
      <c r="G769" t="s">
        <v>5758</v>
      </c>
      <c r="H769" t="s">
        <v>5758</v>
      </c>
      <c r="I769" t="s">
        <v>4065</v>
      </c>
      <c r="J769" t="s">
        <v>5963</v>
      </c>
      <c r="K769" t="s">
        <v>4067</v>
      </c>
      <c r="L769" t="s">
        <v>20</v>
      </c>
      <c r="M769" t="s">
        <v>5931</v>
      </c>
      <c r="N769" t="s">
        <v>5932</v>
      </c>
      <c r="O769" t="s">
        <v>5964</v>
      </c>
      <c r="P769" t="s">
        <v>5965</v>
      </c>
    </row>
    <row r="770" spans="1:16" x14ac:dyDescent="0.35">
      <c r="A770" t="s">
        <v>5966</v>
      </c>
      <c r="B770" t="s">
        <v>194</v>
      </c>
      <c r="C770" t="s">
        <v>28</v>
      </c>
      <c r="D770" t="s">
        <v>28</v>
      </c>
      <c r="E770" t="s">
        <v>5848</v>
      </c>
      <c r="F770" t="s">
        <v>5967</v>
      </c>
      <c r="G770" t="s">
        <v>5758</v>
      </c>
      <c r="H770" t="s">
        <v>5758</v>
      </c>
      <c r="I770" t="s">
        <v>5968</v>
      </c>
      <c r="J770" t="s">
        <v>5969</v>
      </c>
      <c r="K770" t="s">
        <v>19</v>
      </c>
      <c r="L770" t="s">
        <v>20</v>
      </c>
      <c r="M770" t="s">
        <v>5931</v>
      </c>
      <c r="N770" t="s">
        <v>5932</v>
      </c>
      <c r="O770" t="s">
        <v>5970</v>
      </c>
      <c r="P770" t="s">
        <v>5853</v>
      </c>
    </row>
    <row r="771" spans="1:16" x14ac:dyDescent="0.35">
      <c r="A771" t="s">
        <v>5971</v>
      </c>
      <c r="B771" t="s">
        <v>55</v>
      </c>
      <c r="C771" t="s">
        <v>15</v>
      </c>
      <c r="D771" t="s">
        <v>952</v>
      </c>
      <c r="E771" t="s">
        <v>5972</v>
      </c>
      <c r="F771" t="s">
        <v>5973</v>
      </c>
      <c r="G771" t="s">
        <v>5758</v>
      </c>
      <c r="H771" t="s">
        <v>5758</v>
      </c>
      <c r="I771" t="s">
        <v>5974</v>
      </c>
      <c r="J771" t="s">
        <v>5975</v>
      </c>
      <c r="K771" t="s">
        <v>19</v>
      </c>
      <c r="L771" t="s">
        <v>20</v>
      </c>
      <c r="M771" t="s">
        <v>5931</v>
      </c>
      <c r="N771" t="s">
        <v>5932</v>
      </c>
      <c r="O771" t="s">
        <v>5976</v>
      </c>
      <c r="P771" t="s">
        <v>5977</v>
      </c>
    </row>
    <row r="772" spans="1:16" x14ac:dyDescent="0.35">
      <c r="A772" t="s">
        <v>5978</v>
      </c>
      <c r="B772" t="s">
        <v>107</v>
      </c>
      <c r="C772" t="s">
        <v>474</v>
      </c>
      <c r="D772" t="s">
        <v>774</v>
      </c>
      <c r="E772" t="s">
        <v>5979</v>
      </c>
      <c r="F772" t="s">
        <v>5980</v>
      </c>
      <c r="G772" t="s">
        <v>5758</v>
      </c>
      <c r="H772" t="s">
        <v>5758</v>
      </c>
      <c r="I772" t="s">
        <v>5981</v>
      </c>
      <c r="J772" t="s">
        <v>28</v>
      </c>
      <c r="K772" t="s">
        <v>19</v>
      </c>
      <c r="L772" t="s">
        <v>20</v>
      </c>
      <c r="M772" t="s">
        <v>5893</v>
      </c>
      <c r="N772" t="s">
        <v>5894</v>
      </c>
      <c r="O772" t="s">
        <v>5982</v>
      </c>
      <c r="P772" t="s">
        <v>5983</v>
      </c>
    </row>
    <row r="773" spans="1:16" x14ac:dyDescent="0.35">
      <c r="A773" t="s">
        <v>5984</v>
      </c>
      <c r="B773" t="s">
        <v>55</v>
      </c>
      <c r="C773" t="s">
        <v>15</v>
      </c>
      <c r="D773" t="s">
        <v>282</v>
      </c>
      <c r="E773" t="s">
        <v>5985</v>
      </c>
      <c r="F773" t="s">
        <v>5986</v>
      </c>
      <c r="G773" t="s">
        <v>5758</v>
      </c>
      <c r="H773" t="s">
        <v>5758</v>
      </c>
      <c r="I773" t="s">
        <v>5987</v>
      </c>
      <c r="J773" t="s">
        <v>5988</v>
      </c>
      <c r="K773" t="s">
        <v>5989</v>
      </c>
      <c r="L773" t="s">
        <v>20</v>
      </c>
      <c r="M773" t="s">
        <v>5893</v>
      </c>
      <c r="N773" t="s">
        <v>5894</v>
      </c>
      <c r="O773" t="s">
        <v>5990</v>
      </c>
      <c r="P773" t="s">
        <v>5991</v>
      </c>
    </row>
    <row r="774" spans="1:16" x14ac:dyDescent="0.35">
      <c r="A774" t="s">
        <v>5992</v>
      </c>
      <c r="B774" t="s">
        <v>55</v>
      </c>
      <c r="C774" t="s">
        <v>26</v>
      </c>
      <c r="D774" t="s">
        <v>27</v>
      </c>
      <c r="E774" t="s">
        <v>5993</v>
      </c>
      <c r="F774" t="s">
        <v>5994</v>
      </c>
      <c r="G774" t="s">
        <v>5758</v>
      </c>
      <c r="H774" t="s">
        <v>5758</v>
      </c>
      <c r="I774" t="s">
        <v>2778</v>
      </c>
      <c r="J774" t="s">
        <v>5995</v>
      </c>
      <c r="K774" t="s">
        <v>2780</v>
      </c>
      <c r="L774" t="s">
        <v>20</v>
      </c>
      <c r="M774" t="s">
        <v>5996</v>
      </c>
      <c r="N774" t="s">
        <v>5997</v>
      </c>
      <c r="O774" t="s">
        <v>5998</v>
      </c>
      <c r="P774" t="s">
        <v>5999</v>
      </c>
    </row>
    <row r="775" spans="1:16" x14ac:dyDescent="0.35">
      <c r="A775" t="s">
        <v>6000</v>
      </c>
      <c r="B775" t="s">
        <v>194</v>
      </c>
      <c r="C775" t="s">
        <v>28</v>
      </c>
      <c r="D775" t="s">
        <v>28</v>
      </c>
      <c r="E775" t="s">
        <v>5803</v>
      </c>
      <c r="F775" t="s">
        <v>5804</v>
      </c>
      <c r="G775" t="s">
        <v>5758</v>
      </c>
      <c r="H775" t="s">
        <v>5758</v>
      </c>
      <c r="I775" t="s">
        <v>28</v>
      </c>
      <c r="J775" t="s">
        <v>28</v>
      </c>
      <c r="K775" t="s">
        <v>19</v>
      </c>
      <c r="L775" t="s">
        <v>20</v>
      </c>
      <c r="M775" t="s">
        <v>5996</v>
      </c>
      <c r="N775" t="s">
        <v>5997</v>
      </c>
      <c r="O775" t="s">
        <v>6001</v>
      </c>
      <c r="P775" t="s">
        <v>6002</v>
      </c>
    </row>
    <row r="776" spans="1:16" x14ac:dyDescent="0.35">
      <c r="A776" t="s">
        <v>6003</v>
      </c>
      <c r="B776" t="s">
        <v>55</v>
      </c>
      <c r="C776" t="s">
        <v>15</v>
      </c>
      <c r="D776" t="s">
        <v>16</v>
      </c>
      <c r="E776" t="s">
        <v>6004</v>
      </c>
      <c r="F776" t="s">
        <v>6005</v>
      </c>
      <c r="G776" t="s">
        <v>5758</v>
      </c>
      <c r="H776" t="s">
        <v>5758</v>
      </c>
      <c r="I776" t="s">
        <v>4065</v>
      </c>
      <c r="J776" t="s">
        <v>5963</v>
      </c>
      <c r="K776" t="s">
        <v>4067</v>
      </c>
      <c r="L776" t="s">
        <v>20</v>
      </c>
      <c r="M776" t="s">
        <v>5996</v>
      </c>
      <c r="N776" t="s">
        <v>5997</v>
      </c>
      <c r="O776" t="s">
        <v>6006</v>
      </c>
      <c r="P776" t="s">
        <v>6007</v>
      </c>
    </row>
    <row r="777" spans="1:16" x14ac:dyDescent="0.35">
      <c r="A777" t="s">
        <v>325</v>
      </c>
      <c r="B777" t="s">
        <v>55</v>
      </c>
      <c r="C777" t="s">
        <v>117</v>
      </c>
      <c r="D777" t="s">
        <v>324</v>
      </c>
      <c r="E777" t="s">
        <v>6008</v>
      </c>
      <c r="F777" t="s">
        <v>6009</v>
      </c>
      <c r="G777" t="s">
        <v>5758</v>
      </c>
      <c r="H777" t="s">
        <v>5758</v>
      </c>
      <c r="I777" t="s">
        <v>6010</v>
      </c>
      <c r="J777" t="s">
        <v>6011</v>
      </c>
      <c r="K777" t="s">
        <v>6012</v>
      </c>
      <c r="L777" t="s">
        <v>20</v>
      </c>
      <c r="M777" t="s">
        <v>5996</v>
      </c>
      <c r="N777" t="s">
        <v>5997</v>
      </c>
      <c r="O777" t="s">
        <v>6013</v>
      </c>
      <c r="P777" t="s">
        <v>6014</v>
      </c>
    </row>
    <row r="778" spans="1:16" x14ac:dyDescent="0.35">
      <c r="A778" t="s">
        <v>6015</v>
      </c>
      <c r="B778" t="s">
        <v>55</v>
      </c>
      <c r="C778" t="s">
        <v>28</v>
      </c>
      <c r="D778" t="s">
        <v>28</v>
      </c>
      <c r="E778" t="s">
        <v>6016</v>
      </c>
      <c r="F778" t="s">
        <v>6017</v>
      </c>
      <c r="G778" t="s">
        <v>5929</v>
      </c>
      <c r="H778" t="s">
        <v>5758</v>
      </c>
      <c r="I778" t="s">
        <v>4707</v>
      </c>
      <c r="J778" t="s">
        <v>6018</v>
      </c>
      <c r="K778" t="s">
        <v>4709</v>
      </c>
      <c r="L778" t="s">
        <v>20</v>
      </c>
      <c r="M778" t="s">
        <v>6019</v>
      </c>
      <c r="N778" t="s">
        <v>6020</v>
      </c>
      <c r="O778" t="s">
        <v>6021</v>
      </c>
      <c r="P778" t="s">
        <v>915</v>
      </c>
    </row>
    <row r="779" spans="1:16" x14ac:dyDescent="0.35">
      <c r="A779" t="s">
        <v>6022</v>
      </c>
      <c r="B779" t="s">
        <v>55</v>
      </c>
      <c r="C779" t="s">
        <v>28</v>
      </c>
      <c r="D779" t="s">
        <v>28</v>
      </c>
      <c r="E779" t="s">
        <v>6023</v>
      </c>
      <c r="F779" t="s">
        <v>6024</v>
      </c>
      <c r="G779" t="s">
        <v>6025</v>
      </c>
      <c r="H779" t="s">
        <v>5758</v>
      </c>
      <c r="I779" t="s">
        <v>5878</v>
      </c>
      <c r="J779" t="s">
        <v>6026</v>
      </c>
      <c r="K779" t="s">
        <v>5859</v>
      </c>
      <c r="L779" t="s">
        <v>20</v>
      </c>
      <c r="M779" t="s">
        <v>6027</v>
      </c>
      <c r="N779" t="s">
        <v>6028</v>
      </c>
      <c r="O779" t="s">
        <v>6029</v>
      </c>
      <c r="P779" t="s">
        <v>6030</v>
      </c>
    </row>
    <row r="780" spans="1:16" x14ac:dyDescent="0.35">
      <c r="A780" t="s">
        <v>482</v>
      </c>
      <c r="B780" t="s">
        <v>55</v>
      </c>
      <c r="C780" t="s">
        <v>15</v>
      </c>
      <c r="D780" t="s">
        <v>68</v>
      </c>
      <c r="E780" t="s">
        <v>6031</v>
      </c>
      <c r="F780" t="s">
        <v>6032</v>
      </c>
      <c r="G780" t="s">
        <v>6033</v>
      </c>
      <c r="H780" t="s">
        <v>5758</v>
      </c>
      <c r="I780" t="s">
        <v>162</v>
      </c>
      <c r="J780" t="s">
        <v>6034</v>
      </c>
      <c r="K780" t="s">
        <v>164</v>
      </c>
      <c r="L780" t="s">
        <v>20</v>
      </c>
      <c r="M780" t="s">
        <v>6035</v>
      </c>
      <c r="N780" t="s">
        <v>6036</v>
      </c>
      <c r="O780" t="s">
        <v>6037</v>
      </c>
      <c r="P780" t="s">
        <v>6038</v>
      </c>
    </row>
    <row r="781" spans="1:16" x14ac:dyDescent="0.35">
      <c r="A781" t="s">
        <v>6039</v>
      </c>
      <c r="B781" t="s">
        <v>55</v>
      </c>
      <c r="C781" t="s">
        <v>28</v>
      </c>
      <c r="D781" t="s">
        <v>28</v>
      </c>
      <c r="E781" t="s">
        <v>6040</v>
      </c>
      <c r="F781" t="s">
        <v>6041</v>
      </c>
      <c r="G781" t="s">
        <v>6042</v>
      </c>
      <c r="H781" t="s">
        <v>5758</v>
      </c>
      <c r="I781" t="s">
        <v>4707</v>
      </c>
      <c r="J781" t="s">
        <v>6043</v>
      </c>
      <c r="K781" t="s">
        <v>4709</v>
      </c>
      <c r="L781" t="s">
        <v>20</v>
      </c>
      <c r="M781" t="s">
        <v>6044</v>
      </c>
      <c r="N781" t="s">
        <v>6045</v>
      </c>
      <c r="O781" t="s">
        <v>6046</v>
      </c>
      <c r="P781" t="s">
        <v>915</v>
      </c>
    </row>
    <row r="782" spans="1:16" x14ac:dyDescent="0.35">
      <c r="A782" t="s">
        <v>6047</v>
      </c>
      <c r="B782" t="s">
        <v>55</v>
      </c>
      <c r="C782" t="s">
        <v>28</v>
      </c>
      <c r="D782" t="s">
        <v>28</v>
      </c>
      <c r="E782" t="s">
        <v>6048</v>
      </c>
      <c r="F782" t="s">
        <v>6049</v>
      </c>
      <c r="G782" t="s">
        <v>6025</v>
      </c>
      <c r="H782" t="s">
        <v>5758</v>
      </c>
      <c r="I782" t="s">
        <v>162</v>
      </c>
      <c r="J782" t="s">
        <v>6050</v>
      </c>
      <c r="K782" t="s">
        <v>164</v>
      </c>
      <c r="L782" t="s">
        <v>20</v>
      </c>
      <c r="M782" t="s">
        <v>6051</v>
      </c>
      <c r="N782" t="s">
        <v>6052</v>
      </c>
      <c r="O782" t="s">
        <v>6053</v>
      </c>
      <c r="P782" t="s">
        <v>6054</v>
      </c>
    </row>
    <row r="783" spans="1:16" x14ac:dyDescent="0.35">
      <c r="A783" t="s">
        <v>6056</v>
      </c>
      <c r="B783" t="s">
        <v>55</v>
      </c>
      <c r="C783" t="s">
        <v>28</v>
      </c>
      <c r="D783" t="s">
        <v>28</v>
      </c>
      <c r="E783" t="s">
        <v>6057</v>
      </c>
      <c r="F783" t="s">
        <v>6058</v>
      </c>
      <c r="G783" t="s">
        <v>6055</v>
      </c>
      <c r="H783" t="s">
        <v>6055</v>
      </c>
      <c r="I783" t="s">
        <v>28</v>
      </c>
      <c r="J783" t="s">
        <v>6059</v>
      </c>
      <c r="K783" t="s">
        <v>19</v>
      </c>
      <c r="L783" t="s">
        <v>20</v>
      </c>
      <c r="M783" t="s">
        <v>6060</v>
      </c>
      <c r="N783" t="s">
        <v>6061</v>
      </c>
      <c r="O783" t="s">
        <v>6062</v>
      </c>
      <c r="P783" t="s">
        <v>6063</v>
      </c>
    </row>
    <row r="784" spans="1:16" x14ac:dyDescent="0.35">
      <c r="A784" t="s">
        <v>6064</v>
      </c>
      <c r="B784" t="s">
        <v>32</v>
      </c>
      <c r="C784" t="s">
        <v>177</v>
      </c>
      <c r="D784" t="s">
        <v>68</v>
      </c>
      <c r="E784" t="s">
        <v>6065</v>
      </c>
      <c r="F784" t="s">
        <v>6066</v>
      </c>
      <c r="G784" t="s">
        <v>6055</v>
      </c>
      <c r="H784" t="s">
        <v>6055</v>
      </c>
      <c r="I784" t="s">
        <v>6067</v>
      </c>
      <c r="J784" t="s">
        <v>6068</v>
      </c>
      <c r="K784" t="s">
        <v>19</v>
      </c>
      <c r="L784" t="s">
        <v>20</v>
      </c>
      <c r="M784" t="s">
        <v>6060</v>
      </c>
      <c r="N784" t="s">
        <v>6061</v>
      </c>
      <c r="O784" t="s">
        <v>6069</v>
      </c>
      <c r="P784" t="s">
        <v>6070</v>
      </c>
    </row>
    <row r="785" spans="1:16" x14ac:dyDescent="0.35">
      <c r="A785" t="s">
        <v>1219</v>
      </c>
      <c r="B785" t="s">
        <v>88</v>
      </c>
      <c r="C785" t="s">
        <v>117</v>
      </c>
      <c r="D785" t="s">
        <v>16</v>
      </c>
      <c r="E785" t="s">
        <v>6071</v>
      </c>
      <c r="F785" t="s">
        <v>6072</v>
      </c>
      <c r="G785" t="s">
        <v>6055</v>
      </c>
      <c r="H785" t="s">
        <v>6055</v>
      </c>
      <c r="I785" t="s">
        <v>28</v>
      </c>
      <c r="J785" t="s">
        <v>6073</v>
      </c>
      <c r="K785" t="s">
        <v>19</v>
      </c>
      <c r="L785" t="s">
        <v>20</v>
      </c>
      <c r="M785" t="s">
        <v>6060</v>
      </c>
      <c r="N785" t="s">
        <v>6061</v>
      </c>
      <c r="O785" t="s">
        <v>6074</v>
      </c>
      <c r="P785" t="s">
        <v>6075</v>
      </c>
    </row>
    <row r="786" spans="1:16" x14ac:dyDescent="0.35">
      <c r="A786" t="s">
        <v>6076</v>
      </c>
      <c r="B786" t="s">
        <v>55</v>
      </c>
      <c r="C786" t="s">
        <v>28</v>
      </c>
      <c r="D786" t="s">
        <v>28</v>
      </c>
      <c r="E786" t="s">
        <v>6077</v>
      </c>
      <c r="F786" t="s">
        <v>6078</v>
      </c>
      <c r="G786" t="s">
        <v>6055</v>
      </c>
      <c r="H786" t="s">
        <v>6055</v>
      </c>
      <c r="I786" t="s">
        <v>6079</v>
      </c>
      <c r="J786" t="s">
        <v>6080</v>
      </c>
      <c r="K786" t="s">
        <v>19</v>
      </c>
      <c r="L786" t="s">
        <v>20</v>
      </c>
      <c r="M786" t="s">
        <v>6060</v>
      </c>
      <c r="N786" t="s">
        <v>6061</v>
      </c>
      <c r="O786" t="s">
        <v>6081</v>
      </c>
      <c r="P786" t="s">
        <v>6082</v>
      </c>
    </row>
    <row r="787" spans="1:16" x14ac:dyDescent="0.35">
      <c r="A787" t="s">
        <v>3977</v>
      </c>
      <c r="B787" t="s">
        <v>88</v>
      </c>
      <c r="C787" t="s">
        <v>28</v>
      </c>
      <c r="D787" t="s">
        <v>28</v>
      </c>
      <c r="E787" t="s">
        <v>6083</v>
      </c>
      <c r="F787" t="s">
        <v>6084</v>
      </c>
      <c r="G787" t="s">
        <v>6055</v>
      </c>
      <c r="H787" t="s">
        <v>6055</v>
      </c>
      <c r="I787" t="s">
        <v>28</v>
      </c>
      <c r="J787" t="s">
        <v>6085</v>
      </c>
      <c r="K787" t="s">
        <v>19</v>
      </c>
      <c r="L787" t="s">
        <v>20</v>
      </c>
      <c r="M787" t="s">
        <v>6060</v>
      </c>
      <c r="N787" t="s">
        <v>6061</v>
      </c>
      <c r="O787" t="s">
        <v>6086</v>
      </c>
      <c r="P787" t="s">
        <v>6087</v>
      </c>
    </row>
    <row r="788" spans="1:16" x14ac:dyDescent="0.35">
      <c r="A788" t="s">
        <v>6088</v>
      </c>
      <c r="B788" t="s">
        <v>32</v>
      </c>
      <c r="C788" t="s">
        <v>28</v>
      </c>
      <c r="D788" t="s">
        <v>28</v>
      </c>
      <c r="E788" t="s">
        <v>6089</v>
      </c>
      <c r="F788" t="s">
        <v>6090</v>
      </c>
      <c r="G788" t="s">
        <v>6055</v>
      </c>
      <c r="H788" t="s">
        <v>6055</v>
      </c>
      <c r="I788" t="s">
        <v>6091</v>
      </c>
      <c r="J788" t="s">
        <v>6092</v>
      </c>
      <c r="K788" t="s">
        <v>19</v>
      </c>
      <c r="L788" t="s">
        <v>20</v>
      </c>
      <c r="M788" t="s">
        <v>6060</v>
      </c>
      <c r="N788" t="s">
        <v>6061</v>
      </c>
      <c r="O788" t="s">
        <v>6093</v>
      </c>
      <c r="P788" t="s">
        <v>6094</v>
      </c>
    </row>
    <row r="789" spans="1:16" x14ac:dyDescent="0.35">
      <c r="A789" t="s">
        <v>6095</v>
      </c>
      <c r="B789" t="s">
        <v>107</v>
      </c>
      <c r="C789" t="s">
        <v>28</v>
      </c>
      <c r="D789" t="s">
        <v>28</v>
      </c>
      <c r="E789" t="s">
        <v>6096</v>
      </c>
      <c r="F789" t="s">
        <v>6097</v>
      </c>
      <c r="G789" t="s">
        <v>6055</v>
      </c>
      <c r="H789" t="s">
        <v>6055</v>
      </c>
      <c r="I789" t="s">
        <v>28</v>
      </c>
      <c r="J789" t="s">
        <v>6080</v>
      </c>
      <c r="K789" t="s">
        <v>19</v>
      </c>
      <c r="L789" t="s">
        <v>20</v>
      </c>
      <c r="M789" t="s">
        <v>6060</v>
      </c>
      <c r="N789" t="s">
        <v>6061</v>
      </c>
      <c r="O789" t="s">
        <v>6098</v>
      </c>
      <c r="P789" t="s">
        <v>915</v>
      </c>
    </row>
    <row r="790" spans="1:16" x14ac:dyDescent="0.35">
      <c r="A790" t="s">
        <v>6099</v>
      </c>
      <c r="B790" t="s">
        <v>55</v>
      </c>
      <c r="C790" t="s">
        <v>28</v>
      </c>
      <c r="D790" t="s">
        <v>28</v>
      </c>
      <c r="E790" t="s">
        <v>6100</v>
      </c>
      <c r="F790" t="s">
        <v>6101</v>
      </c>
      <c r="G790" t="s">
        <v>6055</v>
      </c>
      <c r="H790" t="s">
        <v>6055</v>
      </c>
      <c r="I790" t="s">
        <v>4707</v>
      </c>
      <c r="J790" t="s">
        <v>6102</v>
      </c>
      <c r="K790" t="s">
        <v>4709</v>
      </c>
      <c r="L790" t="s">
        <v>20</v>
      </c>
      <c r="M790" t="s">
        <v>6060</v>
      </c>
      <c r="N790" t="s">
        <v>6061</v>
      </c>
      <c r="O790" t="s">
        <v>6103</v>
      </c>
      <c r="P790" t="s">
        <v>915</v>
      </c>
    </row>
    <row r="791" spans="1:16" x14ac:dyDescent="0.35">
      <c r="A791" t="s">
        <v>4978</v>
      </c>
      <c r="B791" t="s">
        <v>55</v>
      </c>
      <c r="C791" t="s">
        <v>28</v>
      </c>
      <c r="D791" t="s">
        <v>28</v>
      </c>
      <c r="E791" t="s">
        <v>6100</v>
      </c>
      <c r="F791" t="s">
        <v>6104</v>
      </c>
      <c r="G791" t="s">
        <v>6055</v>
      </c>
      <c r="H791" t="s">
        <v>6055</v>
      </c>
      <c r="I791" t="s">
        <v>28</v>
      </c>
      <c r="J791" t="s">
        <v>6105</v>
      </c>
      <c r="K791" t="s">
        <v>19</v>
      </c>
      <c r="L791" t="s">
        <v>20</v>
      </c>
      <c r="M791" t="s">
        <v>6060</v>
      </c>
      <c r="N791" t="s">
        <v>6061</v>
      </c>
      <c r="O791" t="s">
        <v>6106</v>
      </c>
      <c r="P791" t="s">
        <v>6107</v>
      </c>
    </row>
    <row r="792" spans="1:16" x14ac:dyDescent="0.35">
      <c r="A792" t="s">
        <v>6108</v>
      </c>
      <c r="B792" t="s">
        <v>55</v>
      </c>
      <c r="C792" t="s">
        <v>241</v>
      </c>
      <c r="D792" t="s">
        <v>22</v>
      </c>
      <c r="E792" t="s">
        <v>6109</v>
      </c>
      <c r="F792" t="s">
        <v>6110</v>
      </c>
      <c r="G792" t="s">
        <v>6055</v>
      </c>
      <c r="H792" t="s">
        <v>6055</v>
      </c>
      <c r="I792" t="s">
        <v>5865</v>
      </c>
      <c r="J792" t="s">
        <v>6111</v>
      </c>
      <c r="K792" t="s">
        <v>19</v>
      </c>
      <c r="L792" t="s">
        <v>20</v>
      </c>
      <c r="M792" t="s">
        <v>6112</v>
      </c>
      <c r="N792" t="s">
        <v>6113</v>
      </c>
      <c r="O792" t="s">
        <v>6114</v>
      </c>
      <c r="P792" t="s">
        <v>6115</v>
      </c>
    </row>
    <row r="793" spans="1:16" x14ac:dyDescent="0.35">
      <c r="A793" t="s">
        <v>6116</v>
      </c>
      <c r="B793" t="s">
        <v>55</v>
      </c>
      <c r="C793" t="s">
        <v>28</v>
      </c>
      <c r="D793" t="s">
        <v>28</v>
      </c>
      <c r="E793" t="s">
        <v>6117</v>
      </c>
      <c r="F793" t="s">
        <v>6118</v>
      </c>
      <c r="G793" t="s">
        <v>6055</v>
      </c>
      <c r="H793" t="s">
        <v>6055</v>
      </c>
      <c r="I793" t="s">
        <v>28</v>
      </c>
      <c r="J793" t="s">
        <v>6119</v>
      </c>
      <c r="K793" t="s">
        <v>19</v>
      </c>
      <c r="L793" t="s">
        <v>20</v>
      </c>
      <c r="M793" t="s">
        <v>6120</v>
      </c>
      <c r="N793" t="s">
        <v>6121</v>
      </c>
      <c r="O793" t="s">
        <v>6122</v>
      </c>
      <c r="P793" t="s">
        <v>6123</v>
      </c>
    </row>
    <row r="794" spans="1:16" x14ac:dyDescent="0.35">
      <c r="A794" t="s">
        <v>6124</v>
      </c>
      <c r="B794" t="s">
        <v>55</v>
      </c>
      <c r="C794" t="s">
        <v>241</v>
      </c>
      <c r="D794" t="s">
        <v>1795</v>
      </c>
      <c r="E794" t="s">
        <v>6125</v>
      </c>
      <c r="F794" t="s">
        <v>6126</v>
      </c>
      <c r="G794" t="s">
        <v>6055</v>
      </c>
      <c r="H794" t="s">
        <v>6055</v>
      </c>
      <c r="I794" t="s">
        <v>28</v>
      </c>
      <c r="J794" t="s">
        <v>28</v>
      </c>
      <c r="K794" t="s">
        <v>19</v>
      </c>
      <c r="L794" t="s">
        <v>20</v>
      </c>
      <c r="M794" t="s">
        <v>6120</v>
      </c>
      <c r="N794" t="s">
        <v>6121</v>
      </c>
      <c r="O794" t="s">
        <v>6127</v>
      </c>
      <c r="P794" t="s">
        <v>6128</v>
      </c>
    </row>
    <row r="795" spans="1:16" x14ac:dyDescent="0.35">
      <c r="A795" t="s">
        <v>6129</v>
      </c>
      <c r="B795" t="s">
        <v>55</v>
      </c>
      <c r="C795" t="s">
        <v>28</v>
      </c>
      <c r="D795" t="s">
        <v>28</v>
      </c>
      <c r="E795" t="s">
        <v>6130</v>
      </c>
      <c r="F795" t="s">
        <v>6131</v>
      </c>
      <c r="G795" t="s">
        <v>6055</v>
      </c>
      <c r="H795" t="s">
        <v>6055</v>
      </c>
      <c r="I795" t="s">
        <v>28</v>
      </c>
      <c r="J795" t="s">
        <v>28</v>
      </c>
      <c r="K795" t="s">
        <v>19</v>
      </c>
      <c r="L795" t="s">
        <v>20</v>
      </c>
      <c r="M795" t="s">
        <v>6120</v>
      </c>
      <c r="N795" t="s">
        <v>6121</v>
      </c>
      <c r="O795" t="s">
        <v>6132</v>
      </c>
      <c r="P795" t="s">
        <v>6133</v>
      </c>
    </row>
    <row r="796" spans="1:16" x14ac:dyDescent="0.35">
      <c r="A796" t="s">
        <v>6134</v>
      </c>
      <c r="B796" t="s">
        <v>373</v>
      </c>
      <c r="C796" t="s">
        <v>691</v>
      </c>
      <c r="D796" t="s">
        <v>16</v>
      </c>
      <c r="E796" t="s">
        <v>6135</v>
      </c>
      <c r="F796" t="s">
        <v>6136</v>
      </c>
      <c r="G796" t="s">
        <v>6055</v>
      </c>
      <c r="H796" t="s">
        <v>6055</v>
      </c>
      <c r="I796" t="s">
        <v>28</v>
      </c>
      <c r="J796" t="s">
        <v>28</v>
      </c>
      <c r="K796" t="s">
        <v>19</v>
      </c>
      <c r="L796" t="s">
        <v>20</v>
      </c>
      <c r="M796" t="s">
        <v>6120</v>
      </c>
      <c r="N796" t="s">
        <v>6121</v>
      </c>
      <c r="O796" t="s">
        <v>6137</v>
      </c>
      <c r="P796" t="s">
        <v>6138</v>
      </c>
    </row>
    <row r="797" spans="1:16" x14ac:dyDescent="0.35">
      <c r="A797" t="s">
        <v>6139</v>
      </c>
      <c r="B797" t="s">
        <v>55</v>
      </c>
      <c r="C797" t="s">
        <v>96</v>
      </c>
      <c r="D797" t="s">
        <v>141</v>
      </c>
      <c r="E797" t="s">
        <v>6140</v>
      </c>
      <c r="F797" t="s">
        <v>6141</v>
      </c>
      <c r="G797" t="s">
        <v>6142</v>
      </c>
      <c r="H797" t="s">
        <v>6055</v>
      </c>
      <c r="I797" t="s">
        <v>6079</v>
      </c>
      <c r="J797" t="s">
        <v>6080</v>
      </c>
      <c r="K797" t="s">
        <v>19</v>
      </c>
      <c r="L797" t="s">
        <v>20</v>
      </c>
      <c r="M797" t="s">
        <v>6143</v>
      </c>
      <c r="N797" t="s">
        <v>6144</v>
      </c>
      <c r="O797" t="s">
        <v>6145</v>
      </c>
      <c r="P797" t="s">
        <v>6146</v>
      </c>
    </row>
    <row r="798" spans="1:16" x14ac:dyDescent="0.35">
      <c r="A798" t="s">
        <v>2404</v>
      </c>
      <c r="B798" t="s">
        <v>55</v>
      </c>
      <c r="C798" t="s">
        <v>691</v>
      </c>
      <c r="D798" t="s">
        <v>16</v>
      </c>
      <c r="E798" t="s">
        <v>6147</v>
      </c>
      <c r="F798" t="s">
        <v>6148</v>
      </c>
      <c r="G798" t="s">
        <v>6055</v>
      </c>
      <c r="H798" t="s">
        <v>6055</v>
      </c>
      <c r="I798" t="s">
        <v>28</v>
      </c>
      <c r="J798" t="s">
        <v>6149</v>
      </c>
      <c r="K798" t="s">
        <v>19</v>
      </c>
      <c r="L798" t="s">
        <v>20</v>
      </c>
      <c r="M798" t="s">
        <v>6150</v>
      </c>
      <c r="N798" t="s">
        <v>6151</v>
      </c>
      <c r="O798" t="s">
        <v>6152</v>
      </c>
      <c r="P798" t="s">
        <v>6153</v>
      </c>
    </row>
    <row r="799" spans="1:16" x14ac:dyDescent="0.35">
      <c r="A799" t="s">
        <v>6154</v>
      </c>
      <c r="B799" t="s">
        <v>55</v>
      </c>
      <c r="C799" t="s">
        <v>28</v>
      </c>
      <c r="D799" t="s">
        <v>28</v>
      </c>
      <c r="E799" t="s">
        <v>6155</v>
      </c>
      <c r="F799" t="s">
        <v>6156</v>
      </c>
      <c r="G799" t="s">
        <v>6055</v>
      </c>
      <c r="H799" t="s">
        <v>6055</v>
      </c>
      <c r="I799" t="s">
        <v>6157</v>
      </c>
      <c r="J799" t="s">
        <v>6158</v>
      </c>
      <c r="K799" t="s">
        <v>19</v>
      </c>
      <c r="L799" t="s">
        <v>20</v>
      </c>
      <c r="M799" t="s">
        <v>6150</v>
      </c>
      <c r="N799" t="s">
        <v>6151</v>
      </c>
      <c r="O799" t="s">
        <v>6159</v>
      </c>
      <c r="P799" t="s">
        <v>6160</v>
      </c>
    </row>
    <row r="800" spans="1:16" x14ac:dyDescent="0.35">
      <c r="A800" t="s">
        <v>6161</v>
      </c>
      <c r="B800" t="s">
        <v>55</v>
      </c>
      <c r="C800" t="s">
        <v>28</v>
      </c>
      <c r="D800" t="s">
        <v>28</v>
      </c>
      <c r="E800" t="s">
        <v>6162</v>
      </c>
      <c r="F800" t="s">
        <v>6163</v>
      </c>
      <c r="G800" t="s">
        <v>6164</v>
      </c>
      <c r="H800" t="s">
        <v>6055</v>
      </c>
      <c r="I800" t="s">
        <v>6079</v>
      </c>
      <c r="J800" t="s">
        <v>6165</v>
      </c>
      <c r="K800" t="s">
        <v>19</v>
      </c>
      <c r="L800" t="s">
        <v>20</v>
      </c>
      <c r="M800" t="s">
        <v>6166</v>
      </c>
      <c r="N800" t="s">
        <v>6167</v>
      </c>
      <c r="O800" t="s">
        <v>6168</v>
      </c>
      <c r="P800" t="s">
        <v>6169</v>
      </c>
    </row>
    <row r="801" spans="1:16" x14ac:dyDescent="0.35">
      <c r="A801" t="s">
        <v>6171</v>
      </c>
      <c r="B801" t="s">
        <v>55</v>
      </c>
      <c r="C801" t="s">
        <v>28</v>
      </c>
      <c r="D801" t="s">
        <v>28</v>
      </c>
      <c r="E801" t="s">
        <v>6172</v>
      </c>
      <c r="F801" t="s">
        <v>6173</v>
      </c>
      <c r="G801" t="s">
        <v>6170</v>
      </c>
      <c r="H801" t="s">
        <v>6055</v>
      </c>
      <c r="I801" t="s">
        <v>6079</v>
      </c>
      <c r="J801" t="s">
        <v>6174</v>
      </c>
      <c r="K801" t="s">
        <v>19</v>
      </c>
      <c r="L801" t="s">
        <v>20</v>
      </c>
      <c r="M801" t="s">
        <v>6175</v>
      </c>
      <c r="N801" t="s">
        <v>6176</v>
      </c>
      <c r="O801" t="s">
        <v>6177</v>
      </c>
      <c r="P801" t="s">
        <v>6178</v>
      </c>
    </row>
    <row r="802" spans="1:16" x14ac:dyDescent="0.35">
      <c r="A802" t="s">
        <v>6108</v>
      </c>
      <c r="B802" t="s">
        <v>55</v>
      </c>
      <c r="C802" t="s">
        <v>15</v>
      </c>
      <c r="D802" t="s">
        <v>68</v>
      </c>
      <c r="E802" t="s">
        <v>6180</v>
      </c>
      <c r="F802" t="s">
        <v>6181</v>
      </c>
      <c r="G802" t="s">
        <v>6179</v>
      </c>
      <c r="H802" t="s">
        <v>6055</v>
      </c>
      <c r="I802" t="s">
        <v>5865</v>
      </c>
      <c r="J802" t="s">
        <v>6182</v>
      </c>
      <c r="K802" t="s">
        <v>19</v>
      </c>
      <c r="L802" t="s">
        <v>20</v>
      </c>
      <c r="M802" t="s">
        <v>6183</v>
      </c>
      <c r="N802" t="s">
        <v>6184</v>
      </c>
      <c r="O802" t="s">
        <v>6185</v>
      </c>
      <c r="P802" t="s">
        <v>6186</v>
      </c>
    </row>
    <row r="803" spans="1:16" x14ac:dyDescent="0.35">
      <c r="A803" t="s">
        <v>6187</v>
      </c>
      <c r="B803" t="s">
        <v>32</v>
      </c>
      <c r="C803" t="s">
        <v>15</v>
      </c>
      <c r="D803" t="s">
        <v>16</v>
      </c>
      <c r="E803" t="s">
        <v>6188</v>
      </c>
      <c r="F803" t="s">
        <v>6189</v>
      </c>
      <c r="G803" t="s">
        <v>6190</v>
      </c>
      <c r="H803" t="s">
        <v>6055</v>
      </c>
      <c r="I803" t="s">
        <v>6191</v>
      </c>
      <c r="J803" t="s">
        <v>6192</v>
      </c>
      <c r="K803" t="s">
        <v>6193</v>
      </c>
      <c r="L803" t="s">
        <v>20</v>
      </c>
      <c r="M803" t="s">
        <v>6194</v>
      </c>
      <c r="N803" t="s">
        <v>6195</v>
      </c>
      <c r="O803" t="s">
        <v>6196</v>
      </c>
      <c r="P803" t="s">
        <v>915</v>
      </c>
    </row>
    <row r="804" spans="1:16" x14ac:dyDescent="0.35">
      <c r="A804" t="s">
        <v>780</v>
      </c>
      <c r="B804" t="s">
        <v>55</v>
      </c>
      <c r="C804" t="s">
        <v>15</v>
      </c>
      <c r="D804" t="s">
        <v>124</v>
      </c>
      <c r="E804" t="s">
        <v>28</v>
      </c>
      <c r="F804" t="s">
        <v>6197</v>
      </c>
      <c r="G804" t="s">
        <v>6198</v>
      </c>
      <c r="H804" t="s">
        <v>6055</v>
      </c>
      <c r="I804" t="s">
        <v>28</v>
      </c>
      <c r="J804" t="s">
        <v>6199</v>
      </c>
      <c r="K804" t="s">
        <v>19</v>
      </c>
      <c r="L804" t="s">
        <v>20</v>
      </c>
      <c r="M804" t="s">
        <v>6200</v>
      </c>
      <c r="N804" t="s">
        <v>6201</v>
      </c>
      <c r="O804" t="s">
        <v>6202</v>
      </c>
      <c r="P804" t="s">
        <v>6203</v>
      </c>
    </row>
    <row r="805" spans="1:16" x14ac:dyDescent="0.35">
      <c r="A805" t="s">
        <v>6204</v>
      </c>
      <c r="B805" t="s">
        <v>55</v>
      </c>
      <c r="C805" t="s">
        <v>15</v>
      </c>
      <c r="D805" t="s">
        <v>16</v>
      </c>
      <c r="E805" t="s">
        <v>6205</v>
      </c>
      <c r="F805" t="s">
        <v>6206</v>
      </c>
      <c r="G805" t="s">
        <v>6179</v>
      </c>
      <c r="H805" t="s">
        <v>6055</v>
      </c>
      <c r="I805" t="s">
        <v>28</v>
      </c>
      <c r="J805" t="s">
        <v>6207</v>
      </c>
      <c r="K805" t="s">
        <v>19</v>
      </c>
      <c r="L805" t="s">
        <v>20</v>
      </c>
      <c r="M805" t="s">
        <v>6208</v>
      </c>
      <c r="N805" t="s">
        <v>6209</v>
      </c>
      <c r="O805" t="s">
        <v>6210</v>
      </c>
      <c r="P805" t="s">
        <v>6211</v>
      </c>
    </row>
    <row r="806" spans="1:16" x14ac:dyDescent="0.35">
      <c r="A806" t="s">
        <v>6215</v>
      </c>
      <c r="B806" t="s">
        <v>32</v>
      </c>
      <c r="C806" t="s">
        <v>619</v>
      </c>
      <c r="D806" t="s">
        <v>952</v>
      </c>
      <c r="E806" t="s">
        <v>6216</v>
      </c>
      <c r="F806" t="s">
        <v>6217</v>
      </c>
      <c r="G806" t="s">
        <v>6212</v>
      </c>
      <c r="H806" t="s">
        <v>6212</v>
      </c>
      <c r="I806" t="s">
        <v>6218</v>
      </c>
      <c r="J806" t="s">
        <v>6219</v>
      </c>
      <c r="K806" t="s">
        <v>19</v>
      </c>
      <c r="L806" t="s">
        <v>20</v>
      </c>
      <c r="M806" t="s">
        <v>6220</v>
      </c>
      <c r="N806" t="s">
        <v>6221</v>
      </c>
      <c r="O806" t="s">
        <v>6222</v>
      </c>
      <c r="P806" t="s">
        <v>6223</v>
      </c>
    </row>
    <row r="807" spans="1:16" x14ac:dyDescent="0.35">
      <c r="A807" t="s">
        <v>6224</v>
      </c>
      <c r="B807" t="s">
        <v>55</v>
      </c>
      <c r="C807" t="s">
        <v>341</v>
      </c>
      <c r="D807" t="s">
        <v>614</v>
      </c>
      <c r="E807" t="s">
        <v>6225</v>
      </c>
      <c r="F807" t="s">
        <v>6226</v>
      </c>
      <c r="G807" t="s">
        <v>6212</v>
      </c>
      <c r="H807" t="s">
        <v>6212</v>
      </c>
      <c r="I807" t="s">
        <v>6227</v>
      </c>
      <c r="J807" t="s">
        <v>6228</v>
      </c>
      <c r="K807" t="s">
        <v>6229</v>
      </c>
      <c r="L807" t="s">
        <v>20</v>
      </c>
      <c r="M807" t="s">
        <v>6220</v>
      </c>
      <c r="N807" t="s">
        <v>6221</v>
      </c>
      <c r="O807" t="s">
        <v>6230</v>
      </c>
      <c r="P807" t="s">
        <v>6231</v>
      </c>
    </row>
    <row r="808" spans="1:16" x14ac:dyDescent="0.35">
      <c r="A808" t="s">
        <v>6232</v>
      </c>
      <c r="B808" t="s">
        <v>55</v>
      </c>
      <c r="C808" t="s">
        <v>548</v>
      </c>
      <c r="D808" t="s">
        <v>4314</v>
      </c>
      <c r="E808" t="s">
        <v>6233</v>
      </c>
      <c r="F808" t="s">
        <v>6234</v>
      </c>
      <c r="G808" t="s">
        <v>6212</v>
      </c>
      <c r="H808" t="s">
        <v>6212</v>
      </c>
      <c r="I808" t="s">
        <v>6235</v>
      </c>
      <c r="J808" t="s">
        <v>6236</v>
      </c>
      <c r="K808" t="s">
        <v>19</v>
      </c>
      <c r="L808" t="s">
        <v>20</v>
      </c>
      <c r="M808" t="s">
        <v>6237</v>
      </c>
      <c r="N808" t="s">
        <v>6238</v>
      </c>
      <c r="O808" t="s">
        <v>6239</v>
      </c>
      <c r="P808" t="s">
        <v>6240</v>
      </c>
    </row>
    <row r="809" spans="1:16" x14ac:dyDescent="0.35">
      <c r="A809" t="s">
        <v>1546</v>
      </c>
      <c r="B809" t="s">
        <v>32</v>
      </c>
      <c r="C809" t="s">
        <v>474</v>
      </c>
      <c r="D809" t="s">
        <v>6241</v>
      </c>
      <c r="E809" t="s">
        <v>6242</v>
      </c>
      <c r="F809" t="s">
        <v>6243</v>
      </c>
      <c r="G809" t="s">
        <v>6212</v>
      </c>
      <c r="H809" t="s">
        <v>6212</v>
      </c>
      <c r="I809" t="s">
        <v>28</v>
      </c>
      <c r="J809" t="s">
        <v>6244</v>
      </c>
      <c r="K809" t="s">
        <v>19</v>
      </c>
      <c r="L809" t="s">
        <v>20</v>
      </c>
      <c r="M809" t="s">
        <v>6237</v>
      </c>
      <c r="N809" t="s">
        <v>6238</v>
      </c>
      <c r="O809" t="s">
        <v>6245</v>
      </c>
      <c r="P809" t="s">
        <v>6246</v>
      </c>
    </row>
    <row r="810" spans="1:16" x14ac:dyDescent="0.35">
      <c r="A810" t="s">
        <v>6247</v>
      </c>
      <c r="B810" t="s">
        <v>32</v>
      </c>
      <c r="C810" t="s">
        <v>357</v>
      </c>
      <c r="D810" t="s">
        <v>1785</v>
      </c>
      <c r="E810" t="s">
        <v>6248</v>
      </c>
      <c r="F810" t="s">
        <v>6249</v>
      </c>
      <c r="G810" t="s">
        <v>6212</v>
      </c>
      <c r="H810" t="s">
        <v>6212</v>
      </c>
      <c r="I810" t="s">
        <v>6235</v>
      </c>
      <c r="J810" t="s">
        <v>6244</v>
      </c>
      <c r="K810" t="s">
        <v>19</v>
      </c>
      <c r="L810" t="s">
        <v>20</v>
      </c>
      <c r="M810" t="s">
        <v>6237</v>
      </c>
      <c r="N810" t="s">
        <v>6238</v>
      </c>
      <c r="O810" t="s">
        <v>6250</v>
      </c>
      <c r="P810" t="s">
        <v>6251</v>
      </c>
    </row>
    <row r="811" spans="1:16" x14ac:dyDescent="0.35">
      <c r="A811" t="s">
        <v>6252</v>
      </c>
      <c r="B811" t="s">
        <v>55</v>
      </c>
      <c r="C811" t="s">
        <v>628</v>
      </c>
      <c r="D811" t="s">
        <v>374</v>
      </c>
      <c r="E811" t="s">
        <v>6253</v>
      </c>
      <c r="F811" t="s">
        <v>6254</v>
      </c>
      <c r="G811" t="s">
        <v>6212</v>
      </c>
      <c r="H811" t="s">
        <v>6212</v>
      </c>
      <c r="I811" t="s">
        <v>6255</v>
      </c>
      <c r="J811" t="s">
        <v>6256</v>
      </c>
      <c r="K811" t="s">
        <v>19</v>
      </c>
      <c r="L811" t="s">
        <v>20</v>
      </c>
      <c r="M811" t="s">
        <v>6213</v>
      </c>
      <c r="N811" t="s">
        <v>6214</v>
      </c>
      <c r="O811" t="s">
        <v>6257</v>
      </c>
      <c r="P811" t="s">
        <v>6258</v>
      </c>
    </row>
    <row r="812" spans="1:16" x14ac:dyDescent="0.35">
      <c r="A812" t="s">
        <v>6259</v>
      </c>
      <c r="B812" t="s">
        <v>32</v>
      </c>
      <c r="C812" t="s">
        <v>158</v>
      </c>
      <c r="D812" t="s">
        <v>700</v>
      </c>
      <c r="E812" t="s">
        <v>6260</v>
      </c>
      <c r="F812" t="s">
        <v>6261</v>
      </c>
      <c r="G812" t="s">
        <v>6212</v>
      </c>
      <c r="H812" t="s">
        <v>6212</v>
      </c>
      <c r="I812" t="s">
        <v>6262</v>
      </c>
      <c r="J812" t="s">
        <v>6244</v>
      </c>
      <c r="K812" t="s">
        <v>19</v>
      </c>
      <c r="L812" t="s">
        <v>20</v>
      </c>
      <c r="M812" t="s">
        <v>6213</v>
      </c>
      <c r="N812" t="s">
        <v>6214</v>
      </c>
      <c r="O812" t="s">
        <v>6263</v>
      </c>
      <c r="P812" t="s">
        <v>6264</v>
      </c>
    </row>
    <row r="813" spans="1:16" x14ac:dyDescent="0.35">
      <c r="A813" t="s">
        <v>3076</v>
      </c>
      <c r="B813" t="s">
        <v>55</v>
      </c>
      <c r="C813" t="s">
        <v>25</v>
      </c>
      <c r="D813" t="s">
        <v>16</v>
      </c>
      <c r="E813" t="s">
        <v>6265</v>
      </c>
      <c r="F813" t="s">
        <v>6266</v>
      </c>
      <c r="G813" t="s">
        <v>6212</v>
      </c>
      <c r="H813" t="s">
        <v>6212</v>
      </c>
      <c r="I813" t="s">
        <v>28</v>
      </c>
      <c r="J813" t="s">
        <v>6267</v>
      </c>
      <c r="K813" t="s">
        <v>19</v>
      </c>
      <c r="L813" t="s">
        <v>20</v>
      </c>
      <c r="M813" t="s">
        <v>6213</v>
      </c>
      <c r="N813" t="s">
        <v>6214</v>
      </c>
      <c r="O813" t="s">
        <v>6268</v>
      </c>
      <c r="P813" t="s">
        <v>6269</v>
      </c>
    </row>
    <row r="814" spans="1:16" x14ac:dyDescent="0.35">
      <c r="A814" t="s">
        <v>6271</v>
      </c>
      <c r="B814" t="s">
        <v>55</v>
      </c>
      <c r="C814" t="s">
        <v>448</v>
      </c>
      <c r="D814" t="s">
        <v>449</v>
      </c>
      <c r="E814" t="s">
        <v>6272</v>
      </c>
      <c r="F814" t="s">
        <v>6273</v>
      </c>
      <c r="G814" t="s">
        <v>6212</v>
      </c>
      <c r="H814" t="s">
        <v>6212</v>
      </c>
      <c r="I814" t="s">
        <v>28</v>
      </c>
      <c r="J814" t="s">
        <v>6244</v>
      </c>
      <c r="K814" t="s">
        <v>19</v>
      </c>
      <c r="L814" t="s">
        <v>20</v>
      </c>
      <c r="M814" t="s">
        <v>6274</v>
      </c>
      <c r="N814" t="s">
        <v>6275</v>
      </c>
      <c r="O814" t="s">
        <v>6276</v>
      </c>
      <c r="P814" t="s">
        <v>6277</v>
      </c>
    </row>
    <row r="815" spans="1:16" x14ac:dyDescent="0.35">
      <c r="A815" t="s">
        <v>6278</v>
      </c>
      <c r="B815" t="s">
        <v>55</v>
      </c>
      <c r="C815" t="s">
        <v>177</v>
      </c>
      <c r="D815" t="s">
        <v>79</v>
      </c>
      <c r="E815" t="s">
        <v>6279</v>
      </c>
      <c r="F815" t="s">
        <v>6280</v>
      </c>
      <c r="G815" t="s">
        <v>6212</v>
      </c>
      <c r="H815" t="s">
        <v>6212</v>
      </c>
      <c r="I815" t="s">
        <v>6281</v>
      </c>
      <c r="J815" t="s">
        <v>6244</v>
      </c>
      <c r="K815" t="s">
        <v>19</v>
      </c>
      <c r="L815" t="s">
        <v>20</v>
      </c>
      <c r="M815" t="s">
        <v>6274</v>
      </c>
      <c r="N815" t="s">
        <v>6275</v>
      </c>
      <c r="O815" t="s">
        <v>6282</v>
      </c>
      <c r="P815" t="s">
        <v>6283</v>
      </c>
    </row>
    <row r="816" spans="1:16" x14ac:dyDescent="0.35">
      <c r="A816" t="s">
        <v>6284</v>
      </c>
      <c r="B816" t="s">
        <v>88</v>
      </c>
      <c r="C816" t="s">
        <v>28</v>
      </c>
      <c r="D816" t="s">
        <v>28</v>
      </c>
      <c r="E816" t="s">
        <v>6285</v>
      </c>
      <c r="F816" t="s">
        <v>6286</v>
      </c>
      <c r="G816" t="s">
        <v>6212</v>
      </c>
      <c r="H816" t="s">
        <v>6212</v>
      </c>
      <c r="I816" t="s">
        <v>28</v>
      </c>
      <c r="J816" t="s">
        <v>6287</v>
      </c>
      <c r="K816" t="s">
        <v>19</v>
      </c>
      <c r="L816" t="s">
        <v>20</v>
      </c>
      <c r="M816" t="s">
        <v>6288</v>
      </c>
      <c r="N816" t="s">
        <v>6289</v>
      </c>
      <c r="O816" t="s">
        <v>6290</v>
      </c>
      <c r="P816" t="s">
        <v>6291</v>
      </c>
    </row>
    <row r="817" spans="1:16" x14ac:dyDescent="0.35">
      <c r="A817" t="s">
        <v>6292</v>
      </c>
      <c r="B817" t="s">
        <v>88</v>
      </c>
      <c r="C817" t="s">
        <v>28</v>
      </c>
      <c r="D817" t="s">
        <v>28</v>
      </c>
      <c r="E817" t="s">
        <v>6293</v>
      </c>
      <c r="F817" t="s">
        <v>6286</v>
      </c>
      <c r="G817" t="s">
        <v>6212</v>
      </c>
      <c r="H817" t="s">
        <v>6212</v>
      </c>
      <c r="I817" t="s">
        <v>1222</v>
      </c>
      <c r="J817" t="s">
        <v>6294</v>
      </c>
      <c r="K817" t="s">
        <v>19</v>
      </c>
      <c r="L817" t="s">
        <v>20</v>
      </c>
      <c r="M817" t="s">
        <v>6295</v>
      </c>
      <c r="N817" t="s">
        <v>6296</v>
      </c>
      <c r="O817" t="s">
        <v>6297</v>
      </c>
      <c r="P817" t="s">
        <v>6298</v>
      </c>
    </row>
    <row r="818" spans="1:16" x14ac:dyDescent="0.35">
      <c r="A818" t="s">
        <v>6299</v>
      </c>
      <c r="B818" t="s">
        <v>55</v>
      </c>
      <c r="C818" t="s">
        <v>158</v>
      </c>
      <c r="D818" t="s">
        <v>549</v>
      </c>
      <c r="E818" t="s">
        <v>6300</v>
      </c>
      <c r="F818" t="s">
        <v>6301</v>
      </c>
      <c r="G818" t="s">
        <v>6212</v>
      </c>
      <c r="H818" t="s">
        <v>6212</v>
      </c>
      <c r="I818" t="s">
        <v>6302</v>
      </c>
      <c r="J818" t="s">
        <v>6303</v>
      </c>
      <c r="K818" t="s">
        <v>6304</v>
      </c>
      <c r="L818" t="s">
        <v>20</v>
      </c>
      <c r="M818" t="s">
        <v>6295</v>
      </c>
      <c r="N818" t="s">
        <v>6296</v>
      </c>
      <c r="O818" t="s">
        <v>6305</v>
      </c>
      <c r="P818" t="s">
        <v>6306</v>
      </c>
    </row>
    <row r="819" spans="1:16" x14ac:dyDescent="0.35">
      <c r="A819" t="s">
        <v>6307</v>
      </c>
      <c r="B819" t="s">
        <v>55</v>
      </c>
      <c r="C819" t="s">
        <v>691</v>
      </c>
      <c r="D819" t="s">
        <v>124</v>
      </c>
      <c r="E819" t="s">
        <v>6308</v>
      </c>
      <c r="F819" t="s">
        <v>6309</v>
      </c>
      <c r="G819" t="s">
        <v>6212</v>
      </c>
      <c r="H819" t="s">
        <v>6212</v>
      </c>
      <c r="I819" t="s">
        <v>6310</v>
      </c>
      <c r="J819" t="s">
        <v>6311</v>
      </c>
      <c r="K819" t="s">
        <v>6312</v>
      </c>
      <c r="L819" t="s">
        <v>20</v>
      </c>
      <c r="M819" t="s">
        <v>6295</v>
      </c>
      <c r="N819" t="s">
        <v>6296</v>
      </c>
      <c r="O819" t="s">
        <v>6313</v>
      </c>
      <c r="P819" t="s">
        <v>6314</v>
      </c>
    </row>
    <row r="820" spans="1:16" x14ac:dyDescent="0.35">
      <c r="A820" t="s">
        <v>6315</v>
      </c>
      <c r="B820" t="s">
        <v>55</v>
      </c>
      <c r="C820" t="s">
        <v>96</v>
      </c>
      <c r="D820" t="s">
        <v>1683</v>
      </c>
      <c r="E820" t="s">
        <v>6316</v>
      </c>
      <c r="F820" t="s">
        <v>6317</v>
      </c>
      <c r="G820" t="s">
        <v>6212</v>
      </c>
      <c r="H820" t="s">
        <v>6212</v>
      </c>
      <c r="I820" t="s">
        <v>6318</v>
      </c>
      <c r="J820" t="s">
        <v>6319</v>
      </c>
      <c r="K820" t="s">
        <v>6320</v>
      </c>
      <c r="L820" t="s">
        <v>20</v>
      </c>
      <c r="M820" t="s">
        <v>6295</v>
      </c>
      <c r="N820" t="s">
        <v>6296</v>
      </c>
      <c r="O820" t="s">
        <v>6321</v>
      </c>
      <c r="P820" t="s">
        <v>6322</v>
      </c>
    </row>
    <row r="821" spans="1:16" x14ac:dyDescent="0.35">
      <c r="A821" t="s">
        <v>6326</v>
      </c>
      <c r="B821" t="s">
        <v>107</v>
      </c>
      <c r="C821" t="s">
        <v>691</v>
      </c>
      <c r="D821" t="s">
        <v>6327</v>
      </c>
      <c r="E821" t="s">
        <v>6328</v>
      </c>
      <c r="F821" t="s">
        <v>6329</v>
      </c>
      <c r="G821" t="s">
        <v>6212</v>
      </c>
      <c r="H821" t="s">
        <v>6212</v>
      </c>
      <c r="I821" t="s">
        <v>6330</v>
      </c>
      <c r="J821" t="s">
        <v>6331</v>
      </c>
      <c r="K821" t="s">
        <v>19</v>
      </c>
      <c r="L821" t="s">
        <v>20</v>
      </c>
      <c r="M821" t="s">
        <v>6324</v>
      </c>
      <c r="N821" t="s">
        <v>6325</v>
      </c>
      <c r="O821" t="s">
        <v>6332</v>
      </c>
      <c r="P821" t="s">
        <v>6333</v>
      </c>
    </row>
    <row r="822" spans="1:16" x14ac:dyDescent="0.35">
      <c r="A822" t="s">
        <v>6334</v>
      </c>
      <c r="B822" t="s">
        <v>55</v>
      </c>
      <c r="C822" t="s">
        <v>96</v>
      </c>
      <c r="D822" t="s">
        <v>268</v>
      </c>
      <c r="E822" t="s">
        <v>6335</v>
      </c>
      <c r="F822" t="s">
        <v>6336</v>
      </c>
      <c r="G822" t="s">
        <v>6212</v>
      </c>
      <c r="H822" t="s">
        <v>6212</v>
      </c>
      <c r="I822" t="s">
        <v>6337</v>
      </c>
      <c r="J822" t="s">
        <v>6338</v>
      </c>
      <c r="K822" t="s">
        <v>6339</v>
      </c>
      <c r="L822" t="s">
        <v>20</v>
      </c>
      <c r="M822" t="s">
        <v>6324</v>
      </c>
      <c r="N822" t="s">
        <v>6325</v>
      </c>
      <c r="O822" t="s">
        <v>6340</v>
      </c>
      <c r="P822" t="s">
        <v>6341</v>
      </c>
    </row>
    <row r="823" spans="1:16" x14ac:dyDescent="0.35">
      <c r="A823" t="s">
        <v>6344</v>
      </c>
      <c r="B823" t="s">
        <v>55</v>
      </c>
      <c r="C823" t="s">
        <v>205</v>
      </c>
      <c r="D823" t="s">
        <v>68</v>
      </c>
      <c r="E823" t="s">
        <v>6345</v>
      </c>
      <c r="F823" t="s">
        <v>6346</v>
      </c>
      <c r="G823" t="s">
        <v>6212</v>
      </c>
      <c r="H823" t="s">
        <v>6212</v>
      </c>
      <c r="I823" t="s">
        <v>28</v>
      </c>
      <c r="J823" t="s">
        <v>6347</v>
      </c>
      <c r="K823" t="s">
        <v>19</v>
      </c>
      <c r="L823" t="s">
        <v>20</v>
      </c>
      <c r="M823" t="s">
        <v>6342</v>
      </c>
      <c r="N823" t="s">
        <v>6343</v>
      </c>
      <c r="O823" t="s">
        <v>6348</v>
      </c>
      <c r="P823" t="s">
        <v>6349</v>
      </c>
    </row>
    <row r="824" spans="1:16" x14ac:dyDescent="0.35">
      <c r="A824" t="s">
        <v>6352</v>
      </c>
      <c r="B824" t="s">
        <v>32</v>
      </c>
      <c r="C824" t="s">
        <v>15</v>
      </c>
      <c r="D824" t="s">
        <v>68</v>
      </c>
      <c r="E824" t="s">
        <v>6353</v>
      </c>
      <c r="F824" t="s">
        <v>6354</v>
      </c>
      <c r="G824" t="s">
        <v>6212</v>
      </c>
      <c r="H824" t="s">
        <v>6212</v>
      </c>
      <c r="I824" t="s">
        <v>6235</v>
      </c>
      <c r="J824" t="s">
        <v>6355</v>
      </c>
      <c r="K824" t="s">
        <v>19</v>
      </c>
      <c r="L824" t="s">
        <v>20</v>
      </c>
      <c r="M824" t="s">
        <v>6350</v>
      </c>
      <c r="N824" t="s">
        <v>6351</v>
      </c>
      <c r="O824" t="s">
        <v>6356</v>
      </c>
      <c r="P824" t="s">
        <v>6357</v>
      </c>
    </row>
    <row r="825" spans="1:16" x14ac:dyDescent="0.35">
      <c r="A825" t="s">
        <v>6358</v>
      </c>
      <c r="B825" t="s">
        <v>55</v>
      </c>
      <c r="C825" t="s">
        <v>699</v>
      </c>
      <c r="D825" t="s">
        <v>6359</v>
      </c>
      <c r="E825" t="s">
        <v>6360</v>
      </c>
      <c r="F825" t="s">
        <v>6361</v>
      </c>
      <c r="G825" t="s">
        <v>6212</v>
      </c>
      <c r="H825" t="s">
        <v>6212</v>
      </c>
      <c r="I825" t="s">
        <v>6362</v>
      </c>
      <c r="J825" t="s">
        <v>6363</v>
      </c>
      <c r="K825" t="s">
        <v>6364</v>
      </c>
      <c r="L825" t="s">
        <v>20</v>
      </c>
      <c r="M825" t="s">
        <v>6350</v>
      </c>
      <c r="N825" t="s">
        <v>6351</v>
      </c>
      <c r="O825" t="s">
        <v>6365</v>
      </c>
      <c r="P825" t="s">
        <v>6366</v>
      </c>
    </row>
    <row r="826" spans="1:16" x14ac:dyDescent="0.35">
      <c r="A826" t="s">
        <v>6367</v>
      </c>
      <c r="B826" t="s">
        <v>55</v>
      </c>
      <c r="C826" t="s">
        <v>15</v>
      </c>
      <c r="D826" t="s">
        <v>124</v>
      </c>
      <c r="E826" t="s">
        <v>6368</v>
      </c>
      <c r="F826" t="s">
        <v>6369</v>
      </c>
      <c r="G826" t="s">
        <v>6212</v>
      </c>
      <c r="H826" t="s">
        <v>6212</v>
      </c>
      <c r="I826" t="s">
        <v>6370</v>
      </c>
      <c r="J826" t="s">
        <v>6371</v>
      </c>
      <c r="K826" t="s">
        <v>6372</v>
      </c>
      <c r="L826" t="s">
        <v>20</v>
      </c>
      <c r="M826" t="s">
        <v>6350</v>
      </c>
      <c r="N826" t="s">
        <v>6351</v>
      </c>
      <c r="O826" t="s">
        <v>6373</v>
      </c>
      <c r="P826" t="s">
        <v>6374</v>
      </c>
    </row>
    <row r="827" spans="1:16" x14ac:dyDescent="0.35">
      <c r="A827" t="s">
        <v>6375</v>
      </c>
      <c r="B827" t="s">
        <v>55</v>
      </c>
      <c r="C827" t="s">
        <v>78</v>
      </c>
      <c r="D827" t="s">
        <v>141</v>
      </c>
      <c r="E827" t="s">
        <v>6376</v>
      </c>
      <c r="F827" t="s">
        <v>6377</v>
      </c>
      <c r="G827" t="s">
        <v>6212</v>
      </c>
      <c r="H827" t="s">
        <v>6212</v>
      </c>
      <c r="I827" t="s">
        <v>6378</v>
      </c>
      <c r="J827" t="s">
        <v>6379</v>
      </c>
      <c r="K827" t="s">
        <v>19</v>
      </c>
      <c r="L827" t="s">
        <v>20</v>
      </c>
      <c r="M827" t="s">
        <v>6213</v>
      </c>
      <c r="N827" t="s">
        <v>6214</v>
      </c>
      <c r="O827" t="s">
        <v>6380</v>
      </c>
      <c r="P827" t="s">
        <v>6381</v>
      </c>
    </row>
    <row r="828" spans="1:16" x14ac:dyDescent="0.35">
      <c r="A828" t="s">
        <v>6382</v>
      </c>
      <c r="B828" t="s">
        <v>55</v>
      </c>
      <c r="C828" t="s">
        <v>691</v>
      </c>
      <c r="D828" t="s">
        <v>3432</v>
      </c>
      <c r="E828" t="s">
        <v>6383</v>
      </c>
      <c r="F828" t="s">
        <v>6384</v>
      </c>
      <c r="G828" t="s">
        <v>6212</v>
      </c>
      <c r="H828" t="s">
        <v>6212</v>
      </c>
      <c r="I828" t="s">
        <v>6362</v>
      </c>
      <c r="J828" t="s">
        <v>6385</v>
      </c>
      <c r="K828" t="s">
        <v>6364</v>
      </c>
      <c r="L828" t="s">
        <v>20</v>
      </c>
      <c r="M828" t="s">
        <v>6213</v>
      </c>
      <c r="N828" t="s">
        <v>6214</v>
      </c>
      <c r="O828" t="s">
        <v>6386</v>
      </c>
      <c r="P828" t="s">
        <v>6387</v>
      </c>
    </row>
    <row r="829" spans="1:16" x14ac:dyDescent="0.35">
      <c r="A829" t="s">
        <v>6388</v>
      </c>
      <c r="B829" t="s">
        <v>32</v>
      </c>
      <c r="C829" t="s">
        <v>699</v>
      </c>
      <c r="D829" t="s">
        <v>141</v>
      </c>
      <c r="E829" t="s">
        <v>6389</v>
      </c>
      <c r="F829" t="s">
        <v>6390</v>
      </c>
      <c r="G829" t="s">
        <v>6212</v>
      </c>
      <c r="H829" t="s">
        <v>6212</v>
      </c>
      <c r="I829" t="s">
        <v>28</v>
      </c>
      <c r="J829" t="s">
        <v>6391</v>
      </c>
      <c r="K829" t="s">
        <v>19</v>
      </c>
      <c r="L829" t="s">
        <v>20</v>
      </c>
      <c r="M829" t="s">
        <v>6213</v>
      </c>
      <c r="N829" t="s">
        <v>6214</v>
      </c>
      <c r="O829" t="s">
        <v>6392</v>
      </c>
      <c r="P829" t="s">
        <v>6393</v>
      </c>
    </row>
    <row r="830" spans="1:16" x14ac:dyDescent="0.35">
      <c r="A830" t="s">
        <v>6394</v>
      </c>
      <c r="B830" t="s">
        <v>55</v>
      </c>
      <c r="C830" t="s">
        <v>25</v>
      </c>
      <c r="D830" t="s">
        <v>16</v>
      </c>
      <c r="E830" t="s">
        <v>6395</v>
      </c>
      <c r="F830" t="s">
        <v>6396</v>
      </c>
      <c r="G830" t="s">
        <v>6212</v>
      </c>
      <c r="H830" t="s">
        <v>6212</v>
      </c>
      <c r="I830" t="s">
        <v>28</v>
      </c>
      <c r="J830" t="s">
        <v>503</v>
      </c>
      <c r="K830" t="s">
        <v>19</v>
      </c>
      <c r="L830" t="s">
        <v>20</v>
      </c>
      <c r="M830" t="s">
        <v>6213</v>
      </c>
      <c r="N830" t="s">
        <v>6214</v>
      </c>
      <c r="O830" t="s">
        <v>6397</v>
      </c>
      <c r="P830" t="s">
        <v>6398</v>
      </c>
    </row>
    <row r="831" spans="1:16" x14ac:dyDescent="0.35">
      <c r="A831" t="s">
        <v>6399</v>
      </c>
      <c r="B831" t="s">
        <v>55</v>
      </c>
      <c r="C831" t="s">
        <v>158</v>
      </c>
      <c r="D831" t="s">
        <v>3432</v>
      </c>
      <c r="E831" t="s">
        <v>6400</v>
      </c>
      <c r="F831" t="s">
        <v>6401</v>
      </c>
      <c r="G831" t="s">
        <v>6212</v>
      </c>
      <c r="H831" t="s">
        <v>6212</v>
      </c>
      <c r="I831" t="s">
        <v>6402</v>
      </c>
      <c r="J831" t="s">
        <v>6403</v>
      </c>
      <c r="K831" t="s">
        <v>6404</v>
      </c>
      <c r="L831" t="s">
        <v>20</v>
      </c>
      <c r="M831" t="s">
        <v>6405</v>
      </c>
      <c r="N831" t="s">
        <v>6406</v>
      </c>
      <c r="O831" t="s">
        <v>6407</v>
      </c>
      <c r="P831" t="s">
        <v>6408</v>
      </c>
    </row>
    <row r="832" spans="1:16" x14ac:dyDescent="0.35">
      <c r="A832" t="s">
        <v>6409</v>
      </c>
      <c r="B832" t="s">
        <v>55</v>
      </c>
      <c r="C832" t="s">
        <v>26</v>
      </c>
      <c r="D832" t="s">
        <v>774</v>
      </c>
      <c r="E832" t="s">
        <v>6410</v>
      </c>
      <c r="F832" t="s">
        <v>6411</v>
      </c>
      <c r="G832" t="s">
        <v>6212</v>
      </c>
      <c r="H832" t="s">
        <v>6212</v>
      </c>
      <c r="I832" t="s">
        <v>2253</v>
      </c>
      <c r="J832" t="s">
        <v>6412</v>
      </c>
      <c r="K832" t="s">
        <v>2255</v>
      </c>
      <c r="L832" t="s">
        <v>20</v>
      </c>
      <c r="M832" t="s">
        <v>6405</v>
      </c>
      <c r="N832" t="s">
        <v>6406</v>
      </c>
      <c r="O832" t="s">
        <v>6413</v>
      </c>
      <c r="P832" t="s">
        <v>6414</v>
      </c>
    </row>
    <row r="833" spans="1:16" x14ac:dyDescent="0.35">
      <c r="A833" t="s">
        <v>6415</v>
      </c>
      <c r="B833" t="s">
        <v>55</v>
      </c>
      <c r="C833" t="s">
        <v>205</v>
      </c>
      <c r="D833" t="s">
        <v>304</v>
      </c>
      <c r="E833" t="s">
        <v>6416</v>
      </c>
      <c r="F833" t="s">
        <v>6417</v>
      </c>
      <c r="G833" t="s">
        <v>6212</v>
      </c>
      <c r="H833" t="s">
        <v>6212</v>
      </c>
      <c r="I833" t="s">
        <v>28</v>
      </c>
      <c r="J833" t="s">
        <v>6244</v>
      </c>
      <c r="K833" t="s">
        <v>19</v>
      </c>
      <c r="L833" t="s">
        <v>20</v>
      </c>
      <c r="M833" t="s">
        <v>6213</v>
      </c>
      <c r="N833" t="s">
        <v>6214</v>
      </c>
      <c r="O833" t="s">
        <v>6418</v>
      </c>
      <c r="P833" t="s">
        <v>6419</v>
      </c>
    </row>
    <row r="834" spans="1:16" x14ac:dyDescent="0.35">
      <c r="A834" t="s">
        <v>6420</v>
      </c>
      <c r="B834" t="s">
        <v>55</v>
      </c>
      <c r="C834" t="s">
        <v>28</v>
      </c>
      <c r="D834" t="s">
        <v>28</v>
      </c>
      <c r="E834" t="s">
        <v>6421</v>
      </c>
      <c r="F834" t="s">
        <v>6422</v>
      </c>
      <c r="G834" t="s">
        <v>6212</v>
      </c>
      <c r="H834" t="s">
        <v>6212</v>
      </c>
      <c r="I834" t="s">
        <v>6310</v>
      </c>
      <c r="J834" t="s">
        <v>6311</v>
      </c>
      <c r="K834" t="s">
        <v>6312</v>
      </c>
      <c r="L834" t="s">
        <v>20</v>
      </c>
      <c r="M834" t="s">
        <v>6423</v>
      </c>
      <c r="N834" t="s">
        <v>6424</v>
      </c>
      <c r="O834" t="s">
        <v>6425</v>
      </c>
      <c r="P834" t="s">
        <v>6426</v>
      </c>
    </row>
    <row r="835" spans="1:16" x14ac:dyDescent="0.35">
      <c r="A835" t="s">
        <v>6427</v>
      </c>
      <c r="B835" t="s">
        <v>55</v>
      </c>
      <c r="C835" t="s">
        <v>117</v>
      </c>
      <c r="D835" t="s">
        <v>68</v>
      </c>
      <c r="E835" t="s">
        <v>6428</v>
      </c>
      <c r="F835" t="s">
        <v>6429</v>
      </c>
      <c r="G835" t="s">
        <v>6212</v>
      </c>
      <c r="H835" t="s">
        <v>6212</v>
      </c>
      <c r="I835" t="s">
        <v>28</v>
      </c>
      <c r="J835" t="s">
        <v>28</v>
      </c>
      <c r="K835" t="s">
        <v>19</v>
      </c>
      <c r="L835" t="s">
        <v>20</v>
      </c>
      <c r="M835" t="s">
        <v>6430</v>
      </c>
      <c r="N835" t="s">
        <v>6431</v>
      </c>
      <c r="O835" t="s">
        <v>6432</v>
      </c>
      <c r="P835" t="s">
        <v>6433</v>
      </c>
    </row>
    <row r="836" spans="1:16" x14ac:dyDescent="0.35">
      <c r="A836" t="s">
        <v>6434</v>
      </c>
      <c r="B836" t="s">
        <v>373</v>
      </c>
      <c r="C836" t="s">
        <v>357</v>
      </c>
      <c r="D836" t="s">
        <v>1643</v>
      </c>
      <c r="E836" t="s">
        <v>6435</v>
      </c>
      <c r="F836" t="s">
        <v>6436</v>
      </c>
      <c r="G836" t="s">
        <v>6212</v>
      </c>
      <c r="H836" t="s">
        <v>6212</v>
      </c>
      <c r="I836" t="s">
        <v>28</v>
      </c>
      <c r="J836" t="s">
        <v>28</v>
      </c>
      <c r="K836" t="s">
        <v>19</v>
      </c>
      <c r="L836" t="s">
        <v>20</v>
      </c>
      <c r="M836" t="s">
        <v>6430</v>
      </c>
      <c r="N836" t="s">
        <v>6431</v>
      </c>
      <c r="O836" t="s">
        <v>6437</v>
      </c>
      <c r="P836" t="s">
        <v>6438</v>
      </c>
    </row>
    <row r="837" spans="1:16" x14ac:dyDescent="0.35">
      <c r="A837" t="s">
        <v>6439</v>
      </c>
      <c r="B837" t="s">
        <v>55</v>
      </c>
      <c r="C837" t="s">
        <v>96</v>
      </c>
      <c r="D837" t="s">
        <v>141</v>
      </c>
      <c r="E837" t="s">
        <v>6440</v>
      </c>
      <c r="F837" t="s">
        <v>6441</v>
      </c>
      <c r="G837" t="s">
        <v>6442</v>
      </c>
      <c r="H837" t="s">
        <v>6212</v>
      </c>
      <c r="I837" t="s">
        <v>6443</v>
      </c>
      <c r="J837" t="s">
        <v>6444</v>
      </c>
      <c r="K837" t="s">
        <v>19</v>
      </c>
      <c r="L837" t="s">
        <v>20</v>
      </c>
      <c r="M837" t="s">
        <v>6445</v>
      </c>
      <c r="N837" t="s">
        <v>6446</v>
      </c>
      <c r="O837" t="s">
        <v>6447</v>
      </c>
      <c r="P837" t="s">
        <v>6448</v>
      </c>
    </row>
    <row r="838" spans="1:16" x14ac:dyDescent="0.35">
      <c r="A838" t="s">
        <v>538</v>
      </c>
      <c r="B838" t="s">
        <v>55</v>
      </c>
      <c r="C838" t="s">
        <v>15</v>
      </c>
      <c r="D838" t="s">
        <v>374</v>
      </c>
      <c r="E838" t="s">
        <v>6449</v>
      </c>
      <c r="F838" t="s">
        <v>6450</v>
      </c>
      <c r="G838" t="s">
        <v>6270</v>
      </c>
      <c r="H838" t="s">
        <v>6212</v>
      </c>
      <c r="I838" t="s">
        <v>82</v>
      </c>
      <c r="J838" t="s">
        <v>6451</v>
      </c>
      <c r="K838" t="s">
        <v>84</v>
      </c>
      <c r="L838" t="s">
        <v>20</v>
      </c>
      <c r="M838" t="s">
        <v>6452</v>
      </c>
      <c r="N838" t="s">
        <v>6453</v>
      </c>
      <c r="O838" t="s">
        <v>6454</v>
      </c>
      <c r="P838" t="s">
        <v>6455</v>
      </c>
    </row>
    <row r="839" spans="1:16" x14ac:dyDescent="0.35">
      <c r="A839" t="s">
        <v>6456</v>
      </c>
      <c r="B839" t="s">
        <v>55</v>
      </c>
      <c r="C839" t="s">
        <v>96</v>
      </c>
      <c r="D839" t="s">
        <v>475</v>
      </c>
      <c r="E839" t="s">
        <v>6457</v>
      </c>
      <c r="F839" t="s">
        <v>6458</v>
      </c>
      <c r="G839" t="s">
        <v>6270</v>
      </c>
      <c r="H839" t="s">
        <v>6212</v>
      </c>
      <c r="I839" t="s">
        <v>6443</v>
      </c>
      <c r="J839" t="s">
        <v>6459</v>
      </c>
      <c r="K839" t="s">
        <v>19</v>
      </c>
      <c r="L839" t="s">
        <v>20</v>
      </c>
      <c r="M839" t="s">
        <v>6452</v>
      </c>
      <c r="N839" t="s">
        <v>6453</v>
      </c>
      <c r="O839" t="s">
        <v>6460</v>
      </c>
      <c r="P839" t="s">
        <v>6461</v>
      </c>
    </row>
    <row r="840" spans="1:16" x14ac:dyDescent="0.35">
      <c r="A840" t="s">
        <v>538</v>
      </c>
      <c r="B840" t="s">
        <v>107</v>
      </c>
      <c r="C840" t="s">
        <v>28</v>
      </c>
      <c r="D840" t="s">
        <v>28</v>
      </c>
      <c r="E840" t="s">
        <v>6462</v>
      </c>
      <c r="F840" t="s">
        <v>6463</v>
      </c>
      <c r="G840" t="s">
        <v>6212</v>
      </c>
      <c r="H840" t="s">
        <v>6212</v>
      </c>
      <c r="I840" t="s">
        <v>82</v>
      </c>
      <c r="J840" t="s">
        <v>28</v>
      </c>
      <c r="K840" t="s">
        <v>84</v>
      </c>
      <c r="L840" t="s">
        <v>20</v>
      </c>
      <c r="M840" t="s">
        <v>6464</v>
      </c>
      <c r="N840" t="s">
        <v>6465</v>
      </c>
      <c r="O840" t="s">
        <v>6466</v>
      </c>
      <c r="P840" t="s">
        <v>915</v>
      </c>
    </row>
    <row r="841" spans="1:16" x14ac:dyDescent="0.35">
      <c r="A841" t="s">
        <v>6467</v>
      </c>
      <c r="B841" t="s">
        <v>55</v>
      </c>
      <c r="C841" t="s">
        <v>158</v>
      </c>
      <c r="D841" t="s">
        <v>24</v>
      </c>
      <c r="E841" t="s">
        <v>6468</v>
      </c>
      <c r="F841" t="s">
        <v>6469</v>
      </c>
      <c r="G841" t="s">
        <v>6470</v>
      </c>
      <c r="H841" t="s">
        <v>6212</v>
      </c>
      <c r="I841" t="s">
        <v>6471</v>
      </c>
      <c r="J841" t="s">
        <v>6472</v>
      </c>
      <c r="K841" t="s">
        <v>19</v>
      </c>
      <c r="L841" t="s">
        <v>20</v>
      </c>
      <c r="M841" t="s">
        <v>6473</v>
      </c>
      <c r="N841" t="s">
        <v>6474</v>
      </c>
      <c r="O841" t="s">
        <v>6475</v>
      </c>
      <c r="P841" t="s">
        <v>6476</v>
      </c>
    </row>
    <row r="842" spans="1:16" x14ac:dyDescent="0.35">
      <c r="A842" t="s">
        <v>6427</v>
      </c>
      <c r="B842" t="s">
        <v>55</v>
      </c>
      <c r="C842" t="s">
        <v>28</v>
      </c>
      <c r="D842" t="s">
        <v>28</v>
      </c>
      <c r="E842" t="s">
        <v>6477</v>
      </c>
      <c r="F842" t="s">
        <v>6478</v>
      </c>
      <c r="G842" t="s">
        <v>6479</v>
      </c>
      <c r="H842" t="s">
        <v>6212</v>
      </c>
      <c r="I842" t="s">
        <v>28</v>
      </c>
      <c r="J842" t="s">
        <v>28</v>
      </c>
      <c r="K842" t="s">
        <v>19</v>
      </c>
      <c r="L842" t="s">
        <v>20</v>
      </c>
      <c r="M842" t="s">
        <v>6480</v>
      </c>
      <c r="N842" t="s">
        <v>6481</v>
      </c>
      <c r="O842" t="s">
        <v>6482</v>
      </c>
      <c r="P842" t="s">
        <v>6483</v>
      </c>
    </row>
    <row r="843" spans="1:16" x14ac:dyDescent="0.35">
      <c r="A843" t="s">
        <v>2159</v>
      </c>
      <c r="B843" t="s">
        <v>55</v>
      </c>
      <c r="C843" t="s">
        <v>158</v>
      </c>
      <c r="D843" t="s">
        <v>1328</v>
      </c>
      <c r="E843" t="s">
        <v>6484</v>
      </c>
      <c r="F843" t="s">
        <v>6485</v>
      </c>
      <c r="G843" t="s">
        <v>6442</v>
      </c>
      <c r="H843" t="s">
        <v>6212</v>
      </c>
      <c r="I843" t="s">
        <v>28</v>
      </c>
      <c r="J843" t="s">
        <v>6486</v>
      </c>
      <c r="K843" t="s">
        <v>19</v>
      </c>
      <c r="L843" t="s">
        <v>20</v>
      </c>
      <c r="M843" t="s">
        <v>6487</v>
      </c>
      <c r="N843" t="s">
        <v>6488</v>
      </c>
      <c r="O843" t="s">
        <v>6489</v>
      </c>
      <c r="P843" t="s">
        <v>6490</v>
      </c>
    </row>
    <row r="844" spans="1:16" x14ac:dyDescent="0.35">
      <c r="A844" t="s">
        <v>6491</v>
      </c>
      <c r="B844" t="s">
        <v>55</v>
      </c>
      <c r="C844" t="s">
        <v>699</v>
      </c>
      <c r="D844" t="s">
        <v>304</v>
      </c>
      <c r="E844" t="s">
        <v>6492</v>
      </c>
      <c r="F844" t="s">
        <v>6493</v>
      </c>
      <c r="G844" t="s">
        <v>6494</v>
      </c>
      <c r="H844" t="s">
        <v>6212</v>
      </c>
      <c r="I844" t="s">
        <v>82</v>
      </c>
      <c r="J844" t="s">
        <v>6495</v>
      </c>
      <c r="K844" t="s">
        <v>84</v>
      </c>
      <c r="L844" t="s">
        <v>20</v>
      </c>
      <c r="M844" t="s">
        <v>6496</v>
      </c>
      <c r="N844" t="s">
        <v>6497</v>
      </c>
      <c r="O844" t="s">
        <v>6498</v>
      </c>
      <c r="P844" t="s">
        <v>6499</v>
      </c>
    </row>
    <row r="845" spans="1:16" x14ac:dyDescent="0.35">
      <c r="A845" t="s">
        <v>6500</v>
      </c>
      <c r="B845" t="s">
        <v>55</v>
      </c>
      <c r="C845" t="s">
        <v>28</v>
      </c>
      <c r="D845" t="s">
        <v>28</v>
      </c>
      <c r="E845" t="s">
        <v>6501</v>
      </c>
      <c r="F845" t="s">
        <v>6502</v>
      </c>
      <c r="G845" t="s">
        <v>6470</v>
      </c>
      <c r="H845" t="s">
        <v>6212</v>
      </c>
      <c r="I845" t="s">
        <v>28</v>
      </c>
      <c r="J845" t="s">
        <v>6503</v>
      </c>
      <c r="K845" t="s">
        <v>19</v>
      </c>
      <c r="L845" t="s">
        <v>20</v>
      </c>
      <c r="M845" t="s">
        <v>6504</v>
      </c>
      <c r="N845" t="s">
        <v>6505</v>
      </c>
      <c r="O845" t="s">
        <v>6506</v>
      </c>
      <c r="P845" t="s">
        <v>6507</v>
      </c>
    </row>
    <row r="846" spans="1:16" x14ac:dyDescent="0.35">
      <c r="A846" t="s">
        <v>2159</v>
      </c>
      <c r="B846" t="s">
        <v>55</v>
      </c>
      <c r="C846" t="s">
        <v>691</v>
      </c>
      <c r="D846" t="s">
        <v>374</v>
      </c>
      <c r="E846" t="s">
        <v>6508</v>
      </c>
      <c r="F846" t="s">
        <v>6509</v>
      </c>
      <c r="G846" t="s">
        <v>6510</v>
      </c>
      <c r="H846" t="s">
        <v>6212</v>
      </c>
      <c r="I846" t="s">
        <v>82</v>
      </c>
      <c r="J846" t="s">
        <v>6511</v>
      </c>
      <c r="K846" t="s">
        <v>84</v>
      </c>
      <c r="L846" t="s">
        <v>20</v>
      </c>
      <c r="M846" t="s">
        <v>6512</v>
      </c>
      <c r="N846" t="s">
        <v>6513</v>
      </c>
      <c r="O846" t="s">
        <v>6514</v>
      </c>
      <c r="P846" t="s">
        <v>6515</v>
      </c>
    </row>
    <row r="847" spans="1:16" x14ac:dyDescent="0.35">
      <c r="A847" t="s">
        <v>6516</v>
      </c>
      <c r="B847" t="s">
        <v>55</v>
      </c>
      <c r="C847" t="s">
        <v>21</v>
      </c>
      <c r="D847" t="s">
        <v>953</v>
      </c>
      <c r="E847" t="s">
        <v>6517</v>
      </c>
      <c r="F847" t="s">
        <v>6518</v>
      </c>
      <c r="G847" t="s">
        <v>6519</v>
      </c>
      <c r="H847" t="s">
        <v>6212</v>
      </c>
      <c r="I847" t="s">
        <v>6520</v>
      </c>
      <c r="J847" t="s">
        <v>6521</v>
      </c>
      <c r="K847" t="s">
        <v>6522</v>
      </c>
      <c r="L847" t="s">
        <v>20</v>
      </c>
      <c r="M847" t="s">
        <v>6523</v>
      </c>
      <c r="N847" t="s">
        <v>6524</v>
      </c>
      <c r="O847" t="s">
        <v>6525</v>
      </c>
      <c r="P847" t="s">
        <v>6526</v>
      </c>
    </row>
    <row r="848" spans="1:16" x14ac:dyDescent="0.35">
      <c r="A848" t="s">
        <v>6527</v>
      </c>
      <c r="B848" t="s">
        <v>107</v>
      </c>
      <c r="C848" t="s">
        <v>691</v>
      </c>
      <c r="D848" t="s">
        <v>27</v>
      </c>
      <c r="E848" t="s">
        <v>6528</v>
      </c>
      <c r="F848" t="s">
        <v>6529</v>
      </c>
      <c r="G848" t="s">
        <v>6530</v>
      </c>
      <c r="H848" t="s">
        <v>6212</v>
      </c>
      <c r="I848" t="s">
        <v>28</v>
      </c>
      <c r="J848" t="s">
        <v>6531</v>
      </c>
      <c r="K848" t="s">
        <v>19</v>
      </c>
      <c r="L848" t="s">
        <v>20</v>
      </c>
      <c r="M848" t="s">
        <v>6532</v>
      </c>
      <c r="N848" t="s">
        <v>6533</v>
      </c>
      <c r="O848" t="s">
        <v>6534</v>
      </c>
      <c r="P848" t="s">
        <v>6535</v>
      </c>
    </row>
    <row r="849" spans="1:16" x14ac:dyDescent="0.35">
      <c r="A849" t="s">
        <v>6427</v>
      </c>
      <c r="B849" t="s">
        <v>55</v>
      </c>
      <c r="C849" t="s">
        <v>26</v>
      </c>
      <c r="D849" t="s">
        <v>1328</v>
      </c>
      <c r="E849" t="s">
        <v>6536</v>
      </c>
      <c r="F849" t="s">
        <v>6537</v>
      </c>
      <c r="G849" t="s">
        <v>6538</v>
      </c>
      <c r="H849" t="s">
        <v>6212</v>
      </c>
      <c r="I849" t="s">
        <v>162</v>
      </c>
      <c r="J849" t="s">
        <v>6539</v>
      </c>
      <c r="K849" t="s">
        <v>164</v>
      </c>
      <c r="L849" t="s">
        <v>20</v>
      </c>
      <c r="M849" t="s">
        <v>6540</v>
      </c>
      <c r="N849" t="s">
        <v>6541</v>
      </c>
      <c r="O849" t="s">
        <v>6542</v>
      </c>
      <c r="P849" t="s">
        <v>6543</v>
      </c>
    </row>
    <row r="850" spans="1:16" x14ac:dyDescent="0.35">
      <c r="A850" t="s">
        <v>6544</v>
      </c>
      <c r="B850" t="s">
        <v>55</v>
      </c>
      <c r="C850" t="s">
        <v>28</v>
      </c>
      <c r="D850" t="s">
        <v>28</v>
      </c>
      <c r="E850" t="s">
        <v>6545</v>
      </c>
      <c r="F850" t="s">
        <v>6546</v>
      </c>
      <c r="G850" t="s">
        <v>6547</v>
      </c>
      <c r="H850" t="s">
        <v>6212</v>
      </c>
      <c r="I850" t="s">
        <v>6548</v>
      </c>
      <c r="J850" t="s">
        <v>6549</v>
      </c>
      <c r="K850" t="s">
        <v>6550</v>
      </c>
      <c r="L850" t="s">
        <v>20</v>
      </c>
      <c r="M850" t="s">
        <v>6551</v>
      </c>
      <c r="N850" t="s">
        <v>6552</v>
      </c>
      <c r="O850" t="s">
        <v>6553</v>
      </c>
      <c r="P850" t="s">
        <v>6554</v>
      </c>
    </row>
    <row r="851" spans="1:16" x14ac:dyDescent="0.35">
      <c r="A851" t="s">
        <v>4227</v>
      </c>
      <c r="B851" t="s">
        <v>55</v>
      </c>
      <c r="C851" t="s">
        <v>357</v>
      </c>
      <c r="D851" t="s">
        <v>374</v>
      </c>
      <c r="E851" t="s">
        <v>6555</v>
      </c>
      <c r="F851" t="s">
        <v>6556</v>
      </c>
      <c r="G851" t="s">
        <v>6557</v>
      </c>
      <c r="H851" t="s">
        <v>6212</v>
      </c>
      <c r="I851" t="s">
        <v>82</v>
      </c>
      <c r="J851" t="s">
        <v>6558</v>
      </c>
      <c r="K851" t="s">
        <v>84</v>
      </c>
      <c r="L851" t="s">
        <v>20</v>
      </c>
      <c r="M851" t="s">
        <v>6559</v>
      </c>
      <c r="N851" t="s">
        <v>6560</v>
      </c>
      <c r="O851" t="s">
        <v>6561</v>
      </c>
      <c r="P851" t="s">
        <v>6562</v>
      </c>
    </row>
    <row r="852" spans="1:16" x14ac:dyDescent="0.35">
      <c r="A852" t="s">
        <v>538</v>
      </c>
      <c r="B852" t="s">
        <v>55</v>
      </c>
      <c r="C852" t="s">
        <v>78</v>
      </c>
      <c r="D852" t="s">
        <v>268</v>
      </c>
      <c r="E852" t="s">
        <v>6563</v>
      </c>
      <c r="F852" t="s">
        <v>6564</v>
      </c>
      <c r="G852" t="s">
        <v>6565</v>
      </c>
      <c r="H852" t="s">
        <v>6212</v>
      </c>
      <c r="I852" t="s">
        <v>82</v>
      </c>
      <c r="J852" t="s">
        <v>6566</v>
      </c>
      <c r="K852" t="s">
        <v>84</v>
      </c>
      <c r="L852" t="s">
        <v>20</v>
      </c>
      <c r="M852" t="s">
        <v>6567</v>
      </c>
      <c r="N852" t="s">
        <v>6568</v>
      </c>
      <c r="O852" t="s">
        <v>6569</v>
      </c>
      <c r="P852" t="s">
        <v>6570</v>
      </c>
    </row>
    <row r="853" spans="1:16" x14ac:dyDescent="0.35">
      <c r="A853" t="s">
        <v>6571</v>
      </c>
      <c r="B853" t="s">
        <v>107</v>
      </c>
      <c r="C853" t="s">
        <v>158</v>
      </c>
      <c r="D853" t="s">
        <v>953</v>
      </c>
      <c r="E853" t="s">
        <v>6572</v>
      </c>
      <c r="F853" t="s">
        <v>6573</v>
      </c>
      <c r="G853" t="s">
        <v>6565</v>
      </c>
      <c r="H853" t="s">
        <v>6212</v>
      </c>
      <c r="I853" t="s">
        <v>596</v>
      </c>
      <c r="J853" t="s">
        <v>6574</v>
      </c>
      <c r="K853" t="s">
        <v>598</v>
      </c>
      <c r="L853" t="s">
        <v>20</v>
      </c>
      <c r="M853" t="s">
        <v>6575</v>
      </c>
      <c r="N853" t="s">
        <v>6576</v>
      </c>
      <c r="O853" t="s">
        <v>6577</v>
      </c>
      <c r="P853" t="s">
        <v>6578</v>
      </c>
    </row>
    <row r="854" spans="1:16" x14ac:dyDescent="0.35">
      <c r="A854" t="s">
        <v>6581</v>
      </c>
      <c r="B854" t="s">
        <v>55</v>
      </c>
      <c r="C854" t="s">
        <v>177</v>
      </c>
      <c r="D854" t="s">
        <v>614</v>
      </c>
      <c r="E854" t="s">
        <v>6582</v>
      </c>
      <c r="F854" t="s">
        <v>6583</v>
      </c>
      <c r="G854" t="s">
        <v>6579</v>
      </c>
      <c r="H854" t="s">
        <v>6580</v>
      </c>
      <c r="I854" t="s">
        <v>6584</v>
      </c>
      <c r="J854" t="s">
        <v>6585</v>
      </c>
      <c r="K854" t="s">
        <v>19</v>
      </c>
      <c r="L854" t="s">
        <v>20</v>
      </c>
      <c r="M854" t="s">
        <v>6586</v>
      </c>
      <c r="N854" t="s">
        <v>6587</v>
      </c>
      <c r="O854" t="s">
        <v>6588</v>
      </c>
      <c r="P854" t="s">
        <v>6589</v>
      </c>
    </row>
    <row r="855" spans="1:16" x14ac:dyDescent="0.35">
      <c r="A855" t="s">
        <v>6590</v>
      </c>
      <c r="B855" t="s">
        <v>55</v>
      </c>
      <c r="C855" t="s">
        <v>474</v>
      </c>
      <c r="D855" t="s">
        <v>185</v>
      </c>
      <c r="E855" t="s">
        <v>6591</v>
      </c>
      <c r="F855" t="s">
        <v>6592</v>
      </c>
      <c r="G855" t="s">
        <v>6593</v>
      </c>
      <c r="H855" t="s">
        <v>6580</v>
      </c>
      <c r="I855" t="s">
        <v>6594</v>
      </c>
      <c r="J855" t="s">
        <v>6595</v>
      </c>
      <c r="K855" t="s">
        <v>6596</v>
      </c>
      <c r="L855" t="s">
        <v>20</v>
      </c>
      <c r="M855" t="s">
        <v>6586</v>
      </c>
      <c r="N855" t="s">
        <v>6587</v>
      </c>
      <c r="O855" t="s">
        <v>6597</v>
      </c>
      <c r="P855" t="s">
        <v>6598</v>
      </c>
    </row>
    <row r="856" spans="1:16" x14ac:dyDescent="0.35">
      <c r="A856" t="s">
        <v>6599</v>
      </c>
      <c r="B856" t="s">
        <v>55</v>
      </c>
      <c r="C856" t="s">
        <v>311</v>
      </c>
      <c r="D856" t="s">
        <v>1604</v>
      </c>
      <c r="E856" t="s">
        <v>6600</v>
      </c>
      <c r="F856" t="s">
        <v>6601</v>
      </c>
      <c r="G856" t="s">
        <v>6579</v>
      </c>
      <c r="H856" t="s">
        <v>6580</v>
      </c>
      <c r="I856" t="s">
        <v>6594</v>
      </c>
      <c r="J856" t="s">
        <v>6595</v>
      </c>
      <c r="K856" t="s">
        <v>6596</v>
      </c>
      <c r="L856" t="s">
        <v>20</v>
      </c>
      <c r="M856" t="s">
        <v>6586</v>
      </c>
      <c r="N856" t="s">
        <v>6587</v>
      </c>
      <c r="O856" t="s">
        <v>6602</v>
      </c>
      <c r="P856" t="s">
        <v>6603</v>
      </c>
    </row>
    <row r="857" spans="1:16" x14ac:dyDescent="0.35">
      <c r="A857" t="s">
        <v>6604</v>
      </c>
      <c r="B857" t="s">
        <v>32</v>
      </c>
      <c r="C857" t="s">
        <v>28</v>
      </c>
      <c r="D857" t="s">
        <v>28</v>
      </c>
      <c r="E857" t="s">
        <v>6605</v>
      </c>
      <c r="F857" t="s">
        <v>6606</v>
      </c>
      <c r="G857" t="s">
        <v>6593</v>
      </c>
      <c r="H857" t="s">
        <v>6580</v>
      </c>
      <c r="I857" t="s">
        <v>28</v>
      </c>
      <c r="J857" t="s">
        <v>28</v>
      </c>
      <c r="K857" t="s">
        <v>19</v>
      </c>
      <c r="L857" t="s">
        <v>20</v>
      </c>
      <c r="M857" t="s">
        <v>6586</v>
      </c>
      <c r="N857" t="s">
        <v>6587</v>
      </c>
      <c r="O857" t="s">
        <v>6607</v>
      </c>
      <c r="P857" t="s">
        <v>6608</v>
      </c>
    </row>
    <row r="858" spans="1:16" x14ac:dyDescent="0.35">
      <c r="A858" t="s">
        <v>538</v>
      </c>
      <c r="B858" t="s">
        <v>55</v>
      </c>
      <c r="C858" t="s">
        <v>26</v>
      </c>
      <c r="D858" t="s">
        <v>812</v>
      </c>
      <c r="E858" t="s">
        <v>6609</v>
      </c>
      <c r="F858" t="s">
        <v>6610</v>
      </c>
      <c r="G858" t="s">
        <v>6579</v>
      </c>
      <c r="H858" t="s">
        <v>6580</v>
      </c>
      <c r="I858" t="s">
        <v>82</v>
      </c>
      <c r="J858" t="s">
        <v>6611</v>
      </c>
      <c r="K858" t="s">
        <v>84</v>
      </c>
      <c r="L858" t="s">
        <v>20</v>
      </c>
      <c r="M858" t="s">
        <v>6586</v>
      </c>
      <c r="N858" t="s">
        <v>6587</v>
      </c>
      <c r="O858" t="s">
        <v>6612</v>
      </c>
      <c r="P858" t="s">
        <v>6613</v>
      </c>
    </row>
    <row r="859" spans="1:16" x14ac:dyDescent="0.35">
      <c r="A859" t="s">
        <v>6614</v>
      </c>
      <c r="B859" t="s">
        <v>55</v>
      </c>
      <c r="C859" t="s">
        <v>28</v>
      </c>
      <c r="D859" t="s">
        <v>28</v>
      </c>
      <c r="E859" t="s">
        <v>6615</v>
      </c>
      <c r="F859" t="s">
        <v>6616</v>
      </c>
      <c r="G859" t="s">
        <v>6579</v>
      </c>
      <c r="H859" t="s">
        <v>6580</v>
      </c>
      <c r="I859" t="s">
        <v>6617</v>
      </c>
      <c r="J859" t="s">
        <v>6618</v>
      </c>
      <c r="K859" t="s">
        <v>6619</v>
      </c>
      <c r="L859" t="s">
        <v>20</v>
      </c>
      <c r="M859" t="s">
        <v>6620</v>
      </c>
      <c r="N859" t="s">
        <v>6621</v>
      </c>
      <c r="O859" t="s">
        <v>6622</v>
      </c>
      <c r="P859" t="s">
        <v>6623</v>
      </c>
    </row>
    <row r="860" spans="1:16" x14ac:dyDescent="0.35">
      <c r="A860" t="s">
        <v>6624</v>
      </c>
      <c r="B860" t="s">
        <v>55</v>
      </c>
      <c r="C860" t="s">
        <v>26</v>
      </c>
      <c r="D860" t="s">
        <v>614</v>
      </c>
      <c r="E860" t="s">
        <v>6625</v>
      </c>
      <c r="F860" t="s">
        <v>6626</v>
      </c>
      <c r="G860" t="s">
        <v>6579</v>
      </c>
      <c r="H860" t="s">
        <v>6580</v>
      </c>
      <c r="I860" t="s">
        <v>6594</v>
      </c>
      <c r="J860" t="s">
        <v>6627</v>
      </c>
      <c r="K860" t="s">
        <v>6596</v>
      </c>
      <c r="L860" t="s">
        <v>20</v>
      </c>
      <c r="M860" t="s">
        <v>6620</v>
      </c>
      <c r="N860" t="s">
        <v>6621</v>
      </c>
      <c r="O860" t="s">
        <v>6628</v>
      </c>
      <c r="P860" t="s">
        <v>6629</v>
      </c>
    </row>
    <row r="861" spans="1:16" x14ac:dyDescent="0.35">
      <c r="A861" t="s">
        <v>6630</v>
      </c>
      <c r="B861" t="s">
        <v>55</v>
      </c>
      <c r="C861" t="s">
        <v>691</v>
      </c>
      <c r="D861" t="s">
        <v>16</v>
      </c>
      <c r="E861" t="s">
        <v>6631</v>
      </c>
      <c r="F861" t="s">
        <v>6632</v>
      </c>
      <c r="G861" t="s">
        <v>6579</v>
      </c>
      <c r="H861" t="s">
        <v>6580</v>
      </c>
      <c r="I861" t="s">
        <v>28</v>
      </c>
      <c r="J861" t="s">
        <v>6633</v>
      </c>
      <c r="K861" t="s">
        <v>19</v>
      </c>
      <c r="L861" t="s">
        <v>20</v>
      </c>
      <c r="M861" t="s">
        <v>6620</v>
      </c>
      <c r="N861" t="s">
        <v>6621</v>
      </c>
      <c r="O861" t="s">
        <v>6634</v>
      </c>
      <c r="P861" t="s">
        <v>6635</v>
      </c>
    </row>
    <row r="862" spans="1:16" x14ac:dyDescent="0.35">
      <c r="A862" t="s">
        <v>6636</v>
      </c>
      <c r="B862" t="s">
        <v>55</v>
      </c>
      <c r="C862" t="s">
        <v>691</v>
      </c>
      <c r="D862" t="s">
        <v>124</v>
      </c>
      <c r="E862" t="s">
        <v>6637</v>
      </c>
      <c r="F862" t="s">
        <v>6638</v>
      </c>
      <c r="G862" t="s">
        <v>6579</v>
      </c>
      <c r="H862" t="s">
        <v>6580</v>
      </c>
      <c r="I862" t="s">
        <v>6639</v>
      </c>
      <c r="J862" t="s">
        <v>6640</v>
      </c>
      <c r="K862" t="s">
        <v>6641</v>
      </c>
      <c r="L862" t="s">
        <v>20</v>
      </c>
      <c r="M862" t="s">
        <v>6620</v>
      </c>
      <c r="N862" t="s">
        <v>6621</v>
      </c>
      <c r="O862" t="s">
        <v>6642</v>
      </c>
      <c r="P862" t="s">
        <v>6643</v>
      </c>
    </row>
    <row r="863" spans="1:16" x14ac:dyDescent="0.35">
      <c r="A863" t="s">
        <v>6644</v>
      </c>
      <c r="B863" t="s">
        <v>55</v>
      </c>
      <c r="C863" t="s">
        <v>78</v>
      </c>
      <c r="D863" t="s">
        <v>952</v>
      </c>
      <c r="E863" t="s">
        <v>6645</v>
      </c>
      <c r="F863" t="s">
        <v>6646</v>
      </c>
      <c r="G863" t="s">
        <v>6579</v>
      </c>
      <c r="H863" t="s">
        <v>6580</v>
      </c>
      <c r="I863" t="s">
        <v>6647</v>
      </c>
      <c r="J863" t="s">
        <v>6648</v>
      </c>
      <c r="K863" t="s">
        <v>6649</v>
      </c>
      <c r="L863" t="s">
        <v>20</v>
      </c>
      <c r="M863" t="s">
        <v>6620</v>
      </c>
      <c r="N863" t="s">
        <v>6621</v>
      </c>
      <c r="O863" t="s">
        <v>6650</v>
      </c>
      <c r="P863" t="s">
        <v>6651</v>
      </c>
    </row>
    <row r="864" spans="1:16" x14ac:dyDescent="0.35">
      <c r="A864" t="s">
        <v>6652</v>
      </c>
      <c r="B864" t="s">
        <v>55</v>
      </c>
      <c r="C864" t="s">
        <v>170</v>
      </c>
      <c r="D864" t="s">
        <v>68</v>
      </c>
      <c r="E864" t="s">
        <v>6653</v>
      </c>
      <c r="F864" t="s">
        <v>6654</v>
      </c>
      <c r="G864" t="s">
        <v>6579</v>
      </c>
      <c r="H864" t="s">
        <v>6580</v>
      </c>
      <c r="I864" t="s">
        <v>6655</v>
      </c>
      <c r="J864" t="s">
        <v>6656</v>
      </c>
      <c r="K864" t="s">
        <v>6657</v>
      </c>
      <c r="L864" t="s">
        <v>20</v>
      </c>
      <c r="M864" t="s">
        <v>6620</v>
      </c>
      <c r="N864" t="s">
        <v>6621</v>
      </c>
      <c r="O864" t="s">
        <v>6658</v>
      </c>
      <c r="P864" t="s">
        <v>6659</v>
      </c>
    </row>
    <row r="865" spans="1:16" x14ac:dyDescent="0.35">
      <c r="A865" t="s">
        <v>6660</v>
      </c>
      <c r="B865" t="s">
        <v>55</v>
      </c>
      <c r="C865" t="s">
        <v>158</v>
      </c>
      <c r="D865" t="s">
        <v>953</v>
      </c>
      <c r="E865" t="s">
        <v>6661</v>
      </c>
      <c r="F865" t="s">
        <v>6662</v>
      </c>
      <c r="G865" t="s">
        <v>6579</v>
      </c>
      <c r="H865" t="s">
        <v>6580</v>
      </c>
      <c r="I865" t="s">
        <v>6663</v>
      </c>
      <c r="J865" t="s">
        <v>6664</v>
      </c>
      <c r="K865" t="s">
        <v>19</v>
      </c>
      <c r="L865" t="s">
        <v>20</v>
      </c>
      <c r="M865" t="s">
        <v>6620</v>
      </c>
      <c r="N865" t="s">
        <v>6621</v>
      </c>
      <c r="O865" t="s">
        <v>6665</v>
      </c>
      <c r="P865" t="s">
        <v>6666</v>
      </c>
    </row>
    <row r="866" spans="1:16" x14ac:dyDescent="0.35">
      <c r="A866" t="s">
        <v>6667</v>
      </c>
      <c r="B866" t="s">
        <v>55</v>
      </c>
      <c r="C866" t="s">
        <v>15</v>
      </c>
      <c r="D866" t="s">
        <v>16</v>
      </c>
      <c r="E866" t="s">
        <v>6668</v>
      </c>
      <c r="F866" t="s">
        <v>6669</v>
      </c>
      <c r="G866" t="s">
        <v>6579</v>
      </c>
      <c r="H866" t="s">
        <v>6580</v>
      </c>
      <c r="I866" t="s">
        <v>6594</v>
      </c>
      <c r="J866" t="s">
        <v>6627</v>
      </c>
      <c r="K866" t="s">
        <v>6596</v>
      </c>
      <c r="L866" t="s">
        <v>20</v>
      </c>
      <c r="M866" t="s">
        <v>6620</v>
      </c>
      <c r="N866" t="s">
        <v>6621</v>
      </c>
      <c r="O866" t="s">
        <v>6670</v>
      </c>
      <c r="P866" t="s">
        <v>6671</v>
      </c>
    </row>
    <row r="867" spans="1:16" x14ac:dyDescent="0.35">
      <c r="A867" t="s">
        <v>6672</v>
      </c>
      <c r="B867" t="s">
        <v>55</v>
      </c>
      <c r="C867" t="s">
        <v>28</v>
      </c>
      <c r="D867" t="s">
        <v>28</v>
      </c>
      <c r="E867" t="s">
        <v>28</v>
      </c>
      <c r="F867" t="s">
        <v>6673</v>
      </c>
      <c r="G867" t="s">
        <v>6674</v>
      </c>
      <c r="H867" t="s">
        <v>6580</v>
      </c>
      <c r="I867" t="s">
        <v>28</v>
      </c>
      <c r="J867" t="s">
        <v>6675</v>
      </c>
      <c r="K867" t="s">
        <v>19</v>
      </c>
      <c r="L867" t="s">
        <v>20</v>
      </c>
      <c r="M867" t="s">
        <v>6620</v>
      </c>
      <c r="N867" t="s">
        <v>6621</v>
      </c>
      <c r="O867" t="s">
        <v>6676</v>
      </c>
      <c r="P867" t="s">
        <v>6677</v>
      </c>
    </row>
    <row r="868" spans="1:16" x14ac:dyDescent="0.35">
      <c r="A868" t="s">
        <v>6678</v>
      </c>
      <c r="B868" t="s">
        <v>55</v>
      </c>
      <c r="C868" t="s">
        <v>241</v>
      </c>
      <c r="D868" t="s">
        <v>231</v>
      </c>
      <c r="E868" t="s">
        <v>6679</v>
      </c>
      <c r="F868" t="s">
        <v>6680</v>
      </c>
      <c r="G868" t="s">
        <v>6579</v>
      </c>
      <c r="H868" t="s">
        <v>6580</v>
      </c>
      <c r="I868" t="s">
        <v>6594</v>
      </c>
      <c r="J868" t="s">
        <v>6627</v>
      </c>
      <c r="K868" t="s">
        <v>6596</v>
      </c>
      <c r="L868" t="s">
        <v>20</v>
      </c>
      <c r="M868" t="s">
        <v>6620</v>
      </c>
      <c r="N868" t="s">
        <v>6621</v>
      </c>
      <c r="O868" t="s">
        <v>6681</v>
      </c>
      <c r="P868" t="s">
        <v>6682</v>
      </c>
    </row>
    <row r="869" spans="1:16" x14ac:dyDescent="0.35">
      <c r="A869" t="s">
        <v>6683</v>
      </c>
      <c r="B869" t="s">
        <v>55</v>
      </c>
      <c r="C869" t="s">
        <v>28</v>
      </c>
      <c r="D869" t="s">
        <v>28</v>
      </c>
      <c r="E869" t="s">
        <v>6684</v>
      </c>
      <c r="F869" t="s">
        <v>6685</v>
      </c>
      <c r="G869" t="s">
        <v>6579</v>
      </c>
      <c r="H869" t="s">
        <v>6580</v>
      </c>
      <c r="I869" t="s">
        <v>6594</v>
      </c>
      <c r="J869" t="s">
        <v>6627</v>
      </c>
      <c r="K869" t="s">
        <v>6596</v>
      </c>
      <c r="L869" t="s">
        <v>20</v>
      </c>
      <c r="M869" t="s">
        <v>6686</v>
      </c>
      <c r="N869" t="s">
        <v>6687</v>
      </c>
      <c r="O869" t="s">
        <v>6688</v>
      </c>
      <c r="P869" t="s">
        <v>6689</v>
      </c>
    </row>
    <row r="870" spans="1:16" x14ac:dyDescent="0.35">
      <c r="A870" t="s">
        <v>6690</v>
      </c>
      <c r="B870" t="s">
        <v>55</v>
      </c>
      <c r="C870" t="s">
        <v>28</v>
      </c>
      <c r="D870" t="s">
        <v>28</v>
      </c>
      <c r="E870" t="s">
        <v>6691</v>
      </c>
      <c r="F870" t="s">
        <v>6692</v>
      </c>
      <c r="G870" t="s">
        <v>6579</v>
      </c>
      <c r="H870" t="s">
        <v>6580</v>
      </c>
      <c r="I870" t="s">
        <v>6693</v>
      </c>
      <c r="J870" t="s">
        <v>6694</v>
      </c>
      <c r="K870" t="s">
        <v>6695</v>
      </c>
      <c r="L870" t="s">
        <v>20</v>
      </c>
      <c r="M870" t="s">
        <v>6696</v>
      </c>
      <c r="N870" t="s">
        <v>6697</v>
      </c>
      <c r="O870" t="s">
        <v>6698</v>
      </c>
      <c r="P870" t="s">
        <v>6699</v>
      </c>
    </row>
    <row r="871" spans="1:16" x14ac:dyDescent="0.35">
      <c r="A871" t="s">
        <v>6700</v>
      </c>
      <c r="B871" t="s">
        <v>55</v>
      </c>
      <c r="C871" t="s">
        <v>177</v>
      </c>
      <c r="D871" t="s">
        <v>774</v>
      </c>
      <c r="E871" t="s">
        <v>6701</v>
      </c>
      <c r="F871" t="s">
        <v>6702</v>
      </c>
      <c r="G871" t="s">
        <v>6579</v>
      </c>
      <c r="H871" t="s">
        <v>6580</v>
      </c>
      <c r="I871" t="s">
        <v>6703</v>
      </c>
      <c r="J871" t="s">
        <v>6704</v>
      </c>
      <c r="K871" t="s">
        <v>19</v>
      </c>
      <c r="L871" t="s">
        <v>20</v>
      </c>
      <c r="M871" t="s">
        <v>6696</v>
      </c>
      <c r="N871" t="s">
        <v>6697</v>
      </c>
      <c r="O871" t="s">
        <v>6705</v>
      </c>
      <c r="P871" t="s">
        <v>6706</v>
      </c>
    </row>
    <row r="872" spans="1:16" x14ac:dyDescent="0.35">
      <c r="A872" t="s">
        <v>6707</v>
      </c>
      <c r="B872" t="s">
        <v>55</v>
      </c>
      <c r="C872" t="s">
        <v>28</v>
      </c>
      <c r="D872" t="s">
        <v>28</v>
      </c>
      <c r="E872" t="s">
        <v>28</v>
      </c>
      <c r="F872" t="s">
        <v>6708</v>
      </c>
      <c r="G872" t="s">
        <v>6674</v>
      </c>
      <c r="H872" t="s">
        <v>6580</v>
      </c>
      <c r="I872" t="s">
        <v>28</v>
      </c>
      <c r="J872" t="s">
        <v>6709</v>
      </c>
      <c r="K872" t="s">
        <v>19</v>
      </c>
      <c r="L872" t="s">
        <v>20</v>
      </c>
      <c r="M872" t="s">
        <v>6710</v>
      </c>
      <c r="N872" t="s">
        <v>6711</v>
      </c>
      <c r="O872" t="s">
        <v>6712</v>
      </c>
      <c r="P872" t="s">
        <v>6713</v>
      </c>
    </row>
    <row r="873" spans="1:16" x14ac:dyDescent="0.35">
      <c r="A873" t="s">
        <v>6714</v>
      </c>
      <c r="B873" t="s">
        <v>55</v>
      </c>
      <c r="C873" t="s">
        <v>158</v>
      </c>
      <c r="D873" t="s">
        <v>282</v>
      </c>
      <c r="E873" t="s">
        <v>6715</v>
      </c>
      <c r="F873" t="s">
        <v>6716</v>
      </c>
      <c r="G873" t="s">
        <v>6579</v>
      </c>
      <c r="H873" t="s">
        <v>6580</v>
      </c>
      <c r="I873" t="s">
        <v>6594</v>
      </c>
      <c r="J873" t="s">
        <v>6627</v>
      </c>
      <c r="K873" t="s">
        <v>6596</v>
      </c>
      <c r="L873" t="s">
        <v>20</v>
      </c>
      <c r="M873" t="s">
        <v>6710</v>
      </c>
      <c r="N873" t="s">
        <v>6711</v>
      </c>
      <c r="O873" t="s">
        <v>6717</v>
      </c>
      <c r="P873" t="s">
        <v>6718</v>
      </c>
    </row>
    <row r="874" spans="1:16" x14ac:dyDescent="0.35">
      <c r="A874" t="s">
        <v>4638</v>
      </c>
      <c r="B874" t="s">
        <v>55</v>
      </c>
      <c r="C874" t="s">
        <v>15</v>
      </c>
      <c r="D874" t="s">
        <v>27</v>
      </c>
      <c r="E874" t="s">
        <v>6719</v>
      </c>
      <c r="F874" t="s">
        <v>6720</v>
      </c>
      <c r="G874" t="s">
        <v>6579</v>
      </c>
      <c r="H874" t="s">
        <v>6580</v>
      </c>
      <c r="I874" t="s">
        <v>28</v>
      </c>
      <c r="J874" t="s">
        <v>6721</v>
      </c>
      <c r="K874" t="s">
        <v>19</v>
      </c>
      <c r="L874" t="s">
        <v>20</v>
      </c>
      <c r="M874" t="s">
        <v>6710</v>
      </c>
      <c r="N874" t="s">
        <v>6711</v>
      </c>
      <c r="O874" t="s">
        <v>6722</v>
      </c>
      <c r="P874" t="s">
        <v>915</v>
      </c>
    </row>
    <row r="875" spans="1:16" x14ac:dyDescent="0.35">
      <c r="A875" t="s">
        <v>6723</v>
      </c>
      <c r="B875" t="s">
        <v>55</v>
      </c>
      <c r="C875" t="s">
        <v>28</v>
      </c>
      <c r="D875" t="s">
        <v>28</v>
      </c>
      <c r="E875" t="s">
        <v>6653</v>
      </c>
      <c r="F875" t="s">
        <v>6654</v>
      </c>
      <c r="G875" t="s">
        <v>6579</v>
      </c>
      <c r="H875" t="s">
        <v>6580</v>
      </c>
      <c r="I875" t="s">
        <v>6724</v>
      </c>
      <c r="J875" t="s">
        <v>6656</v>
      </c>
      <c r="K875" t="s">
        <v>6725</v>
      </c>
      <c r="L875" t="s">
        <v>20</v>
      </c>
      <c r="M875" t="s">
        <v>6710</v>
      </c>
      <c r="N875" t="s">
        <v>6711</v>
      </c>
      <c r="O875" t="s">
        <v>6726</v>
      </c>
      <c r="P875" t="s">
        <v>6727</v>
      </c>
    </row>
    <row r="876" spans="1:16" x14ac:dyDescent="0.35">
      <c r="A876" t="s">
        <v>6728</v>
      </c>
      <c r="B876" t="s">
        <v>55</v>
      </c>
      <c r="C876" t="s">
        <v>28</v>
      </c>
      <c r="D876" t="s">
        <v>28</v>
      </c>
      <c r="E876" t="s">
        <v>6729</v>
      </c>
      <c r="F876" t="s">
        <v>6730</v>
      </c>
      <c r="G876" t="s">
        <v>6579</v>
      </c>
      <c r="H876" t="s">
        <v>6580</v>
      </c>
      <c r="I876" t="s">
        <v>28</v>
      </c>
      <c r="J876" t="s">
        <v>6731</v>
      </c>
      <c r="K876" t="s">
        <v>19</v>
      </c>
      <c r="L876" t="s">
        <v>20</v>
      </c>
      <c r="M876" t="s">
        <v>6732</v>
      </c>
      <c r="N876" t="s">
        <v>6733</v>
      </c>
      <c r="O876" t="s">
        <v>6734</v>
      </c>
      <c r="P876" t="s">
        <v>6735</v>
      </c>
    </row>
    <row r="877" spans="1:16" x14ac:dyDescent="0.35">
      <c r="A877" t="s">
        <v>6736</v>
      </c>
      <c r="B877" t="s">
        <v>55</v>
      </c>
      <c r="C877" t="s">
        <v>15</v>
      </c>
      <c r="D877" t="s">
        <v>27</v>
      </c>
      <c r="E877" t="s">
        <v>6737</v>
      </c>
      <c r="F877" t="s">
        <v>6738</v>
      </c>
      <c r="G877" t="s">
        <v>6739</v>
      </c>
      <c r="H877" t="s">
        <v>6580</v>
      </c>
      <c r="I877" t="s">
        <v>6594</v>
      </c>
      <c r="J877" t="s">
        <v>6627</v>
      </c>
      <c r="K877" t="s">
        <v>6596</v>
      </c>
      <c r="L877" t="s">
        <v>20</v>
      </c>
      <c r="M877" t="s">
        <v>6740</v>
      </c>
      <c r="N877" t="s">
        <v>6741</v>
      </c>
      <c r="O877" t="s">
        <v>6742</v>
      </c>
      <c r="P877" t="s">
        <v>6743</v>
      </c>
    </row>
    <row r="878" spans="1:16" x14ac:dyDescent="0.35">
      <c r="A878" t="s">
        <v>6744</v>
      </c>
      <c r="B878" t="s">
        <v>55</v>
      </c>
      <c r="C878" t="s">
        <v>28</v>
      </c>
      <c r="D878" t="s">
        <v>28</v>
      </c>
      <c r="E878" t="s">
        <v>28</v>
      </c>
      <c r="F878" t="s">
        <v>28</v>
      </c>
      <c r="G878" t="s">
        <v>6674</v>
      </c>
      <c r="H878" t="s">
        <v>28</v>
      </c>
      <c r="I878" t="s">
        <v>6745</v>
      </c>
      <c r="J878" t="s">
        <v>6746</v>
      </c>
      <c r="K878" t="s">
        <v>19</v>
      </c>
      <c r="L878" t="s">
        <v>20</v>
      </c>
      <c r="M878" t="s">
        <v>6747</v>
      </c>
      <c r="N878" t="s">
        <v>6748</v>
      </c>
      <c r="O878" t="s">
        <v>6749</v>
      </c>
      <c r="P878" t="s">
        <v>6750</v>
      </c>
    </row>
    <row r="879" spans="1:16" x14ac:dyDescent="0.35">
      <c r="A879" t="s">
        <v>6751</v>
      </c>
      <c r="B879" t="s">
        <v>32</v>
      </c>
      <c r="C879" t="s">
        <v>158</v>
      </c>
      <c r="D879" t="s">
        <v>449</v>
      </c>
      <c r="E879" t="s">
        <v>6752</v>
      </c>
      <c r="F879" t="s">
        <v>6753</v>
      </c>
      <c r="G879" t="s">
        <v>6754</v>
      </c>
      <c r="H879" t="s">
        <v>6580</v>
      </c>
      <c r="I879" t="s">
        <v>6755</v>
      </c>
      <c r="J879" t="s">
        <v>6756</v>
      </c>
      <c r="K879" t="s">
        <v>6757</v>
      </c>
      <c r="L879" t="s">
        <v>20</v>
      </c>
      <c r="M879" t="s">
        <v>6758</v>
      </c>
      <c r="N879" t="s">
        <v>6759</v>
      </c>
      <c r="O879" t="s">
        <v>6760</v>
      </c>
      <c r="P879" t="s">
        <v>6761</v>
      </c>
    </row>
    <row r="880" spans="1:16" x14ac:dyDescent="0.35">
      <c r="A880" t="s">
        <v>6762</v>
      </c>
      <c r="B880" t="s">
        <v>55</v>
      </c>
      <c r="C880" t="s">
        <v>158</v>
      </c>
      <c r="D880" t="s">
        <v>374</v>
      </c>
      <c r="E880" t="s">
        <v>6763</v>
      </c>
      <c r="F880" t="s">
        <v>6764</v>
      </c>
      <c r="G880" t="s">
        <v>6754</v>
      </c>
      <c r="H880" t="s">
        <v>6580</v>
      </c>
      <c r="I880" t="s">
        <v>6765</v>
      </c>
      <c r="J880" t="s">
        <v>6766</v>
      </c>
      <c r="K880" t="s">
        <v>6767</v>
      </c>
      <c r="L880" t="s">
        <v>20</v>
      </c>
      <c r="M880" t="s">
        <v>6768</v>
      </c>
      <c r="N880" t="s">
        <v>6769</v>
      </c>
      <c r="O880" t="s">
        <v>6770</v>
      </c>
      <c r="P880" t="s">
        <v>6771</v>
      </c>
    </row>
    <row r="881" spans="1:16" x14ac:dyDescent="0.35">
      <c r="A881" t="s">
        <v>6427</v>
      </c>
      <c r="B881" t="s">
        <v>55</v>
      </c>
      <c r="C881" t="s">
        <v>15</v>
      </c>
      <c r="D881" t="s">
        <v>16</v>
      </c>
      <c r="E881" t="s">
        <v>6773</v>
      </c>
      <c r="F881" t="s">
        <v>6774</v>
      </c>
      <c r="G881" t="s">
        <v>6775</v>
      </c>
      <c r="H881" t="s">
        <v>6580</v>
      </c>
      <c r="I881" t="s">
        <v>6776</v>
      </c>
      <c r="J881" t="s">
        <v>6777</v>
      </c>
      <c r="K881" t="s">
        <v>19</v>
      </c>
      <c r="L881" t="s">
        <v>20</v>
      </c>
      <c r="M881" t="s">
        <v>6778</v>
      </c>
      <c r="N881" t="s">
        <v>6779</v>
      </c>
      <c r="O881" t="s">
        <v>6780</v>
      </c>
      <c r="P881" t="s">
        <v>6781</v>
      </c>
    </row>
    <row r="882" spans="1:16" x14ac:dyDescent="0.35">
      <c r="A882" t="s">
        <v>6782</v>
      </c>
      <c r="B882" t="s">
        <v>55</v>
      </c>
      <c r="C882" t="s">
        <v>26</v>
      </c>
      <c r="D882" t="s">
        <v>614</v>
      </c>
      <c r="E882" t="s">
        <v>6783</v>
      </c>
      <c r="F882" t="s">
        <v>6784</v>
      </c>
      <c r="G882" t="s">
        <v>6754</v>
      </c>
      <c r="H882" t="s">
        <v>6580</v>
      </c>
      <c r="I882" t="s">
        <v>6755</v>
      </c>
      <c r="J882" t="s">
        <v>6785</v>
      </c>
      <c r="K882" t="s">
        <v>6757</v>
      </c>
      <c r="L882" t="s">
        <v>20</v>
      </c>
      <c r="M882" t="s">
        <v>6786</v>
      </c>
      <c r="N882" t="s">
        <v>6787</v>
      </c>
      <c r="O882" t="s">
        <v>6788</v>
      </c>
      <c r="P882" t="s">
        <v>6789</v>
      </c>
    </row>
    <row r="883" spans="1:16" x14ac:dyDescent="0.35">
      <c r="A883" t="s">
        <v>6790</v>
      </c>
      <c r="B883" t="s">
        <v>55</v>
      </c>
      <c r="C883" t="s">
        <v>26</v>
      </c>
      <c r="D883" t="s">
        <v>2116</v>
      </c>
      <c r="E883" t="s">
        <v>6791</v>
      </c>
      <c r="F883" t="s">
        <v>6792</v>
      </c>
      <c r="G883" t="s">
        <v>6793</v>
      </c>
      <c r="H883" t="s">
        <v>6580</v>
      </c>
      <c r="I883" t="s">
        <v>28</v>
      </c>
      <c r="J883" t="s">
        <v>6794</v>
      </c>
      <c r="K883" t="s">
        <v>19</v>
      </c>
      <c r="L883" t="s">
        <v>20</v>
      </c>
      <c r="M883" t="s">
        <v>6795</v>
      </c>
      <c r="N883" t="s">
        <v>6796</v>
      </c>
      <c r="O883" t="s">
        <v>6797</v>
      </c>
      <c r="P883" t="s">
        <v>6798</v>
      </c>
    </row>
    <row r="884" spans="1:16" x14ac:dyDescent="0.35">
      <c r="A884" t="s">
        <v>6358</v>
      </c>
      <c r="B884" t="s">
        <v>55</v>
      </c>
      <c r="C884" t="s">
        <v>241</v>
      </c>
      <c r="D884" t="s">
        <v>449</v>
      </c>
      <c r="E884" t="s">
        <v>6799</v>
      </c>
      <c r="F884" t="s">
        <v>6800</v>
      </c>
      <c r="G884" t="s">
        <v>6801</v>
      </c>
      <c r="H884" t="s">
        <v>6580</v>
      </c>
      <c r="I884" t="s">
        <v>6362</v>
      </c>
      <c r="J884" t="s">
        <v>6802</v>
      </c>
      <c r="K884" t="s">
        <v>6364</v>
      </c>
      <c r="L884" t="s">
        <v>20</v>
      </c>
      <c r="M884" t="s">
        <v>6803</v>
      </c>
      <c r="N884" t="s">
        <v>6804</v>
      </c>
      <c r="O884" t="s">
        <v>6805</v>
      </c>
      <c r="P884" t="s">
        <v>6806</v>
      </c>
    </row>
    <row r="885" spans="1:16" x14ac:dyDescent="0.35">
      <c r="A885" t="s">
        <v>6807</v>
      </c>
      <c r="B885" t="s">
        <v>32</v>
      </c>
      <c r="C885" t="s">
        <v>26</v>
      </c>
      <c r="D885" t="s">
        <v>27</v>
      </c>
      <c r="E885" t="s">
        <v>6808</v>
      </c>
      <c r="F885" t="s">
        <v>6809</v>
      </c>
      <c r="G885" t="s">
        <v>6810</v>
      </c>
      <c r="H885" t="s">
        <v>6580</v>
      </c>
      <c r="I885" t="s">
        <v>6811</v>
      </c>
      <c r="J885" t="s">
        <v>6812</v>
      </c>
      <c r="K885" t="s">
        <v>6813</v>
      </c>
      <c r="L885" t="s">
        <v>20</v>
      </c>
      <c r="M885" t="s">
        <v>6814</v>
      </c>
      <c r="N885" t="s">
        <v>6815</v>
      </c>
      <c r="O885" t="s">
        <v>6816</v>
      </c>
      <c r="P885" t="s">
        <v>6817</v>
      </c>
    </row>
    <row r="886" spans="1:16" x14ac:dyDescent="0.35">
      <c r="A886" t="s">
        <v>310</v>
      </c>
      <c r="B886" t="s">
        <v>55</v>
      </c>
      <c r="C886" t="s">
        <v>78</v>
      </c>
      <c r="D886" t="s">
        <v>206</v>
      </c>
      <c r="E886" t="s">
        <v>6818</v>
      </c>
      <c r="F886" t="s">
        <v>6819</v>
      </c>
      <c r="G886" t="s">
        <v>6801</v>
      </c>
      <c r="H886" t="s">
        <v>6580</v>
      </c>
      <c r="I886" t="s">
        <v>82</v>
      </c>
      <c r="J886" t="s">
        <v>6820</v>
      </c>
      <c r="K886" t="s">
        <v>84</v>
      </c>
      <c r="L886" t="s">
        <v>20</v>
      </c>
      <c r="M886" t="s">
        <v>6821</v>
      </c>
      <c r="N886" t="s">
        <v>6822</v>
      </c>
      <c r="O886" t="s">
        <v>6823</v>
      </c>
      <c r="P886" t="s">
        <v>6824</v>
      </c>
    </row>
    <row r="887" spans="1:16" x14ac:dyDescent="0.35">
      <c r="A887" t="s">
        <v>538</v>
      </c>
      <c r="B887" t="s">
        <v>55</v>
      </c>
      <c r="C887" t="s">
        <v>158</v>
      </c>
      <c r="D887" t="s">
        <v>449</v>
      </c>
      <c r="E887" t="s">
        <v>6825</v>
      </c>
      <c r="F887" t="s">
        <v>6826</v>
      </c>
      <c r="G887" t="s">
        <v>6772</v>
      </c>
      <c r="H887" t="s">
        <v>6580</v>
      </c>
      <c r="I887" t="s">
        <v>82</v>
      </c>
      <c r="J887" t="s">
        <v>6827</v>
      </c>
      <c r="K887" t="s">
        <v>84</v>
      </c>
      <c r="L887" t="s">
        <v>20</v>
      </c>
      <c r="M887" t="s">
        <v>6828</v>
      </c>
      <c r="N887" t="s">
        <v>6829</v>
      </c>
      <c r="O887" t="s">
        <v>6830</v>
      </c>
      <c r="P887" t="s">
        <v>6831</v>
      </c>
    </row>
    <row r="888" spans="1:16" x14ac:dyDescent="0.35">
      <c r="A888" t="s">
        <v>6427</v>
      </c>
      <c r="B888" t="s">
        <v>55</v>
      </c>
      <c r="C888" t="s">
        <v>78</v>
      </c>
      <c r="D888" t="s">
        <v>2718</v>
      </c>
      <c r="E888" t="s">
        <v>6832</v>
      </c>
      <c r="F888" t="s">
        <v>6833</v>
      </c>
      <c r="G888" t="s">
        <v>6801</v>
      </c>
      <c r="H888" t="s">
        <v>6580</v>
      </c>
      <c r="I888" t="s">
        <v>6776</v>
      </c>
      <c r="J888" t="s">
        <v>6834</v>
      </c>
      <c r="K888" t="s">
        <v>19</v>
      </c>
      <c r="L888" t="s">
        <v>20</v>
      </c>
      <c r="M888" t="s">
        <v>6835</v>
      </c>
      <c r="N888" t="s">
        <v>6836</v>
      </c>
      <c r="O888" t="s">
        <v>6837</v>
      </c>
      <c r="P888" t="s">
        <v>6838</v>
      </c>
    </row>
    <row r="889" spans="1:16" x14ac:dyDescent="0.35">
      <c r="A889" t="s">
        <v>6841</v>
      </c>
      <c r="B889" t="s">
        <v>55</v>
      </c>
      <c r="C889" t="s">
        <v>691</v>
      </c>
      <c r="D889" t="s">
        <v>16</v>
      </c>
      <c r="E889" t="s">
        <v>6842</v>
      </c>
      <c r="F889" t="s">
        <v>6843</v>
      </c>
      <c r="G889" t="s">
        <v>6839</v>
      </c>
      <c r="H889" t="s">
        <v>6840</v>
      </c>
      <c r="I889" t="s">
        <v>28</v>
      </c>
      <c r="J889" t="s">
        <v>6844</v>
      </c>
      <c r="K889" t="s">
        <v>19</v>
      </c>
      <c r="L889" t="s">
        <v>20</v>
      </c>
      <c r="M889" t="s">
        <v>6845</v>
      </c>
      <c r="N889" t="s">
        <v>6846</v>
      </c>
      <c r="O889" t="s">
        <v>6847</v>
      </c>
      <c r="P889" t="s">
        <v>6848</v>
      </c>
    </row>
    <row r="890" spans="1:16" x14ac:dyDescent="0.35">
      <c r="A890" t="s">
        <v>6851</v>
      </c>
      <c r="B890" t="s">
        <v>55</v>
      </c>
      <c r="C890" t="s">
        <v>205</v>
      </c>
      <c r="D890" t="s">
        <v>1328</v>
      </c>
      <c r="E890" t="s">
        <v>6852</v>
      </c>
      <c r="F890" t="s">
        <v>6853</v>
      </c>
      <c r="G890" t="s">
        <v>6839</v>
      </c>
      <c r="H890" t="s">
        <v>6840</v>
      </c>
      <c r="I890" t="s">
        <v>6854</v>
      </c>
      <c r="J890" t="s">
        <v>6855</v>
      </c>
      <c r="K890" t="s">
        <v>6856</v>
      </c>
      <c r="L890" t="s">
        <v>20</v>
      </c>
      <c r="M890" t="s">
        <v>6849</v>
      </c>
      <c r="N890" t="s">
        <v>6850</v>
      </c>
      <c r="O890" t="s">
        <v>28</v>
      </c>
      <c r="P890" t="s">
        <v>28</v>
      </c>
    </row>
    <row r="891" spans="1:16" x14ac:dyDescent="0.35">
      <c r="A891" t="s">
        <v>6857</v>
      </c>
      <c r="B891" t="s">
        <v>55</v>
      </c>
      <c r="C891" t="s">
        <v>26</v>
      </c>
      <c r="D891" t="s">
        <v>6858</v>
      </c>
      <c r="E891" t="s">
        <v>6859</v>
      </c>
      <c r="F891" t="s">
        <v>6860</v>
      </c>
      <c r="G891" t="s">
        <v>6839</v>
      </c>
      <c r="H891" t="s">
        <v>6840</v>
      </c>
      <c r="I891" t="s">
        <v>6861</v>
      </c>
      <c r="J891" t="s">
        <v>6862</v>
      </c>
      <c r="K891" t="s">
        <v>6863</v>
      </c>
      <c r="L891" t="s">
        <v>20</v>
      </c>
      <c r="M891" t="s">
        <v>6849</v>
      </c>
      <c r="N891" t="s">
        <v>6850</v>
      </c>
      <c r="O891" t="s">
        <v>6864</v>
      </c>
      <c r="P891" t="s">
        <v>6865</v>
      </c>
    </row>
    <row r="892" spans="1:16" x14ac:dyDescent="0.35">
      <c r="A892" t="s">
        <v>6866</v>
      </c>
      <c r="B892" t="s">
        <v>194</v>
      </c>
      <c r="C892" t="s">
        <v>28</v>
      </c>
      <c r="D892" t="s">
        <v>28</v>
      </c>
      <c r="E892" t="s">
        <v>6867</v>
      </c>
      <c r="F892" t="s">
        <v>6868</v>
      </c>
      <c r="G892" t="s">
        <v>6839</v>
      </c>
      <c r="H892" t="s">
        <v>6840</v>
      </c>
      <c r="I892" t="s">
        <v>6869</v>
      </c>
      <c r="J892" t="s">
        <v>6862</v>
      </c>
      <c r="K892" t="s">
        <v>6863</v>
      </c>
      <c r="L892" t="s">
        <v>20</v>
      </c>
      <c r="M892" t="s">
        <v>6849</v>
      </c>
      <c r="N892" t="s">
        <v>6850</v>
      </c>
      <c r="O892" t="s">
        <v>6870</v>
      </c>
      <c r="P892" t="s">
        <v>6871</v>
      </c>
    </row>
    <row r="893" spans="1:16" x14ac:dyDescent="0.35">
      <c r="A893" t="s">
        <v>6872</v>
      </c>
      <c r="B893" t="s">
        <v>32</v>
      </c>
      <c r="C893" t="s">
        <v>15</v>
      </c>
      <c r="D893" t="s">
        <v>124</v>
      </c>
      <c r="E893" t="s">
        <v>6873</v>
      </c>
      <c r="F893" t="s">
        <v>6874</v>
      </c>
      <c r="G893" t="s">
        <v>6839</v>
      </c>
      <c r="H893" t="s">
        <v>6840</v>
      </c>
      <c r="I893" t="s">
        <v>6875</v>
      </c>
      <c r="J893" t="s">
        <v>6876</v>
      </c>
      <c r="K893" t="s">
        <v>6877</v>
      </c>
      <c r="L893" t="s">
        <v>20</v>
      </c>
      <c r="M893" t="s">
        <v>6849</v>
      </c>
      <c r="N893" t="s">
        <v>6850</v>
      </c>
      <c r="O893" t="s">
        <v>6878</v>
      </c>
      <c r="P893" t="s">
        <v>6879</v>
      </c>
    </row>
    <row r="894" spans="1:16" x14ac:dyDescent="0.35">
      <c r="A894" t="s">
        <v>6880</v>
      </c>
      <c r="B894" t="s">
        <v>55</v>
      </c>
      <c r="C894" t="s">
        <v>117</v>
      </c>
      <c r="D894" t="s">
        <v>16</v>
      </c>
      <c r="E894" t="s">
        <v>6881</v>
      </c>
      <c r="F894" t="s">
        <v>6882</v>
      </c>
      <c r="G894" t="s">
        <v>6839</v>
      </c>
      <c r="H894" t="s">
        <v>6840</v>
      </c>
      <c r="I894" t="s">
        <v>28</v>
      </c>
      <c r="J894" t="s">
        <v>6883</v>
      </c>
      <c r="K894" t="s">
        <v>19</v>
      </c>
      <c r="L894" t="s">
        <v>20</v>
      </c>
      <c r="M894" t="s">
        <v>6849</v>
      </c>
      <c r="N894" t="s">
        <v>6850</v>
      </c>
      <c r="O894" t="s">
        <v>6884</v>
      </c>
      <c r="P894" t="s">
        <v>6885</v>
      </c>
    </row>
    <row r="895" spans="1:16" x14ac:dyDescent="0.35">
      <c r="A895" t="s">
        <v>6886</v>
      </c>
      <c r="B895" t="s">
        <v>55</v>
      </c>
      <c r="C895" t="s">
        <v>250</v>
      </c>
      <c r="D895" t="s">
        <v>1328</v>
      </c>
      <c r="E895" t="s">
        <v>6887</v>
      </c>
      <c r="F895" t="s">
        <v>6888</v>
      </c>
      <c r="G895" t="s">
        <v>6839</v>
      </c>
      <c r="H895" t="s">
        <v>6840</v>
      </c>
      <c r="I895" t="s">
        <v>28</v>
      </c>
      <c r="J895" t="s">
        <v>6889</v>
      </c>
      <c r="K895" t="s">
        <v>19</v>
      </c>
      <c r="L895" t="s">
        <v>20</v>
      </c>
      <c r="M895" t="s">
        <v>6890</v>
      </c>
      <c r="N895" t="s">
        <v>6891</v>
      </c>
      <c r="O895" t="s">
        <v>6892</v>
      </c>
      <c r="P895" t="s">
        <v>6893</v>
      </c>
    </row>
    <row r="896" spans="1:16" x14ac:dyDescent="0.35">
      <c r="A896" t="s">
        <v>6894</v>
      </c>
      <c r="B896" t="s">
        <v>55</v>
      </c>
      <c r="C896" t="s">
        <v>28</v>
      </c>
      <c r="D896" t="s">
        <v>28</v>
      </c>
      <c r="E896" t="s">
        <v>6895</v>
      </c>
      <c r="F896" t="s">
        <v>6896</v>
      </c>
      <c r="G896" t="s">
        <v>6839</v>
      </c>
      <c r="H896" t="s">
        <v>6840</v>
      </c>
      <c r="I896" t="s">
        <v>6854</v>
      </c>
      <c r="J896" t="s">
        <v>6897</v>
      </c>
      <c r="K896" t="s">
        <v>6856</v>
      </c>
      <c r="L896" t="s">
        <v>20</v>
      </c>
      <c r="M896" t="s">
        <v>6890</v>
      </c>
      <c r="N896" t="s">
        <v>6891</v>
      </c>
      <c r="O896" t="s">
        <v>6898</v>
      </c>
      <c r="P896" t="s">
        <v>6899</v>
      </c>
    </row>
    <row r="897" spans="1:16" x14ac:dyDescent="0.35">
      <c r="A897" t="s">
        <v>538</v>
      </c>
      <c r="B897" t="s">
        <v>55</v>
      </c>
      <c r="C897" t="s">
        <v>311</v>
      </c>
      <c r="D897" t="s">
        <v>549</v>
      </c>
      <c r="E897" t="s">
        <v>6902</v>
      </c>
      <c r="F897" t="s">
        <v>6903</v>
      </c>
      <c r="G897" t="s">
        <v>6839</v>
      </c>
      <c r="H897" t="s">
        <v>6840</v>
      </c>
      <c r="I897" t="s">
        <v>82</v>
      </c>
      <c r="J897" t="s">
        <v>6904</v>
      </c>
      <c r="K897" t="s">
        <v>84</v>
      </c>
      <c r="L897" t="s">
        <v>20</v>
      </c>
      <c r="M897" t="s">
        <v>6900</v>
      </c>
      <c r="N897" t="s">
        <v>6901</v>
      </c>
      <c r="O897" t="s">
        <v>6905</v>
      </c>
      <c r="P897" t="s">
        <v>6906</v>
      </c>
    </row>
    <row r="898" spans="1:16" x14ac:dyDescent="0.35">
      <c r="A898" t="s">
        <v>6907</v>
      </c>
      <c r="B898" t="s">
        <v>107</v>
      </c>
      <c r="C898" t="s">
        <v>241</v>
      </c>
      <c r="D898" t="s">
        <v>141</v>
      </c>
      <c r="E898" t="s">
        <v>6908</v>
      </c>
      <c r="F898" t="s">
        <v>6909</v>
      </c>
      <c r="G898" t="s">
        <v>6839</v>
      </c>
      <c r="H898" t="s">
        <v>6840</v>
      </c>
      <c r="I898" t="s">
        <v>28</v>
      </c>
      <c r="J898" t="s">
        <v>28</v>
      </c>
      <c r="K898" t="s">
        <v>19</v>
      </c>
      <c r="L898" t="s">
        <v>20</v>
      </c>
      <c r="M898" t="s">
        <v>6900</v>
      </c>
      <c r="N898" t="s">
        <v>6901</v>
      </c>
      <c r="O898" t="s">
        <v>6910</v>
      </c>
      <c r="P898" t="s">
        <v>6911</v>
      </c>
    </row>
    <row r="899" spans="1:16" x14ac:dyDescent="0.35">
      <c r="A899" t="s">
        <v>6912</v>
      </c>
      <c r="B899" t="s">
        <v>55</v>
      </c>
      <c r="C899" t="s">
        <v>28</v>
      </c>
      <c r="D899" t="s">
        <v>28</v>
      </c>
      <c r="E899" t="s">
        <v>6913</v>
      </c>
      <c r="F899" t="s">
        <v>6914</v>
      </c>
      <c r="G899" t="s">
        <v>6839</v>
      </c>
      <c r="H899" t="s">
        <v>6840</v>
      </c>
      <c r="I899" t="s">
        <v>28</v>
      </c>
      <c r="J899" t="s">
        <v>28</v>
      </c>
      <c r="K899" t="s">
        <v>19</v>
      </c>
      <c r="L899" t="s">
        <v>20</v>
      </c>
      <c r="M899" t="s">
        <v>6915</v>
      </c>
      <c r="N899" t="s">
        <v>6916</v>
      </c>
      <c r="O899" t="s">
        <v>6917</v>
      </c>
      <c r="P899" t="s">
        <v>6918</v>
      </c>
    </row>
    <row r="900" spans="1:16" x14ac:dyDescent="0.35">
      <c r="A900" t="s">
        <v>6919</v>
      </c>
      <c r="B900" t="s">
        <v>55</v>
      </c>
      <c r="C900" t="s">
        <v>15</v>
      </c>
      <c r="D900" t="s">
        <v>16</v>
      </c>
      <c r="E900" t="s">
        <v>6920</v>
      </c>
      <c r="F900" t="s">
        <v>6921</v>
      </c>
      <c r="G900" t="s">
        <v>6839</v>
      </c>
      <c r="H900" t="s">
        <v>6840</v>
      </c>
      <c r="I900" t="s">
        <v>28</v>
      </c>
      <c r="J900" t="s">
        <v>6922</v>
      </c>
      <c r="K900" t="s">
        <v>19</v>
      </c>
      <c r="L900" t="s">
        <v>20</v>
      </c>
      <c r="M900" t="s">
        <v>6915</v>
      </c>
      <c r="N900" t="s">
        <v>6916</v>
      </c>
      <c r="O900" t="s">
        <v>6923</v>
      </c>
      <c r="P900" t="s">
        <v>6924</v>
      </c>
    </row>
    <row r="901" spans="1:16" x14ac:dyDescent="0.35">
      <c r="A901" t="s">
        <v>6925</v>
      </c>
      <c r="B901" t="s">
        <v>55</v>
      </c>
      <c r="C901" t="s">
        <v>1128</v>
      </c>
      <c r="D901" t="s">
        <v>124</v>
      </c>
      <c r="E901" t="s">
        <v>6895</v>
      </c>
      <c r="F901" t="s">
        <v>6926</v>
      </c>
      <c r="G901" t="s">
        <v>6839</v>
      </c>
      <c r="H901" t="s">
        <v>6840</v>
      </c>
      <c r="I901" t="s">
        <v>28</v>
      </c>
      <c r="J901" t="s">
        <v>6897</v>
      </c>
      <c r="K901" t="s">
        <v>19</v>
      </c>
      <c r="L901" t="s">
        <v>20</v>
      </c>
      <c r="M901" t="s">
        <v>6927</v>
      </c>
      <c r="N901" t="s">
        <v>6928</v>
      </c>
      <c r="O901" t="s">
        <v>6929</v>
      </c>
      <c r="P901" t="s">
        <v>6930</v>
      </c>
    </row>
    <row r="902" spans="1:16" x14ac:dyDescent="0.35">
      <c r="A902" t="s">
        <v>4062</v>
      </c>
      <c r="B902" t="s">
        <v>55</v>
      </c>
      <c r="C902" t="s">
        <v>25</v>
      </c>
      <c r="D902" t="s">
        <v>27</v>
      </c>
      <c r="E902" t="s">
        <v>6931</v>
      </c>
      <c r="F902" t="s">
        <v>6932</v>
      </c>
      <c r="G902" t="s">
        <v>6839</v>
      </c>
      <c r="H902" t="s">
        <v>6840</v>
      </c>
      <c r="I902" t="s">
        <v>4065</v>
      </c>
      <c r="J902" t="s">
        <v>4066</v>
      </c>
      <c r="K902" t="s">
        <v>4067</v>
      </c>
      <c r="L902" t="s">
        <v>20</v>
      </c>
      <c r="M902" t="s">
        <v>6933</v>
      </c>
      <c r="N902" t="s">
        <v>6934</v>
      </c>
      <c r="O902" t="s">
        <v>6935</v>
      </c>
      <c r="P902" t="s">
        <v>6936</v>
      </c>
    </row>
    <row r="903" spans="1:16" x14ac:dyDescent="0.35">
      <c r="A903" t="s">
        <v>6937</v>
      </c>
      <c r="B903" t="s">
        <v>55</v>
      </c>
      <c r="C903" t="s">
        <v>474</v>
      </c>
      <c r="D903" t="s">
        <v>282</v>
      </c>
      <c r="E903" t="s">
        <v>6938</v>
      </c>
      <c r="F903" t="s">
        <v>6939</v>
      </c>
      <c r="G903" t="s">
        <v>6839</v>
      </c>
      <c r="H903" t="s">
        <v>6840</v>
      </c>
      <c r="I903" t="s">
        <v>6010</v>
      </c>
      <c r="J903" t="s">
        <v>6940</v>
      </c>
      <c r="K903" t="s">
        <v>6012</v>
      </c>
      <c r="L903" t="s">
        <v>20</v>
      </c>
      <c r="M903" t="s">
        <v>6941</v>
      </c>
      <c r="N903" t="s">
        <v>6942</v>
      </c>
      <c r="O903" t="s">
        <v>6943</v>
      </c>
      <c r="P903" t="s">
        <v>6944</v>
      </c>
    </row>
    <row r="904" spans="1:16" x14ac:dyDescent="0.35">
      <c r="A904" t="s">
        <v>6945</v>
      </c>
      <c r="B904" t="s">
        <v>107</v>
      </c>
      <c r="C904" t="s">
        <v>28</v>
      </c>
      <c r="D904" t="s">
        <v>28</v>
      </c>
      <c r="E904" t="s">
        <v>6946</v>
      </c>
      <c r="F904" t="s">
        <v>6947</v>
      </c>
      <c r="G904" t="s">
        <v>6839</v>
      </c>
      <c r="H904" t="s">
        <v>6840</v>
      </c>
      <c r="I904" t="s">
        <v>6948</v>
      </c>
      <c r="J904" t="s">
        <v>6949</v>
      </c>
      <c r="K904" t="s">
        <v>19</v>
      </c>
      <c r="L904" t="s">
        <v>20</v>
      </c>
      <c r="M904" t="s">
        <v>6941</v>
      </c>
      <c r="N904" t="s">
        <v>6942</v>
      </c>
      <c r="O904" t="s">
        <v>6950</v>
      </c>
      <c r="P904" t="s">
        <v>6951</v>
      </c>
    </row>
    <row r="905" spans="1:16" x14ac:dyDescent="0.35">
      <c r="A905" t="s">
        <v>6952</v>
      </c>
      <c r="B905" t="s">
        <v>55</v>
      </c>
      <c r="C905" t="s">
        <v>28</v>
      </c>
      <c r="D905" t="s">
        <v>28</v>
      </c>
      <c r="E905" t="s">
        <v>6953</v>
      </c>
      <c r="F905" t="s">
        <v>6954</v>
      </c>
      <c r="G905" t="s">
        <v>6839</v>
      </c>
      <c r="H905" t="s">
        <v>6840</v>
      </c>
      <c r="I905" t="s">
        <v>28</v>
      </c>
      <c r="J905" t="s">
        <v>28</v>
      </c>
      <c r="K905" t="s">
        <v>19</v>
      </c>
      <c r="L905" t="s">
        <v>20</v>
      </c>
      <c r="M905" t="s">
        <v>6955</v>
      </c>
      <c r="N905" t="s">
        <v>6956</v>
      </c>
      <c r="O905" t="s">
        <v>6957</v>
      </c>
      <c r="P905" t="s">
        <v>6958</v>
      </c>
    </row>
    <row r="906" spans="1:16" x14ac:dyDescent="0.35">
      <c r="A906" t="s">
        <v>6959</v>
      </c>
      <c r="B906" t="s">
        <v>194</v>
      </c>
      <c r="C906" t="s">
        <v>28</v>
      </c>
      <c r="D906" t="s">
        <v>28</v>
      </c>
      <c r="E906" t="s">
        <v>6960</v>
      </c>
      <c r="F906" t="s">
        <v>6961</v>
      </c>
      <c r="G906" t="s">
        <v>6839</v>
      </c>
      <c r="H906" t="s">
        <v>6840</v>
      </c>
      <c r="I906" t="s">
        <v>28</v>
      </c>
      <c r="J906" t="s">
        <v>6962</v>
      </c>
      <c r="K906" t="s">
        <v>19</v>
      </c>
      <c r="L906" t="s">
        <v>20</v>
      </c>
      <c r="M906" t="s">
        <v>6963</v>
      </c>
      <c r="N906" t="s">
        <v>6964</v>
      </c>
      <c r="O906" t="s">
        <v>6965</v>
      </c>
      <c r="P906" t="s">
        <v>6966</v>
      </c>
    </row>
    <row r="907" spans="1:16" x14ac:dyDescent="0.35">
      <c r="A907" t="s">
        <v>6967</v>
      </c>
      <c r="B907" t="s">
        <v>157</v>
      </c>
      <c r="C907" t="s">
        <v>158</v>
      </c>
      <c r="D907" t="s">
        <v>141</v>
      </c>
      <c r="E907" t="s">
        <v>6968</v>
      </c>
      <c r="F907" t="s">
        <v>6969</v>
      </c>
      <c r="G907" t="s">
        <v>6839</v>
      </c>
      <c r="H907" t="s">
        <v>6840</v>
      </c>
      <c r="I907" t="s">
        <v>28</v>
      </c>
      <c r="J907" t="s">
        <v>6970</v>
      </c>
      <c r="K907" t="s">
        <v>19</v>
      </c>
      <c r="L907" t="s">
        <v>20</v>
      </c>
      <c r="M907" t="s">
        <v>6963</v>
      </c>
      <c r="N907" t="s">
        <v>6964</v>
      </c>
      <c r="O907" t="s">
        <v>6971</v>
      </c>
      <c r="P907" t="s">
        <v>6972</v>
      </c>
    </row>
    <row r="908" spans="1:16" x14ac:dyDescent="0.35">
      <c r="A908" t="s">
        <v>6974</v>
      </c>
      <c r="B908" t="s">
        <v>55</v>
      </c>
      <c r="C908" t="s">
        <v>140</v>
      </c>
      <c r="D908" t="s">
        <v>282</v>
      </c>
      <c r="E908" t="s">
        <v>6975</v>
      </c>
      <c r="F908" t="s">
        <v>6976</v>
      </c>
      <c r="G908" t="s">
        <v>6973</v>
      </c>
      <c r="H908" t="s">
        <v>6840</v>
      </c>
      <c r="I908" t="s">
        <v>28</v>
      </c>
      <c r="J908" t="s">
        <v>6977</v>
      </c>
      <c r="K908" t="s">
        <v>19</v>
      </c>
      <c r="L908" t="s">
        <v>20</v>
      </c>
      <c r="M908" t="s">
        <v>6978</v>
      </c>
      <c r="N908" t="s">
        <v>6979</v>
      </c>
      <c r="O908" t="s">
        <v>6980</v>
      </c>
      <c r="P908" t="s">
        <v>6981</v>
      </c>
    </row>
    <row r="909" spans="1:16" x14ac:dyDescent="0.35">
      <c r="A909" t="s">
        <v>6985</v>
      </c>
      <c r="B909" t="s">
        <v>32</v>
      </c>
      <c r="C909" t="s">
        <v>15</v>
      </c>
      <c r="D909" t="s">
        <v>348</v>
      </c>
      <c r="E909" t="s">
        <v>6986</v>
      </c>
      <c r="F909" t="s">
        <v>6987</v>
      </c>
      <c r="G909" t="s">
        <v>6982</v>
      </c>
      <c r="H909" t="s">
        <v>6982</v>
      </c>
      <c r="I909" t="s">
        <v>28</v>
      </c>
      <c r="J909" t="s">
        <v>6988</v>
      </c>
      <c r="K909" t="s">
        <v>19</v>
      </c>
      <c r="L909" t="s">
        <v>20</v>
      </c>
      <c r="M909" t="s">
        <v>6983</v>
      </c>
      <c r="N909" t="s">
        <v>6984</v>
      </c>
      <c r="O909" t="s">
        <v>6989</v>
      </c>
      <c r="P909" t="s">
        <v>6990</v>
      </c>
    </row>
    <row r="910" spans="1:16" x14ac:dyDescent="0.35">
      <c r="A910" t="s">
        <v>6841</v>
      </c>
      <c r="B910" t="s">
        <v>55</v>
      </c>
      <c r="C910" t="s">
        <v>1128</v>
      </c>
      <c r="D910" t="s">
        <v>614</v>
      </c>
      <c r="E910" t="s">
        <v>6991</v>
      </c>
      <c r="F910" t="s">
        <v>6992</v>
      </c>
      <c r="G910" t="s">
        <v>6982</v>
      </c>
      <c r="H910" t="s">
        <v>6982</v>
      </c>
      <c r="I910" t="s">
        <v>28</v>
      </c>
      <c r="J910" t="s">
        <v>6993</v>
      </c>
      <c r="K910" t="s">
        <v>19</v>
      </c>
      <c r="L910" t="s">
        <v>20</v>
      </c>
      <c r="M910" t="s">
        <v>6994</v>
      </c>
      <c r="N910" t="s">
        <v>6995</v>
      </c>
      <c r="O910" t="s">
        <v>6996</v>
      </c>
      <c r="P910" t="s">
        <v>6997</v>
      </c>
    </row>
    <row r="911" spans="1:16" x14ac:dyDescent="0.35">
      <c r="A911" t="s">
        <v>6841</v>
      </c>
      <c r="B911" t="s">
        <v>55</v>
      </c>
      <c r="C911" t="s">
        <v>15</v>
      </c>
      <c r="D911" t="s">
        <v>16</v>
      </c>
      <c r="E911" t="s">
        <v>6998</v>
      </c>
      <c r="F911" t="s">
        <v>6999</v>
      </c>
      <c r="G911" t="s">
        <v>6982</v>
      </c>
      <c r="H911" t="s">
        <v>6982</v>
      </c>
      <c r="I911" t="s">
        <v>28</v>
      </c>
      <c r="J911" t="s">
        <v>7000</v>
      </c>
      <c r="K911" t="s">
        <v>19</v>
      </c>
      <c r="L911" t="s">
        <v>20</v>
      </c>
      <c r="M911" t="s">
        <v>6994</v>
      </c>
      <c r="N911" t="s">
        <v>6995</v>
      </c>
      <c r="O911" t="s">
        <v>7001</v>
      </c>
      <c r="P911" t="s">
        <v>7002</v>
      </c>
    </row>
    <row r="912" spans="1:16" x14ac:dyDescent="0.35">
      <c r="A912" t="s">
        <v>7003</v>
      </c>
      <c r="B912" t="s">
        <v>32</v>
      </c>
      <c r="C912" t="s">
        <v>15</v>
      </c>
      <c r="D912" t="s">
        <v>16</v>
      </c>
      <c r="E912" t="s">
        <v>7004</v>
      </c>
      <c r="F912" t="s">
        <v>7005</v>
      </c>
      <c r="G912" t="s">
        <v>6982</v>
      </c>
      <c r="H912" t="s">
        <v>6982</v>
      </c>
      <c r="I912" t="s">
        <v>207</v>
      </c>
      <c r="J912" t="s">
        <v>7006</v>
      </c>
      <c r="K912" t="s">
        <v>19</v>
      </c>
      <c r="L912" t="s">
        <v>20</v>
      </c>
      <c r="M912" t="s">
        <v>7007</v>
      </c>
      <c r="N912" t="s">
        <v>7008</v>
      </c>
      <c r="O912" t="s">
        <v>7009</v>
      </c>
      <c r="P912" t="s">
        <v>7010</v>
      </c>
    </row>
    <row r="913" spans="1:16" x14ac:dyDescent="0.35">
      <c r="A913" t="s">
        <v>7011</v>
      </c>
      <c r="B913" t="s">
        <v>55</v>
      </c>
      <c r="C913" t="s">
        <v>1128</v>
      </c>
      <c r="D913" t="s">
        <v>27</v>
      </c>
      <c r="E913" t="s">
        <v>7012</v>
      </c>
      <c r="F913" t="s">
        <v>7013</v>
      </c>
      <c r="G913" t="s">
        <v>6982</v>
      </c>
      <c r="H913" t="s">
        <v>6982</v>
      </c>
      <c r="I913" t="s">
        <v>28</v>
      </c>
      <c r="J913" t="s">
        <v>7014</v>
      </c>
      <c r="K913" t="s">
        <v>19</v>
      </c>
      <c r="L913" t="s">
        <v>20</v>
      </c>
      <c r="M913" t="s">
        <v>7015</v>
      </c>
      <c r="N913" t="s">
        <v>7016</v>
      </c>
      <c r="O913" t="s">
        <v>7017</v>
      </c>
      <c r="P913" t="s">
        <v>7018</v>
      </c>
    </row>
    <row r="914" spans="1:16" x14ac:dyDescent="0.35">
      <c r="A914" t="s">
        <v>7019</v>
      </c>
      <c r="B914" t="s">
        <v>55</v>
      </c>
      <c r="C914" t="s">
        <v>28</v>
      </c>
      <c r="D914" t="s">
        <v>28</v>
      </c>
      <c r="E914" t="s">
        <v>6986</v>
      </c>
      <c r="F914" t="s">
        <v>6987</v>
      </c>
      <c r="G914" t="s">
        <v>6982</v>
      </c>
      <c r="H914" t="s">
        <v>6982</v>
      </c>
      <c r="I914" t="s">
        <v>7020</v>
      </c>
      <c r="J914" t="s">
        <v>7021</v>
      </c>
      <c r="K914" t="s">
        <v>7022</v>
      </c>
      <c r="L914" t="s">
        <v>20</v>
      </c>
      <c r="M914" t="s">
        <v>7023</v>
      </c>
      <c r="N914" t="s">
        <v>7024</v>
      </c>
      <c r="O914" t="s">
        <v>7025</v>
      </c>
      <c r="P914" t="s">
        <v>7026</v>
      </c>
    </row>
    <row r="915" spans="1:16" x14ac:dyDescent="0.35">
      <c r="A915" t="s">
        <v>2404</v>
      </c>
      <c r="B915" t="s">
        <v>55</v>
      </c>
      <c r="C915" t="s">
        <v>1128</v>
      </c>
      <c r="D915" t="s">
        <v>27</v>
      </c>
      <c r="E915" t="s">
        <v>7027</v>
      </c>
      <c r="F915" t="s">
        <v>7028</v>
      </c>
      <c r="G915" t="s">
        <v>6982</v>
      </c>
      <c r="H915" t="s">
        <v>6982</v>
      </c>
      <c r="I915" t="s">
        <v>28</v>
      </c>
      <c r="J915" t="s">
        <v>7029</v>
      </c>
      <c r="K915" t="s">
        <v>19</v>
      </c>
      <c r="L915" t="s">
        <v>20</v>
      </c>
      <c r="M915" t="s">
        <v>7030</v>
      </c>
      <c r="N915" t="s">
        <v>7031</v>
      </c>
      <c r="O915" t="s">
        <v>7032</v>
      </c>
      <c r="P915" t="s">
        <v>7033</v>
      </c>
    </row>
    <row r="916" spans="1:16" x14ac:dyDescent="0.35">
      <c r="A916" t="s">
        <v>7034</v>
      </c>
      <c r="B916" t="s">
        <v>55</v>
      </c>
      <c r="C916" t="s">
        <v>28</v>
      </c>
      <c r="D916" t="s">
        <v>28</v>
      </c>
      <c r="E916" t="s">
        <v>7035</v>
      </c>
      <c r="F916" t="s">
        <v>7036</v>
      </c>
      <c r="G916" t="s">
        <v>6982</v>
      </c>
      <c r="H916" t="s">
        <v>6982</v>
      </c>
      <c r="I916" t="s">
        <v>28</v>
      </c>
      <c r="J916" t="s">
        <v>7037</v>
      </c>
      <c r="K916" t="s">
        <v>19</v>
      </c>
      <c r="L916" t="s">
        <v>20</v>
      </c>
      <c r="M916" t="s">
        <v>7038</v>
      </c>
      <c r="N916" t="s">
        <v>7039</v>
      </c>
      <c r="O916" t="s">
        <v>7040</v>
      </c>
      <c r="P916" t="s">
        <v>7041</v>
      </c>
    </row>
    <row r="917" spans="1:16" x14ac:dyDescent="0.35">
      <c r="A917" t="s">
        <v>7042</v>
      </c>
      <c r="B917" t="s">
        <v>373</v>
      </c>
      <c r="C917" t="s">
        <v>699</v>
      </c>
      <c r="D917" t="s">
        <v>282</v>
      </c>
      <c r="E917" t="s">
        <v>7043</v>
      </c>
      <c r="F917" t="s">
        <v>7044</v>
      </c>
      <c r="G917" t="s">
        <v>6982</v>
      </c>
      <c r="H917" t="s">
        <v>6982</v>
      </c>
      <c r="I917" t="s">
        <v>28</v>
      </c>
      <c r="J917" t="s">
        <v>28</v>
      </c>
      <c r="K917" t="s">
        <v>19</v>
      </c>
      <c r="L917" t="s">
        <v>20</v>
      </c>
      <c r="M917" t="s">
        <v>7045</v>
      </c>
      <c r="N917" t="s">
        <v>7046</v>
      </c>
      <c r="O917" t="s">
        <v>7047</v>
      </c>
      <c r="P917" t="s">
        <v>7048</v>
      </c>
    </row>
    <row r="918" spans="1:16" x14ac:dyDescent="0.35">
      <c r="A918" t="s">
        <v>7049</v>
      </c>
      <c r="B918" t="s">
        <v>55</v>
      </c>
      <c r="C918" t="s">
        <v>28</v>
      </c>
      <c r="D918" t="s">
        <v>28</v>
      </c>
      <c r="E918" t="s">
        <v>7050</v>
      </c>
      <c r="F918" t="s">
        <v>7051</v>
      </c>
      <c r="G918" t="s">
        <v>6982</v>
      </c>
      <c r="H918" t="s">
        <v>6982</v>
      </c>
      <c r="I918" t="s">
        <v>7052</v>
      </c>
      <c r="J918" t="s">
        <v>28</v>
      </c>
      <c r="K918" t="s">
        <v>7053</v>
      </c>
      <c r="L918" t="s">
        <v>20</v>
      </c>
      <c r="M918" t="s">
        <v>7045</v>
      </c>
      <c r="N918" t="s">
        <v>7046</v>
      </c>
      <c r="O918" t="s">
        <v>7054</v>
      </c>
      <c r="P918" t="s">
        <v>7055</v>
      </c>
    </row>
    <row r="919" spans="1:16" x14ac:dyDescent="0.35">
      <c r="A919" t="s">
        <v>7056</v>
      </c>
      <c r="B919" t="s">
        <v>55</v>
      </c>
      <c r="C919" t="s">
        <v>15</v>
      </c>
      <c r="D919" t="s">
        <v>124</v>
      </c>
      <c r="E919" t="s">
        <v>7057</v>
      </c>
      <c r="F919" t="s">
        <v>7058</v>
      </c>
      <c r="G919" t="s">
        <v>6982</v>
      </c>
      <c r="H919" t="s">
        <v>6982</v>
      </c>
      <c r="I919" t="s">
        <v>7059</v>
      </c>
      <c r="J919" t="s">
        <v>7060</v>
      </c>
      <c r="K919" t="s">
        <v>7061</v>
      </c>
      <c r="L919" t="s">
        <v>20</v>
      </c>
      <c r="M919" t="s">
        <v>7045</v>
      </c>
      <c r="N919" t="s">
        <v>7046</v>
      </c>
      <c r="O919" t="s">
        <v>7062</v>
      </c>
      <c r="P919" t="s">
        <v>7063</v>
      </c>
    </row>
    <row r="920" spans="1:16" x14ac:dyDescent="0.35">
      <c r="A920" t="s">
        <v>7064</v>
      </c>
      <c r="B920" t="s">
        <v>55</v>
      </c>
      <c r="C920" t="s">
        <v>28</v>
      </c>
      <c r="D920" t="s">
        <v>28</v>
      </c>
      <c r="E920" t="s">
        <v>7065</v>
      </c>
      <c r="F920" t="s">
        <v>7066</v>
      </c>
      <c r="G920" t="s">
        <v>6982</v>
      </c>
      <c r="H920" t="s">
        <v>6982</v>
      </c>
      <c r="I920" t="s">
        <v>28</v>
      </c>
      <c r="J920" t="s">
        <v>7067</v>
      </c>
      <c r="K920" t="s">
        <v>19</v>
      </c>
      <c r="L920" t="s">
        <v>20</v>
      </c>
      <c r="M920" t="s">
        <v>7045</v>
      </c>
      <c r="N920" t="s">
        <v>7046</v>
      </c>
      <c r="O920" t="s">
        <v>7068</v>
      </c>
      <c r="P920" t="s">
        <v>7069</v>
      </c>
    </row>
    <row r="921" spans="1:16" x14ac:dyDescent="0.35">
      <c r="A921" t="s">
        <v>7070</v>
      </c>
      <c r="B921" t="s">
        <v>107</v>
      </c>
      <c r="C921" t="s">
        <v>241</v>
      </c>
      <c r="D921" t="s">
        <v>7071</v>
      </c>
      <c r="E921" t="s">
        <v>7072</v>
      </c>
      <c r="F921" t="s">
        <v>7073</v>
      </c>
      <c r="G921" t="s">
        <v>7074</v>
      </c>
      <c r="H921" t="s">
        <v>6982</v>
      </c>
      <c r="I921" t="s">
        <v>7075</v>
      </c>
      <c r="J921" t="s">
        <v>7076</v>
      </c>
      <c r="K921" t="s">
        <v>19</v>
      </c>
      <c r="L921" t="s">
        <v>20</v>
      </c>
      <c r="M921" t="s">
        <v>7077</v>
      </c>
      <c r="N921" t="s">
        <v>7078</v>
      </c>
      <c r="O921" t="s">
        <v>7079</v>
      </c>
      <c r="P921" t="s">
        <v>7080</v>
      </c>
    </row>
    <row r="922" spans="1:16" x14ac:dyDescent="0.35">
      <c r="A922" t="s">
        <v>7081</v>
      </c>
      <c r="B922" t="s">
        <v>55</v>
      </c>
      <c r="C922" t="s">
        <v>432</v>
      </c>
      <c r="D922" t="s">
        <v>27</v>
      </c>
      <c r="E922" t="s">
        <v>7082</v>
      </c>
      <c r="F922" t="s">
        <v>7083</v>
      </c>
      <c r="G922" t="s">
        <v>7084</v>
      </c>
      <c r="H922" t="s">
        <v>6982</v>
      </c>
      <c r="I922" t="s">
        <v>7085</v>
      </c>
      <c r="J922" t="s">
        <v>7086</v>
      </c>
      <c r="K922" t="s">
        <v>19</v>
      </c>
      <c r="L922" t="s">
        <v>20</v>
      </c>
      <c r="M922" t="s">
        <v>7087</v>
      </c>
      <c r="N922" t="s">
        <v>7088</v>
      </c>
      <c r="O922" t="s">
        <v>7089</v>
      </c>
      <c r="P922" t="s">
        <v>7090</v>
      </c>
    </row>
    <row r="923" spans="1:16" x14ac:dyDescent="0.35">
      <c r="A923" t="s">
        <v>7091</v>
      </c>
      <c r="B923" t="s">
        <v>55</v>
      </c>
      <c r="C923" t="s">
        <v>474</v>
      </c>
      <c r="D923" t="s">
        <v>242</v>
      </c>
      <c r="E923" t="s">
        <v>7092</v>
      </c>
      <c r="F923" t="s">
        <v>7093</v>
      </c>
      <c r="G923" t="s">
        <v>7074</v>
      </c>
      <c r="H923" t="s">
        <v>6982</v>
      </c>
      <c r="I923" t="s">
        <v>28</v>
      </c>
      <c r="J923" t="s">
        <v>7094</v>
      </c>
      <c r="K923" t="s">
        <v>19</v>
      </c>
      <c r="L923" t="s">
        <v>20</v>
      </c>
      <c r="M923" t="s">
        <v>7095</v>
      </c>
      <c r="N923" t="s">
        <v>7096</v>
      </c>
      <c r="O923" t="s">
        <v>7097</v>
      </c>
      <c r="P923" t="s">
        <v>7098</v>
      </c>
    </row>
    <row r="924" spans="1:16" x14ac:dyDescent="0.35">
      <c r="A924" t="s">
        <v>538</v>
      </c>
      <c r="B924" t="s">
        <v>55</v>
      </c>
      <c r="C924" t="s">
        <v>205</v>
      </c>
      <c r="D924" t="s">
        <v>1785</v>
      </c>
      <c r="E924" t="s">
        <v>7099</v>
      </c>
      <c r="F924" t="s">
        <v>7100</v>
      </c>
      <c r="G924" t="s">
        <v>7074</v>
      </c>
      <c r="H924" t="s">
        <v>6982</v>
      </c>
      <c r="I924" t="s">
        <v>82</v>
      </c>
      <c r="J924" t="s">
        <v>7101</v>
      </c>
      <c r="K924" t="s">
        <v>84</v>
      </c>
      <c r="L924" t="s">
        <v>20</v>
      </c>
      <c r="M924" t="s">
        <v>7102</v>
      </c>
      <c r="N924" t="s">
        <v>7103</v>
      </c>
      <c r="O924" t="s">
        <v>7104</v>
      </c>
      <c r="P924" t="s">
        <v>7105</v>
      </c>
    </row>
    <row r="925" spans="1:16" x14ac:dyDescent="0.35">
      <c r="A925" t="s">
        <v>7106</v>
      </c>
      <c r="B925" t="s">
        <v>55</v>
      </c>
      <c r="C925" t="s">
        <v>691</v>
      </c>
      <c r="D925" t="s">
        <v>7107</v>
      </c>
      <c r="E925" t="s">
        <v>7108</v>
      </c>
      <c r="F925" t="s">
        <v>7109</v>
      </c>
      <c r="G925" t="s">
        <v>7110</v>
      </c>
      <c r="H925" t="s">
        <v>6982</v>
      </c>
      <c r="I925" t="s">
        <v>6776</v>
      </c>
      <c r="J925" t="s">
        <v>7111</v>
      </c>
      <c r="K925" t="s">
        <v>19</v>
      </c>
      <c r="L925" t="s">
        <v>20</v>
      </c>
      <c r="M925" t="s">
        <v>7112</v>
      </c>
      <c r="N925" t="s">
        <v>7113</v>
      </c>
      <c r="O925" t="s">
        <v>7114</v>
      </c>
      <c r="P925" t="s">
        <v>7115</v>
      </c>
    </row>
    <row r="926" spans="1:16" x14ac:dyDescent="0.35">
      <c r="A926" t="s">
        <v>1546</v>
      </c>
      <c r="B926" t="s">
        <v>32</v>
      </c>
      <c r="C926" t="s">
        <v>613</v>
      </c>
      <c r="D926" t="s">
        <v>68</v>
      </c>
      <c r="E926" t="s">
        <v>7121</v>
      </c>
      <c r="F926" t="s">
        <v>7122</v>
      </c>
      <c r="G926" t="s">
        <v>7116</v>
      </c>
      <c r="H926" t="s">
        <v>7116</v>
      </c>
      <c r="I926" t="s">
        <v>28</v>
      </c>
      <c r="J926" t="s">
        <v>7123</v>
      </c>
      <c r="K926" t="s">
        <v>19</v>
      </c>
      <c r="L926" t="s">
        <v>20</v>
      </c>
      <c r="M926" t="s">
        <v>7119</v>
      </c>
      <c r="N926" t="s">
        <v>7120</v>
      </c>
      <c r="O926" t="s">
        <v>7124</v>
      </c>
      <c r="P926" t="s">
        <v>915</v>
      </c>
    </row>
    <row r="927" spans="1:16" x14ac:dyDescent="0.35">
      <c r="A927" t="s">
        <v>7125</v>
      </c>
      <c r="B927" t="s">
        <v>55</v>
      </c>
      <c r="C927" t="s">
        <v>250</v>
      </c>
      <c r="D927" t="s">
        <v>348</v>
      </c>
      <c r="E927" t="s">
        <v>7126</v>
      </c>
      <c r="F927" t="s">
        <v>7127</v>
      </c>
      <c r="G927" t="s">
        <v>7116</v>
      </c>
      <c r="H927" t="s">
        <v>7116</v>
      </c>
      <c r="I927" t="s">
        <v>28</v>
      </c>
      <c r="J927" t="s">
        <v>7128</v>
      </c>
      <c r="K927" t="s">
        <v>19</v>
      </c>
      <c r="L927" t="s">
        <v>20</v>
      </c>
      <c r="M927" t="s">
        <v>7119</v>
      </c>
      <c r="N927" t="s">
        <v>7120</v>
      </c>
      <c r="O927" t="s">
        <v>7129</v>
      </c>
      <c r="P927" t="s">
        <v>7130</v>
      </c>
    </row>
    <row r="928" spans="1:16" x14ac:dyDescent="0.35">
      <c r="A928" t="s">
        <v>2159</v>
      </c>
      <c r="B928" t="s">
        <v>55</v>
      </c>
      <c r="C928" t="s">
        <v>28</v>
      </c>
      <c r="D928" t="s">
        <v>28</v>
      </c>
      <c r="E928" t="s">
        <v>7131</v>
      </c>
      <c r="F928" t="s">
        <v>7132</v>
      </c>
      <c r="G928" t="s">
        <v>7116</v>
      </c>
      <c r="H928" t="s">
        <v>7116</v>
      </c>
      <c r="I928" t="s">
        <v>82</v>
      </c>
      <c r="J928" t="s">
        <v>7133</v>
      </c>
      <c r="K928" t="s">
        <v>84</v>
      </c>
      <c r="L928" t="s">
        <v>20</v>
      </c>
      <c r="M928" t="s">
        <v>7117</v>
      </c>
      <c r="N928" t="s">
        <v>7118</v>
      </c>
      <c r="O928" t="s">
        <v>7134</v>
      </c>
      <c r="P928" t="s">
        <v>7135</v>
      </c>
    </row>
    <row r="929" spans="1:16" x14ac:dyDescent="0.35">
      <c r="A929" t="s">
        <v>7136</v>
      </c>
      <c r="B929" t="s">
        <v>55</v>
      </c>
      <c r="C929" t="s">
        <v>341</v>
      </c>
      <c r="D929" t="s">
        <v>1578</v>
      </c>
      <c r="E929" t="s">
        <v>7137</v>
      </c>
      <c r="F929" t="s">
        <v>7138</v>
      </c>
      <c r="G929" t="s">
        <v>7116</v>
      </c>
      <c r="H929" t="s">
        <v>7116</v>
      </c>
      <c r="I929" t="s">
        <v>1576</v>
      </c>
      <c r="J929" t="s">
        <v>7139</v>
      </c>
      <c r="K929" t="s">
        <v>19</v>
      </c>
      <c r="L929" t="s">
        <v>20</v>
      </c>
      <c r="M929" t="s">
        <v>7140</v>
      </c>
      <c r="N929" t="s">
        <v>7141</v>
      </c>
      <c r="O929" t="s">
        <v>7142</v>
      </c>
      <c r="P929" t="s">
        <v>7143</v>
      </c>
    </row>
    <row r="930" spans="1:16" x14ac:dyDescent="0.35">
      <c r="A930" t="s">
        <v>7144</v>
      </c>
      <c r="B930" t="s">
        <v>55</v>
      </c>
      <c r="C930" t="s">
        <v>357</v>
      </c>
      <c r="D930" t="s">
        <v>374</v>
      </c>
      <c r="E930" t="s">
        <v>7145</v>
      </c>
      <c r="F930" t="s">
        <v>7146</v>
      </c>
      <c r="G930" t="s">
        <v>7116</v>
      </c>
      <c r="H930" t="s">
        <v>7116</v>
      </c>
      <c r="I930" t="s">
        <v>28</v>
      </c>
      <c r="J930" t="s">
        <v>7147</v>
      </c>
      <c r="K930" t="s">
        <v>19</v>
      </c>
      <c r="L930" t="s">
        <v>20</v>
      </c>
      <c r="M930" t="s">
        <v>7148</v>
      </c>
      <c r="N930" t="s">
        <v>7149</v>
      </c>
      <c r="O930" t="s">
        <v>7150</v>
      </c>
      <c r="P930" t="s">
        <v>915</v>
      </c>
    </row>
    <row r="931" spans="1:16" x14ac:dyDescent="0.35">
      <c r="A931" t="s">
        <v>7151</v>
      </c>
      <c r="B931" t="s">
        <v>55</v>
      </c>
      <c r="C931" t="s">
        <v>28</v>
      </c>
      <c r="D931" t="s">
        <v>28</v>
      </c>
      <c r="E931" t="s">
        <v>7152</v>
      </c>
      <c r="F931" t="s">
        <v>7153</v>
      </c>
      <c r="G931" t="s">
        <v>7116</v>
      </c>
      <c r="H931" t="s">
        <v>7116</v>
      </c>
      <c r="I931" t="s">
        <v>1331</v>
      </c>
      <c r="J931" t="s">
        <v>28</v>
      </c>
      <c r="K931" t="s">
        <v>19</v>
      </c>
      <c r="L931" t="s">
        <v>20</v>
      </c>
      <c r="M931" t="s">
        <v>7154</v>
      </c>
      <c r="N931" t="s">
        <v>7155</v>
      </c>
      <c r="O931" t="s">
        <v>7156</v>
      </c>
      <c r="P931" t="s">
        <v>7157</v>
      </c>
    </row>
    <row r="932" spans="1:16" x14ac:dyDescent="0.35">
      <c r="A932" t="s">
        <v>7158</v>
      </c>
      <c r="B932" t="s">
        <v>32</v>
      </c>
      <c r="C932" t="s">
        <v>691</v>
      </c>
      <c r="D932" t="s">
        <v>68</v>
      </c>
      <c r="E932" t="s">
        <v>7159</v>
      </c>
      <c r="F932" t="s">
        <v>7160</v>
      </c>
      <c r="G932" t="s">
        <v>7161</v>
      </c>
      <c r="H932" t="s">
        <v>7162</v>
      </c>
      <c r="I932" t="s">
        <v>28</v>
      </c>
      <c r="J932" t="s">
        <v>28</v>
      </c>
      <c r="K932" t="s">
        <v>19</v>
      </c>
      <c r="L932" t="s">
        <v>20</v>
      </c>
      <c r="M932" t="s">
        <v>7163</v>
      </c>
      <c r="N932" t="s">
        <v>7164</v>
      </c>
      <c r="O932" t="s">
        <v>7165</v>
      </c>
      <c r="P932" t="s">
        <v>7166</v>
      </c>
    </row>
    <row r="933" spans="1:16" x14ac:dyDescent="0.35">
      <c r="A933" t="s">
        <v>7167</v>
      </c>
      <c r="B933" t="s">
        <v>32</v>
      </c>
      <c r="C933" t="s">
        <v>78</v>
      </c>
      <c r="D933" t="s">
        <v>68</v>
      </c>
      <c r="E933" t="s">
        <v>7168</v>
      </c>
      <c r="F933" t="s">
        <v>7169</v>
      </c>
      <c r="G933" t="s">
        <v>7161</v>
      </c>
      <c r="H933" t="s">
        <v>7162</v>
      </c>
      <c r="I933" t="s">
        <v>28</v>
      </c>
      <c r="J933" t="s">
        <v>28</v>
      </c>
      <c r="K933" t="s">
        <v>19</v>
      </c>
      <c r="L933" t="s">
        <v>20</v>
      </c>
      <c r="M933" t="s">
        <v>7170</v>
      </c>
      <c r="N933" t="s">
        <v>7171</v>
      </c>
      <c r="O933" t="s">
        <v>7172</v>
      </c>
      <c r="P933" t="s">
        <v>7173</v>
      </c>
    </row>
    <row r="934" spans="1:16" x14ac:dyDescent="0.35">
      <c r="A934" t="s">
        <v>7174</v>
      </c>
      <c r="B934" t="s">
        <v>55</v>
      </c>
      <c r="C934" t="s">
        <v>15</v>
      </c>
      <c r="D934" t="s">
        <v>27</v>
      </c>
      <c r="E934" t="s">
        <v>7175</v>
      </c>
      <c r="F934" t="s">
        <v>7176</v>
      </c>
      <c r="G934" t="s">
        <v>7177</v>
      </c>
      <c r="H934" t="s">
        <v>253</v>
      </c>
      <c r="I934" t="s">
        <v>28</v>
      </c>
      <c r="J934" t="s">
        <v>7178</v>
      </c>
      <c r="K934" t="s">
        <v>19</v>
      </c>
      <c r="L934" t="s">
        <v>20</v>
      </c>
      <c r="M934" t="s">
        <v>7179</v>
      </c>
      <c r="N934" t="s">
        <v>7180</v>
      </c>
      <c r="O934" t="s">
        <v>7181</v>
      </c>
      <c r="P934" t="s">
        <v>7182</v>
      </c>
    </row>
    <row r="935" spans="1:16" x14ac:dyDescent="0.35">
      <c r="A935" t="s">
        <v>7187</v>
      </c>
      <c r="B935" t="s">
        <v>32</v>
      </c>
      <c r="C935" t="s">
        <v>117</v>
      </c>
      <c r="D935" t="s">
        <v>614</v>
      </c>
      <c r="E935" t="s">
        <v>7188</v>
      </c>
      <c r="F935" t="s">
        <v>7189</v>
      </c>
      <c r="G935" t="s">
        <v>7183</v>
      </c>
      <c r="H935" t="s">
        <v>7184</v>
      </c>
      <c r="I935" t="s">
        <v>7190</v>
      </c>
      <c r="J935" t="s">
        <v>7191</v>
      </c>
      <c r="K935" t="s">
        <v>19</v>
      </c>
      <c r="L935" t="s">
        <v>20</v>
      </c>
      <c r="M935" t="s">
        <v>7185</v>
      </c>
      <c r="N935" t="s">
        <v>7186</v>
      </c>
      <c r="O935" t="s">
        <v>7192</v>
      </c>
      <c r="P935" t="s">
        <v>7193</v>
      </c>
    </row>
    <row r="936" spans="1:16" x14ac:dyDescent="0.35">
      <c r="A936" t="s">
        <v>7194</v>
      </c>
      <c r="B936" t="s">
        <v>32</v>
      </c>
      <c r="C936" t="s">
        <v>691</v>
      </c>
      <c r="D936" t="s">
        <v>812</v>
      </c>
      <c r="E936" t="s">
        <v>7195</v>
      </c>
      <c r="F936" t="s">
        <v>7196</v>
      </c>
      <c r="G936" t="s">
        <v>7183</v>
      </c>
      <c r="H936" t="s">
        <v>7184</v>
      </c>
      <c r="I936" t="s">
        <v>7197</v>
      </c>
      <c r="J936" t="s">
        <v>7198</v>
      </c>
      <c r="K936" t="s">
        <v>19</v>
      </c>
      <c r="L936" t="s">
        <v>20</v>
      </c>
      <c r="M936" t="s">
        <v>7185</v>
      </c>
      <c r="N936" t="s">
        <v>7186</v>
      </c>
      <c r="O936" t="s">
        <v>7199</v>
      </c>
      <c r="P936" t="s">
        <v>7200</v>
      </c>
    </row>
    <row r="937" spans="1:16" x14ac:dyDescent="0.35">
      <c r="A937" t="s">
        <v>7201</v>
      </c>
      <c r="B937" t="s">
        <v>32</v>
      </c>
      <c r="C937" t="s">
        <v>962</v>
      </c>
      <c r="D937" t="s">
        <v>7202</v>
      </c>
      <c r="E937" t="s">
        <v>7203</v>
      </c>
      <c r="F937" t="s">
        <v>7204</v>
      </c>
      <c r="G937" t="s">
        <v>7183</v>
      </c>
      <c r="H937" t="s">
        <v>7184</v>
      </c>
      <c r="I937" t="s">
        <v>28</v>
      </c>
      <c r="J937" t="s">
        <v>7205</v>
      </c>
      <c r="K937" t="s">
        <v>19</v>
      </c>
      <c r="L937" t="s">
        <v>20</v>
      </c>
      <c r="M937" t="s">
        <v>7185</v>
      </c>
      <c r="N937" t="s">
        <v>7186</v>
      </c>
      <c r="O937" t="s">
        <v>7206</v>
      </c>
      <c r="P937" t="s">
        <v>7207</v>
      </c>
    </row>
    <row r="938" spans="1:16" x14ac:dyDescent="0.35">
      <c r="A938" t="s">
        <v>1407</v>
      </c>
      <c r="B938" t="s">
        <v>88</v>
      </c>
      <c r="C938" t="s">
        <v>341</v>
      </c>
      <c r="D938" t="s">
        <v>614</v>
      </c>
      <c r="E938" t="s">
        <v>7208</v>
      </c>
      <c r="F938" t="s">
        <v>7209</v>
      </c>
      <c r="G938" t="s">
        <v>7183</v>
      </c>
      <c r="H938" t="s">
        <v>7184</v>
      </c>
      <c r="I938" t="s">
        <v>91</v>
      </c>
      <c r="J938" t="s">
        <v>7210</v>
      </c>
      <c r="K938" t="s">
        <v>19</v>
      </c>
      <c r="L938" t="s">
        <v>20</v>
      </c>
      <c r="M938" t="s">
        <v>7185</v>
      </c>
      <c r="N938" t="s">
        <v>7186</v>
      </c>
      <c r="O938" t="s">
        <v>7211</v>
      </c>
      <c r="P938" t="s">
        <v>7212</v>
      </c>
    </row>
    <row r="939" spans="1:16" x14ac:dyDescent="0.35">
      <c r="A939" t="s">
        <v>7213</v>
      </c>
      <c r="B939" t="s">
        <v>32</v>
      </c>
      <c r="C939" t="s">
        <v>1128</v>
      </c>
      <c r="D939" t="s">
        <v>185</v>
      </c>
      <c r="E939" t="s">
        <v>7214</v>
      </c>
      <c r="F939" t="s">
        <v>7215</v>
      </c>
      <c r="G939" t="s">
        <v>7183</v>
      </c>
      <c r="H939" t="s">
        <v>7184</v>
      </c>
      <c r="I939" t="s">
        <v>7197</v>
      </c>
      <c r="J939" t="s">
        <v>7216</v>
      </c>
      <c r="K939" t="s">
        <v>19</v>
      </c>
      <c r="L939" t="s">
        <v>20</v>
      </c>
      <c r="M939" t="s">
        <v>7185</v>
      </c>
      <c r="N939" t="s">
        <v>7186</v>
      </c>
      <c r="O939" t="s">
        <v>7217</v>
      </c>
      <c r="P939" t="s">
        <v>7218</v>
      </c>
    </row>
    <row r="940" spans="1:16" x14ac:dyDescent="0.35">
      <c r="A940" t="s">
        <v>7219</v>
      </c>
      <c r="B940" t="s">
        <v>32</v>
      </c>
      <c r="C940" t="s">
        <v>691</v>
      </c>
      <c r="D940" t="s">
        <v>206</v>
      </c>
      <c r="E940" t="s">
        <v>7220</v>
      </c>
      <c r="F940" t="s">
        <v>7221</v>
      </c>
      <c r="G940" t="s">
        <v>7183</v>
      </c>
      <c r="H940" t="s">
        <v>7184</v>
      </c>
      <c r="I940" t="s">
        <v>28</v>
      </c>
      <c r="J940" t="s">
        <v>7222</v>
      </c>
      <c r="K940" t="s">
        <v>19</v>
      </c>
      <c r="L940" t="s">
        <v>20</v>
      </c>
      <c r="M940" t="s">
        <v>7185</v>
      </c>
      <c r="N940" t="s">
        <v>7186</v>
      </c>
      <c r="O940" t="s">
        <v>7223</v>
      </c>
      <c r="P940" t="s">
        <v>7224</v>
      </c>
    </row>
    <row r="941" spans="1:16" x14ac:dyDescent="0.35">
      <c r="A941" t="s">
        <v>7225</v>
      </c>
      <c r="B941" t="s">
        <v>55</v>
      </c>
      <c r="C941" t="s">
        <v>28</v>
      </c>
      <c r="D941" t="s">
        <v>28</v>
      </c>
      <c r="E941" t="s">
        <v>7226</v>
      </c>
      <c r="F941" t="s">
        <v>7227</v>
      </c>
      <c r="G941" t="s">
        <v>7183</v>
      </c>
      <c r="H941" t="s">
        <v>7184</v>
      </c>
      <c r="I941" t="s">
        <v>7228</v>
      </c>
      <c r="J941" t="s">
        <v>7229</v>
      </c>
      <c r="K941" t="s">
        <v>7230</v>
      </c>
      <c r="L941" t="s">
        <v>20</v>
      </c>
      <c r="M941" t="s">
        <v>7185</v>
      </c>
      <c r="N941" t="s">
        <v>7186</v>
      </c>
      <c r="O941" t="s">
        <v>7231</v>
      </c>
      <c r="P941" t="s">
        <v>7232</v>
      </c>
    </row>
    <row r="942" spans="1:16" x14ac:dyDescent="0.35">
      <c r="A942" t="s">
        <v>7233</v>
      </c>
      <c r="B942" t="s">
        <v>55</v>
      </c>
      <c r="C942" t="s">
        <v>28</v>
      </c>
      <c r="D942" t="s">
        <v>28</v>
      </c>
      <c r="E942" t="s">
        <v>7234</v>
      </c>
      <c r="F942" t="s">
        <v>7235</v>
      </c>
      <c r="G942" t="s">
        <v>7183</v>
      </c>
      <c r="H942" t="s">
        <v>7184</v>
      </c>
      <c r="I942" t="s">
        <v>7236</v>
      </c>
      <c r="J942" t="s">
        <v>7237</v>
      </c>
      <c r="K942" t="s">
        <v>7238</v>
      </c>
      <c r="L942" t="s">
        <v>20</v>
      </c>
      <c r="M942" t="s">
        <v>7239</v>
      </c>
      <c r="N942" t="s">
        <v>7240</v>
      </c>
      <c r="O942" t="s">
        <v>7241</v>
      </c>
      <c r="P942" t="s">
        <v>7242</v>
      </c>
    </row>
    <row r="943" spans="1:16" x14ac:dyDescent="0.35">
      <c r="A943" t="s">
        <v>538</v>
      </c>
      <c r="B943" t="s">
        <v>55</v>
      </c>
      <c r="C943" t="s">
        <v>78</v>
      </c>
      <c r="D943" t="s">
        <v>7243</v>
      </c>
      <c r="E943" t="s">
        <v>7244</v>
      </c>
      <c r="F943" t="s">
        <v>7245</v>
      </c>
      <c r="G943" t="s">
        <v>7183</v>
      </c>
      <c r="H943" t="s">
        <v>7184</v>
      </c>
      <c r="I943" t="s">
        <v>82</v>
      </c>
      <c r="J943" t="s">
        <v>7246</v>
      </c>
      <c r="K943" t="s">
        <v>84</v>
      </c>
      <c r="L943" t="s">
        <v>20</v>
      </c>
      <c r="M943" t="s">
        <v>7239</v>
      </c>
      <c r="N943" t="s">
        <v>7240</v>
      </c>
      <c r="O943" t="s">
        <v>7247</v>
      </c>
      <c r="P943" t="s">
        <v>7248</v>
      </c>
    </row>
    <row r="944" spans="1:16" x14ac:dyDescent="0.35">
      <c r="A944" t="s">
        <v>7251</v>
      </c>
      <c r="B944" t="s">
        <v>32</v>
      </c>
      <c r="C944" t="s">
        <v>28</v>
      </c>
      <c r="D944" t="s">
        <v>28</v>
      </c>
      <c r="E944" t="s">
        <v>7252</v>
      </c>
      <c r="F944" t="s">
        <v>7253</v>
      </c>
      <c r="G944" t="s">
        <v>7183</v>
      </c>
      <c r="H944" t="s">
        <v>7184</v>
      </c>
      <c r="I944" t="s">
        <v>28</v>
      </c>
      <c r="J944" t="s">
        <v>28</v>
      </c>
      <c r="K944" t="s">
        <v>19</v>
      </c>
      <c r="L944" t="s">
        <v>20</v>
      </c>
      <c r="M944" t="s">
        <v>7249</v>
      </c>
      <c r="N944" t="s">
        <v>7250</v>
      </c>
      <c r="O944" t="s">
        <v>7254</v>
      </c>
      <c r="P944" t="s">
        <v>7255</v>
      </c>
    </row>
    <row r="945" spans="1:16" x14ac:dyDescent="0.35">
      <c r="A945" t="s">
        <v>7256</v>
      </c>
      <c r="B945" t="s">
        <v>107</v>
      </c>
      <c r="C945" t="s">
        <v>28</v>
      </c>
      <c r="D945" t="s">
        <v>28</v>
      </c>
      <c r="E945" t="s">
        <v>7257</v>
      </c>
      <c r="F945" t="s">
        <v>7258</v>
      </c>
      <c r="G945" t="s">
        <v>7183</v>
      </c>
      <c r="H945" t="s">
        <v>7184</v>
      </c>
      <c r="I945" t="s">
        <v>7197</v>
      </c>
      <c r="J945" t="s">
        <v>7259</v>
      </c>
      <c r="K945" t="s">
        <v>19</v>
      </c>
      <c r="L945" t="s">
        <v>20</v>
      </c>
      <c r="M945" t="s">
        <v>7249</v>
      </c>
      <c r="N945" t="s">
        <v>7250</v>
      </c>
      <c r="O945" t="s">
        <v>7260</v>
      </c>
      <c r="P945" t="s">
        <v>7261</v>
      </c>
    </row>
    <row r="946" spans="1:16" x14ac:dyDescent="0.35">
      <c r="A946" t="s">
        <v>200</v>
      </c>
      <c r="B946" t="s">
        <v>55</v>
      </c>
      <c r="C946" t="s">
        <v>28</v>
      </c>
      <c r="D946" t="s">
        <v>28</v>
      </c>
      <c r="E946" t="s">
        <v>7262</v>
      </c>
      <c r="F946" t="s">
        <v>7263</v>
      </c>
      <c r="G946" t="s">
        <v>7183</v>
      </c>
      <c r="H946" t="s">
        <v>7184</v>
      </c>
      <c r="I946" t="s">
        <v>3106</v>
      </c>
      <c r="J946" t="s">
        <v>7264</v>
      </c>
      <c r="K946" t="s">
        <v>3108</v>
      </c>
      <c r="L946" t="s">
        <v>20</v>
      </c>
      <c r="M946" t="s">
        <v>7265</v>
      </c>
      <c r="N946" t="s">
        <v>7266</v>
      </c>
      <c r="O946" t="s">
        <v>7267</v>
      </c>
      <c r="P946" t="s">
        <v>7268</v>
      </c>
    </row>
    <row r="947" spans="1:16" x14ac:dyDescent="0.35">
      <c r="A947" t="s">
        <v>4470</v>
      </c>
      <c r="B947" t="s">
        <v>55</v>
      </c>
      <c r="C947" t="s">
        <v>28</v>
      </c>
      <c r="D947" t="s">
        <v>28</v>
      </c>
      <c r="E947" t="s">
        <v>7269</v>
      </c>
      <c r="F947" t="s">
        <v>7270</v>
      </c>
      <c r="G947" t="s">
        <v>7183</v>
      </c>
      <c r="H947" t="s">
        <v>7184</v>
      </c>
      <c r="I947" t="s">
        <v>28</v>
      </c>
      <c r="J947" t="s">
        <v>7271</v>
      </c>
      <c r="K947" t="s">
        <v>19</v>
      </c>
      <c r="L947" t="s">
        <v>20</v>
      </c>
      <c r="M947" t="s">
        <v>7272</v>
      </c>
      <c r="N947" t="s">
        <v>7273</v>
      </c>
      <c r="O947" t="s">
        <v>7274</v>
      </c>
      <c r="P947" t="s">
        <v>7275</v>
      </c>
    </row>
    <row r="948" spans="1:16" x14ac:dyDescent="0.35">
      <c r="A948" t="s">
        <v>7276</v>
      </c>
      <c r="B948" t="s">
        <v>55</v>
      </c>
      <c r="C948" t="s">
        <v>15</v>
      </c>
      <c r="D948" t="s">
        <v>16</v>
      </c>
      <c r="E948" t="s">
        <v>7277</v>
      </c>
      <c r="F948" t="s">
        <v>7278</v>
      </c>
      <c r="G948" t="s">
        <v>7183</v>
      </c>
      <c r="H948" t="s">
        <v>7184</v>
      </c>
      <c r="I948" t="s">
        <v>28</v>
      </c>
      <c r="J948" t="s">
        <v>7279</v>
      </c>
      <c r="K948" t="s">
        <v>19</v>
      </c>
      <c r="L948" t="s">
        <v>20</v>
      </c>
      <c r="M948" t="s">
        <v>7272</v>
      </c>
      <c r="N948" t="s">
        <v>7273</v>
      </c>
      <c r="O948" t="s">
        <v>7280</v>
      </c>
      <c r="P948" t="s">
        <v>7281</v>
      </c>
    </row>
    <row r="949" spans="1:16" x14ac:dyDescent="0.35">
      <c r="A949" t="s">
        <v>7282</v>
      </c>
      <c r="B949" t="s">
        <v>55</v>
      </c>
      <c r="C949" t="s">
        <v>15</v>
      </c>
      <c r="D949" t="s">
        <v>16</v>
      </c>
      <c r="E949" t="s">
        <v>7283</v>
      </c>
      <c r="F949" t="s">
        <v>7284</v>
      </c>
      <c r="G949" t="s">
        <v>7183</v>
      </c>
      <c r="H949" t="s">
        <v>7184</v>
      </c>
      <c r="I949" t="s">
        <v>7285</v>
      </c>
      <c r="J949" t="s">
        <v>7286</v>
      </c>
      <c r="K949" t="s">
        <v>7287</v>
      </c>
      <c r="L949" t="s">
        <v>20</v>
      </c>
      <c r="M949" t="s">
        <v>7288</v>
      </c>
      <c r="N949" t="s">
        <v>7289</v>
      </c>
      <c r="O949" t="s">
        <v>7290</v>
      </c>
      <c r="P949" t="s">
        <v>7291</v>
      </c>
    </row>
    <row r="950" spans="1:16" x14ac:dyDescent="0.35">
      <c r="A950" t="s">
        <v>7292</v>
      </c>
      <c r="B950" t="s">
        <v>55</v>
      </c>
      <c r="C950" t="s">
        <v>28</v>
      </c>
      <c r="D950" t="s">
        <v>28</v>
      </c>
      <c r="E950" t="s">
        <v>7293</v>
      </c>
      <c r="F950" t="s">
        <v>7294</v>
      </c>
      <c r="G950" t="s">
        <v>7183</v>
      </c>
      <c r="H950" t="s">
        <v>7184</v>
      </c>
      <c r="I950" t="s">
        <v>7295</v>
      </c>
      <c r="J950" t="s">
        <v>7296</v>
      </c>
      <c r="K950" t="s">
        <v>7297</v>
      </c>
      <c r="L950" t="s">
        <v>20</v>
      </c>
      <c r="M950" t="s">
        <v>7288</v>
      </c>
      <c r="N950" t="s">
        <v>7289</v>
      </c>
      <c r="O950" t="s">
        <v>7298</v>
      </c>
      <c r="P950" t="s">
        <v>7299</v>
      </c>
    </row>
    <row r="951" spans="1:16" x14ac:dyDescent="0.35">
      <c r="A951" t="s">
        <v>7300</v>
      </c>
      <c r="B951" t="s">
        <v>55</v>
      </c>
      <c r="C951" t="s">
        <v>28</v>
      </c>
      <c r="D951" t="s">
        <v>28</v>
      </c>
      <c r="E951" t="s">
        <v>7301</v>
      </c>
      <c r="F951" t="s">
        <v>7302</v>
      </c>
      <c r="G951" t="s">
        <v>7303</v>
      </c>
      <c r="H951" t="s">
        <v>7184</v>
      </c>
      <c r="I951" t="s">
        <v>7304</v>
      </c>
      <c r="J951" t="s">
        <v>7305</v>
      </c>
      <c r="K951" t="s">
        <v>7306</v>
      </c>
      <c r="L951" t="s">
        <v>20</v>
      </c>
      <c r="M951" t="s">
        <v>7307</v>
      </c>
      <c r="N951" t="s">
        <v>7308</v>
      </c>
      <c r="O951" t="s">
        <v>7309</v>
      </c>
      <c r="P951" t="s">
        <v>7310</v>
      </c>
    </row>
    <row r="952" spans="1:16" x14ac:dyDescent="0.35">
      <c r="A952" t="s">
        <v>7311</v>
      </c>
      <c r="B952" t="s">
        <v>32</v>
      </c>
      <c r="C952" t="s">
        <v>357</v>
      </c>
      <c r="D952" t="s">
        <v>124</v>
      </c>
      <c r="E952" t="s">
        <v>7312</v>
      </c>
      <c r="F952" t="s">
        <v>7313</v>
      </c>
      <c r="G952" t="s">
        <v>7183</v>
      </c>
      <c r="H952" t="s">
        <v>7184</v>
      </c>
      <c r="I952" t="s">
        <v>7197</v>
      </c>
      <c r="J952" t="s">
        <v>7314</v>
      </c>
      <c r="K952" t="s">
        <v>19</v>
      </c>
      <c r="L952" t="s">
        <v>20</v>
      </c>
      <c r="M952" t="s">
        <v>7315</v>
      </c>
      <c r="N952" t="s">
        <v>7316</v>
      </c>
      <c r="O952" t="s">
        <v>7317</v>
      </c>
      <c r="P952" t="s">
        <v>7318</v>
      </c>
    </row>
    <row r="953" spans="1:16" x14ac:dyDescent="0.35">
      <c r="A953" t="s">
        <v>7319</v>
      </c>
      <c r="B953" t="s">
        <v>55</v>
      </c>
      <c r="C953" t="s">
        <v>28</v>
      </c>
      <c r="D953" t="s">
        <v>28</v>
      </c>
      <c r="E953" t="s">
        <v>7320</v>
      </c>
      <c r="F953" t="s">
        <v>7321</v>
      </c>
      <c r="G953" t="s">
        <v>7183</v>
      </c>
      <c r="H953" t="s">
        <v>7184</v>
      </c>
      <c r="I953" t="s">
        <v>7322</v>
      </c>
      <c r="J953" t="s">
        <v>7323</v>
      </c>
      <c r="K953" t="s">
        <v>7324</v>
      </c>
      <c r="L953" t="s">
        <v>20</v>
      </c>
      <c r="M953" t="s">
        <v>7325</v>
      </c>
      <c r="N953" t="s">
        <v>7326</v>
      </c>
      <c r="O953" t="s">
        <v>7327</v>
      </c>
      <c r="P953" t="s">
        <v>7328</v>
      </c>
    </row>
    <row r="954" spans="1:16" x14ac:dyDescent="0.35">
      <c r="A954" t="s">
        <v>7329</v>
      </c>
      <c r="B954" t="s">
        <v>55</v>
      </c>
      <c r="C954" t="s">
        <v>28</v>
      </c>
      <c r="D954" t="s">
        <v>28</v>
      </c>
      <c r="E954" t="s">
        <v>7330</v>
      </c>
      <c r="F954" t="s">
        <v>7331</v>
      </c>
      <c r="G954" t="s">
        <v>7183</v>
      </c>
      <c r="H954" t="s">
        <v>7184</v>
      </c>
      <c r="I954" t="s">
        <v>28</v>
      </c>
      <c r="J954" t="s">
        <v>7332</v>
      </c>
      <c r="K954" t="s">
        <v>19</v>
      </c>
      <c r="L954" t="s">
        <v>20</v>
      </c>
      <c r="M954" t="s">
        <v>7325</v>
      </c>
      <c r="N954" t="s">
        <v>7326</v>
      </c>
      <c r="O954" t="s">
        <v>7333</v>
      </c>
      <c r="P954" t="s">
        <v>7334</v>
      </c>
    </row>
    <row r="955" spans="1:16" x14ac:dyDescent="0.35">
      <c r="A955" t="s">
        <v>7335</v>
      </c>
      <c r="B955" t="s">
        <v>55</v>
      </c>
      <c r="C955" t="s">
        <v>15</v>
      </c>
      <c r="D955" t="s">
        <v>324</v>
      </c>
      <c r="E955" t="s">
        <v>7336</v>
      </c>
      <c r="F955" t="s">
        <v>7337</v>
      </c>
      <c r="G955" t="s">
        <v>7183</v>
      </c>
      <c r="H955" t="s">
        <v>7184</v>
      </c>
      <c r="I955" t="s">
        <v>7338</v>
      </c>
      <c r="J955" t="s">
        <v>7339</v>
      </c>
      <c r="K955" t="s">
        <v>19</v>
      </c>
      <c r="L955" t="s">
        <v>20</v>
      </c>
      <c r="M955" t="s">
        <v>7340</v>
      </c>
      <c r="N955" t="s">
        <v>7341</v>
      </c>
      <c r="O955" t="s">
        <v>7342</v>
      </c>
      <c r="P955" t="s">
        <v>7343</v>
      </c>
    </row>
    <row r="956" spans="1:16" x14ac:dyDescent="0.35">
      <c r="A956" t="s">
        <v>7344</v>
      </c>
      <c r="B956" t="s">
        <v>55</v>
      </c>
      <c r="C956" t="s">
        <v>28</v>
      </c>
      <c r="D956" t="s">
        <v>28</v>
      </c>
      <c r="E956" t="s">
        <v>7345</v>
      </c>
      <c r="F956" t="s">
        <v>7346</v>
      </c>
      <c r="G956" t="s">
        <v>7183</v>
      </c>
      <c r="H956" t="s">
        <v>7184</v>
      </c>
      <c r="I956" t="s">
        <v>28</v>
      </c>
      <c r="J956" t="s">
        <v>28</v>
      </c>
      <c r="K956" t="s">
        <v>19</v>
      </c>
      <c r="L956" t="s">
        <v>20</v>
      </c>
      <c r="M956" t="s">
        <v>7347</v>
      </c>
      <c r="N956" t="s">
        <v>7348</v>
      </c>
      <c r="O956" t="s">
        <v>7349</v>
      </c>
      <c r="P956" t="s">
        <v>7350</v>
      </c>
    </row>
    <row r="957" spans="1:16" x14ac:dyDescent="0.35">
      <c r="A957" t="s">
        <v>7351</v>
      </c>
      <c r="B957" t="s">
        <v>194</v>
      </c>
      <c r="C957" t="s">
        <v>15</v>
      </c>
      <c r="D957" t="s">
        <v>16</v>
      </c>
      <c r="E957" t="s">
        <v>7352</v>
      </c>
      <c r="F957" t="s">
        <v>7353</v>
      </c>
      <c r="G957" t="s">
        <v>7183</v>
      </c>
      <c r="H957" t="s">
        <v>7184</v>
      </c>
      <c r="I957" t="s">
        <v>28</v>
      </c>
      <c r="J957" t="s">
        <v>28</v>
      </c>
      <c r="K957" t="s">
        <v>19</v>
      </c>
      <c r="L957" t="s">
        <v>20</v>
      </c>
      <c r="M957" t="s">
        <v>7354</v>
      </c>
      <c r="N957" t="s">
        <v>7355</v>
      </c>
      <c r="O957" t="s">
        <v>7356</v>
      </c>
      <c r="P957" t="s">
        <v>7357</v>
      </c>
    </row>
    <row r="958" spans="1:16" x14ac:dyDescent="0.35">
      <c r="A958" t="s">
        <v>7358</v>
      </c>
      <c r="B958" t="s">
        <v>55</v>
      </c>
      <c r="C958" t="s">
        <v>96</v>
      </c>
      <c r="D958" t="s">
        <v>124</v>
      </c>
      <c r="E958" t="s">
        <v>7359</v>
      </c>
      <c r="F958" t="s">
        <v>7360</v>
      </c>
      <c r="G958" t="s">
        <v>7183</v>
      </c>
      <c r="H958" t="s">
        <v>7184</v>
      </c>
      <c r="I958" t="s">
        <v>7361</v>
      </c>
      <c r="J958" t="s">
        <v>7362</v>
      </c>
      <c r="K958" t="s">
        <v>7363</v>
      </c>
      <c r="L958" t="s">
        <v>20</v>
      </c>
      <c r="M958" t="s">
        <v>7354</v>
      </c>
      <c r="N958" t="s">
        <v>7355</v>
      </c>
      <c r="O958" t="s">
        <v>7364</v>
      </c>
      <c r="P958" t="s">
        <v>7365</v>
      </c>
    </row>
    <row r="959" spans="1:16" x14ac:dyDescent="0.35">
      <c r="A959" t="s">
        <v>7366</v>
      </c>
      <c r="B959" t="s">
        <v>55</v>
      </c>
      <c r="C959" t="s">
        <v>28</v>
      </c>
      <c r="D959" t="s">
        <v>28</v>
      </c>
      <c r="E959" t="s">
        <v>7367</v>
      </c>
      <c r="F959" t="s">
        <v>7368</v>
      </c>
      <c r="G959" t="s">
        <v>7183</v>
      </c>
      <c r="H959" t="s">
        <v>7184</v>
      </c>
      <c r="I959" t="s">
        <v>28</v>
      </c>
      <c r="J959" t="s">
        <v>28</v>
      </c>
      <c r="K959" t="s">
        <v>19</v>
      </c>
      <c r="L959" t="s">
        <v>20</v>
      </c>
      <c r="M959" t="s">
        <v>7354</v>
      </c>
      <c r="N959" t="s">
        <v>7355</v>
      </c>
      <c r="O959" t="s">
        <v>7369</v>
      </c>
      <c r="P959" t="s">
        <v>7370</v>
      </c>
    </row>
    <row r="960" spans="1:16" x14ac:dyDescent="0.35">
      <c r="A960" t="s">
        <v>7371</v>
      </c>
      <c r="B960" t="s">
        <v>107</v>
      </c>
      <c r="C960" t="s">
        <v>28</v>
      </c>
      <c r="D960" t="s">
        <v>28</v>
      </c>
      <c r="E960" t="s">
        <v>7372</v>
      </c>
      <c r="F960" t="s">
        <v>7373</v>
      </c>
      <c r="G960" t="s">
        <v>7183</v>
      </c>
      <c r="H960" t="s">
        <v>7184</v>
      </c>
      <c r="I960" t="s">
        <v>28</v>
      </c>
      <c r="J960" t="s">
        <v>28</v>
      </c>
      <c r="K960" t="s">
        <v>19</v>
      </c>
      <c r="L960" t="s">
        <v>20</v>
      </c>
      <c r="M960" t="s">
        <v>7354</v>
      </c>
      <c r="N960" t="s">
        <v>7355</v>
      </c>
      <c r="O960" t="s">
        <v>7374</v>
      </c>
      <c r="P960" t="s">
        <v>7375</v>
      </c>
    </row>
    <row r="961" spans="1:16" x14ac:dyDescent="0.35">
      <c r="A961" t="s">
        <v>7376</v>
      </c>
      <c r="B961" t="s">
        <v>55</v>
      </c>
      <c r="C961" t="s">
        <v>205</v>
      </c>
      <c r="D961" t="s">
        <v>206</v>
      </c>
      <c r="E961" t="s">
        <v>7377</v>
      </c>
      <c r="F961" t="s">
        <v>7378</v>
      </c>
      <c r="G961" t="s">
        <v>7183</v>
      </c>
      <c r="H961" t="s">
        <v>7184</v>
      </c>
      <c r="I961" t="s">
        <v>6443</v>
      </c>
      <c r="J961" t="s">
        <v>7379</v>
      </c>
      <c r="K961" t="s">
        <v>19</v>
      </c>
      <c r="L961" t="s">
        <v>20</v>
      </c>
      <c r="M961" t="s">
        <v>7380</v>
      </c>
      <c r="N961" t="s">
        <v>7381</v>
      </c>
      <c r="O961" t="s">
        <v>7382</v>
      </c>
      <c r="P961" t="s">
        <v>7383</v>
      </c>
    </row>
    <row r="962" spans="1:16" x14ac:dyDescent="0.35">
      <c r="A962" t="s">
        <v>7384</v>
      </c>
      <c r="B962" t="s">
        <v>88</v>
      </c>
      <c r="C962" t="s">
        <v>25</v>
      </c>
      <c r="D962" t="s">
        <v>27</v>
      </c>
      <c r="E962" t="s">
        <v>7208</v>
      </c>
      <c r="F962" t="s">
        <v>7209</v>
      </c>
      <c r="G962" t="s">
        <v>7183</v>
      </c>
      <c r="H962" t="s">
        <v>7184</v>
      </c>
      <c r="I962" t="s">
        <v>28</v>
      </c>
      <c r="J962" t="s">
        <v>7385</v>
      </c>
      <c r="K962" t="s">
        <v>19</v>
      </c>
      <c r="L962" t="s">
        <v>20</v>
      </c>
      <c r="M962" t="s">
        <v>7380</v>
      </c>
      <c r="N962" t="s">
        <v>7381</v>
      </c>
      <c r="O962" t="s">
        <v>7386</v>
      </c>
      <c r="P962" t="s">
        <v>7387</v>
      </c>
    </row>
    <row r="963" spans="1:16" x14ac:dyDescent="0.35">
      <c r="A963" t="s">
        <v>7388</v>
      </c>
      <c r="B963" t="s">
        <v>55</v>
      </c>
      <c r="C963" t="s">
        <v>140</v>
      </c>
      <c r="D963" t="s">
        <v>812</v>
      </c>
      <c r="E963" t="s">
        <v>7389</v>
      </c>
      <c r="F963" t="s">
        <v>7390</v>
      </c>
      <c r="G963" t="s">
        <v>7303</v>
      </c>
      <c r="H963" t="s">
        <v>7184</v>
      </c>
      <c r="I963" t="s">
        <v>28</v>
      </c>
      <c r="J963" t="s">
        <v>7391</v>
      </c>
      <c r="K963" t="s">
        <v>19</v>
      </c>
      <c r="L963" t="s">
        <v>20</v>
      </c>
      <c r="M963" t="s">
        <v>7392</v>
      </c>
      <c r="N963" t="s">
        <v>7393</v>
      </c>
      <c r="O963" t="s">
        <v>7394</v>
      </c>
      <c r="P963" t="s">
        <v>7395</v>
      </c>
    </row>
    <row r="964" spans="1:16" x14ac:dyDescent="0.35">
      <c r="A964" t="s">
        <v>7398</v>
      </c>
      <c r="B964" t="s">
        <v>55</v>
      </c>
      <c r="C964" t="s">
        <v>28</v>
      </c>
      <c r="D964" t="s">
        <v>28</v>
      </c>
      <c r="E964" t="s">
        <v>7399</v>
      </c>
      <c r="F964" t="s">
        <v>7400</v>
      </c>
      <c r="G964" t="s">
        <v>7183</v>
      </c>
      <c r="H964" t="s">
        <v>7184</v>
      </c>
      <c r="I964" t="s">
        <v>28</v>
      </c>
      <c r="J964" t="s">
        <v>7401</v>
      </c>
      <c r="K964" t="s">
        <v>19</v>
      </c>
      <c r="L964" t="s">
        <v>20</v>
      </c>
      <c r="M964" t="s">
        <v>7396</v>
      </c>
      <c r="N964" t="s">
        <v>7397</v>
      </c>
      <c r="O964" t="s">
        <v>7402</v>
      </c>
      <c r="P964" t="s">
        <v>7403</v>
      </c>
    </row>
    <row r="965" spans="1:16" x14ac:dyDescent="0.35">
      <c r="A965" t="s">
        <v>156</v>
      </c>
      <c r="B965" t="s">
        <v>55</v>
      </c>
      <c r="C965" t="s">
        <v>474</v>
      </c>
      <c r="D965" t="s">
        <v>1817</v>
      </c>
      <c r="E965" t="s">
        <v>7404</v>
      </c>
      <c r="F965" t="s">
        <v>7405</v>
      </c>
      <c r="G965" t="s">
        <v>7303</v>
      </c>
      <c r="H965" t="s">
        <v>7184</v>
      </c>
      <c r="I965" t="s">
        <v>162</v>
      </c>
      <c r="J965" t="s">
        <v>7406</v>
      </c>
      <c r="K965" t="s">
        <v>164</v>
      </c>
      <c r="L965" t="s">
        <v>20</v>
      </c>
      <c r="M965" t="s">
        <v>7407</v>
      </c>
      <c r="N965" t="s">
        <v>7408</v>
      </c>
      <c r="O965" t="s">
        <v>7409</v>
      </c>
      <c r="P965" t="s">
        <v>7410</v>
      </c>
    </row>
    <row r="966" spans="1:16" x14ac:dyDescent="0.35">
      <c r="A966" t="s">
        <v>538</v>
      </c>
      <c r="B966" t="s">
        <v>55</v>
      </c>
      <c r="C966" t="s">
        <v>26</v>
      </c>
      <c r="D966" t="s">
        <v>324</v>
      </c>
      <c r="E966" t="s">
        <v>7411</v>
      </c>
      <c r="F966" t="s">
        <v>7412</v>
      </c>
      <c r="G966" t="s">
        <v>7183</v>
      </c>
      <c r="H966" t="s">
        <v>7184</v>
      </c>
      <c r="I966" t="s">
        <v>82</v>
      </c>
      <c r="J966" t="s">
        <v>7413</v>
      </c>
      <c r="K966" t="s">
        <v>84</v>
      </c>
      <c r="L966" t="s">
        <v>20</v>
      </c>
      <c r="M966" t="s">
        <v>7414</v>
      </c>
      <c r="N966" t="s">
        <v>7415</v>
      </c>
      <c r="O966" t="s">
        <v>7416</v>
      </c>
      <c r="P966" t="s">
        <v>7417</v>
      </c>
    </row>
    <row r="967" spans="1:16" x14ac:dyDescent="0.35">
      <c r="A967" t="s">
        <v>7418</v>
      </c>
      <c r="B967" t="s">
        <v>194</v>
      </c>
      <c r="C967" t="s">
        <v>28</v>
      </c>
      <c r="D967" t="s">
        <v>28</v>
      </c>
      <c r="E967" t="s">
        <v>7419</v>
      </c>
      <c r="F967" t="s">
        <v>7420</v>
      </c>
      <c r="G967" t="s">
        <v>7183</v>
      </c>
      <c r="H967" t="s">
        <v>7184</v>
      </c>
      <c r="I967" t="s">
        <v>28</v>
      </c>
      <c r="J967" t="s">
        <v>28</v>
      </c>
      <c r="K967" t="s">
        <v>19</v>
      </c>
      <c r="L967" t="s">
        <v>20</v>
      </c>
      <c r="M967" t="s">
        <v>7421</v>
      </c>
      <c r="N967" t="s">
        <v>7422</v>
      </c>
      <c r="O967" t="s">
        <v>7423</v>
      </c>
      <c r="P967" t="s">
        <v>7424</v>
      </c>
    </row>
    <row r="968" spans="1:16" x14ac:dyDescent="0.35">
      <c r="A968" t="s">
        <v>7425</v>
      </c>
      <c r="B968" t="s">
        <v>55</v>
      </c>
      <c r="C968" t="s">
        <v>15</v>
      </c>
      <c r="D968" t="s">
        <v>16</v>
      </c>
      <c r="E968" t="s">
        <v>7426</v>
      </c>
      <c r="F968" t="s">
        <v>7427</v>
      </c>
      <c r="G968" t="s">
        <v>7303</v>
      </c>
      <c r="H968" t="s">
        <v>7184</v>
      </c>
      <c r="I968" t="s">
        <v>28</v>
      </c>
      <c r="J968" t="s">
        <v>7428</v>
      </c>
      <c r="K968" t="s">
        <v>19</v>
      </c>
      <c r="L968" t="s">
        <v>20</v>
      </c>
      <c r="M968" t="s">
        <v>7429</v>
      </c>
      <c r="N968" t="s">
        <v>7430</v>
      </c>
      <c r="O968" t="s">
        <v>7431</v>
      </c>
      <c r="P968" t="s">
        <v>7432</v>
      </c>
    </row>
    <row r="969" spans="1:16" x14ac:dyDescent="0.35">
      <c r="A969" t="s">
        <v>7433</v>
      </c>
      <c r="B969" t="s">
        <v>55</v>
      </c>
      <c r="C969" t="s">
        <v>497</v>
      </c>
      <c r="D969" t="s">
        <v>16</v>
      </c>
      <c r="E969" t="s">
        <v>7434</v>
      </c>
      <c r="F969" t="s">
        <v>7435</v>
      </c>
      <c r="G969" t="s">
        <v>7183</v>
      </c>
      <c r="H969" t="s">
        <v>7184</v>
      </c>
      <c r="I969" t="s">
        <v>7436</v>
      </c>
      <c r="J969" t="s">
        <v>7437</v>
      </c>
      <c r="K969" t="s">
        <v>7438</v>
      </c>
      <c r="L969" t="s">
        <v>20</v>
      </c>
      <c r="M969" t="s">
        <v>7439</v>
      </c>
      <c r="N969" t="s">
        <v>7440</v>
      </c>
      <c r="O969" t="s">
        <v>7441</v>
      </c>
      <c r="P969" t="s">
        <v>7442</v>
      </c>
    </row>
    <row r="970" spans="1:16" x14ac:dyDescent="0.35">
      <c r="A970" t="s">
        <v>7443</v>
      </c>
      <c r="B970" t="s">
        <v>107</v>
      </c>
      <c r="C970" t="s">
        <v>205</v>
      </c>
      <c r="D970" t="s">
        <v>7444</v>
      </c>
      <c r="E970" t="s">
        <v>7445</v>
      </c>
      <c r="F970" t="s">
        <v>7446</v>
      </c>
      <c r="G970" t="s">
        <v>7303</v>
      </c>
      <c r="H970" t="s">
        <v>7184</v>
      </c>
      <c r="I970" t="s">
        <v>7447</v>
      </c>
      <c r="J970" t="s">
        <v>7448</v>
      </c>
      <c r="K970" t="s">
        <v>7449</v>
      </c>
      <c r="L970" t="s">
        <v>20</v>
      </c>
      <c r="M970" t="s">
        <v>7450</v>
      </c>
      <c r="N970" t="s">
        <v>7451</v>
      </c>
      <c r="O970" t="s">
        <v>7452</v>
      </c>
      <c r="P970" t="s">
        <v>7453</v>
      </c>
    </row>
    <row r="971" spans="1:16" x14ac:dyDescent="0.35">
      <c r="A971" t="s">
        <v>7454</v>
      </c>
      <c r="B971" t="s">
        <v>55</v>
      </c>
      <c r="C971" t="s">
        <v>140</v>
      </c>
      <c r="D971" t="s">
        <v>1785</v>
      </c>
      <c r="E971" t="s">
        <v>7455</v>
      </c>
      <c r="F971" t="s">
        <v>7456</v>
      </c>
      <c r="G971" t="s">
        <v>7457</v>
      </c>
      <c r="H971" t="s">
        <v>7184</v>
      </c>
      <c r="I971" t="s">
        <v>7458</v>
      </c>
      <c r="J971" t="s">
        <v>7459</v>
      </c>
      <c r="K971" t="s">
        <v>19</v>
      </c>
      <c r="L971" t="s">
        <v>20</v>
      </c>
      <c r="M971" t="s">
        <v>7460</v>
      </c>
      <c r="N971" t="s">
        <v>7461</v>
      </c>
      <c r="O971" t="s">
        <v>7462</v>
      </c>
      <c r="P971" t="s">
        <v>915</v>
      </c>
    </row>
    <row r="972" spans="1:16" x14ac:dyDescent="0.35">
      <c r="A972" t="s">
        <v>7463</v>
      </c>
      <c r="B972" t="s">
        <v>55</v>
      </c>
      <c r="C972" t="s">
        <v>548</v>
      </c>
      <c r="D972" t="s">
        <v>374</v>
      </c>
      <c r="E972" t="s">
        <v>7464</v>
      </c>
      <c r="F972" t="s">
        <v>7465</v>
      </c>
      <c r="G972" t="s">
        <v>7457</v>
      </c>
      <c r="H972" t="s">
        <v>7184</v>
      </c>
      <c r="I972" t="s">
        <v>7458</v>
      </c>
      <c r="J972" t="s">
        <v>7466</v>
      </c>
      <c r="K972" t="s">
        <v>19</v>
      </c>
      <c r="L972" t="s">
        <v>20</v>
      </c>
      <c r="M972" t="s">
        <v>7467</v>
      </c>
      <c r="N972" t="s">
        <v>7468</v>
      </c>
      <c r="O972" t="s">
        <v>7469</v>
      </c>
      <c r="P972" t="s">
        <v>7470</v>
      </c>
    </row>
    <row r="973" spans="1:16" x14ac:dyDescent="0.35">
      <c r="A973" t="s">
        <v>7471</v>
      </c>
      <c r="B973" t="s">
        <v>55</v>
      </c>
      <c r="C973" t="s">
        <v>96</v>
      </c>
      <c r="D973" t="s">
        <v>374</v>
      </c>
      <c r="E973" t="s">
        <v>7472</v>
      </c>
      <c r="F973" t="s">
        <v>7473</v>
      </c>
      <c r="G973" t="s">
        <v>7474</v>
      </c>
      <c r="H973" t="s">
        <v>7184</v>
      </c>
      <c r="I973" t="s">
        <v>28</v>
      </c>
      <c r="J973" t="s">
        <v>7475</v>
      </c>
      <c r="K973" t="s">
        <v>19</v>
      </c>
      <c r="L973" t="s">
        <v>20</v>
      </c>
      <c r="M973" t="s">
        <v>7476</v>
      </c>
      <c r="N973" t="s">
        <v>7477</v>
      </c>
      <c r="O973" t="s">
        <v>7478</v>
      </c>
      <c r="P973" t="s">
        <v>7479</v>
      </c>
    </row>
    <row r="974" spans="1:16" x14ac:dyDescent="0.35">
      <c r="A974" t="s">
        <v>7480</v>
      </c>
      <c r="B974" t="s">
        <v>55</v>
      </c>
      <c r="C974" t="s">
        <v>311</v>
      </c>
      <c r="D974" t="s">
        <v>348</v>
      </c>
      <c r="E974" t="s">
        <v>7481</v>
      </c>
      <c r="F974" t="s">
        <v>7482</v>
      </c>
      <c r="G974" t="s">
        <v>7457</v>
      </c>
      <c r="H974" t="s">
        <v>7184</v>
      </c>
      <c r="I974" t="s">
        <v>7458</v>
      </c>
      <c r="J974" t="s">
        <v>7483</v>
      </c>
      <c r="K974" t="s">
        <v>19</v>
      </c>
      <c r="L974" t="s">
        <v>20</v>
      </c>
      <c r="M974" t="s">
        <v>7484</v>
      </c>
      <c r="N974" t="s">
        <v>7485</v>
      </c>
      <c r="O974" t="s">
        <v>7486</v>
      </c>
      <c r="P974" t="s">
        <v>7487</v>
      </c>
    </row>
    <row r="975" spans="1:16" x14ac:dyDescent="0.35">
      <c r="A975" t="s">
        <v>7488</v>
      </c>
      <c r="B975" t="s">
        <v>55</v>
      </c>
      <c r="C975" t="s">
        <v>78</v>
      </c>
      <c r="D975" t="s">
        <v>304</v>
      </c>
      <c r="E975" t="s">
        <v>7489</v>
      </c>
      <c r="F975" t="s">
        <v>7490</v>
      </c>
      <c r="G975" t="s">
        <v>7491</v>
      </c>
      <c r="H975" t="s">
        <v>7184</v>
      </c>
      <c r="I975" t="s">
        <v>7492</v>
      </c>
      <c r="J975" t="s">
        <v>7493</v>
      </c>
      <c r="K975" t="s">
        <v>7494</v>
      </c>
      <c r="L975" t="s">
        <v>20</v>
      </c>
      <c r="M975" t="s">
        <v>7495</v>
      </c>
      <c r="N975" t="s">
        <v>7496</v>
      </c>
      <c r="O975" t="s">
        <v>7497</v>
      </c>
      <c r="P975" t="s">
        <v>7498</v>
      </c>
    </row>
    <row r="976" spans="1:16" x14ac:dyDescent="0.35">
      <c r="A976" t="s">
        <v>482</v>
      </c>
      <c r="B976" t="s">
        <v>55</v>
      </c>
      <c r="C976" t="s">
        <v>158</v>
      </c>
      <c r="D976" t="s">
        <v>1129</v>
      </c>
      <c r="E976" t="s">
        <v>7499</v>
      </c>
      <c r="F976" t="s">
        <v>7500</v>
      </c>
      <c r="G976" t="s">
        <v>7457</v>
      </c>
      <c r="H976" t="s">
        <v>7184</v>
      </c>
      <c r="I976" t="s">
        <v>162</v>
      </c>
      <c r="J976" t="s">
        <v>7501</v>
      </c>
      <c r="K976" t="s">
        <v>164</v>
      </c>
      <c r="L976" t="s">
        <v>20</v>
      </c>
      <c r="M976" t="s">
        <v>7502</v>
      </c>
      <c r="N976" t="s">
        <v>7503</v>
      </c>
      <c r="O976" t="s">
        <v>7504</v>
      </c>
      <c r="P976" t="s">
        <v>7505</v>
      </c>
    </row>
    <row r="977" spans="1:16" x14ac:dyDescent="0.35">
      <c r="A977" t="s">
        <v>7506</v>
      </c>
      <c r="B977" t="s">
        <v>55</v>
      </c>
      <c r="C977" t="s">
        <v>357</v>
      </c>
      <c r="D977" t="s">
        <v>449</v>
      </c>
      <c r="E977" t="s">
        <v>7507</v>
      </c>
      <c r="F977" t="s">
        <v>7482</v>
      </c>
      <c r="G977" t="s">
        <v>7457</v>
      </c>
      <c r="H977" t="s">
        <v>7184</v>
      </c>
      <c r="I977" t="s">
        <v>7458</v>
      </c>
      <c r="J977" t="s">
        <v>7508</v>
      </c>
      <c r="K977" t="s">
        <v>19</v>
      </c>
      <c r="L977" t="s">
        <v>20</v>
      </c>
      <c r="M977" t="s">
        <v>7509</v>
      </c>
      <c r="N977" t="s">
        <v>7510</v>
      </c>
      <c r="O977" t="s">
        <v>7511</v>
      </c>
      <c r="P977" t="s">
        <v>7512</v>
      </c>
    </row>
    <row r="978" spans="1:16" x14ac:dyDescent="0.35">
      <c r="A978" t="s">
        <v>7513</v>
      </c>
      <c r="B978" t="s">
        <v>55</v>
      </c>
      <c r="C978" t="s">
        <v>26</v>
      </c>
      <c r="D978" t="s">
        <v>97</v>
      </c>
      <c r="E978" t="s">
        <v>7514</v>
      </c>
      <c r="F978" t="s">
        <v>7515</v>
      </c>
      <c r="G978" t="s">
        <v>7491</v>
      </c>
      <c r="H978" t="s">
        <v>7184</v>
      </c>
      <c r="I978" t="s">
        <v>162</v>
      </c>
      <c r="J978" t="s">
        <v>7516</v>
      </c>
      <c r="K978" t="s">
        <v>164</v>
      </c>
      <c r="L978" t="s">
        <v>20</v>
      </c>
      <c r="M978" t="s">
        <v>7517</v>
      </c>
      <c r="N978" t="s">
        <v>7518</v>
      </c>
      <c r="O978" t="s">
        <v>7519</v>
      </c>
      <c r="P978" t="s">
        <v>7520</v>
      </c>
    </row>
    <row r="979" spans="1:16" x14ac:dyDescent="0.35">
      <c r="A979" t="s">
        <v>7521</v>
      </c>
      <c r="B979" t="s">
        <v>55</v>
      </c>
      <c r="C979" t="s">
        <v>78</v>
      </c>
      <c r="D979" t="s">
        <v>324</v>
      </c>
      <c r="E979" t="s">
        <v>7522</v>
      </c>
      <c r="F979" t="s">
        <v>7523</v>
      </c>
      <c r="G979" t="s">
        <v>7457</v>
      </c>
      <c r="H979" t="s">
        <v>7184</v>
      </c>
      <c r="I979" t="s">
        <v>7458</v>
      </c>
      <c r="J979" t="s">
        <v>7524</v>
      </c>
      <c r="K979" t="s">
        <v>19</v>
      </c>
      <c r="L979" t="s">
        <v>20</v>
      </c>
      <c r="M979" t="s">
        <v>7525</v>
      </c>
      <c r="N979" t="s">
        <v>7526</v>
      </c>
      <c r="O979" t="s">
        <v>7527</v>
      </c>
      <c r="P979" t="s">
        <v>7528</v>
      </c>
    </row>
    <row r="980" spans="1:16" x14ac:dyDescent="0.35">
      <c r="A980" t="s">
        <v>538</v>
      </c>
      <c r="B980" t="s">
        <v>55</v>
      </c>
      <c r="C980" t="s">
        <v>26</v>
      </c>
      <c r="D980" t="s">
        <v>1683</v>
      </c>
      <c r="E980" t="s">
        <v>7529</v>
      </c>
      <c r="F980" t="s">
        <v>7530</v>
      </c>
      <c r="G980" t="s">
        <v>7457</v>
      </c>
      <c r="H980" t="s">
        <v>7184</v>
      </c>
      <c r="I980" t="s">
        <v>82</v>
      </c>
      <c r="J980" t="s">
        <v>7531</v>
      </c>
      <c r="K980" t="s">
        <v>84</v>
      </c>
      <c r="L980" t="s">
        <v>20</v>
      </c>
      <c r="M980" t="s">
        <v>7532</v>
      </c>
      <c r="N980" t="s">
        <v>7533</v>
      </c>
      <c r="O980" t="s">
        <v>7534</v>
      </c>
      <c r="P980" t="s">
        <v>7535</v>
      </c>
    </row>
    <row r="981" spans="1:16" x14ac:dyDescent="0.35">
      <c r="A981" t="s">
        <v>7539</v>
      </c>
      <c r="B981" t="s">
        <v>32</v>
      </c>
      <c r="C981" t="s">
        <v>25</v>
      </c>
      <c r="D981" t="s">
        <v>27</v>
      </c>
      <c r="E981" t="s">
        <v>7540</v>
      </c>
      <c r="F981" t="s">
        <v>7541</v>
      </c>
      <c r="G981" t="s">
        <v>7536</v>
      </c>
      <c r="H981" t="s">
        <v>7538</v>
      </c>
      <c r="I981" t="s">
        <v>28</v>
      </c>
      <c r="J981" t="s">
        <v>7542</v>
      </c>
      <c r="K981" t="s">
        <v>19</v>
      </c>
      <c r="L981" t="s">
        <v>20</v>
      </c>
      <c r="M981" t="s">
        <v>7543</v>
      </c>
      <c r="N981" t="s">
        <v>7544</v>
      </c>
      <c r="O981" t="s">
        <v>7545</v>
      </c>
      <c r="P981" t="s">
        <v>7546</v>
      </c>
    </row>
    <row r="982" spans="1:16" x14ac:dyDescent="0.35">
      <c r="A982" t="s">
        <v>7547</v>
      </c>
      <c r="B982" t="s">
        <v>55</v>
      </c>
      <c r="C982" t="s">
        <v>78</v>
      </c>
      <c r="D982" t="s">
        <v>374</v>
      </c>
      <c r="E982" t="s">
        <v>7548</v>
      </c>
      <c r="F982" t="s">
        <v>7549</v>
      </c>
      <c r="G982" t="s">
        <v>7536</v>
      </c>
      <c r="H982" t="s">
        <v>7538</v>
      </c>
      <c r="I982" t="s">
        <v>945</v>
      </c>
      <c r="J982" t="s">
        <v>7550</v>
      </c>
      <c r="K982" t="s">
        <v>947</v>
      </c>
      <c r="L982" t="s">
        <v>20</v>
      </c>
      <c r="M982" t="s">
        <v>7543</v>
      </c>
      <c r="N982" t="s">
        <v>7544</v>
      </c>
      <c r="O982" t="s">
        <v>7551</v>
      </c>
      <c r="P982" t="s">
        <v>7552</v>
      </c>
    </row>
    <row r="983" spans="1:16" x14ac:dyDescent="0.35">
      <c r="A983" t="s">
        <v>7553</v>
      </c>
      <c r="B983" t="s">
        <v>55</v>
      </c>
      <c r="C983" t="s">
        <v>26</v>
      </c>
      <c r="D983" t="s">
        <v>27</v>
      </c>
      <c r="E983" t="s">
        <v>7554</v>
      </c>
      <c r="F983" t="s">
        <v>7555</v>
      </c>
      <c r="G983" t="s">
        <v>7536</v>
      </c>
      <c r="H983" t="s">
        <v>7537</v>
      </c>
      <c r="I983" t="s">
        <v>7458</v>
      </c>
      <c r="J983" t="s">
        <v>7556</v>
      </c>
      <c r="K983" t="s">
        <v>19</v>
      </c>
      <c r="L983" t="s">
        <v>20</v>
      </c>
      <c r="M983" t="s">
        <v>7543</v>
      </c>
      <c r="N983" t="s">
        <v>7544</v>
      </c>
      <c r="O983" t="s">
        <v>7557</v>
      </c>
      <c r="P983" t="s">
        <v>7558</v>
      </c>
    </row>
    <row r="984" spans="1:16" x14ac:dyDescent="0.35">
      <c r="A984" t="s">
        <v>3977</v>
      </c>
      <c r="B984" t="s">
        <v>88</v>
      </c>
      <c r="C984" t="s">
        <v>78</v>
      </c>
      <c r="D984" t="s">
        <v>614</v>
      </c>
      <c r="E984" t="s">
        <v>7559</v>
      </c>
      <c r="F984" t="s">
        <v>7560</v>
      </c>
      <c r="G984" t="s">
        <v>7536</v>
      </c>
      <c r="H984" t="s">
        <v>7537</v>
      </c>
      <c r="I984" t="s">
        <v>28</v>
      </c>
      <c r="J984" t="s">
        <v>7561</v>
      </c>
      <c r="K984" t="s">
        <v>19</v>
      </c>
      <c r="L984" t="s">
        <v>20</v>
      </c>
      <c r="M984" t="s">
        <v>7562</v>
      </c>
      <c r="N984" t="s">
        <v>7563</v>
      </c>
      <c r="O984" t="s">
        <v>7564</v>
      </c>
      <c r="P984" t="s">
        <v>7565</v>
      </c>
    </row>
    <row r="985" spans="1:16" x14ac:dyDescent="0.35">
      <c r="A985" t="s">
        <v>7566</v>
      </c>
      <c r="B985" t="s">
        <v>55</v>
      </c>
      <c r="C985" t="s">
        <v>474</v>
      </c>
      <c r="D985" t="s">
        <v>7567</v>
      </c>
      <c r="E985" t="s">
        <v>7568</v>
      </c>
      <c r="F985" t="s">
        <v>7569</v>
      </c>
      <c r="G985" t="s">
        <v>7536</v>
      </c>
      <c r="H985" t="s">
        <v>7538</v>
      </c>
      <c r="I985" t="s">
        <v>7570</v>
      </c>
      <c r="J985" t="s">
        <v>7571</v>
      </c>
      <c r="K985" t="s">
        <v>7572</v>
      </c>
      <c r="L985" t="s">
        <v>20</v>
      </c>
      <c r="M985" t="s">
        <v>7562</v>
      </c>
      <c r="N985" t="s">
        <v>7563</v>
      </c>
      <c r="O985" t="s">
        <v>7573</v>
      </c>
      <c r="P985" t="s">
        <v>7574</v>
      </c>
    </row>
    <row r="986" spans="1:16" x14ac:dyDescent="0.35">
      <c r="A986" t="s">
        <v>7575</v>
      </c>
      <c r="B986" t="s">
        <v>55</v>
      </c>
      <c r="C986" t="s">
        <v>15</v>
      </c>
      <c r="D986" t="s">
        <v>16</v>
      </c>
      <c r="E986" t="s">
        <v>7576</v>
      </c>
      <c r="F986" t="s">
        <v>7577</v>
      </c>
      <c r="G986" t="s">
        <v>7536</v>
      </c>
      <c r="H986" t="s">
        <v>7537</v>
      </c>
      <c r="I986" t="s">
        <v>7458</v>
      </c>
      <c r="J986" t="s">
        <v>7578</v>
      </c>
      <c r="K986" t="s">
        <v>19</v>
      </c>
      <c r="L986" t="s">
        <v>20</v>
      </c>
      <c r="M986" t="s">
        <v>7562</v>
      </c>
      <c r="N986" t="s">
        <v>7563</v>
      </c>
      <c r="O986" t="s">
        <v>7579</v>
      </c>
      <c r="P986" t="s">
        <v>7580</v>
      </c>
    </row>
    <row r="987" spans="1:16" x14ac:dyDescent="0.35">
      <c r="A987" t="s">
        <v>7581</v>
      </c>
      <c r="B987" t="s">
        <v>55</v>
      </c>
      <c r="C987" t="s">
        <v>28</v>
      </c>
      <c r="D987" t="s">
        <v>28</v>
      </c>
      <c r="E987" t="s">
        <v>7582</v>
      </c>
      <c r="F987" t="s">
        <v>7583</v>
      </c>
      <c r="G987" t="s">
        <v>7536</v>
      </c>
      <c r="H987" t="s">
        <v>7538</v>
      </c>
      <c r="I987" t="s">
        <v>2599</v>
      </c>
      <c r="J987" t="s">
        <v>7584</v>
      </c>
      <c r="K987" t="s">
        <v>19</v>
      </c>
      <c r="L987" t="s">
        <v>20</v>
      </c>
      <c r="M987" t="s">
        <v>7562</v>
      </c>
      <c r="N987" t="s">
        <v>7563</v>
      </c>
      <c r="O987" t="s">
        <v>7585</v>
      </c>
      <c r="P987" t="s">
        <v>7586</v>
      </c>
    </row>
    <row r="988" spans="1:16" x14ac:dyDescent="0.35">
      <c r="A988" t="s">
        <v>7587</v>
      </c>
      <c r="B988" t="s">
        <v>55</v>
      </c>
      <c r="C988" t="s">
        <v>26</v>
      </c>
      <c r="D988" t="s">
        <v>97</v>
      </c>
      <c r="E988" t="s">
        <v>7588</v>
      </c>
      <c r="F988" t="s">
        <v>7589</v>
      </c>
      <c r="G988" t="s">
        <v>7536</v>
      </c>
      <c r="H988" t="s">
        <v>7537</v>
      </c>
      <c r="I988" t="s">
        <v>82</v>
      </c>
      <c r="J988" t="s">
        <v>7590</v>
      </c>
      <c r="K988" t="s">
        <v>84</v>
      </c>
      <c r="L988" t="s">
        <v>20</v>
      </c>
      <c r="M988" t="s">
        <v>7562</v>
      </c>
      <c r="N988" t="s">
        <v>7563</v>
      </c>
      <c r="O988" t="s">
        <v>7591</v>
      </c>
      <c r="P988" t="s">
        <v>7592</v>
      </c>
    </row>
    <row r="989" spans="1:16" x14ac:dyDescent="0.35">
      <c r="A989" t="s">
        <v>7593</v>
      </c>
      <c r="B989" t="s">
        <v>55</v>
      </c>
      <c r="C989" t="s">
        <v>28</v>
      </c>
      <c r="D989" t="s">
        <v>28</v>
      </c>
      <c r="E989" t="s">
        <v>7594</v>
      </c>
      <c r="F989" t="s">
        <v>7595</v>
      </c>
      <c r="G989" t="s">
        <v>7536</v>
      </c>
      <c r="H989" t="s">
        <v>7537</v>
      </c>
      <c r="I989" t="s">
        <v>28</v>
      </c>
      <c r="J989" t="s">
        <v>7596</v>
      </c>
      <c r="K989" t="s">
        <v>19</v>
      </c>
      <c r="L989" t="s">
        <v>20</v>
      </c>
      <c r="M989" t="s">
        <v>7562</v>
      </c>
      <c r="N989" t="s">
        <v>7563</v>
      </c>
      <c r="O989" t="s">
        <v>7597</v>
      </c>
      <c r="P989" t="s">
        <v>7598</v>
      </c>
    </row>
    <row r="990" spans="1:16" x14ac:dyDescent="0.35">
      <c r="A990" t="s">
        <v>7599</v>
      </c>
      <c r="B990" t="s">
        <v>55</v>
      </c>
      <c r="C990" t="s">
        <v>15</v>
      </c>
      <c r="D990" t="s">
        <v>16</v>
      </c>
      <c r="E990" t="s">
        <v>7600</v>
      </c>
      <c r="F990" t="s">
        <v>7601</v>
      </c>
      <c r="G990" t="s">
        <v>7536</v>
      </c>
      <c r="H990" t="s">
        <v>7538</v>
      </c>
      <c r="I990" t="s">
        <v>28</v>
      </c>
      <c r="J990" t="s">
        <v>7602</v>
      </c>
      <c r="K990" t="s">
        <v>19</v>
      </c>
      <c r="L990" t="s">
        <v>20</v>
      </c>
      <c r="M990" t="s">
        <v>7562</v>
      </c>
      <c r="N990" t="s">
        <v>7563</v>
      </c>
      <c r="O990" t="s">
        <v>7603</v>
      </c>
      <c r="P990" t="s">
        <v>7604</v>
      </c>
    </row>
    <row r="991" spans="1:16" x14ac:dyDescent="0.35">
      <c r="A991" t="s">
        <v>7605</v>
      </c>
      <c r="B991" t="s">
        <v>55</v>
      </c>
      <c r="C991" t="s">
        <v>15</v>
      </c>
      <c r="D991" t="s">
        <v>16</v>
      </c>
      <c r="E991" t="s">
        <v>7606</v>
      </c>
      <c r="F991" t="s">
        <v>7607</v>
      </c>
      <c r="G991" t="s">
        <v>7536</v>
      </c>
      <c r="H991" t="s">
        <v>7537</v>
      </c>
      <c r="I991" t="s">
        <v>28</v>
      </c>
      <c r="J991" t="s">
        <v>503</v>
      </c>
      <c r="K991" t="s">
        <v>19</v>
      </c>
      <c r="L991" t="s">
        <v>20</v>
      </c>
      <c r="M991" t="s">
        <v>7562</v>
      </c>
      <c r="N991" t="s">
        <v>7563</v>
      </c>
      <c r="O991" t="s">
        <v>7608</v>
      </c>
      <c r="P991" t="s">
        <v>7609</v>
      </c>
    </row>
    <row r="992" spans="1:16" x14ac:dyDescent="0.35">
      <c r="A992" t="s">
        <v>7276</v>
      </c>
      <c r="B992" t="s">
        <v>55</v>
      </c>
      <c r="C992" t="s">
        <v>28</v>
      </c>
      <c r="D992" t="s">
        <v>28</v>
      </c>
      <c r="E992" t="s">
        <v>7610</v>
      </c>
      <c r="F992" t="s">
        <v>7611</v>
      </c>
      <c r="G992" t="s">
        <v>7536</v>
      </c>
      <c r="H992" t="s">
        <v>7538</v>
      </c>
      <c r="I992" t="s">
        <v>28</v>
      </c>
      <c r="J992" t="s">
        <v>7612</v>
      </c>
      <c r="K992" t="s">
        <v>19</v>
      </c>
      <c r="L992" t="s">
        <v>20</v>
      </c>
      <c r="M992" t="s">
        <v>7562</v>
      </c>
      <c r="N992" t="s">
        <v>7563</v>
      </c>
      <c r="O992" t="s">
        <v>7613</v>
      </c>
      <c r="P992" t="s">
        <v>7614</v>
      </c>
    </row>
    <row r="993" spans="1:16" x14ac:dyDescent="0.35">
      <c r="A993" t="s">
        <v>7615</v>
      </c>
      <c r="B993" t="s">
        <v>55</v>
      </c>
      <c r="C993" t="s">
        <v>28</v>
      </c>
      <c r="D993" t="s">
        <v>28</v>
      </c>
      <c r="E993" t="s">
        <v>7616</v>
      </c>
      <c r="F993" t="s">
        <v>7617</v>
      </c>
      <c r="G993" t="s">
        <v>7536</v>
      </c>
      <c r="H993" t="s">
        <v>7537</v>
      </c>
      <c r="I993" t="s">
        <v>28</v>
      </c>
      <c r="J993" t="s">
        <v>28</v>
      </c>
      <c r="K993" t="s">
        <v>19</v>
      </c>
      <c r="L993" t="s">
        <v>20</v>
      </c>
      <c r="M993" t="s">
        <v>7562</v>
      </c>
      <c r="N993" t="s">
        <v>7563</v>
      </c>
      <c r="O993" t="s">
        <v>7618</v>
      </c>
      <c r="P993" t="s">
        <v>7619</v>
      </c>
    </row>
    <row r="994" spans="1:16" x14ac:dyDescent="0.35">
      <c r="A994" t="s">
        <v>7620</v>
      </c>
      <c r="B994" t="s">
        <v>55</v>
      </c>
      <c r="C994" t="s">
        <v>311</v>
      </c>
      <c r="D994" t="s">
        <v>22</v>
      </c>
      <c r="E994" t="s">
        <v>7621</v>
      </c>
      <c r="F994" t="s">
        <v>7622</v>
      </c>
      <c r="G994" t="s">
        <v>7536</v>
      </c>
      <c r="H994" t="s">
        <v>7538</v>
      </c>
      <c r="I994" t="s">
        <v>7623</v>
      </c>
      <c r="J994" t="s">
        <v>7624</v>
      </c>
      <c r="K994" t="s">
        <v>19</v>
      </c>
      <c r="L994" t="s">
        <v>20</v>
      </c>
      <c r="M994" t="s">
        <v>7562</v>
      </c>
      <c r="N994" t="s">
        <v>7563</v>
      </c>
      <c r="O994" t="s">
        <v>7625</v>
      </c>
      <c r="P994" t="s">
        <v>7626</v>
      </c>
    </row>
    <row r="995" spans="1:16" x14ac:dyDescent="0.35">
      <c r="A995" t="s">
        <v>7627</v>
      </c>
      <c r="B995" t="s">
        <v>107</v>
      </c>
      <c r="C995" t="s">
        <v>15</v>
      </c>
      <c r="D995" t="s">
        <v>68</v>
      </c>
      <c r="E995" t="s">
        <v>7628</v>
      </c>
      <c r="F995" t="s">
        <v>7629</v>
      </c>
      <c r="G995" t="s">
        <v>7630</v>
      </c>
      <c r="H995" t="s">
        <v>7538</v>
      </c>
      <c r="I995" t="s">
        <v>28</v>
      </c>
      <c r="J995" t="s">
        <v>7631</v>
      </c>
      <c r="K995" t="s">
        <v>19</v>
      </c>
      <c r="L995" t="s">
        <v>20</v>
      </c>
      <c r="M995" t="s">
        <v>7562</v>
      </c>
      <c r="N995" t="s">
        <v>7563</v>
      </c>
      <c r="O995" t="s">
        <v>7632</v>
      </c>
      <c r="P995" t="s">
        <v>7633</v>
      </c>
    </row>
    <row r="996" spans="1:16" x14ac:dyDescent="0.35">
      <c r="A996" t="s">
        <v>7634</v>
      </c>
      <c r="B996" t="s">
        <v>107</v>
      </c>
      <c r="C996" t="s">
        <v>28</v>
      </c>
      <c r="D996" t="s">
        <v>28</v>
      </c>
      <c r="E996" t="s">
        <v>7635</v>
      </c>
      <c r="F996" t="s">
        <v>7636</v>
      </c>
      <c r="G996" t="s">
        <v>7536</v>
      </c>
      <c r="H996" t="s">
        <v>7538</v>
      </c>
      <c r="I996" t="s">
        <v>7637</v>
      </c>
      <c r="J996" t="s">
        <v>7638</v>
      </c>
      <c r="K996" t="s">
        <v>19</v>
      </c>
      <c r="L996" t="s">
        <v>20</v>
      </c>
      <c r="M996" t="s">
        <v>7639</v>
      </c>
      <c r="N996" t="s">
        <v>7640</v>
      </c>
      <c r="O996" t="s">
        <v>7641</v>
      </c>
      <c r="P996" t="s">
        <v>7642</v>
      </c>
    </row>
    <row r="997" spans="1:16" x14ac:dyDescent="0.35">
      <c r="A997" t="s">
        <v>7643</v>
      </c>
      <c r="B997" t="s">
        <v>55</v>
      </c>
      <c r="C997" t="s">
        <v>140</v>
      </c>
      <c r="D997" t="s">
        <v>549</v>
      </c>
      <c r="E997" t="s">
        <v>7644</v>
      </c>
      <c r="F997" t="s">
        <v>7645</v>
      </c>
      <c r="G997" t="s">
        <v>7536</v>
      </c>
      <c r="H997" t="s">
        <v>7538</v>
      </c>
      <c r="I997" t="s">
        <v>7646</v>
      </c>
      <c r="J997" t="s">
        <v>7647</v>
      </c>
      <c r="K997" t="s">
        <v>7648</v>
      </c>
      <c r="L997" t="s">
        <v>20</v>
      </c>
      <c r="M997" t="s">
        <v>7639</v>
      </c>
      <c r="N997" t="s">
        <v>7640</v>
      </c>
      <c r="O997" t="s">
        <v>7649</v>
      </c>
      <c r="P997" t="s">
        <v>7650</v>
      </c>
    </row>
    <row r="998" spans="1:16" x14ac:dyDescent="0.35">
      <c r="A998" t="s">
        <v>482</v>
      </c>
      <c r="B998" t="s">
        <v>55</v>
      </c>
      <c r="C998" t="s">
        <v>26</v>
      </c>
      <c r="D998" t="s">
        <v>7651</v>
      </c>
      <c r="E998" t="s">
        <v>7652</v>
      </c>
      <c r="F998" t="s">
        <v>7653</v>
      </c>
      <c r="G998" t="s">
        <v>7536</v>
      </c>
      <c r="H998" t="s">
        <v>7537</v>
      </c>
      <c r="I998" t="s">
        <v>162</v>
      </c>
      <c r="J998" t="s">
        <v>7654</v>
      </c>
      <c r="K998" t="s">
        <v>164</v>
      </c>
      <c r="L998" t="s">
        <v>20</v>
      </c>
      <c r="M998" t="s">
        <v>7639</v>
      </c>
      <c r="N998" t="s">
        <v>7640</v>
      </c>
      <c r="O998" t="s">
        <v>7655</v>
      </c>
      <c r="P998" t="s">
        <v>7656</v>
      </c>
    </row>
    <row r="999" spans="1:16" x14ac:dyDescent="0.35">
      <c r="A999" t="s">
        <v>7657</v>
      </c>
      <c r="B999" t="s">
        <v>55</v>
      </c>
      <c r="C999" t="s">
        <v>28</v>
      </c>
      <c r="D999" t="s">
        <v>28</v>
      </c>
      <c r="E999" t="s">
        <v>7658</v>
      </c>
      <c r="F999" t="s">
        <v>7659</v>
      </c>
      <c r="G999" t="s">
        <v>7536</v>
      </c>
      <c r="H999" t="s">
        <v>7537</v>
      </c>
      <c r="I999" t="s">
        <v>7660</v>
      </c>
      <c r="J999" t="s">
        <v>7661</v>
      </c>
      <c r="K999" t="s">
        <v>19</v>
      </c>
      <c r="L999" t="s">
        <v>20</v>
      </c>
      <c r="M999" t="s">
        <v>7639</v>
      </c>
      <c r="N999" t="s">
        <v>7640</v>
      </c>
      <c r="O999" t="s">
        <v>7662</v>
      </c>
      <c r="P999" t="s">
        <v>7663</v>
      </c>
    </row>
    <row r="1000" spans="1:16" x14ac:dyDescent="0.35">
      <c r="A1000" t="s">
        <v>7664</v>
      </c>
      <c r="B1000" t="s">
        <v>55</v>
      </c>
      <c r="C1000" t="s">
        <v>117</v>
      </c>
      <c r="D1000" t="s">
        <v>27</v>
      </c>
      <c r="E1000" t="s">
        <v>7665</v>
      </c>
      <c r="F1000" t="s">
        <v>7666</v>
      </c>
      <c r="G1000" t="s">
        <v>7536</v>
      </c>
      <c r="H1000" t="s">
        <v>7538</v>
      </c>
      <c r="I1000" t="s">
        <v>7667</v>
      </c>
      <c r="J1000" t="s">
        <v>7668</v>
      </c>
      <c r="K1000" t="s">
        <v>19</v>
      </c>
      <c r="L1000" t="s">
        <v>20</v>
      </c>
      <c r="M1000" t="s">
        <v>7639</v>
      </c>
      <c r="N1000" t="s">
        <v>7640</v>
      </c>
      <c r="O1000" t="s">
        <v>7669</v>
      </c>
      <c r="P1000" t="s">
        <v>7670</v>
      </c>
    </row>
    <row r="1001" spans="1:16" x14ac:dyDescent="0.35">
      <c r="A1001" t="s">
        <v>7671</v>
      </c>
      <c r="B1001" t="s">
        <v>55</v>
      </c>
      <c r="C1001" t="s">
        <v>96</v>
      </c>
      <c r="D1001" t="s">
        <v>304</v>
      </c>
      <c r="E1001" t="s">
        <v>7672</v>
      </c>
      <c r="F1001" t="s">
        <v>7673</v>
      </c>
      <c r="G1001" t="s">
        <v>7536</v>
      </c>
      <c r="H1001" t="s">
        <v>7537</v>
      </c>
      <c r="I1001" t="s">
        <v>7674</v>
      </c>
      <c r="J1001" t="s">
        <v>28</v>
      </c>
      <c r="K1001" t="s">
        <v>7675</v>
      </c>
      <c r="L1001" t="s">
        <v>20</v>
      </c>
      <c r="M1001" t="s">
        <v>7639</v>
      </c>
      <c r="N1001" t="s">
        <v>7640</v>
      </c>
      <c r="O1001" t="s">
        <v>7676</v>
      </c>
      <c r="P1001" t="s">
        <v>7677</v>
      </c>
    </row>
    <row r="1002" spans="1:16" x14ac:dyDescent="0.35">
      <c r="A1002" t="s">
        <v>7678</v>
      </c>
      <c r="B1002" t="s">
        <v>194</v>
      </c>
      <c r="C1002" t="s">
        <v>28</v>
      </c>
      <c r="D1002" t="s">
        <v>28</v>
      </c>
      <c r="E1002" t="s">
        <v>7679</v>
      </c>
      <c r="F1002" t="s">
        <v>7680</v>
      </c>
      <c r="G1002" t="s">
        <v>7536</v>
      </c>
      <c r="H1002" t="s">
        <v>7537</v>
      </c>
      <c r="I1002" t="s">
        <v>28</v>
      </c>
      <c r="J1002" t="s">
        <v>7681</v>
      </c>
      <c r="K1002" t="s">
        <v>19</v>
      </c>
      <c r="L1002" t="s">
        <v>20</v>
      </c>
      <c r="M1002" t="s">
        <v>7639</v>
      </c>
      <c r="N1002" t="s">
        <v>7640</v>
      </c>
      <c r="O1002" t="s">
        <v>7682</v>
      </c>
      <c r="P1002" t="s">
        <v>7683</v>
      </c>
    </row>
    <row r="1003" spans="1:16" x14ac:dyDescent="0.35">
      <c r="A1003" t="s">
        <v>7684</v>
      </c>
      <c r="B1003" t="s">
        <v>373</v>
      </c>
      <c r="C1003" t="s">
        <v>691</v>
      </c>
      <c r="D1003" t="s">
        <v>124</v>
      </c>
      <c r="E1003" t="s">
        <v>7685</v>
      </c>
      <c r="F1003" t="s">
        <v>7686</v>
      </c>
      <c r="G1003" t="s">
        <v>7536</v>
      </c>
      <c r="H1003" t="s">
        <v>7538</v>
      </c>
      <c r="I1003" t="s">
        <v>28</v>
      </c>
      <c r="J1003" t="s">
        <v>28</v>
      </c>
      <c r="K1003" t="s">
        <v>19</v>
      </c>
      <c r="L1003" t="s">
        <v>20</v>
      </c>
      <c r="M1003" t="s">
        <v>7639</v>
      </c>
      <c r="N1003" t="s">
        <v>7640</v>
      </c>
      <c r="O1003" t="s">
        <v>7687</v>
      </c>
      <c r="P1003" t="s">
        <v>915</v>
      </c>
    </row>
    <row r="1004" spans="1:16" x14ac:dyDescent="0.35">
      <c r="A1004" t="s">
        <v>7688</v>
      </c>
      <c r="B1004" t="s">
        <v>55</v>
      </c>
      <c r="C1004" t="s">
        <v>15</v>
      </c>
      <c r="D1004" t="s">
        <v>16</v>
      </c>
      <c r="E1004" t="s">
        <v>7689</v>
      </c>
      <c r="F1004" t="s">
        <v>7690</v>
      </c>
      <c r="G1004" t="s">
        <v>7536</v>
      </c>
      <c r="H1004" t="s">
        <v>7538</v>
      </c>
      <c r="I1004" t="s">
        <v>28</v>
      </c>
      <c r="J1004" t="s">
        <v>7691</v>
      </c>
      <c r="K1004" t="s">
        <v>19</v>
      </c>
      <c r="L1004" t="s">
        <v>20</v>
      </c>
      <c r="M1004" t="s">
        <v>7692</v>
      </c>
      <c r="N1004" t="s">
        <v>7693</v>
      </c>
      <c r="O1004" t="s">
        <v>7694</v>
      </c>
      <c r="P1004" t="s">
        <v>7695</v>
      </c>
    </row>
    <row r="1005" spans="1:16" x14ac:dyDescent="0.35">
      <c r="A1005" t="s">
        <v>7696</v>
      </c>
      <c r="B1005" t="s">
        <v>55</v>
      </c>
      <c r="C1005" t="s">
        <v>96</v>
      </c>
      <c r="D1005" t="s">
        <v>242</v>
      </c>
      <c r="E1005" t="s">
        <v>7697</v>
      </c>
      <c r="F1005" t="s">
        <v>7698</v>
      </c>
      <c r="G1005" t="s">
        <v>7536</v>
      </c>
      <c r="H1005" t="s">
        <v>7538</v>
      </c>
      <c r="I1005" t="s">
        <v>7699</v>
      </c>
      <c r="J1005" t="s">
        <v>7700</v>
      </c>
      <c r="K1005" t="s">
        <v>7701</v>
      </c>
      <c r="L1005" t="s">
        <v>20</v>
      </c>
      <c r="M1005" t="s">
        <v>7692</v>
      </c>
      <c r="N1005" t="s">
        <v>7693</v>
      </c>
      <c r="O1005" t="s">
        <v>7702</v>
      </c>
      <c r="P1005" t="s">
        <v>7703</v>
      </c>
    </row>
    <row r="1006" spans="1:16" x14ac:dyDescent="0.35">
      <c r="A1006" t="s">
        <v>7707</v>
      </c>
      <c r="B1006" t="s">
        <v>55</v>
      </c>
      <c r="C1006" t="s">
        <v>117</v>
      </c>
      <c r="D1006" t="s">
        <v>16</v>
      </c>
      <c r="E1006" t="s">
        <v>7708</v>
      </c>
      <c r="F1006" t="s">
        <v>7709</v>
      </c>
      <c r="G1006" t="s">
        <v>7704</v>
      </c>
      <c r="H1006" t="s">
        <v>7710</v>
      </c>
      <c r="I1006" t="s">
        <v>7458</v>
      </c>
      <c r="J1006" t="s">
        <v>7711</v>
      </c>
      <c r="K1006" t="s">
        <v>19</v>
      </c>
      <c r="L1006" t="s">
        <v>20</v>
      </c>
      <c r="M1006" t="s">
        <v>7705</v>
      </c>
      <c r="N1006" t="s">
        <v>7706</v>
      </c>
      <c r="O1006" t="s">
        <v>7712</v>
      </c>
      <c r="P1006" t="s">
        <v>7713</v>
      </c>
    </row>
    <row r="1007" spans="1:16" x14ac:dyDescent="0.35">
      <c r="A1007" t="s">
        <v>7714</v>
      </c>
      <c r="B1007" t="s">
        <v>32</v>
      </c>
      <c r="C1007" t="s">
        <v>177</v>
      </c>
      <c r="D1007" t="s">
        <v>1611</v>
      </c>
      <c r="E1007" t="s">
        <v>7715</v>
      </c>
      <c r="F1007" t="s">
        <v>7716</v>
      </c>
      <c r="G1007" t="s">
        <v>7704</v>
      </c>
      <c r="H1007" t="s">
        <v>7704</v>
      </c>
      <c r="I1007" t="s">
        <v>28</v>
      </c>
      <c r="J1007" t="s">
        <v>7717</v>
      </c>
      <c r="K1007" t="s">
        <v>19</v>
      </c>
      <c r="L1007" t="s">
        <v>20</v>
      </c>
      <c r="M1007" t="s">
        <v>7705</v>
      </c>
      <c r="N1007" t="s">
        <v>7706</v>
      </c>
      <c r="O1007" t="s">
        <v>7718</v>
      </c>
      <c r="P1007" t="s">
        <v>7719</v>
      </c>
    </row>
    <row r="1008" spans="1:16" x14ac:dyDescent="0.35">
      <c r="A1008" t="s">
        <v>7720</v>
      </c>
      <c r="B1008" t="s">
        <v>32</v>
      </c>
      <c r="C1008" t="s">
        <v>1128</v>
      </c>
      <c r="D1008" t="s">
        <v>4890</v>
      </c>
      <c r="E1008" t="s">
        <v>7721</v>
      </c>
      <c r="F1008" t="s">
        <v>7722</v>
      </c>
      <c r="G1008" t="s">
        <v>7704</v>
      </c>
      <c r="H1008" t="s">
        <v>7704</v>
      </c>
      <c r="I1008" t="s">
        <v>7723</v>
      </c>
      <c r="J1008" t="s">
        <v>7724</v>
      </c>
      <c r="K1008" t="s">
        <v>19</v>
      </c>
      <c r="L1008" t="s">
        <v>20</v>
      </c>
      <c r="M1008" t="s">
        <v>7705</v>
      </c>
      <c r="N1008" t="s">
        <v>7706</v>
      </c>
      <c r="O1008" t="s">
        <v>7725</v>
      </c>
      <c r="P1008" t="s">
        <v>7726</v>
      </c>
    </row>
    <row r="1009" spans="1:16" x14ac:dyDescent="0.35">
      <c r="A1009" t="s">
        <v>7727</v>
      </c>
      <c r="B1009" t="s">
        <v>32</v>
      </c>
      <c r="C1009" t="s">
        <v>177</v>
      </c>
      <c r="D1009" t="s">
        <v>1578</v>
      </c>
      <c r="E1009" t="s">
        <v>7728</v>
      </c>
      <c r="F1009" t="s">
        <v>7729</v>
      </c>
      <c r="G1009" t="s">
        <v>7704</v>
      </c>
      <c r="H1009" t="s">
        <v>7704</v>
      </c>
      <c r="I1009" t="s">
        <v>7723</v>
      </c>
      <c r="J1009" t="s">
        <v>7730</v>
      </c>
      <c r="K1009" t="s">
        <v>19</v>
      </c>
      <c r="L1009" t="s">
        <v>20</v>
      </c>
      <c r="M1009" t="s">
        <v>7705</v>
      </c>
      <c r="N1009" t="s">
        <v>7706</v>
      </c>
      <c r="O1009" t="s">
        <v>7731</v>
      </c>
      <c r="P1009" t="s">
        <v>7732</v>
      </c>
    </row>
    <row r="1010" spans="1:16" x14ac:dyDescent="0.35">
      <c r="A1010" t="s">
        <v>7733</v>
      </c>
      <c r="B1010" t="s">
        <v>32</v>
      </c>
      <c r="C1010" t="s">
        <v>691</v>
      </c>
      <c r="D1010" t="s">
        <v>2474</v>
      </c>
      <c r="E1010" t="s">
        <v>7734</v>
      </c>
      <c r="F1010" t="s">
        <v>7735</v>
      </c>
      <c r="G1010" t="s">
        <v>7704</v>
      </c>
      <c r="H1010" t="s">
        <v>7704</v>
      </c>
      <c r="I1010" t="s">
        <v>7723</v>
      </c>
      <c r="J1010" t="s">
        <v>7736</v>
      </c>
      <c r="K1010" t="s">
        <v>19</v>
      </c>
      <c r="L1010" t="s">
        <v>20</v>
      </c>
      <c r="M1010" t="s">
        <v>7705</v>
      </c>
      <c r="N1010" t="s">
        <v>7706</v>
      </c>
      <c r="O1010" t="s">
        <v>7737</v>
      </c>
      <c r="P1010" t="s">
        <v>7738</v>
      </c>
    </row>
    <row r="1011" spans="1:16" x14ac:dyDescent="0.35">
      <c r="A1011" t="s">
        <v>7739</v>
      </c>
      <c r="B1011" t="s">
        <v>32</v>
      </c>
      <c r="C1011" t="s">
        <v>357</v>
      </c>
      <c r="D1011" t="s">
        <v>774</v>
      </c>
      <c r="E1011" t="s">
        <v>7740</v>
      </c>
      <c r="F1011" t="s">
        <v>7741</v>
      </c>
      <c r="G1011" t="s">
        <v>7704</v>
      </c>
      <c r="H1011" t="s">
        <v>7704</v>
      </c>
      <c r="I1011" t="s">
        <v>28</v>
      </c>
      <c r="J1011" t="s">
        <v>7742</v>
      </c>
      <c r="K1011" t="s">
        <v>19</v>
      </c>
      <c r="L1011" t="s">
        <v>20</v>
      </c>
      <c r="M1011" t="s">
        <v>7705</v>
      </c>
      <c r="N1011" t="s">
        <v>7706</v>
      </c>
      <c r="O1011" t="s">
        <v>7743</v>
      </c>
      <c r="P1011" t="s">
        <v>7744</v>
      </c>
    </row>
    <row r="1012" spans="1:16" x14ac:dyDescent="0.35">
      <c r="A1012" t="s">
        <v>7745</v>
      </c>
      <c r="B1012" t="s">
        <v>32</v>
      </c>
      <c r="C1012" t="s">
        <v>177</v>
      </c>
      <c r="D1012" t="s">
        <v>2990</v>
      </c>
      <c r="E1012" t="s">
        <v>7746</v>
      </c>
      <c r="F1012" t="s">
        <v>7747</v>
      </c>
      <c r="G1012" t="s">
        <v>7704</v>
      </c>
      <c r="H1012" t="s">
        <v>7704</v>
      </c>
      <c r="I1012" t="s">
        <v>7748</v>
      </c>
      <c r="J1012" t="s">
        <v>7749</v>
      </c>
      <c r="K1012" t="s">
        <v>19</v>
      </c>
      <c r="L1012" t="s">
        <v>20</v>
      </c>
      <c r="M1012" t="s">
        <v>7705</v>
      </c>
      <c r="N1012" t="s">
        <v>7706</v>
      </c>
      <c r="O1012" t="s">
        <v>7750</v>
      </c>
      <c r="P1012" t="s">
        <v>7751</v>
      </c>
    </row>
    <row r="1013" spans="1:16" x14ac:dyDescent="0.35">
      <c r="A1013" t="s">
        <v>7752</v>
      </c>
      <c r="B1013" t="s">
        <v>32</v>
      </c>
      <c r="C1013" t="s">
        <v>613</v>
      </c>
      <c r="D1013" t="s">
        <v>629</v>
      </c>
      <c r="E1013" t="s">
        <v>7753</v>
      </c>
      <c r="F1013" t="s">
        <v>7754</v>
      </c>
      <c r="G1013" t="s">
        <v>7704</v>
      </c>
      <c r="H1013" t="s">
        <v>7704</v>
      </c>
      <c r="I1013" t="s">
        <v>28</v>
      </c>
      <c r="J1013" t="s">
        <v>7755</v>
      </c>
      <c r="K1013" t="s">
        <v>19</v>
      </c>
      <c r="L1013" t="s">
        <v>20</v>
      </c>
      <c r="M1013" t="s">
        <v>7705</v>
      </c>
      <c r="N1013" t="s">
        <v>7706</v>
      </c>
      <c r="O1013" t="s">
        <v>7756</v>
      </c>
      <c r="P1013" t="s">
        <v>7757</v>
      </c>
    </row>
    <row r="1014" spans="1:16" x14ac:dyDescent="0.35">
      <c r="A1014" t="s">
        <v>7758</v>
      </c>
      <c r="B1014" t="s">
        <v>88</v>
      </c>
      <c r="C1014" t="s">
        <v>28</v>
      </c>
      <c r="D1014" t="s">
        <v>28</v>
      </c>
      <c r="E1014" t="s">
        <v>7759</v>
      </c>
      <c r="F1014" t="s">
        <v>7760</v>
      </c>
      <c r="G1014" t="s">
        <v>7704</v>
      </c>
      <c r="H1014" t="s">
        <v>7704</v>
      </c>
      <c r="I1014" t="s">
        <v>1222</v>
      </c>
      <c r="J1014" t="s">
        <v>7761</v>
      </c>
      <c r="K1014" t="s">
        <v>19</v>
      </c>
      <c r="L1014" t="s">
        <v>20</v>
      </c>
      <c r="M1014" t="s">
        <v>7705</v>
      </c>
      <c r="N1014" t="s">
        <v>7706</v>
      </c>
      <c r="O1014" t="s">
        <v>7762</v>
      </c>
      <c r="P1014" t="s">
        <v>7763</v>
      </c>
    </row>
    <row r="1015" spans="1:16" x14ac:dyDescent="0.35">
      <c r="A1015" t="s">
        <v>7764</v>
      </c>
      <c r="B1015" t="s">
        <v>55</v>
      </c>
      <c r="C1015" t="s">
        <v>311</v>
      </c>
      <c r="D1015" t="s">
        <v>7765</v>
      </c>
      <c r="E1015" t="s">
        <v>7766</v>
      </c>
      <c r="F1015" t="s">
        <v>7767</v>
      </c>
      <c r="G1015" t="s">
        <v>7704</v>
      </c>
      <c r="H1015" t="s">
        <v>7704</v>
      </c>
      <c r="I1015" t="s">
        <v>7768</v>
      </c>
      <c r="J1015" t="s">
        <v>7769</v>
      </c>
      <c r="K1015" t="s">
        <v>7770</v>
      </c>
      <c r="L1015" t="s">
        <v>20</v>
      </c>
      <c r="M1015" t="s">
        <v>7771</v>
      </c>
      <c r="N1015" t="s">
        <v>7772</v>
      </c>
      <c r="O1015" t="s">
        <v>7773</v>
      </c>
      <c r="P1015" t="s">
        <v>7774</v>
      </c>
    </row>
    <row r="1016" spans="1:16" x14ac:dyDescent="0.35">
      <c r="A1016" t="s">
        <v>7775</v>
      </c>
      <c r="B1016" t="s">
        <v>55</v>
      </c>
      <c r="C1016" t="s">
        <v>96</v>
      </c>
      <c r="D1016" t="s">
        <v>124</v>
      </c>
      <c r="E1016" t="s">
        <v>7776</v>
      </c>
      <c r="F1016" t="s">
        <v>7777</v>
      </c>
      <c r="G1016" t="s">
        <v>7704</v>
      </c>
      <c r="H1016" t="s">
        <v>7704</v>
      </c>
      <c r="I1016" t="s">
        <v>7458</v>
      </c>
      <c r="J1016" t="s">
        <v>7778</v>
      </c>
      <c r="K1016" t="s">
        <v>19</v>
      </c>
      <c r="L1016" t="s">
        <v>20</v>
      </c>
      <c r="M1016" t="s">
        <v>7771</v>
      </c>
      <c r="N1016" t="s">
        <v>7772</v>
      </c>
      <c r="O1016" t="s">
        <v>7779</v>
      </c>
      <c r="P1016" t="s">
        <v>7780</v>
      </c>
    </row>
    <row r="1017" spans="1:16" x14ac:dyDescent="0.35">
      <c r="A1017" t="s">
        <v>7781</v>
      </c>
      <c r="B1017" t="s">
        <v>55</v>
      </c>
      <c r="C1017" t="s">
        <v>25</v>
      </c>
      <c r="D1017" t="s">
        <v>16</v>
      </c>
      <c r="E1017" t="s">
        <v>7782</v>
      </c>
      <c r="F1017" t="s">
        <v>7783</v>
      </c>
      <c r="G1017" t="s">
        <v>7704</v>
      </c>
      <c r="H1017" t="s">
        <v>7704</v>
      </c>
      <c r="I1017" t="s">
        <v>28</v>
      </c>
      <c r="J1017" t="s">
        <v>7784</v>
      </c>
      <c r="K1017" t="s">
        <v>19</v>
      </c>
      <c r="L1017" t="s">
        <v>20</v>
      </c>
      <c r="M1017" t="s">
        <v>7771</v>
      </c>
      <c r="N1017" t="s">
        <v>7772</v>
      </c>
      <c r="O1017" t="s">
        <v>7785</v>
      </c>
      <c r="P1017" t="s">
        <v>7786</v>
      </c>
    </row>
    <row r="1018" spans="1:16" x14ac:dyDescent="0.35">
      <c r="A1018" t="s">
        <v>7787</v>
      </c>
      <c r="B1018" t="s">
        <v>88</v>
      </c>
      <c r="C1018" t="s">
        <v>28</v>
      </c>
      <c r="D1018" t="s">
        <v>28</v>
      </c>
      <c r="E1018" t="s">
        <v>7759</v>
      </c>
      <c r="F1018" t="s">
        <v>7760</v>
      </c>
      <c r="G1018" t="s">
        <v>7704</v>
      </c>
      <c r="H1018" t="s">
        <v>7704</v>
      </c>
      <c r="I1018" t="s">
        <v>1222</v>
      </c>
      <c r="J1018" t="s">
        <v>7788</v>
      </c>
      <c r="K1018" t="s">
        <v>19</v>
      </c>
      <c r="L1018" t="s">
        <v>20</v>
      </c>
      <c r="M1018" t="s">
        <v>7771</v>
      </c>
      <c r="N1018" t="s">
        <v>7772</v>
      </c>
      <c r="O1018" t="s">
        <v>7789</v>
      </c>
      <c r="P1018" t="s">
        <v>7763</v>
      </c>
    </row>
    <row r="1019" spans="1:16" x14ac:dyDescent="0.35">
      <c r="A1019" t="s">
        <v>7790</v>
      </c>
      <c r="B1019" t="s">
        <v>107</v>
      </c>
      <c r="C1019" t="s">
        <v>28</v>
      </c>
      <c r="D1019" t="s">
        <v>28</v>
      </c>
      <c r="E1019" t="s">
        <v>7791</v>
      </c>
      <c r="F1019" t="s">
        <v>7792</v>
      </c>
      <c r="G1019" t="s">
        <v>7704</v>
      </c>
      <c r="H1019" t="s">
        <v>7704</v>
      </c>
      <c r="I1019" t="s">
        <v>28</v>
      </c>
      <c r="J1019" t="s">
        <v>28</v>
      </c>
      <c r="K1019" t="s">
        <v>19</v>
      </c>
      <c r="L1019" t="s">
        <v>20</v>
      </c>
      <c r="M1019" t="s">
        <v>7771</v>
      </c>
      <c r="N1019" t="s">
        <v>7772</v>
      </c>
      <c r="O1019" t="s">
        <v>7793</v>
      </c>
      <c r="P1019" t="s">
        <v>7794</v>
      </c>
    </row>
    <row r="1020" spans="1:16" x14ac:dyDescent="0.35">
      <c r="A1020" t="s">
        <v>7795</v>
      </c>
      <c r="B1020" t="s">
        <v>32</v>
      </c>
      <c r="C1020" t="s">
        <v>26</v>
      </c>
      <c r="D1020" t="s">
        <v>4890</v>
      </c>
      <c r="E1020" t="s">
        <v>7796</v>
      </c>
      <c r="F1020" t="s">
        <v>7797</v>
      </c>
      <c r="G1020" t="s">
        <v>7798</v>
      </c>
      <c r="H1020" t="s">
        <v>7704</v>
      </c>
      <c r="I1020" t="s">
        <v>7799</v>
      </c>
      <c r="J1020" t="s">
        <v>7800</v>
      </c>
      <c r="K1020" t="s">
        <v>19</v>
      </c>
      <c r="L1020" t="s">
        <v>20</v>
      </c>
      <c r="M1020" t="s">
        <v>7771</v>
      </c>
      <c r="N1020" t="s">
        <v>7772</v>
      </c>
      <c r="O1020" t="s">
        <v>7801</v>
      </c>
      <c r="P1020" t="s">
        <v>7802</v>
      </c>
    </row>
    <row r="1021" spans="1:16" x14ac:dyDescent="0.35">
      <c r="A1021" t="s">
        <v>7803</v>
      </c>
      <c r="B1021" t="s">
        <v>32</v>
      </c>
      <c r="C1021" t="s">
        <v>241</v>
      </c>
      <c r="D1021" t="s">
        <v>2474</v>
      </c>
      <c r="E1021" t="s">
        <v>7804</v>
      </c>
      <c r="F1021" t="s">
        <v>7805</v>
      </c>
      <c r="G1021" t="s">
        <v>7704</v>
      </c>
      <c r="H1021" t="s">
        <v>7704</v>
      </c>
      <c r="I1021" t="s">
        <v>7806</v>
      </c>
      <c r="J1021" t="s">
        <v>7807</v>
      </c>
      <c r="K1021" t="s">
        <v>7808</v>
      </c>
      <c r="L1021" t="s">
        <v>20</v>
      </c>
      <c r="M1021" t="s">
        <v>7809</v>
      </c>
      <c r="N1021" t="s">
        <v>7810</v>
      </c>
      <c r="O1021" t="s">
        <v>7811</v>
      </c>
      <c r="P1021" t="s">
        <v>7812</v>
      </c>
    </row>
    <row r="1022" spans="1:16" x14ac:dyDescent="0.35">
      <c r="A1022" t="s">
        <v>7813</v>
      </c>
      <c r="B1022" t="s">
        <v>55</v>
      </c>
      <c r="C1022" t="s">
        <v>28</v>
      </c>
      <c r="D1022" t="s">
        <v>28</v>
      </c>
      <c r="E1022" t="s">
        <v>7814</v>
      </c>
      <c r="F1022" t="s">
        <v>7815</v>
      </c>
      <c r="G1022" t="s">
        <v>7704</v>
      </c>
      <c r="H1022" t="s">
        <v>7704</v>
      </c>
      <c r="I1022" t="s">
        <v>28</v>
      </c>
      <c r="J1022" t="s">
        <v>7816</v>
      </c>
      <c r="K1022" t="s">
        <v>19</v>
      </c>
      <c r="L1022" t="s">
        <v>20</v>
      </c>
      <c r="M1022" t="s">
        <v>7809</v>
      </c>
      <c r="N1022" t="s">
        <v>7810</v>
      </c>
      <c r="O1022" t="s">
        <v>7817</v>
      </c>
      <c r="P1022" t="s">
        <v>7818</v>
      </c>
    </row>
    <row r="1023" spans="1:16" x14ac:dyDescent="0.35">
      <c r="A1023" t="s">
        <v>7819</v>
      </c>
      <c r="B1023" t="s">
        <v>32</v>
      </c>
      <c r="C1023" t="s">
        <v>250</v>
      </c>
      <c r="D1023" t="s">
        <v>312</v>
      </c>
      <c r="E1023" t="s">
        <v>7820</v>
      </c>
      <c r="F1023" t="s">
        <v>7821</v>
      </c>
      <c r="G1023" t="s">
        <v>7704</v>
      </c>
      <c r="H1023" t="s">
        <v>7704</v>
      </c>
      <c r="I1023" t="s">
        <v>7723</v>
      </c>
      <c r="J1023" t="s">
        <v>7822</v>
      </c>
      <c r="K1023" t="s">
        <v>19</v>
      </c>
      <c r="L1023" t="s">
        <v>20</v>
      </c>
      <c r="M1023" t="s">
        <v>7809</v>
      </c>
      <c r="N1023" t="s">
        <v>7810</v>
      </c>
      <c r="O1023" t="s">
        <v>7823</v>
      </c>
      <c r="P1023" t="s">
        <v>7824</v>
      </c>
    </row>
    <row r="1024" spans="1:16" x14ac:dyDescent="0.35">
      <c r="A1024" t="s">
        <v>7825</v>
      </c>
      <c r="B1024" t="s">
        <v>32</v>
      </c>
      <c r="C1024" t="s">
        <v>177</v>
      </c>
      <c r="D1024" t="s">
        <v>2990</v>
      </c>
      <c r="E1024" t="s">
        <v>7826</v>
      </c>
      <c r="F1024" t="s">
        <v>7827</v>
      </c>
      <c r="G1024" t="s">
        <v>7704</v>
      </c>
      <c r="H1024" t="s">
        <v>7704</v>
      </c>
      <c r="I1024" t="s">
        <v>7828</v>
      </c>
      <c r="J1024" t="s">
        <v>7829</v>
      </c>
      <c r="K1024" t="s">
        <v>19</v>
      </c>
      <c r="L1024" t="s">
        <v>20</v>
      </c>
      <c r="M1024" t="s">
        <v>7809</v>
      </c>
      <c r="N1024" t="s">
        <v>7810</v>
      </c>
      <c r="O1024" t="s">
        <v>7830</v>
      </c>
      <c r="P1024" t="s">
        <v>7831</v>
      </c>
    </row>
    <row r="1025" spans="1:16" x14ac:dyDescent="0.35">
      <c r="A1025" t="s">
        <v>7832</v>
      </c>
      <c r="B1025" t="s">
        <v>32</v>
      </c>
      <c r="C1025" t="s">
        <v>341</v>
      </c>
      <c r="D1025" t="s">
        <v>374</v>
      </c>
      <c r="E1025" t="s">
        <v>7833</v>
      </c>
      <c r="F1025" t="s">
        <v>7834</v>
      </c>
      <c r="G1025" t="s">
        <v>7704</v>
      </c>
      <c r="H1025" t="s">
        <v>7704</v>
      </c>
      <c r="I1025" t="s">
        <v>28</v>
      </c>
      <c r="J1025" t="s">
        <v>7835</v>
      </c>
      <c r="K1025" t="s">
        <v>19</v>
      </c>
      <c r="L1025" t="s">
        <v>20</v>
      </c>
      <c r="M1025" t="s">
        <v>7836</v>
      </c>
      <c r="N1025" t="s">
        <v>7837</v>
      </c>
      <c r="O1025" t="s">
        <v>7838</v>
      </c>
      <c r="P1025" t="s">
        <v>7839</v>
      </c>
    </row>
    <row r="1026" spans="1:16" x14ac:dyDescent="0.35">
      <c r="A1026" t="s">
        <v>7840</v>
      </c>
      <c r="B1026" t="s">
        <v>55</v>
      </c>
      <c r="C1026" t="s">
        <v>691</v>
      </c>
      <c r="D1026" t="s">
        <v>348</v>
      </c>
      <c r="E1026" t="s">
        <v>7841</v>
      </c>
      <c r="F1026" t="s">
        <v>7842</v>
      </c>
      <c r="G1026" t="s">
        <v>7704</v>
      </c>
      <c r="H1026" t="s">
        <v>7704</v>
      </c>
      <c r="I1026" t="s">
        <v>7843</v>
      </c>
      <c r="J1026" t="s">
        <v>7844</v>
      </c>
      <c r="K1026" t="s">
        <v>7845</v>
      </c>
      <c r="L1026" t="s">
        <v>20</v>
      </c>
      <c r="M1026" t="s">
        <v>7836</v>
      </c>
      <c r="N1026" t="s">
        <v>7837</v>
      </c>
      <c r="O1026" t="s">
        <v>7846</v>
      </c>
      <c r="P1026" t="s">
        <v>7847</v>
      </c>
    </row>
    <row r="1027" spans="1:16" x14ac:dyDescent="0.35">
      <c r="A1027" t="s">
        <v>7848</v>
      </c>
      <c r="B1027" t="s">
        <v>55</v>
      </c>
      <c r="C1027" t="s">
        <v>548</v>
      </c>
      <c r="D1027" t="s">
        <v>374</v>
      </c>
      <c r="E1027" t="s">
        <v>7849</v>
      </c>
      <c r="F1027" t="s">
        <v>7850</v>
      </c>
      <c r="G1027" t="s">
        <v>7704</v>
      </c>
      <c r="H1027" t="s">
        <v>7704</v>
      </c>
      <c r="I1027" t="s">
        <v>7723</v>
      </c>
      <c r="J1027" t="s">
        <v>7851</v>
      </c>
      <c r="K1027" t="s">
        <v>19</v>
      </c>
      <c r="L1027" t="s">
        <v>20</v>
      </c>
      <c r="M1027" t="s">
        <v>7836</v>
      </c>
      <c r="N1027" t="s">
        <v>7837</v>
      </c>
      <c r="O1027" t="s">
        <v>7852</v>
      </c>
      <c r="P1027" t="s">
        <v>7853</v>
      </c>
    </row>
    <row r="1028" spans="1:16" x14ac:dyDescent="0.35">
      <c r="A1028" t="s">
        <v>7854</v>
      </c>
      <c r="B1028" t="s">
        <v>55</v>
      </c>
      <c r="C1028" t="s">
        <v>78</v>
      </c>
      <c r="D1028" t="s">
        <v>549</v>
      </c>
      <c r="E1028" t="s">
        <v>7855</v>
      </c>
      <c r="F1028" t="s">
        <v>7856</v>
      </c>
      <c r="G1028" t="s">
        <v>7704</v>
      </c>
      <c r="H1028" t="s">
        <v>7704</v>
      </c>
      <c r="I1028" t="s">
        <v>28</v>
      </c>
      <c r="J1028" t="s">
        <v>7857</v>
      </c>
      <c r="K1028" t="s">
        <v>19</v>
      </c>
      <c r="L1028" t="s">
        <v>20</v>
      </c>
      <c r="M1028" t="s">
        <v>7836</v>
      </c>
      <c r="N1028" t="s">
        <v>7837</v>
      </c>
      <c r="O1028" t="s">
        <v>7858</v>
      </c>
      <c r="P1028" t="s">
        <v>7859</v>
      </c>
    </row>
    <row r="1029" spans="1:16" x14ac:dyDescent="0.35">
      <c r="A1029" t="s">
        <v>7860</v>
      </c>
      <c r="B1029" t="s">
        <v>55</v>
      </c>
      <c r="C1029" t="s">
        <v>28</v>
      </c>
      <c r="D1029" t="s">
        <v>28</v>
      </c>
      <c r="E1029" t="s">
        <v>7861</v>
      </c>
      <c r="F1029" t="s">
        <v>7862</v>
      </c>
      <c r="G1029" t="s">
        <v>7704</v>
      </c>
      <c r="H1029" t="s">
        <v>7704</v>
      </c>
      <c r="I1029" t="s">
        <v>7863</v>
      </c>
      <c r="J1029" t="s">
        <v>28</v>
      </c>
      <c r="K1029" t="s">
        <v>7808</v>
      </c>
      <c r="L1029" t="s">
        <v>20</v>
      </c>
      <c r="M1029" t="s">
        <v>7836</v>
      </c>
      <c r="N1029" t="s">
        <v>7837</v>
      </c>
      <c r="O1029" t="s">
        <v>7864</v>
      </c>
      <c r="P1029" t="s">
        <v>7865</v>
      </c>
    </row>
    <row r="1030" spans="1:16" x14ac:dyDescent="0.35">
      <c r="A1030" t="s">
        <v>7866</v>
      </c>
      <c r="B1030" t="s">
        <v>55</v>
      </c>
      <c r="C1030" t="s">
        <v>548</v>
      </c>
      <c r="D1030" t="s">
        <v>549</v>
      </c>
      <c r="E1030" t="s">
        <v>7867</v>
      </c>
      <c r="F1030" t="s">
        <v>7868</v>
      </c>
      <c r="G1030" t="s">
        <v>7704</v>
      </c>
      <c r="H1030" t="s">
        <v>7704</v>
      </c>
      <c r="I1030" t="s">
        <v>2599</v>
      </c>
      <c r="J1030" t="s">
        <v>7869</v>
      </c>
      <c r="K1030" t="s">
        <v>19</v>
      </c>
      <c r="L1030" t="s">
        <v>20</v>
      </c>
      <c r="M1030" t="s">
        <v>7836</v>
      </c>
      <c r="N1030" t="s">
        <v>7837</v>
      </c>
      <c r="O1030" t="s">
        <v>7870</v>
      </c>
      <c r="P1030" t="s">
        <v>7871</v>
      </c>
    </row>
    <row r="1031" spans="1:16" x14ac:dyDescent="0.35">
      <c r="A1031" t="s">
        <v>7872</v>
      </c>
      <c r="B1031" t="s">
        <v>55</v>
      </c>
      <c r="C1031" t="s">
        <v>241</v>
      </c>
      <c r="D1031" t="s">
        <v>7873</v>
      </c>
      <c r="E1031" t="s">
        <v>7874</v>
      </c>
      <c r="F1031" t="s">
        <v>7875</v>
      </c>
      <c r="G1031" t="s">
        <v>7704</v>
      </c>
      <c r="H1031" t="s">
        <v>7704</v>
      </c>
      <c r="I1031" t="s">
        <v>82</v>
      </c>
      <c r="J1031" t="s">
        <v>7876</v>
      </c>
      <c r="K1031" t="s">
        <v>84</v>
      </c>
      <c r="L1031" t="s">
        <v>20</v>
      </c>
      <c r="M1031" t="s">
        <v>7836</v>
      </c>
      <c r="N1031" t="s">
        <v>7837</v>
      </c>
      <c r="O1031" t="s">
        <v>7877</v>
      </c>
      <c r="P1031" t="s">
        <v>7878</v>
      </c>
    </row>
    <row r="1032" spans="1:16" x14ac:dyDescent="0.35">
      <c r="A1032" t="s">
        <v>1045</v>
      </c>
      <c r="B1032" t="s">
        <v>32</v>
      </c>
      <c r="C1032" t="s">
        <v>241</v>
      </c>
      <c r="D1032" t="s">
        <v>22</v>
      </c>
      <c r="E1032" t="s">
        <v>7879</v>
      </c>
      <c r="F1032" t="s">
        <v>7880</v>
      </c>
      <c r="G1032" t="s">
        <v>7881</v>
      </c>
      <c r="H1032" t="s">
        <v>7704</v>
      </c>
      <c r="I1032" t="s">
        <v>28</v>
      </c>
      <c r="J1032" t="s">
        <v>7882</v>
      </c>
      <c r="K1032" t="s">
        <v>19</v>
      </c>
      <c r="L1032" t="s">
        <v>20</v>
      </c>
      <c r="M1032" t="s">
        <v>7883</v>
      </c>
      <c r="N1032" t="s">
        <v>7884</v>
      </c>
      <c r="O1032" t="s">
        <v>7885</v>
      </c>
      <c r="P1032" t="s">
        <v>7886</v>
      </c>
    </row>
    <row r="1033" spans="1:16" x14ac:dyDescent="0.35">
      <c r="A1033" t="s">
        <v>7890</v>
      </c>
      <c r="B1033" t="s">
        <v>55</v>
      </c>
      <c r="C1033" t="s">
        <v>28</v>
      </c>
      <c r="D1033" t="s">
        <v>28</v>
      </c>
      <c r="E1033" t="s">
        <v>7891</v>
      </c>
      <c r="F1033" t="s">
        <v>7892</v>
      </c>
      <c r="G1033" t="s">
        <v>7704</v>
      </c>
      <c r="H1033" t="s">
        <v>7704</v>
      </c>
      <c r="I1033" t="s">
        <v>28</v>
      </c>
      <c r="J1033" t="s">
        <v>7893</v>
      </c>
      <c r="K1033" t="s">
        <v>19</v>
      </c>
      <c r="L1033" t="s">
        <v>20</v>
      </c>
      <c r="M1033" t="s">
        <v>7888</v>
      </c>
      <c r="N1033" t="s">
        <v>7889</v>
      </c>
      <c r="O1033" t="s">
        <v>7894</v>
      </c>
      <c r="P1033" t="s">
        <v>7895</v>
      </c>
    </row>
    <row r="1034" spans="1:16" x14ac:dyDescent="0.35">
      <c r="A1034" t="s">
        <v>7896</v>
      </c>
      <c r="B1034" t="s">
        <v>107</v>
      </c>
      <c r="C1034" t="s">
        <v>117</v>
      </c>
      <c r="D1034" t="s">
        <v>16</v>
      </c>
      <c r="E1034" t="s">
        <v>7897</v>
      </c>
      <c r="F1034" t="s">
        <v>7898</v>
      </c>
      <c r="G1034" t="s">
        <v>7704</v>
      </c>
      <c r="H1034" t="s">
        <v>7704</v>
      </c>
      <c r="I1034" t="s">
        <v>7899</v>
      </c>
      <c r="J1034" t="s">
        <v>28</v>
      </c>
      <c r="K1034" t="s">
        <v>598</v>
      </c>
      <c r="L1034" t="s">
        <v>20</v>
      </c>
      <c r="M1034" t="s">
        <v>7900</v>
      </c>
      <c r="N1034" t="s">
        <v>7901</v>
      </c>
      <c r="O1034" t="s">
        <v>7902</v>
      </c>
      <c r="P1034" t="s">
        <v>7903</v>
      </c>
    </row>
    <row r="1035" spans="1:16" x14ac:dyDescent="0.35">
      <c r="A1035" t="s">
        <v>7904</v>
      </c>
      <c r="B1035" t="s">
        <v>55</v>
      </c>
      <c r="C1035" t="s">
        <v>28</v>
      </c>
      <c r="D1035" t="s">
        <v>28</v>
      </c>
      <c r="E1035" t="s">
        <v>7905</v>
      </c>
      <c r="F1035" t="s">
        <v>7906</v>
      </c>
      <c r="G1035" t="s">
        <v>7704</v>
      </c>
      <c r="H1035" t="s">
        <v>7710</v>
      </c>
      <c r="I1035" t="s">
        <v>7907</v>
      </c>
      <c r="J1035" t="s">
        <v>7908</v>
      </c>
      <c r="K1035" t="s">
        <v>19</v>
      </c>
      <c r="L1035" t="s">
        <v>20</v>
      </c>
      <c r="M1035" t="s">
        <v>7900</v>
      </c>
      <c r="N1035" t="s">
        <v>7901</v>
      </c>
      <c r="O1035" t="s">
        <v>7909</v>
      </c>
      <c r="P1035" t="s">
        <v>7910</v>
      </c>
    </row>
    <row r="1036" spans="1:16" x14ac:dyDescent="0.35">
      <c r="A1036" t="s">
        <v>7911</v>
      </c>
      <c r="B1036" t="s">
        <v>55</v>
      </c>
      <c r="C1036" t="s">
        <v>96</v>
      </c>
      <c r="D1036" t="s">
        <v>124</v>
      </c>
      <c r="E1036" t="s">
        <v>7912</v>
      </c>
      <c r="F1036" t="s">
        <v>7913</v>
      </c>
      <c r="G1036" t="s">
        <v>7704</v>
      </c>
      <c r="H1036" t="s">
        <v>7704</v>
      </c>
      <c r="I1036" t="s">
        <v>7458</v>
      </c>
      <c r="J1036" t="s">
        <v>7914</v>
      </c>
      <c r="K1036" t="s">
        <v>19</v>
      </c>
      <c r="L1036" t="s">
        <v>20</v>
      </c>
      <c r="M1036" t="s">
        <v>7900</v>
      </c>
      <c r="N1036" t="s">
        <v>7901</v>
      </c>
      <c r="O1036" t="s">
        <v>7915</v>
      </c>
      <c r="P1036" t="s">
        <v>7916</v>
      </c>
    </row>
    <row r="1037" spans="1:16" x14ac:dyDescent="0.35">
      <c r="A1037" t="s">
        <v>7917</v>
      </c>
      <c r="B1037" t="s">
        <v>55</v>
      </c>
      <c r="C1037" t="s">
        <v>205</v>
      </c>
      <c r="D1037" t="s">
        <v>2788</v>
      </c>
      <c r="E1037" t="s">
        <v>7918</v>
      </c>
      <c r="F1037" t="s">
        <v>7919</v>
      </c>
      <c r="G1037" t="s">
        <v>7704</v>
      </c>
      <c r="H1037" t="s">
        <v>7704</v>
      </c>
      <c r="I1037" t="s">
        <v>7920</v>
      </c>
      <c r="J1037" t="s">
        <v>7921</v>
      </c>
      <c r="K1037" t="s">
        <v>7922</v>
      </c>
      <c r="L1037" t="s">
        <v>20</v>
      </c>
      <c r="M1037" t="s">
        <v>7900</v>
      </c>
      <c r="N1037" t="s">
        <v>7901</v>
      </c>
      <c r="O1037" t="s">
        <v>7923</v>
      </c>
      <c r="P1037" t="s">
        <v>7924</v>
      </c>
    </row>
    <row r="1038" spans="1:16" x14ac:dyDescent="0.35">
      <c r="A1038" t="s">
        <v>7925</v>
      </c>
      <c r="B1038" t="s">
        <v>55</v>
      </c>
      <c r="C1038" t="s">
        <v>140</v>
      </c>
      <c r="D1038" t="s">
        <v>774</v>
      </c>
      <c r="E1038" t="s">
        <v>7926</v>
      </c>
      <c r="F1038" t="s">
        <v>7927</v>
      </c>
      <c r="G1038" t="s">
        <v>7704</v>
      </c>
      <c r="H1038" t="s">
        <v>7704</v>
      </c>
      <c r="I1038" t="s">
        <v>7928</v>
      </c>
      <c r="J1038" t="s">
        <v>7929</v>
      </c>
      <c r="K1038" t="s">
        <v>19</v>
      </c>
      <c r="L1038" t="s">
        <v>20</v>
      </c>
      <c r="M1038" t="s">
        <v>7900</v>
      </c>
      <c r="N1038" t="s">
        <v>7901</v>
      </c>
      <c r="O1038" t="s">
        <v>7930</v>
      </c>
      <c r="P1038" t="s">
        <v>7931</v>
      </c>
    </row>
    <row r="1039" spans="1:16" x14ac:dyDescent="0.35">
      <c r="A1039" t="s">
        <v>7932</v>
      </c>
      <c r="B1039" t="s">
        <v>55</v>
      </c>
      <c r="C1039" t="s">
        <v>78</v>
      </c>
      <c r="D1039" t="s">
        <v>774</v>
      </c>
      <c r="E1039" t="s">
        <v>7933</v>
      </c>
      <c r="F1039" t="s">
        <v>7934</v>
      </c>
      <c r="G1039" t="s">
        <v>7704</v>
      </c>
      <c r="H1039" t="s">
        <v>7704</v>
      </c>
      <c r="I1039" t="s">
        <v>7935</v>
      </c>
      <c r="J1039" t="s">
        <v>7936</v>
      </c>
      <c r="K1039" t="s">
        <v>7937</v>
      </c>
      <c r="L1039" t="s">
        <v>20</v>
      </c>
      <c r="M1039" t="s">
        <v>7900</v>
      </c>
      <c r="N1039" t="s">
        <v>7901</v>
      </c>
      <c r="O1039" t="s">
        <v>7938</v>
      </c>
      <c r="P1039" t="s">
        <v>7939</v>
      </c>
    </row>
    <row r="1040" spans="1:16" x14ac:dyDescent="0.35">
      <c r="A1040" t="s">
        <v>7940</v>
      </c>
      <c r="B1040" t="s">
        <v>55</v>
      </c>
      <c r="C1040" t="s">
        <v>205</v>
      </c>
      <c r="D1040" t="s">
        <v>403</v>
      </c>
      <c r="E1040" t="s">
        <v>7941</v>
      </c>
      <c r="F1040" t="s">
        <v>7942</v>
      </c>
      <c r="G1040" t="s">
        <v>7704</v>
      </c>
      <c r="H1040" t="s">
        <v>7704</v>
      </c>
      <c r="I1040" t="s">
        <v>7943</v>
      </c>
      <c r="J1040" t="s">
        <v>7944</v>
      </c>
      <c r="K1040" t="s">
        <v>7945</v>
      </c>
      <c r="L1040" t="s">
        <v>20</v>
      </c>
      <c r="M1040" t="s">
        <v>7900</v>
      </c>
      <c r="N1040" t="s">
        <v>7901</v>
      </c>
      <c r="O1040" t="s">
        <v>7946</v>
      </c>
      <c r="P1040" t="s">
        <v>7947</v>
      </c>
    </row>
    <row r="1041" spans="1:16" x14ac:dyDescent="0.35">
      <c r="A1041" t="s">
        <v>7948</v>
      </c>
      <c r="B1041" t="s">
        <v>55</v>
      </c>
      <c r="C1041" t="s">
        <v>96</v>
      </c>
      <c r="D1041" t="s">
        <v>324</v>
      </c>
      <c r="E1041" t="s">
        <v>7949</v>
      </c>
      <c r="F1041" t="s">
        <v>7950</v>
      </c>
      <c r="G1041" t="s">
        <v>7704</v>
      </c>
      <c r="H1041" t="s">
        <v>7704</v>
      </c>
      <c r="I1041" t="s">
        <v>7951</v>
      </c>
      <c r="J1041" t="s">
        <v>7952</v>
      </c>
      <c r="K1041" t="s">
        <v>7953</v>
      </c>
      <c r="L1041" t="s">
        <v>20</v>
      </c>
      <c r="M1041" t="s">
        <v>7954</v>
      </c>
      <c r="N1041" t="s">
        <v>7955</v>
      </c>
      <c r="O1041" t="s">
        <v>7956</v>
      </c>
      <c r="P1041" t="s">
        <v>7957</v>
      </c>
    </row>
    <row r="1042" spans="1:16" x14ac:dyDescent="0.35">
      <c r="A1042" t="s">
        <v>7958</v>
      </c>
      <c r="B1042" t="s">
        <v>55</v>
      </c>
      <c r="C1042" t="s">
        <v>28</v>
      </c>
      <c r="D1042" t="s">
        <v>28</v>
      </c>
      <c r="E1042" t="s">
        <v>7959</v>
      </c>
      <c r="F1042" t="s">
        <v>7960</v>
      </c>
      <c r="G1042" t="s">
        <v>7704</v>
      </c>
      <c r="H1042" t="s">
        <v>7704</v>
      </c>
      <c r="I1042" t="s">
        <v>28</v>
      </c>
      <c r="J1042" t="s">
        <v>7961</v>
      </c>
      <c r="K1042" t="s">
        <v>19</v>
      </c>
      <c r="L1042" t="s">
        <v>20</v>
      </c>
      <c r="M1042" t="s">
        <v>7954</v>
      </c>
      <c r="N1042" t="s">
        <v>7955</v>
      </c>
      <c r="O1042" t="s">
        <v>7962</v>
      </c>
      <c r="P1042" t="s">
        <v>7963</v>
      </c>
    </row>
    <row r="1043" spans="1:16" x14ac:dyDescent="0.35">
      <c r="A1043" t="s">
        <v>7964</v>
      </c>
      <c r="B1043" t="s">
        <v>55</v>
      </c>
      <c r="C1043" t="s">
        <v>28</v>
      </c>
      <c r="D1043" t="s">
        <v>28</v>
      </c>
      <c r="E1043" t="s">
        <v>7965</v>
      </c>
      <c r="F1043" t="s">
        <v>7966</v>
      </c>
      <c r="G1043" t="s">
        <v>7704</v>
      </c>
      <c r="H1043" t="s">
        <v>7704</v>
      </c>
      <c r="I1043" t="s">
        <v>28</v>
      </c>
      <c r="J1043" t="s">
        <v>28</v>
      </c>
      <c r="K1043" t="s">
        <v>19</v>
      </c>
      <c r="L1043" t="s">
        <v>20</v>
      </c>
      <c r="M1043" t="s">
        <v>7954</v>
      </c>
      <c r="N1043" t="s">
        <v>7955</v>
      </c>
      <c r="O1043" t="s">
        <v>7967</v>
      </c>
      <c r="P1043" t="s">
        <v>7968</v>
      </c>
    </row>
    <row r="1044" spans="1:16" x14ac:dyDescent="0.35">
      <c r="A1044" t="s">
        <v>7969</v>
      </c>
      <c r="B1044" t="s">
        <v>55</v>
      </c>
      <c r="C1044" t="s">
        <v>28</v>
      </c>
      <c r="D1044" t="s">
        <v>28</v>
      </c>
      <c r="E1044" t="s">
        <v>7970</v>
      </c>
      <c r="F1044" t="s">
        <v>7971</v>
      </c>
      <c r="G1044" t="s">
        <v>7972</v>
      </c>
      <c r="H1044" t="s">
        <v>7704</v>
      </c>
      <c r="I1044" t="s">
        <v>7973</v>
      </c>
      <c r="J1044" t="s">
        <v>7974</v>
      </c>
      <c r="K1044" t="s">
        <v>19</v>
      </c>
      <c r="L1044" t="s">
        <v>20</v>
      </c>
      <c r="M1044" t="s">
        <v>7954</v>
      </c>
      <c r="N1044" t="s">
        <v>7955</v>
      </c>
      <c r="O1044" t="s">
        <v>7975</v>
      </c>
      <c r="P1044" t="s">
        <v>7976</v>
      </c>
    </row>
    <row r="1045" spans="1:16" x14ac:dyDescent="0.35">
      <c r="A1045" t="s">
        <v>7977</v>
      </c>
      <c r="B1045" t="s">
        <v>55</v>
      </c>
      <c r="C1045" t="s">
        <v>28</v>
      </c>
      <c r="D1045" t="s">
        <v>28</v>
      </c>
      <c r="E1045" t="s">
        <v>7978</v>
      </c>
      <c r="F1045" t="s">
        <v>7979</v>
      </c>
      <c r="G1045" t="s">
        <v>7704</v>
      </c>
      <c r="H1045" t="s">
        <v>7704</v>
      </c>
      <c r="I1045" t="s">
        <v>7980</v>
      </c>
      <c r="J1045" t="s">
        <v>7981</v>
      </c>
      <c r="K1045" t="s">
        <v>19</v>
      </c>
      <c r="L1045" t="s">
        <v>20</v>
      </c>
      <c r="M1045" t="s">
        <v>7954</v>
      </c>
      <c r="N1045" t="s">
        <v>7955</v>
      </c>
      <c r="O1045" t="s">
        <v>7982</v>
      </c>
      <c r="P1045" t="s">
        <v>7983</v>
      </c>
    </row>
    <row r="1046" spans="1:16" x14ac:dyDescent="0.35">
      <c r="A1046" t="s">
        <v>7984</v>
      </c>
      <c r="B1046" t="s">
        <v>55</v>
      </c>
      <c r="C1046" t="s">
        <v>311</v>
      </c>
      <c r="D1046" t="s">
        <v>141</v>
      </c>
      <c r="E1046" t="s">
        <v>7985</v>
      </c>
      <c r="F1046" t="s">
        <v>7986</v>
      </c>
      <c r="G1046" t="s">
        <v>7704</v>
      </c>
      <c r="H1046" t="s">
        <v>7704</v>
      </c>
      <c r="I1046" t="s">
        <v>207</v>
      </c>
      <c r="J1046" t="s">
        <v>7987</v>
      </c>
      <c r="K1046" t="s">
        <v>19</v>
      </c>
      <c r="L1046" t="s">
        <v>20</v>
      </c>
      <c r="M1046" t="s">
        <v>7954</v>
      </c>
      <c r="N1046" t="s">
        <v>7955</v>
      </c>
      <c r="O1046" t="s">
        <v>7988</v>
      </c>
      <c r="P1046" t="s">
        <v>7989</v>
      </c>
    </row>
    <row r="1047" spans="1:16" x14ac:dyDescent="0.35">
      <c r="A1047" t="s">
        <v>7990</v>
      </c>
      <c r="B1047" t="s">
        <v>55</v>
      </c>
      <c r="C1047" t="s">
        <v>205</v>
      </c>
      <c r="D1047" t="s">
        <v>3075</v>
      </c>
      <c r="E1047" t="s">
        <v>7991</v>
      </c>
      <c r="F1047" t="s">
        <v>7992</v>
      </c>
      <c r="G1047" t="s">
        <v>7704</v>
      </c>
      <c r="H1047" t="s">
        <v>7704</v>
      </c>
      <c r="I1047" t="s">
        <v>28</v>
      </c>
      <c r="J1047" t="s">
        <v>7993</v>
      </c>
      <c r="K1047" t="s">
        <v>19</v>
      </c>
      <c r="L1047" t="s">
        <v>20</v>
      </c>
      <c r="M1047" t="s">
        <v>7954</v>
      </c>
      <c r="N1047" t="s">
        <v>7955</v>
      </c>
      <c r="O1047" t="s">
        <v>7994</v>
      </c>
      <c r="P1047" t="s">
        <v>7995</v>
      </c>
    </row>
    <row r="1048" spans="1:16" x14ac:dyDescent="0.35">
      <c r="A1048" t="s">
        <v>7996</v>
      </c>
      <c r="B1048" t="s">
        <v>55</v>
      </c>
      <c r="C1048" t="s">
        <v>28</v>
      </c>
      <c r="D1048" t="s">
        <v>28</v>
      </c>
      <c r="E1048" t="s">
        <v>7997</v>
      </c>
      <c r="F1048" t="s">
        <v>7998</v>
      </c>
      <c r="G1048" t="s">
        <v>7704</v>
      </c>
      <c r="H1048" t="s">
        <v>7704</v>
      </c>
      <c r="I1048" t="s">
        <v>7999</v>
      </c>
      <c r="J1048" t="s">
        <v>8000</v>
      </c>
      <c r="K1048" t="s">
        <v>8001</v>
      </c>
      <c r="L1048" t="s">
        <v>20</v>
      </c>
      <c r="M1048" t="s">
        <v>8002</v>
      </c>
      <c r="N1048" t="s">
        <v>8003</v>
      </c>
      <c r="O1048" t="s">
        <v>8004</v>
      </c>
      <c r="P1048" t="s">
        <v>8005</v>
      </c>
    </row>
    <row r="1049" spans="1:16" x14ac:dyDescent="0.35">
      <c r="A1049" t="s">
        <v>8006</v>
      </c>
      <c r="B1049" t="s">
        <v>55</v>
      </c>
      <c r="C1049" t="s">
        <v>177</v>
      </c>
      <c r="D1049" t="s">
        <v>68</v>
      </c>
      <c r="E1049" t="s">
        <v>8007</v>
      </c>
      <c r="F1049" t="s">
        <v>8008</v>
      </c>
      <c r="G1049" t="s">
        <v>7704</v>
      </c>
      <c r="H1049" t="s">
        <v>7704</v>
      </c>
      <c r="I1049" t="s">
        <v>28</v>
      </c>
      <c r="J1049" t="s">
        <v>8009</v>
      </c>
      <c r="K1049" t="s">
        <v>19</v>
      </c>
      <c r="L1049" t="s">
        <v>20</v>
      </c>
      <c r="M1049" t="s">
        <v>8002</v>
      </c>
      <c r="N1049" t="s">
        <v>8003</v>
      </c>
      <c r="O1049" t="s">
        <v>8010</v>
      </c>
      <c r="P1049" t="s">
        <v>8011</v>
      </c>
    </row>
    <row r="1050" spans="1:16" x14ac:dyDescent="0.35">
      <c r="A1050" t="s">
        <v>8012</v>
      </c>
      <c r="B1050" t="s">
        <v>55</v>
      </c>
      <c r="C1050" t="s">
        <v>205</v>
      </c>
      <c r="D1050" t="s">
        <v>2116</v>
      </c>
      <c r="E1050" t="s">
        <v>8013</v>
      </c>
      <c r="F1050" t="s">
        <v>8014</v>
      </c>
      <c r="G1050" t="s">
        <v>7704</v>
      </c>
      <c r="H1050" t="s">
        <v>7704</v>
      </c>
      <c r="I1050" t="s">
        <v>7951</v>
      </c>
      <c r="J1050" t="s">
        <v>8015</v>
      </c>
      <c r="K1050" t="s">
        <v>7953</v>
      </c>
      <c r="L1050" t="s">
        <v>20</v>
      </c>
      <c r="M1050" t="s">
        <v>8002</v>
      </c>
      <c r="N1050" t="s">
        <v>8003</v>
      </c>
      <c r="O1050" t="s">
        <v>8016</v>
      </c>
      <c r="P1050" t="s">
        <v>8017</v>
      </c>
    </row>
    <row r="1051" spans="1:16" x14ac:dyDescent="0.35">
      <c r="A1051" t="s">
        <v>8018</v>
      </c>
      <c r="B1051" t="s">
        <v>55</v>
      </c>
      <c r="C1051" t="s">
        <v>117</v>
      </c>
      <c r="D1051" t="s">
        <v>27</v>
      </c>
      <c r="E1051" t="s">
        <v>8019</v>
      </c>
      <c r="F1051" t="s">
        <v>8020</v>
      </c>
      <c r="G1051" t="s">
        <v>7704</v>
      </c>
      <c r="H1051" t="s">
        <v>7704</v>
      </c>
      <c r="I1051" t="s">
        <v>28</v>
      </c>
      <c r="J1051" t="s">
        <v>8021</v>
      </c>
      <c r="K1051" t="s">
        <v>19</v>
      </c>
      <c r="L1051" t="s">
        <v>20</v>
      </c>
      <c r="M1051" t="s">
        <v>8002</v>
      </c>
      <c r="N1051" t="s">
        <v>8003</v>
      </c>
      <c r="O1051" t="s">
        <v>8022</v>
      </c>
      <c r="P1051" t="s">
        <v>8023</v>
      </c>
    </row>
    <row r="1052" spans="1:16" x14ac:dyDescent="0.35">
      <c r="A1052" t="s">
        <v>8025</v>
      </c>
      <c r="B1052" t="s">
        <v>55</v>
      </c>
      <c r="C1052" t="s">
        <v>78</v>
      </c>
      <c r="D1052" t="s">
        <v>952</v>
      </c>
      <c r="E1052" t="s">
        <v>8026</v>
      </c>
      <c r="F1052" t="s">
        <v>8027</v>
      </c>
      <c r="G1052" t="s">
        <v>7704</v>
      </c>
      <c r="H1052" t="s">
        <v>7704</v>
      </c>
      <c r="I1052" t="s">
        <v>7458</v>
      </c>
      <c r="J1052" t="s">
        <v>8028</v>
      </c>
      <c r="K1052" t="s">
        <v>19</v>
      </c>
      <c r="L1052" t="s">
        <v>20</v>
      </c>
      <c r="M1052" t="s">
        <v>8002</v>
      </c>
      <c r="N1052" t="s">
        <v>8003</v>
      </c>
      <c r="O1052" t="s">
        <v>8029</v>
      </c>
      <c r="P1052" t="s">
        <v>8030</v>
      </c>
    </row>
    <row r="1053" spans="1:16" x14ac:dyDescent="0.35">
      <c r="A1053" t="s">
        <v>8031</v>
      </c>
      <c r="B1053" t="s">
        <v>55</v>
      </c>
      <c r="C1053" t="s">
        <v>699</v>
      </c>
      <c r="D1053" t="s">
        <v>22</v>
      </c>
      <c r="E1053" t="s">
        <v>8032</v>
      </c>
      <c r="F1053" t="s">
        <v>8033</v>
      </c>
      <c r="G1053" t="s">
        <v>7887</v>
      </c>
      <c r="H1053" t="s">
        <v>7704</v>
      </c>
      <c r="I1053" t="s">
        <v>7458</v>
      </c>
      <c r="J1053" t="s">
        <v>8034</v>
      </c>
      <c r="K1053" t="s">
        <v>19</v>
      </c>
      <c r="L1053" t="s">
        <v>20</v>
      </c>
      <c r="M1053" t="s">
        <v>8035</v>
      </c>
      <c r="N1053" t="s">
        <v>8036</v>
      </c>
      <c r="O1053" t="s">
        <v>8037</v>
      </c>
      <c r="P1053" t="s">
        <v>8038</v>
      </c>
    </row>
    <row r="1054" spans="1:16" x14ac:dyDescent="0.35">
      <c r="A1054" t="s">
        <v>8039</v>
      </c>
      <c r="B1054" t="s">
        <v>32</v>
      </c>
      <c r="C1054" t="s">
        <v>628</v>
      </c>
      <c r="D1054" t="s">
        <v>304</v>
      </c>
      <c r="E1054" t="s">
        <v>8040</v>
      </c>
      <c r="F1054" t="s">
        <v>8041</v>
      </c>
      <c r="G1054" t="s">
        <v>8042</v>
      </c>
      <c r="H1054" t="s">
        <v>7704</v>
      </c>
      <c r="I1054" t="s">
        <v>8043</v>
      </c>
      <c r="J1054" t="s">
        <v>8044</v>
      </c>
      <c r="K1054" t="s">
        <v>19</v>
      </c>
      <c r="L1054" t="s">
        <v>20</v>
      </c>
      <c r="M1054" t="s">
        <v>8035</v>
      </c>
      <c r="N1054" t="s">
        <v>8036</v>
      </c>
      <c r="O1054" t="s">
        <v>8045</v>
      </c>
      <c r="P1054" t="s">
        <v>8046</v>
      </c>
    </row>
    <row r="1055" spans="1:16" x14ac:dyDescent="0.35">
      <c r="A1055" t="s">
        <v>8048</v>
      </c>
      <c r="B1055" t="s">
        <v>55</v>
      </c>
      <c r="C1055" t="s">
        <v>140</v>
      </c>
      <c r="D1055" t="s">
        <v>348</v>
      </c>
      <c r="E1055" t="s">
        <v>8049</v>
      </c>
      <c r="F1055" t="s">
        <v>8050</v>
      </c>
      <c r="G1055" t="s">
        <v>7704</v>
      </c>
      <c r="H1055" t="s">
        <v>7704</v>
      </c>
      <c r="I1055" t="s">
        <v>8051</v>
      </c>
      <c r="J1055" t="s">
        <v>8052</v>
      </c>
      <c r="K1055" t="s">
        <v>8053</v>
      </c>
      <c r="L1055" t="s">
        <v>20</v>
      </c>
      <c r="M1055" t="s">
        <v>8054</v>
      </c>
      <c r="N1055" t="s">
        <v>8055</v>
      </c>
      <c r="O1055" t="s">
        <v>8056</v>
      </c>
      <c r="P1055" t="s">
        <v>8057</v>
      </c>
    </row>
    <row r="1056" spans="1:16" x14ac:dyDescent="0.35">
      <c r="A1056" t="s">
        <v>8058</v>
      </c>
      <c r="B1056" t="s">
        <v>55</v>
      </c>
      <c r="C1056" t="s">
        <v>28</v>
      </c>
      <c r="D1056" t="s">
        <v>28</v>
      </c>
      <c r="E1056" t="s">
        <v>8059</v>
      </c>
      <c r="F1056" t="s">
        <v>8060</v>
      </c>
      <c r="G1056" t="s">
        <v>7704</v>
      </c>
      <c r="H1056" t="s">
        <v>7704</v>
      </c>
      <c r="I1056" t="s">
        <v>28</v>
      </c>
      <c r="J1056" t="s">
        <v>8061</v>
      </c>
      <c r="K1056" t="s">
        <v>19</v>
      </c>
      <c r="L1056" t="s">
        <v>20</v>
      </c>
      <c r="M1056" t="s">
        <v>8062</v>
      </c>
      <c r="N1056" t="s">
        <v>8063</v>
      </c>
      <c r="O1056" t="s">
        <v>8064</v>
      </c>
      <c r="P1056" t="s">
        <v>8065</v>
      </c>
    </row>
    <row r="1057" spans="1:16" x14ac:dyDescent="0.35">
      <c r="A1057" t="s">
        <v>8066</v>
      </c>
      <c r="B1057" t="s">
        <v>32</v>
      </c>
      <c r="C1057" t="s">
        <v>1128</v>
      </c>
      <c r="D1057" t="s">
        <v>374</v>
      </c>
      <c r="E1057" t="s">
        <v>8067</v>
      </c>
      <c r="F1057" t="s">
        <v>8068</v>
      </c>
      <c r="G1057" t="s">
        <v>8069</v>
      </c>
      <c r="H1057" t="s">
        <v>7704</v>
      </c>
      <c r="I1057" t="s">
        <v>8070</v>
      </c>
      <c r="J1057" t="s">
        <v>8071</v>
      </c>
      <c r="K1057" t="s">
        <v>19</v>
      </c>
      <c r="L1057" t="s">
        <v>20</v>
      </c>
      <c r="M1057" t="s">
        <v>8072</v>
      </c>
      <c r="N1057" t="s">
        <v>8073</v>
      </c>
      <c r="O1057" t="s">
        <v>8074</v>
      </c>
      <c r="P1057" t="s">
        <v>8075</v>
      </c>
    </row>
    <row r="1058" spans="1:16" x14ac:dyDescent="0.35">
      <c r="A1058" t="s">
        <v>8076</v>
      </c>
      <c r="B1058" t="s">
        <v>373</v>
      </c>
      <c r="C1058" t="s">
        <v>78</v>
      </c>
      <c r="D1058" t="s">
        <v>614</v>
      </c>
      <c r="E1058" t="s">
        <v>8077</v>
      </c>
      <c r="F1058" t="s">
        <v>8078</v>
      </c>
      <c r="G1058" t="s">
        <v>7704</v>
      </c>
      <c r="H1058" t="s">
        <v>7704</v>
      </c>
      <c r="I1058" t="s">
        <v>28</v>
      </c>
      <c r="J1058" t="s">
        <v>8079</v>
      </c>
      <c r="K1058" t="s">
        <v>19</v>
      </c>
      <c r="L1058" t="s">
        <v>20</v>
      </c>
      <c r="M1058" t="s">
        <v>8080</v>
      </c>
      <c r="N1058" t="s">
        <v>8081</v>
      </c>
      <c r="O1058" t="s">
        <v>8082</v>
      </c>
      <c r="P1058" t="s">
        <v>8083</v>
      </c>
    </row>
    <row r="1059" spans="1:16" x14ac:dyDescent="0.35">
      <c r="A1059" t="s">
        <v>8084</v>
      </c>
      <c r="B1059" t="s">
        <v>32</v>
      </c>
      <c r="C1059" t="s">
        <v>28</v>
      </c>
      <c r="D1059" t="s">
        <v>28</v>
      </c>
      <c r="E1059" t="s">
        <v>8085</v>
      </c>
      <c r="F1059" t="s">
        <v>8086</v>
      </c>
      <c r="G1059" t="s">
        <v>8069</v>
      </c>
      <c r="H1059" t="s">
        <v>7704</v>
      </c>
      <c r="I1059" t="s">
        <v>28</v>
      </c>
      <c r="J1059" t="s">
        <v>28</v>
      </c>
      <c r="K1059" t="s">
        <v>19</v>
      </c>
      <c r="L1059" t="s">
        <v>20</v>
      </c>
      <c r="M1059" t="s">
        <v>8087</v>
      </c>
      <c r="N1059" t="s">
        <v>8088</v>
      </c>
      <c r="O1059" t="s">
        <v>8089</v>
      </c>
      <c r="P1059" t="s">
        <v>8090</v>
      </c>
    </row>
    <row r="1060" spans="1:16" x14ac:dyDescent="0.35">
      <c r="A1060" t="s">
        <v>8091</v>
      </c>
      <c r="B1060" t="s">
        <v>55</v>
      </c>
      <c r="C1060" t="s">
        <v>691</v>
      </c>
      <c r="D1060" t="s">
        <v>858</v>
      </c>
      <c r="E1060" t="s">
        <v>8092</v>
      </c>
      <c r="F1060" t="s">
        <v>8093</v>
      </c>
      <c r="G1060" t="s">
        <v>8042</v>
      </c>
      <c r="H1060" t="s">
        <v>7704</v>
      </c>
      <c r="I1060" t="s">
        <v>8094</v>
      </c>
      <c r="J1060" t="s">
        <v>8095</v>
      </c>
      <c r="K1060" t="s">
        <v>8096</v>
      </c>
      <c r="L1060" t="s">
        <v>20</v>
      </c>
      <c r="M1060" t="s">
        <v>8097</v>
      </c>
      <c r="N1060" t="s">
        <v>8098</v>
      </c>
      <c r="O1060" t="s">
        <v>8099</v>
      </c>
      <c r="P1060" t="s">
        <v>8100</v>
      </c>
    </row>
    <row r="1061" spans="1:16" x14ac:dyDescent="0.35">
      <c r="A1061" t="s">
        <v>8101</v>
      </c>
      <c r="B1061" t="s">
        <v>32</v>
      </c>
      <c r="C1061" t="s">
        <v>117</v>
      </c>
      <c r="D1061" t="s">
        <v>16</v>
      </c>
      <c r="E1061" t="s">
        <v>8102</v>
      </c>
      <c r="F1061" t="s">
        <v>8103</v>
      </c>
      <c r="G1061" t="s">
        <v>8047</v>
      </c>
      <c r="H1061" t="s">
        <v>7704</v>
      </c>
      <c r="I1061" t="s">
        <v>8104</v>
      </c>
      <c r="J1061" t="s">
        <v>8105</v>
      </c>
      <c r="K1061" t="s">
        <v>19</v>
      </c>
      <c r="L1061" t="s">
        <v>20</v>
      </c>
      <c r="M1061" t="s">
        <v>8106</v>
      </c>
      <c r="N1061" t="s">
        <v>8107</v>
      </c>
      <c r="O1061" t="s">
        <v>8108</v>
      </c>
      <c r="P1061" t="s">
        <v>8109</v>
      </c>
    </row>
    <row r="1062" spans="1:16" x14ac:dyDescent="0.35">
      <c r="A1062" t="s">
        <v>8110</v>
      </c>
      <c r="B1062" t="s">
        <v>55</v>
      </c>
      <c r="C1062" t="s">
        <v>78</v>
      </c>
      <c r="D1062" t="s">
        <v>68</v>
      </c>
      <c r="E1062" t="s">
        <v>8111</v>
      </c>
      <c r="F1062" t="s">
        <v>8112</v>
      </c>
      <c r="G1062" t="s">
        <v>8069</v>
      </c>
      <c r="H1062" t="s">
        <v>7704</v>
      </c>
      <c r="I1062" t="s">
        <v>28</v>
      </c>
      <c r="J1062" t="s">
        <v>8113</v>
      </c>
      <c r="K1062" t="s">
        <v>19</v>
      </c>
      <c r="L1062" t="s">
        <v>20</v>
      </c>
      <c r="M1062" t="s">
        <v>8114</v>
      </c>
      <c r="N1062" t="s">
        <v>8115</v>
      </c>
      <c r="O1062" t="s">
        <v>8116</v>
      </c>
      <c r="P1062" t="s">
        <v>8117</v>
      </c>
    </row>
    <row r="1063" spans="1:16" x14ac:dyDescent="0.35">
      <c r="A1063" t="s">
        <v>1209</v>
      </c>
      <c r="B1063" t="s">
        <v>55</v>
      </c>
      <c r="C1063" t="s">
        <v>177</v>
      </c>
      <c r="D1063" t="s">
        <v>68</v>
      </c>
      <c r="E1063" t="s">
        <v>8118</v>
      </c>
      <c r="F1063" t="s">
        <v>8119</v>
      </c>
      <c r="G1063" t="s">
        <v>8120</v>
      </c>
      <c r="H1063" t="s">
        <v>7704</v>
      </c>
      <c r="I1063" t="s">
        <v>28</v>
      </c>
      <c r="J1063" t="s">
        <v>8121</v>
      </c>
      <c r="K1063" t="s">
        <v>19</v>
      </c>
      <c r="L1063" t="s">
        <v>20</v>
      </c>
      <c r="M1063" t="s">
        <v>8122</v>
      </c>
      <c r="N1063" t="s">
        <v>8123</v>
      </c>
      <c r="O1063" t="s">
        <v>8124</v>
      </c>
      <c r="P1063" t="s">
        <v>8125</v>
      </c>
    </row>
    <row r="1064" spans="1:16" x14ac:dyDescent="0.35">
      <c r="A1064" t="s">
        <v>8126</v>
      </c>
      <c r="B1064" t="s">
        <v>55</v>
      </c>
      <c r="C1064" t="s">
        <v>96</v>
      </c>
      <c r="D1064" t="s">
        <v>324</v>
      </c>
      <c r="E1064" t="s">
        <v>8127</v>
      </c>
      <c r="F1064" t="s">
        <v>8128</v>
      </c>
      <c r="G1064" t="s">
        <v>8069</v>
      </c>
      <c r="H1064" t="s">
        <v>7704</v>
      </c>
      <c r="I1064" t="s">
        <v>28</v>
      </c>
      <c r="J1064" t="s">
        <v>8129</v>
      </c>
      <c r="K1064" t="s">
        <v>19</v>
      </c>
      <c r="L1064" t="s">
        <v>20</v>
      </c>
      <c r="M1064" t="s">
        <v>8130</v>
      </c>
      <c r="N1064" t="s">
        <v>8131</v>
      </c>
      <c r="O1064" t="s">
        <v>8132</v>
      </c>
      <c r="P1064" t="s">
        <v>8133</v>
      </c>
    </row>
    <row r="1065" spans="1:16" x14ac:dyDescent="0.35">
      <c r="A1065" t="s">
        <v>8134</v>
      </c>
      <c r="B1065" t="s">
        <v>55</v>
      </c>
      <c r="C1065" t="s">
        <v>691</v>
      </c>
      <c r="D1065" t="s">
        <v>16</v>
      </c>
      <c r="E1065" t="s">
        <v>8135</v>
      </c>
      <c r="F1065" t="s">
        <v>8136</v>
      </c>
      <c r="G1065" t="s">
        <v>8137</v>
      </c>
      <c r="H1065" t="s">
        <v>7704</v>
      </c>
      <c r="I1065" t="s">
        <v>7458</v>
      </c>
      <c r="J1065" t="s">
        <v>8138</v>
      </c>
      <c r="K1065" t="s">
        <v>19</v>
      </c>
      <c r="L1065" t="s">
        <v>20</v>
      </c>
      <c r="M1065" t="s">
        <v>8139</v>
      </c>
      <c r="N1065" t="s">
        <v>8140</v>
      </c>
      <c r="O1065" t="s">
        <v>8141</v>
      </c>
      <c r="P1065" t="s">
        <v>8142</v>
      </c>
    </row>
    <row r="1066" spans="1:16" x14ac:dyDescent="0.35">
      <c r="A1066" t="s">
        <v>8143</v>
      </c>
      <c r="B1066" t="s">
        <v>55</v>
      </c>
      <c r="C1066" t="s">
        <v>15</v>
      </c>
      <c r="D1066" t="s">
        <v>16</v>
      </c>
      <c r="E1066" t="s">
        <v>8144</v>
      </c>
      <c r="F1066" t="s">
        <v>8093</v>
      </c>
      <c r="G1066" t="s">
        <v>8042</v>
      </c>
      <c r="H1066" t="s">
        <v>7704</v>
      </c>
      <c r="I1066" t="s">
        <v>8094</v>
      </c>
      <c r="J1066" t="s">
        <v>8095</v>
      </c>
      <c r="K1066" t="s">
        <v>8096</v>
      </c>
      <c r="L1066" t="s">
        <v>20</v>
      </c>
      <c r="M1066" t="s">
        <v>8145</v>
      </c>
      <c r="N1066" t="s">
        <v>8146</v>
      </c>
      <c r="O1066" t="s">
        <v>8147</v>
      </c>
      <c r="P1066" t="s">
        <v>8148</v>
      </c>
    </row>
    <row r="1067" spans="1:16" x14ac:dyDescent="0.35">
      <c r="A1067" t="s">
        <v>8149</v>
      </c>
      <c r="B1067" t="s">
        <v>32</v>
      </c>
      <c r="C1067" t="s">
        <v>28</v>
      </c>
      <c r="D1067" t="s">
        <v>28</v>
      </c>
      <c r="E1067" t="s">
        <v>8150</v>
      </c>
      <c r="F1067" t="s">
        <v>8151</v>
      </c>
      <c r="G1067" t="s">
        <v>8152</v>
      </c>
      <c r="H1067" t="s">
        <v>7704</v>
      </c>
      <c r="I1067" t="s">
        <v>28</v>
      </c>
      <c r="J1067" t="s">
        <v>8153</v>
      </c>
      <c r="K1067" t="s">
        <v>19</v>
      </c>
      <c r="L1067" t="s">
        <v>20</v>
      </c>
      <c r="M1067" t="s">
        <v>8154</v>
      </c>
      <c r="N1067" t="s">
        <v>8155</v>
      </c>
      <c r="O1067" t="s">
        <v>8156</v>
      </c>
      <c r="P1067" t="s">
        <v>8157</v>
      </c>
    </row>
    <row r="1068" spans="1:16" x14ac:dyDescent="0.35">
      <c r="A1068" t="s">
        <v>8158</v>
      </c>
      <c r="B1068" t="s">
        <v>55</v>
      </c>
      <c r="C1068" t="s">
        <v>158</v>
      </c>
      <c r="D1068" t="s">
        <v>2474</v>
      </c>
      <c r="E1068" t="s">
        <v>8159</v>
      </c>
      <c r="F1068" t="s">
        <v>8160</v>
      </c>
      <c r="G1068" t="s">
        <v>8161</v>
      </c>
      <c r="H1068" t="s">
        <v>7704</v>
      </c>
      <c r="I1068" t="s">
        <v>7458</v>
      </c>
      <c r="J1068" t="s">
        <v>8162</v>
      </c>
      <c r="K1068" t="s">
        <v>19</v>
      </c>
      <c r="L1068" t="s">
        <v>20</v>
      </c>
      <c r="M1068" t="s">
        <v>8163</v>
      </c>
      <c r="N1068" t="s">
        <v>8164</v>
      </c>
      <c r="O1068" t="s">
        <v>8165</v>
      </c>
      <c r="P1068" t="s">
        <v>8166</v>
      </c>
    </row>
    <row r="1069" spans="1:16" x14ac:dyDescent="0.35">
      <c r="A1069" t="s">
        <v>8167</v>
      </c>
      <c r="B1069" t="s">
        <v>55</v>
      </c>
      <c r="C1069" t="s">
        <v>474</v>
      </c>
      <c r="D1069" t="s">
        <v>952</v>
      </c>
      <c r="E1069" t="s">
        <v>8168</v>
      </c>
      <c r="F1069" t="s">
        <v>8169</v>
      </c>
      <c r="G1069" t="s">
        <v>8170</v>
      </c>
      <c r="H1069" t="s">
        <v>7704</v>
      </c>
      <c r="I1069" t="s">
        <v>8171</v>
      </c>
      <c r="J1069" t="s">
        <v>8172</v>
      </c>
      <c r="K1069" t="s">
        <v>8173</v>
      </c>
      <c r="L1069" t="s">
        <v>20</v>
      </c>
      <c r="M1069" t="s">
        <v>8174</v>
      </c>
      <c r="N1069" t="s">
        <v>8175</v>
      </c>
      <c r="O1069" t="s">
        <v>8176</v>
      </c>
      <c r="P1069" t="s">
        <v>8177</v>
      </c>
    </row>
    <row r="1070" spans="1:16" x14ac:dyDescent="0.35">
      <c r="A1070" t="s">
        <v>538</v>
      </c>
      <c r="B1070" t="s">
        <v>55</v>
      </c>
      <c r="C1070" t="s">
        <v>15</v>
      </c>
      <c r="D1070" t="s">
        <v>27</v>
      </c>
      <c r="E1070" t="s">
        <v>8178</v>
      </c>
      <c r="F1070" t="s">
        <v>8179</v>
      </c>
      <c r="G1070" t="s">
        <v>8180</v>
      </c>
      <c r="H1070" t="s">
        <v>7704</v>
      </c>
      <c r="I1070" t="s">
        <v>82</v>
      </c>
      <c r="J1070" t="s">
        <v>8181</v>
      </c>
      <c r="K1070" t="s">
        <v>84</v>
      </c>
      <c r="L1070" t="s">
        <v>20</v>
      </c>
      <c r="M1070" t="s">
        <v>8182</v>
      </c>
      <c r="N1070" t="s">
        <v>8183</v>
      </c>
      <c r="O1070" t="s">
        <v>8184</v>
      </c>
      <c r="P1070" t="s">
        <v>8185</v>
      </c>
    </row>
    <row r="1071" spans="1:16" x14ac:dyDescent="0.35">
      <c r="A1071" t="s">
        <v>310</v>
      </c>
      <c r="B1071" t="s">
        <v>55</v>
      </c>
      <c r="C1071" t="s">
        <v>26</v>
      </c>
      <c r="D1071" t="s">
        <v>374</v>
      </c>
      <c r="E1071" t="s">
        <v>8186</v>
      </c>
      <c r="F1071" t="s">
        <v>8187</v>
      </c>
      <c r="G1071" t="s">
        <v>8188</v>
      </c>
      <c r="H1071" t="s">
        <v>7704</v>
      </c>
      <c r="I1071" t="s">
        <v>82</v>
      </c>
      <c r="J1071" t="s">
        <v>8189</v>
      </c>
      <c r="K1071" t="s">
        <v>84</v>
      </c>
      <c r="L1071" t="s">
        <v>20</v>
      </c>
      <c r="M1071" t="s">
        <v>8190</v>
      </c>
      <c r="N1071" t="s">
        <v>8191</v>
      </c>
      <c r="O1071" t="s">
        <v>8192</v>
      </c>
      <c r="P1071" t="s">
        <v>8193</v>
      </c>
    </row>
    <row r="1072" spans="1:16" x14ac:dyDescent="0.35">
      <c r="A1072" t="s">
        <v>482</v>
      </c>
      <c r="B1072" t="s">
        <v>55</v>
      </c>
      <c r="C1072" t="s">
        <v>26</v>
      </c>
      <c r="D1072" t="s">
        <v>953</v>
      </c>
      <c r="E1072" t="s">
        <v>8194</v>
      </c>
      <c r="F1072" t="s">
        <v>8195</v>
      </c>
      <c r="G1072" t="s">
        <v>8180</v>
      </c>
      <c r="H1072" t="s">
        <v>7704</v>
      </c>
      <c r="I1072" t="s">
        <v>162</v>
      </c>
      <c r="J1072" t="s">
        <v>8196</v>
      </c>
      <c r="K1072" t="s">
        <v>164</v>
      </c>
      <c r="L1072" t="s">
        <v>20</v>
      </c>
      <c r="M1072" t="s">
        <v>8197</v>
      </c>
      <c r="N1072" t="s">
        <v>8198</v>
      </c>
      <c r="O1072" t="s">
        <v>8199</v>
      </c>
      <c r="P1072" t="s">
        <v>8200</v>
      </c>
    </row>
    <row r="1073" spans="1:16" x14ac:dyDescent="0.35">
      <c r="A1073" t="s">
        <v>482</v>
      </c>
      <c r="B1073" t="s">
        <v>55</v>
      </c>
      <c r="C1073" t="s">
        <v>474</v>
      </c>
      <c r="D1073" t="s">
        <v>963</v>
      </c>
      <c r="E1073" t="s">
        <v>8201</v>
      </c>
      <c r="F1073" t="s">
        <v>8202</v>
      </c>
      <c r="G1073" t="s">
        <v>8203</v>
      </c>
      <c r="H1073" t="s">
        <v>7704</v>
      </c>
      <c r="I1073" t="s">
        <v>162</v>
      </c>
      <c r="J1073" t="s">
        <v>8204</v>
      </c>
      <c r="K1073" t="s">
        <v>164</v>
      </c>
      <c r="L1073" t="s">
        <v>20</v>
      </c>
      <c r="M1073" t="s">
        <v>8205</v>
      </c>
      <c r="N1073" t="s">
        <v>8206</v>
      </c>
      <c r="O1073" t="s">
        <v>8207</v>
      </c>
      <c r="P1073" t="s">
        <v>8208</v>
      </c>
    </row>
    <row r="1074" spans="1:16" x14ac:dyDescent="0.35">
      <c r="A1074" t="s">
        <v>8212</v>
      </c>
      <c r="B1074" t="s">
        <v>32</v>
      </c>
      <c r="C1074" t="s">
        <v>28</v>
      </c>
      <c r="D1074" t="s">
        <v>28</v>
      </c>
      <c r="E1074" t="s">
        <v>8213</v>
      </c>
      <c r="F1074" t="s">
        <v>8214</v>
      </c>
      <c r="G1074" t="s">
        <v>8209</v>
      </c>
      <c r="H1074" t="s">
        <v>8209</v>
      </c>
      <c r="I1074" t="s">
        <v>28</v>
      </c>
      <c r="J1074" t="s">
        <v>8215</v>
      </c>
      <c r="K1074" t="s">
        <v>19</v>
      </c>
      <c r="L1074" t="s">
        <v>20</v>
      </c>
      <c r="M1074" t="s">
        <v>8210</v>
      </c>
      <c r="N1074" t="s">
        <v>8211</v>
      </c>
      <c r="O1074" t="s">
        <v>8216</v>
      </c>
      <c r="P1074" t="s">
        <v>8217</v>
      </c>
    </row>
    <row r="1075" spans="1:16" x14ac:dyDescent="0.35">
      <c r="A1075" t="s">
        <v>8218</v>
      </c>
      <c r="B1075" t="s">
        <v>55</v>
      </c>
      <c r="C1075" t="s">
        <v>158</v>
      </c>
      <c r="D1075" t="s">
        <v>4506</v>
      </c>
      <c r="E1075" t="s">
        <v>8219</v>
      </c>
      <c r="F1075" t="s">
        <v>8220</v>
      </c>
      <c r="G1075" t="s">
        <v>8209</v>
      </c>
      <c r="H1075" t="s">
        <v>8209</v>
      </c>
      <c r="I1075" t="s">
        <v>8221</v>
      </c>
      <c r="J1075" t="s">
        <v>8222</v>
      </c>
      <c r="K1075" t="s">
        <v>8223</v>
      </c>
      <c r="L1075" t="s">
        <v>20</v>
      </c>
      <c r="M1075" t="s">
        <v>8224</v>
      </c>
      <c r="N1075" t="s">
        <v>8225</v>
      </c>
      <c r="O1075" t="s">
        <v>8226</v>
      </c>
      <c r="P1075" t="s">
        <v>8227</v>
      </c>
    </row>
    <row r="1076" spans="1:16" x14ac:dyDescent="0.35">
      <c r="A1076" t="s">
        <v>8228</v>
      </c>
      <c r="B1076" t="s">
        <v>55</v>
      </c>
      <c r="C1076" t="s">
        <v>28</v>
      </c>
      <c r="D1076" t="s">
        <v>28</v>
      </c>
      <c r="E1076" t="s">
        <v>8229</v>
      </c>
      <c r="F1076" t="s">
        <v>8230</v>
      </c>
      <c r="G1076" t="s">
        <v>8209</v>
      </c>
      <c r="H1076" t="s">
        <v>8209</v>
      </c>
      <c r="I1076" t="s">
        <v>28</v>
      </c>
      <c r="J1076" t="s">
        <v>8231</v>
      </c>
      <c r="K1076" t="s">
        <v>19</v>
      </c>
      <c r="L1076" t="s">
        <v>20</v>
      </c>
      <c r="M1076" t="s">
        <v>8224</v>
      </c>
      <c r="N1076" t="s">
        <v>8225</v>
      </c>
      <c r="O1076" t="s">
        <v>8232</v>
      </c>
      <c r="P1076" t="s">
        <v>8233</v>
      </c>
    </row>
    <row r="1077" spans="1:16" x14ac:dyDescent="0.35">
      <c r="A1077" t="s">
        <v>8234</v>
      </c>
      <c r="B1077" t="s">
        <v>107</v>
      </c>
      <c r="C1077" t="s">
        <v>140</v>
      </c>
      <c r="D1077" t="s">
        <v>1795</v>
      </c>
      <c r="E1077" t="s">
        <v>8235</v>
      </c>
      <c r="F1077" t="s">
        <v>8236</v>
      </c>
      <c r="G1077" t="s">
        <v>8209</v>
      </c>
      <c r="H1077" t="s">
        <v>8209</v>
      </c>
      <c r="I1077" t="s">
        <v>8237</v>
      </c>
      <c r="J1077" t="s">
        <v>8238</v>
      </c>
      <c r="K1077" t="s">
        <v>8239</v>
      </c>
      <c r="L1077" t="s">
        <v>20</v>
      </c>
      <c r="M1077" t="s">
        <v>8240</v>
      </c>
      <c r="N1077" t="s">
        <v>8241</v>
      </c>
      <c r="O1077" t="s">
        <v>8242</v>
      </c>
      <c r="P1077" t="s">
        <v>8243</v>
      </c>
    </row>
    <row r="1078" spans="1:16" x14ac:dyDescent="0.35">
      <c r="A1078" t="s">
        <v>8246</v>
      </c>
      <c r="B1078" t="s">
        <v>55</v>
      </c>
      <c r="C1078" t="s">
        <v>140</v>
      </c>
      <c r="D1078" t="s">
        <v>1785</v>
      </c>
      <c r="E1078" t="s">
        <v>8247</v>
      </c>
      <c r="F1078" t="s">
        <v>8248</v>
      </c>
      <c r="G1078" t="s">
        <v>8209</v>
      </c>
      <c r="H1078" t="s">
        <v>8209</v>
      </c>
      <c r="I1078" t="s">
        <v>8249</v>
      </c>
      <c r="J1078" t="s">
        <v>8250</v>
      </c>
      <c r="K1078" t="s">
        <v>8251</v>
      </c>
      <c r="L1078" t="s">
        <v>20</v>
      </c>
      <c r="M1078" t="s">
        <v>8244</v>
      </c>
      <c r="N1078" t="s">
        <v>8245</v>
      </c>
      <c r="O1078" t="s">
        <v>8252</v>
      </c>
      <c r="P1078" t="s">
        <v>8253</v>
      </c>
    </row>
    <row r="1079" spans="1:16" x14ac:dyDescent="0.35">
      <c r="A1079" t="s">
        <v>8254</v>
      </c>
      <c r="B1079" t="s">
        <v>32</v>
      </c>
      <c r="C1079" t="s">
        <v>28</v>
      </c>
      <c r="D1079" t="s">
        <v>28</v>
      </c>
      <c r="E1079" t="s">
        <v>8255</v>
      </c>
      <c r="F1079" t="s">
        <v>8256</v>
      </c>
      <c r="G1079" t="s">
        <v>8209</v>
      </c>
      <c r="H1079" t="s">
        <v>8209</v>
      </c>
      <c r="I1079" t="s">
        <v>8257</v>
      </c>
      <c r="J1079" t="s">
        <v>8258</v>
      </c>
      <c r="K1079" t="s">
        <v>19</v>
      </c>
      <c r="L1079" t="s">
        <v>20</v>
      </c>
      <c r="M1079" t="s">
        <v>8210</v>
      </c>
      <c r="N1079" t="s">
        <v>8211</v>
      </c>
      <c r="O1079" t="s">
        <v>8259</v>
      </c>
      <c r="P1079" t="s">
        <v>8260</v>
      </c>
    </row>
    <row r="1080" spans="1:16" x14ac:dyDescent="0.35">
      <c r="A1080" t="s">
        <v>8261</v>
      </c>
      <c r="B1080" t="s">
        <v>55</v>
      </c>
      <c r="C1080" t="s">
        <v>28</v>
      </c>
      <c r="D1080" t="s">
        <v>28</v>
      </c>
      <c r="E1080" t="s">
        <v>8262</v>
      </c>
      <c r="F1080" t="s">
        <v>8263</v>
      </c>
      <c r="G1080" t="s">
        <v>8209</v>
      </c>
      <c r="H1080" t="s">
        <v>8209</v>
      </c>
      <c r="I1080" t="s">
        <v>8264</v>
      </c>
      <c r="J1080" t="s">
        <v>8265</v>
      </c>
      <c r="K1080" t="s">
        <v>8266</v>
      </c>
      <c r="L1080" t="s">
        <v>20</v>
      </c>
      <c r="M1080" t="s">
        <v>8267</v>
      </c>
      <c r="N1080" t="s">
        <v>8268</v>
      </c>
      <c r="O1080" t="s">
        <v>8269</v>
      </c>
      <c r="P1080" t="s">
        <v>8270</v>
      </c>
    </row>
    <row r="1081" spans="1:16" x14ac:dyDescent="0.35">
      <c r="A1081" t="s">
        <v>8271</v>
      </c>
      <c r="B1081" t="s">
        <v>55</v>
      </c>
      <c r="C1081" t="s">
        <v>357</v>
      </c>
      <c r="D1081" t="s">
        <v>3075</v>
      </c>
      <c r="E1081" t="s">
        <v>8272</v>
      </c>
      <c r="F1081" t="s">
        <v>8273</v>
      </c>
      <c r="G1081" t="s">
        <v>8209</v>
      </c>
      <c r="H1081" t="s">
        <v>8209</v>
      </c>
      <c r="I1081" t="s">
        <v>28</v>
      </c>
      <c r="J1081" t="s">
        <v>8274</v>
      </c>
      <c r="K1081" t="s">
        <v>19</v>
      </c>
      <c r="L1081" t="s">
        <v>20</v>
      </c>
      <c r="M1081" t="s">
        <v>8267</v>
      </c>
      <c r="N1081" t="s">
        <v>8268</v>
      </c>
      <c r="O1081" t="s">
        <v>8275</v>
      </c>
      <c r="P1081" t="s">
        <v>8276</v>
      </c>
    </row>
    <row r="1082" spans="1:16" x14ac:dyDescent="0.35">
      <c r="A1082" t="s">
        <v>8277</v>
      </c>
      <c r="B1082" t="s">
        <v>55</v>
      </c>
      <c r="C1082" t="s">
        <v>691</v>
      </c>
      <c r="D1082" t="s">
        <v>141</v>
      </c>
      <c r="E1082" t="s">
        <v>8278</v>
      </c>
      <c r="F1082" t="s">
        <v>8279</v>
      </c>
      <c r="G1082" t="s">
        <v>8209</v>
      </c>
      <c r="H1082" t="s">
        <v>8209</v>
      </c>
      <c r="I1082" t="s">
        <v>8280</v>
      </c>
      <c r="J1082" t="s">
        <v>8281</v>
      </c>
      <c r="K1082" t="s">
        <v>19</v>
      </c>
      <c r="L1082" t="s">
        <v>20</v>
      </c>
      <c r="M1082" t="s">
        <v>8282</v>
      </c>
      <c r="N1082" t="s">
        <v>8283</v>
      </c>
      <c r="O1082" t="s">
        <v>8284</v>
      </c>
      <c r="P1082" t="s">
        <v>8285</v>
      </c>
    </row>
    <row r="1083" spans="1:16" x14ac:dyDescent="0.35">
      <c r="A1083" t="s">
        <v>8286</v>
      </c>
      <c r="B1083" t="s">
        <v>55</v>
      </c>
      <c r="C1083" t="s">
        <v>28</v>
      </c>
      <c r="D1083" t="s">
        <v>28</v>
      </c>
      <c r="E1083" t="s">
        <v>8287</v>
      </c>
      <c r="F1083" t="s">
        <v>8288</v>
      </c>
      <c r="G1083" t="s">
        <v>8209</v>
      </c>
      <c r="H1083" t="s">
        <v>8209</v>
      </c>
      <c r="I1083" t="s">
        <v>28</v>
      </c>
      <c r="J1083" t="s">
        <v>8289</v>
      </c>
      <c r="K1083" t="s">
        <v>19</v>
      </c>
      <c r="L1083" t="s">
        <v>20</v>
      </c>
      <c r="M1083" t="s">
        <v>8290</v>
      </c>
      <c r="N1083" t="s">
        <v>8291</v>
      </c>
      <c r="O1083" t="s">
        <v>8292</v>
      </c>
      <c r="P1083" t="s">
        <v>8293</v>
      </c>
    </row>
    <row r="1084" spans="1:16" x14ac:dyDescent="0.35">
      <c r="A1084" t="s">
        <v>8294</v>
      </c>
      <c r="B1084" t="s">
        <v>55</v>
      </c>
      <c r="C1084" t="s">
        <v>28</v>
      </c>
      <c r="D1084" t="s">
        <v>28</v>
      </c>
      <c r="E1084" t="s">
        <v>8295</v>
      </c>
      <c r="F1084" t="s">
        <v>8296</v>
      </c>
      <c r="G1084" t="s">
        <v>8209</v>
      </c>
      <c r="H1084" t="s">
        <v>8209</v>
      </c>
      <c r="I1084" t="s">
        <v>28</v>
      </c>
      <c r="J1084" t="s">
        <v>8297</v>
      </c>
      <c r="K1084" t="s">
        <v>19</v>
      </c>
      <c r="L1084" t="s">
        <v>20</v>
      </c>
      <c r="M1084" t="s">
        <v>8290</v>
      </c>
      <c r="N1084" t="s">
        <v>8291</v>
      </c>
      <c r="O1084" t="s">
        <v>8298</v>
      </c>
      <c r="P1084" t="s">
        <v>8299</v>
      </c>
    </row>
    <row r="1085" spans="1:16" x14ac:dyDescent="0.35">
      <c r="A1085" t="s">
        <v>8300</v>
      </c>
      <c r="B1085" t="s">
        <v>55</v>
      </c>
      <c r="C1085" t="s">
        <v>15</v>
      </c>
      <c r="D1085" t="s">
        <v>27</v>
      </c>
      <c r="E1085" t="s">
        <v>8301</v>
      </c>
      <c r="F1085" t="s">
        <v>8302</v>
      </c>
      <c r="G1085" t="s">
        <v>8209</v>
      </c>
      <c r="H1085" t="s">
        <v>8209</v>
      </c>
      <c r="I1085" t="s">
        <v>8303</v>
      </c>
      <c r="J1085" t="s">
        <v>8304</v>
      </c>
      <c r="K1085" t="s">
        <v>19</v>
      </c>
      <c r="L1085" t="s">
        <v>20</v>
      </c>
      <c r="M1085" t="s">
        <v>8290</v>
      </c>
      <c r="N1085" t="s">
        <v>8291</v>
      </c>
      <c r="O1085" t="s">
        <v>8305</v>
      </c>
      <c r="P1085" t="s">
        <v>915</v>
      </c>
    </row>
    <row r="1086" spans="1:16" x14ac:dyDescent="0.35">
      <c r="A1086" t="s">
        <v>8306</v>
      </c>
      <c r="B1086" t="s">
        <v>55</v>
      </c>
      <c r="C1086" t="s">
        <v>158</v>
      </c>
      <c r="D1086" t="s">
        <v>8307</v>
      </c>
      <c r="E1086" t="s">
        <v>8308</v>
      </c>
      <c r="F1086" t="s">
        <v>8309</v>
      </c>
      <c r="G1086" t="s">
        <v>8209</v>
      </c>
      <c r="H1086" t="s">
        <v>8209</v>
      </c>
      <c r="I1086" t="s">
        <v>82</v>
      </c>
      <c r="J1086" t="s">
        <v>8310</v>
      </c>
      <c r="K1086" t="s">
        <v>84</v>
      </c>
      <c r="L1086" t="s">
        <v>20</v>
      </c>
      <c r="M1086" t="s">
        <v>8290</v>
      </c>
      <c r="N1086" t="s">
        <v>8291</v>
      </c>
      <c r="O1086" t="s">
        <v>8311</v>
      </c>
      <c r="P1086" t="s">
        <v>8312</v>
      </c>
    </row>
    <row r="1087" spans="1:16" x14ac:dyDescent="0.35">
      <c r="A1087" t="s">
        <v>8313</v>
      </c>
      <c r="B1087" t="s">
        <v>373</v>
      </c>
      <c r="C1087" t="s">
        <v>26</v>
      </c>
      <c r="D1087" t="s">
        <v>141</v>
      </c>
      <c r="E1087" t="s">
        <v>8314</v>
      </c>
      <c r="F1087" t="s">
        <v>8315</v>
      </c>
      <c r="G1087" t="s">
        <v>8209</v>
      </c>
      <c r="H1087" t="s">
        <v>8209</v>
      </c>
      <c r="I1087" t="s">
        <v>28</v>
      </c>
      <c r="J1087" t="s">
        <v>8316</v>
      </c>
      <c r="K1087" t="s">
        <v>19</v>
      </c>
      <c r="L1087" t="s">
        <v>20</v>
      </c>
      <c r="M1087" t="s">
        <v>8210</v>
      </c>
      <c r="N1087" t="s">
        <v>8211</v>
      </c>
      <c r="O1087" t="s">
        <v>8317</v>
      </c>
      <c r="P1087" t="s">
        <v>8318</v>
      </c>
    </row>
    <row r="1088" spans="1:16" x14ac:dyDescent="0.35">
      <c r="A1088" t="s">
        <v>8319</v>
      </c>
      <c r="B1088" t="s">
        <v>55</v>
      </c>
      <c r="C1088" t="s">
        <v>28</v>
      </c>
      <c r="D1088" t="s">
        <v>28</v>
      </c>
      <c r="E1088" t="s">
        <v>8320</v>
      </c>
      <c r="F1088" t="s">
        <v>8321</v>
      </c>
      <c r="G1088" t="s">
        <v>8209</v>
      </c>
      <c r="H1088" t="s">
        <v>8209</v>
      </c>
      <c r="I1088" t="s">
        <v>28</v>
      </c>
      <c r="J1088" t="s">
        <v>8322</v>
      </c>
      <c r="K1088" t="s">
        <v>19</v>
      </c>
      <c r="L1088" t="s">
        <v>20</v>
      </c>
      <c r="M1088" t="s">
        <v>8210</v>
      </c>
      <c r="N1088" t="s">
        <v>8211</v>
      </c>
      <c r="O1088" t="s">
        <v>8323</v>
      </c>
      <c r="P1088" t="s">
        <v>8324</v>
      </c>
    </row>
    <row r="1089" spans="1:16" x14ac:dyDescent="0.35">
      <c r="A1089" t="s">
        <v>8325</v>
      </c>
      <c r="B1089" t="s">
        <v>194</v>
      </c>
      <c r="C1089" t="s">
        <v>15</v>
      </c>
      <c r="D1089" t="s">
        <v>27</v>
      </c>
      <c r="E1089" t="s">
        <v>8326</v>
      </c>
      <c r="F1089" t="s">
        <v>8327</v>
      </c>
      <c r="G1089" t="s">
        <v>8209</v>
      </c>
      <c r="H1089" t="s">
        <v>8209</v>
      </c>
      <c r="I1089" t="s">
        <v>8280</v>
      </c>
      <c r="J1089" t="s">
        <v>8328</v>
      </c>
      <c r="K1089" t="s">
        <v>19</v>
      </c>
      <c r="L1089" t="s">
        <v>20</v>
      </c>
      <c r="M1089" t="s">
        <v>8329</v>
      </c>
      <c r="N1089" t="s">
        <v>8330</v>
      </c>
      <c r="O1089" t="s">
        <v>8331</v>
      </c>
      <c r="P1089" t="s">
        <v>8332</v>
      </c>
    </row>
    <row r="1090" spans="1:16" x14ac:dyDescent="0.35">
      <c r="A1090" t="s">
        <v>8333</v>
      </c>
      <c r="B1090" t="s">
        <v>32</v>
      </c>
      <c r="C1090" t="s">
        <v>158</v>
      </c>
      <c r="D1090" t="s">
        <v>348</v>
      </c>
      <c r="E1090" t="s">
        <v>8334</v>
      </c>
      <c r="F1090" t="s">
        <v>8335</v>
      </c>
      <c r="G1090" t="s">
        <v>8209</v>
      </c>
      <c r="H1090" t="s">
        <v>8209</v>
      </c>
      <c r="I1090" t="s">
        <v>8336</v>
      </c>
      <c r="J1090" t="s">
        <v>8337</v>
      </c>
      <c r="K1090" t="s">
        <v>8338</v>
      </c>
      <c r="L1090" t="s">
        <v>20</v>
      </c>
      <c r="M1090" t="s">
        <v>8329</v>
      </c>
      <c r="N1090" t="s">
        <v>8330</v>
      </c>
      <c r="O1090" t="s">
        <v>8339</v>
      </c>
      <c r="P1090" t="s">
        <v>8340</v>
      </c>
    </row>
    <row r="1091" spans="1:16" x14ac:dyDescent="0.35">
      <c r="A1091" t="s">
        <v>8341</v>
      </c>
      <c r="B1091" t="s">
        <v>55</v>
      </c>
      <c r="C1091" t="s">
        <v>311</v>
      </c>
      <c r="D1091" t="s">
        <v>304</v>
      </c>
      <c r="E1091" t="s">
        <v>8342</v>
      </c>
      <c r="F1091" t="s">
        <v>8343</v>
      </c>
      <c r="G1091" t="s">
        <v>8209</v>
      </c>
      <c r="H1091" t="s">
        <v>8209</v>
      </c>
      <c r="I1091" t="s">
        <v>8344</v>
      </c>
      <c r="J1091" t="s">
        <v>8345</v>
      </c>
      <c r="K1091" t="s">
        <v>8346</v>
      </c>
      <c r="L1091" t="s">
        <v>20</v>
      </c>
      <c r="M1091" t="s">
        <v>8329</v>
      </c>
      <c r="N1091" t="s">
        <v>8330</v>
      </c>
      <c r="O1091" t="s">
        <v>8347</v>
      </c>
      <c r="P1091" t="s">
        <v>8348</v>
      </c>
    </row>
    <row r="1092" spans="1:16" x14ac:dyDescent="0.35">
      <c r="A1092" t="s">
        <v>8349</v>
      </c>
      <c r="B1092" t="s">
        <v>55</v>
      </c>
      <c r="C1092" t="s">
        <v>28</v>
      </c>
      <c r="D1092" t="s">
        <v>28</v>
      </c>
      <c r="E1092" t="s">
        <v>28</v>
      </c>
      <c r="F1092" t="s">
        <v>28</v>
      </c>
      <c r="G1092" t="s">
        <v>8350</v>
      </c>
      <c r="H1092" t="s">
        <v>28</v>
      </c>
      <c r="I1092" t="s">
        <v>28</v>
      </c>
      <c r="J1092" t="s">
        <v>8351</v>
      </c>
      <c r="K1092" t="s">
        <v>19</v>
      </c>
      <c r="L1092" t="s">
        <v>20</v>
      </c>
      <c r="M1092" t="s">
        <v>8352</v>
      </c>
      <c r="N1092" t="s">
        <v>8353</v>
      </c>
      <c r="O1092" t="s">
        <v>8354</v>
      </c>
      <c r="P1092" t="s">
        <v>8355</v>
      </c>
    </row>
    <row r="1093" spans="1:16" x14ac:dyDescent="0.35">
      <c r="A1093" t="s">
        <v>8356</v>
      </c>
      <c r="B1093" t="s">
        <v>55</v>
      </c>
      <c r="C1093" t="s">
        <v>28</v>
      </c>
      <c r="D1093" t="s">
        <v>28</v>
      </c>
      <c r="E1093" t="s">
        <v>8357</v>
      </c>
      <c r="F1093" t="s">
        <v>8358</v>
      </c>
      <c r="G1093" t="s">
        <v>8209</v>
      </c>
      <c r="H1093" t="s">
        <v>8209</v>
      </c>
      <c r="I1093" t="s">
        <v>28</v>
      </c>
      <c r="J1093" t="s">
        <v>8359</v>
      </c>
      <c r="K1093" t="s">
        <v>19</v>
      </c>
      <c r="L1093" t="s">
        <v>20</v>
      </c>
      <c r="M1093" t="s">
        <v>8210</v>
      </c>
      <c r="N1093" t="s">
        <v>8211</v>
      </c>
      <c r="O1093" t="s">
        <v>8360</v>
      </c>
      <c r="P1093" t="s">
        <v>8361</v>
      </c>
    </row>
    <row r="1094" spans="1:16" x14ac:dyDescent="0.35">
      <c r="A1094" t="s">
        <v>8362</v>
      </c>
      <c r="B1094" t="s">
        <v>55</v>
      </c>
      <c r="C1094" t="s">
        <v>28</v>
      </c>
      <c r="D1094" t="s">
        <v>28</v>
      </c>
      <c r="E1094" t="s">
        <v>8363</v>
      </c>
      <c r="F1094" t="s">
        <v>8364</v>
      </c>
      <c r="G1094" t="s">
        <v>8209</v>
      </c>
      <c r="H1094" t="s">
        <v>8209</v>
      </c>
      <c r="I1094" t="s">
        <v>28</v>
      </c>
      <c r="J1094" t="s">
        <v>8365</v>
      </c>
      <c r="K1094" t="s">
        <v>19</v>
      </c>
      <c r="L1094" t="s">
        <v>20</v>
      </c>
      <c r="M1094" t="s">
        <v>8366</v>
      </c>
      <c r="N1094" t="s">
        <v>8367</v>
      </c>
      <c r="O1094" t="s">
        <v>8368</v>
      </c>
      <c r="P1094" t="s">
        <v>8369</v>
      </c>
    </row>
    <row r="1095" spans="1:16" x14ac:dyDescent="0.35">
      <c r="A1095" t="s">
        <v>8370</v>
      </c>
      <c r="B1095" t="s">
        <v>55</v>
      </c>
      <c r="C1095" t="s">
        <v>28</v>
      </c>
      <c r="D1095" t="s">
        <v>28</v>
      </c>
      <c r="E1095" t="s">
        <v>8371</v>
      </c>
      <c r="F1095" t="s">
        <v>8372</v>
      </c>
      <c r="G1095" t="s">
        <v>8209</v>
      </c>
      <c r="H1095" t="s">
        <v>8209</v>
      </c>
      <c r="I1095" t="s">
        <v>8373</v>
      </c>
      <c r="J1095" t="s">
        <v>28</v>
      </c>
      <c r="K1095" t="s">
        <v>19</v>
      </c>
      <c r="L1095" t="s">
        <v>20</v>
      </c>
      <c r="M1095" t="s">
        <v>8366</v>
      </c>
      <c r="N1095" t="s">
        <v>8367</v>
      </c>
      <c r="O1095" t="s">
        <v>8374</v>
      </c>
      <c r="P1095" t="s">
        <v>8375</v>
      </c>
    </row>
    <row r="1096" spans="1:16" x14ac:dyDescent="0.35">
      <c r="A1096" t="s">
        <v>4194</v>
      </c>
      <c r="B1096" t="s">
        <v>55</v>
      </c>
      <c r="C1096" t="s">
        <v>28</v>
      </c>
      <c r="D1096" t="s">
        <v>28</v>
      </c>
      <c r="E1096" t="s">
        <v>8376</v>
      </c>
      <c r="F1096" t="s">
        <v>8377</v>
      </c>
      <c r="G1096" t="s">
        <v>8209</v>
      </c>
      <c r="H1096" t="s">
        <v>8209</v>
      </c>
      <c r="I1096" t="s">
        <v>28</v>
      </c>
      <c r="J1096" t="s">
        <v>8378</v>
      </c>
      <c r="K1096" t="s">
        <v>19</v>
      </c>
      <c r="L1096" t="s">
        <v>20</v>
      </c>
      <c r="M1096" t="s">
        <v>8379</v>
      </c>
      <c r="N1096" t="s">
        <v>8380</v>
      </c>
      <c r="O1096" t="s">
        <v>8381</v>
      </c>
      <c r="P1096" t="s">
        <v>8382</v>
      </c>
    </row>
    <row r="1097" spans="1:16" x14ac:dyDescent="0.35">
      <c r="A1097" t="s">
        <v>8383</v>
      </c>
      <c r="B1097" t="s">
        <v>55</v>
      </c>
      <c r="C1097" t="s">
        <v>28</v>
      </c>
      <c r="D1097" t="s">
        <v>28</v>
      </c>
      <c r="E1097" t="s">
        <v>8384</v>
      </c>
      <c r="F1097" t="s">
        <v>8385</v>
      </c>
      <c r="G1097" t="s">
        <v>8386</v>
      </c>
      <c r="H1097" t="s">
        <v>8209</v>
      </c>
      <c r="I1097" t="s">
        <v>28</v>
      </c>
      <c r="J1097" t="s">
        <v>8387</v>
      </c>
      <c r="K1097" t="s">
        <v>19</v>
      </c>
      <c r="L1097" t="s">
        <v>20</v>
      </c>
      <c r="M1097" t="s">
        <v>8388</v>
      </c>
      <c r="N1097" t="s">
        <v>8389</v>
      </c>
      <c r="O1097" t="s">
        <v>8390</v>
      </c>
      <c r="P1097" t="s">
        <v>8391</v>
      </c>
    </row>
    <row r="1098" spans="1:16" x14ac:dyDescent="0.35">
      <c r="A1098" t="s">
        <v>8395</v>
      </c>
      <c r="B1098" t="s">
        <v>32</v>
      </c>
      <c r="C1098" t="s">
        <v>1128</v>
      </c>
      <c r="D1098" t="s">
        <v>324</v>
      </c>
      <c r="E1098" t="s">
        <v>8396</v>
      </c>
      <c r="F1098" t="s">
        <v>8397</v>
      </c>
      <c r="G1098" t="s">
        <v>8392</v>
      </c>
      <c r="H1098" t="s">
        <v>8392</v>
      </c>
      <c r="I1098" t="s">
        <v>8398</v>
      </c>
      <c r="J1098" t="s">
        <v>8399</v>
      </c>
      <c r="K1098" t="s">
        <v>8400</v>
      </c>
      <c r="L1098" t="s">
        <v>20</v>
      </c>
      <c r="M1098" t="s">
        <v>8393</v>
      </c>
      <c r="N1098" t="s">
        <v>8394</v>
      </c>
      <c r="O1098" t="s">
        <v>8401</v>
      </c>
      <c r="P1098" t="s">
        <v>8402</v>
      </c>
    </row>
    <row r="1099" spans="1:16" x14ac:dyDescent="0.35">
      <c r="A1099" t="s">
        <v>8403</v>
      </c>
      <c r="B1099" t="s">
        <v>55</v>
      </c>
      <c r="C1099" t="s">
        <v>15</v>
      </c>
      <c r="D1099" t="s">
        <v>16</v>
      </c>
      <c r="E1099" t="s">
        <v>8404</v>
      </c>
      <c r="F1099" t="s">
        <v>8405</v>
      </c>
      <c r="G1099" t="s">
        <v>8392</v>
      </c>
      <c r="H1099" t="s">
        <v>8392</v>
      </c>
      <c r="I1099" t="s">
        <v>8406</v>
      </c>
      <c r="J1099" t="s">
        <v>8407</v>
      </c>
      <c r="K1099" t="s">
        <v>8408</v>
      </c>
      <c r="L1099" t="s">
        <v>20</v>
      </c>
      <c r="M1099" t="s">
        <v>8393</v>
      </c>
      <c r="N1099" t="s">
        <v>8394</v>
      </c>
      <c r="O1099" t="s">
        <v>8409</v>
      </c>
      <c r="P1099" t="s">
        <v>8410</v>
      </c>
    </row>
    <row r="1100" spans="1:16" x14ac:dyDescent="0.35">
      <c r="A1100" t="s">
        <v>8411</v>
      </c>
      <c r="B1100" t="s">
        <v>194</v>
      </c>
      <c r="C1100" t="s">
        <v>15</v>
      </c>
      <c r="D1100" t="s">
        <v>16</v>
      </c>
      <c r="E1100" t="s">
        <v>8412</v>
      </c>
      <c r="F1100" t="s">
        <v>8413</v>
      </c>
      <c r="G1100" t="s">
        <v>8392</v>
      </c>
      <c r="H1100" t="s">
        <v>8392</v>
      </c>
      <c r="I1100" t="s">
        <v>28</v>
      </c>
      <c r="J1100" t="s">
        <v>8414</v>
      </c>
      <c r="K1100" t="s">
        <v>19</v>
      </c>
      <c r="L1100" t="s">
        <v>20</v>
      </c>
      <c r="M1100" t="s">
        <v>8415</v>
      </c>
      <c r="N1100" t="s">
        <v>8416</v>
      </c>
      <c r="O1100" t="s">
        <v>8417</v>
      </c>
      <c r="P1100" t="s">
        <v>8418</v>
      </c>
    </row>
    <row r="1101" spans="1:16" x14ac:dyDescent="0.35">
      <c r="A1101" t="s">
        <v>8419</v>
      </c>
      <c r="B1101" t="s">
        <v>55</v>
      </c>
      <c r="C1101" t="s">
        <v>28</v>
      </c>
      <c r="D1101" t="s">
        <v>28</v>
      </c>
      <c r="E1101" t="s">
        <v>8420</v>
      </c>
      <c r="F1101" t="s">
        <v>8421</v>
      </c>
      <c r="G1101" t="s">
        <v>8392</v>
      </c>
      <c r="H1101" t="s">
        <v>8392</v>
      </c>
      <c r="I1101" t="s">
        <v>28</v>
      </c>
      <c r="J1101" t="s">
        <v>28</v>
      </c>
      <c r="K1101" t="s">
        <v>19</v>
      </c>
      <c r="L1101" t="s">
        <v>20</v>
      </c>
      <c r="M1101" t="s">
        <v>8422</v>
      </c>
      <c r="N1101" t="s">
        <v>8423</v>
      </c>
      <c r="O1101" t="s">
        <v>8424</v>
      </c>
      <c r="P1101" t="s">
        <v>8425</v>
      </c>
    </row>
    <row r="1102" spans="1:16" x14ac:dyDescent="0.35">
      <c r="A1102" t="s">
        <v>8426</v>
      </c>
      <c r="B1102" t="s">
        <v>55</v>
      </c>
      <c r="C1102" t="s">
        <v>311</v>
      </c>
      <c r="D1102" t="s">
        <v>449</v>
      </c>
      <c r="E1102" t="s">
        <v>8427</v>
      </c>
      <c r="F1102" t="s">
        <v>8428</v>
      </c>
      <c r="G1102" t="s">
        <v>8392</v>
      </c>
      <c r="H1102" t="s">
        <v>8392</v>
      </c>
      <c r="I1102" t="s">
        <v>8429</v>
      </c>
      <c r="J1102" t="s">
        <v>8430</v>
      </c>
      <c r="K1102" t="s">
        <v>19</v>
      </c>
      <c r="L1102" t="s">
        <v>20</v>
      </c>
      <c r="M1102" t="s">
        <v>8422</v>
      </c>
      <c r="N1102" t="s">
        <v>8423</v>
      </c>
      <c r="O1102" t="s">
        <v>8431</v>
      </c>
      <c r="P1102" t="s">
        <v>8432</v>
      </c>
    </row>
    <row r="1103" spans="1:16" x14ac:dyDescent="0.35">
      <c r="A1103" t="s">
        <v>8433</v>
      </c>
      <c r="B1103" t="s">
        <v>55</v>
      </c>
      <c r="C1103" t="s">
        <v>474</v>
      </c>
      <c r="D1103" t="s">
        <v>989</v>
      </c>
      <c r="E1103" t="s">
        <v>8434</v>
      </c>
      <c r="F1103" t="s">
        <v>8435</v>
      </c>
      <c r="G1103" t="s">
        <v>8392</v>
      </c>
      <c r="H1103" t="s">
        <v>8392</v>
      </c>
      <c r="I1103" t="s">
        <v>28</v>
      </c>
      <c r="J1103" t="s">
        <v>8436</v>
      </c>
      <c r="K1103" t="s">
        <v>19</v>
      </c>
      <c r="L1103" t="s">
        <v>20</v>
      </c>
      <c r="M1103" t="s">
        <v>8422</v>
      </c>
      <c r="N1103" t="s">
        <v>8423</v>
      </c>
      <c r="O1103" t="s">
        <v>8437</v>
      </c>
      <c r="P1103" t="s">
        <v>8438</v>
      </c>
    </row>
    <row r="1104" spans="1:16" x14ac:dyDescent="0.35">
      <c r="A1104" t="s">
        <v>8439</v>
      </c>
      <c r="B1104" t="s">
        <v>55</v>
      </c>
      <c r="C1104" t="s">
        <v>691</v>
      </c>
      <c r="D1104" t="s">
        <v>348</v>
      </c>
      <c r="E1104" t="s">
        <v>8440</v>
      </c>
      <c r="F1104" t="s">
        <v>8441</v>
      </c>
      <c r="G1104" t="s">
        <v>8392</v>
      </c>
      <c r="H1104" t="s">
        <v>8392</v>
      </c>
      <c r="I1104" t="s">
        <v>8442</v>
      </c>
      <c r="J1104" t="s">
        <v>8443</v>
      </c>
      <c r="K1104" t="s">
        <v>8444</v>
      </c>
      <c r="L1104" t="s">
        <v>20</v>
      </c>
      <c r="M1104" t="s">
        <v>8422</v>
      </c>
      <c r="N1104" t="s">
        <v>8423</v>
      </c>
      <c r="O1104" t="s">
        <v>8445</v>
      </c>
      <c r="P1104" t="s">
        <v>8446</v>
      </c>
    </row>
    <row r="1105" spans="1:16" x14ac:dyDescent="0.35">
      <c r="A1105" t="s">
        <v>8447</v>
      </c>
      <c r="B1105" t="s">
        <v>55</v>
      </c>
      <c r="C1105" t="s">
        <v>78</v>
      </c>
      <c r="D1105" t="s">
        <v>68</v>
      </c>
      <c r="E1105" t="s">
        <v>8448</v>
      </c>
      <c r="F1105" t="s">
        <v>8449</v>
      </c>
      <c r="G1105" t="s">
        <v>8392</v>
      </c>
      <c r="H1105" t="s">
        <v>8392</v>
      </c>
      <c r="I1105" t="s">
        <v>8450</v>
      </c>
      <c r="J1105" t="s">
        <v>8451</v>
      </c>
      <c r="K1105" t="s">
        <v>8452</v>
      </c>
      <c r="L1105" t="s">
        <v>20</v>
      </c>
      <c r="M1105" t="s">
        <v>8422</v>
      </c>
      <c r="N1105" t="s">
        <v>8423</v>
      </c>
      <c r="O1105" t="s">
        <v>8453</v>
      </c>
      <c r="P1105" t="s">
        <v>8454</v>
      </c>
    </row>
    <row r="1106" spans="1:16" x14ac:dyDescent="0.35">
      <c r="A1106" t="s">
        <v>538</v>
      </c>
      <c r="B1106" t="s">
        <v>55</v>
      </c>
      <c r="C1106" t="s">
        <v>15</v>
      </c>
      <c r="D1106" t="s">
        <v>16</v>
      </c>
      <c r="E1106" t="s">
        <v>8455</v>
      </c>
      <c r="F1106" t="s">
        <v>8456</v>
      </c>
      <c r="G1106" t="s">
        <v>8392</v>
      </c>
      <c r="H1106" t="s">
        <v>8392</v>
      </c>
      <c r="I1106" t="s">
        <v>82</v>
      </c>
      <c r="J1106" t="s">
        <v>8457</v>
      </c>
      <c r="K1106" t="s">
        <v>84</v>
      </c>
      <c r="L1106" t="s">
        <v>20</v>
      </c>
      <c r="M1106" t="s">
        <v>8393</v>
      </c>
      <c r="N1106" t="s">
        <v>8394</v>
      </c>
      <c r="O1106" t="s">
        <v>8458</v>
      </c>
      <c r="P1106" t="s">
        <v>8459</v>
      </c>
    </row>
    <row r="1107" spans="1:16" x14ac:dyDescent="0.35">
      <c r="A1107" t="s">
        <v>8460</v>
      </c>
      <c r="B1107" t="s">
        <v>55</v>
      </c>
      <c r="C1107" t="s">
        <v>357</v>
      </c>
      <c r="D1107" t="s">
        <v>124</v>
      </c>
      <c r="E1107" t="s">
        <v>8461</v>
      </c>
      <c r="F1107" t="s">
        <v>8462</v>
      </c>
      <c r="G1107" t="s">
        <v>8392</v>
      </c>
      <c r="H1107" t="s">
        <v>8392</v>
      </c>
      <c r="I1107" t="s">
        <v>8463</v>
      </c>
      <c r="J1107" t="s">
        <v>8464</v>
      </c>
      <c r="K1107" t="s">
        <v>8465</v>
      </c>
      <c r="L1107" t="s">
        <v>20</v>
      </c>
      <c r="M1107" t="s">
        <v>8393</v>
      </c>
      <c r="N1107" t="s">
        <v>8394</v>
      </c>
      <c r="O1107" t="s">
        <v>8466</v>
      </c>
      <c r="P1107" t="s">
        <v>8467</v>
      </c>
    </row>
    <row r="1108" spans="1:16" x14ac:dyDescent="0.35">
      <c r="A1108" t="s">
        <v>8468</v>
      </c>
      <c r="B1108" t="s">
        <v>55</v>
      </c>
      <c r="C1108" t="s">
        <v>96</v>
      </c>
      <c r="D1108" t="s">
        <v>614</v>
      </c>
      <c r="E1108" t="s">
        <v>8469</v>
      </c>
      <c r="F1108" t="s">
        <v>8470</v>
      </c>
      <c r="G1108" t="s">
        <v>8392</v>
      </c>
      <c r="H1108" t="s">
        <v>8392</v>
      </c>
      <c r="I1108" t="s">
        <v>28</v>
      </c>
      <c r="J1108" t="s">
        <v>8471</v>
      </c>
      <c r="K1108" t="s">
        <v>19</v>
      </c>
      <c r="L1108" t="s">
        <v>20</v>
      </c>
      <c r="M1108" t="s">
        <v>8393</v>
      </c>
      <c r="N1108" t="s">
        <v>8394</v>
      </c>
      <c r="O1108" t="s">
        <v>8472</v>
      </c>
      <c r="P1108" t="s">
        <v>8473</v>
      </c>
    </row>
    <row r="1109" spans="1:16" x14ac:dyDescent="0.35">
      <c r="A1109" t="s">
        <v>8474</v>
      </c>
      <c r="B1109" t="s">
        <v>194</v>
      </c>
      <c r="C1109" t="s">
        <v>28</v>
      </c>
      <c r="D1109" t="s">
        <v>28</v>
      </c>
      <c r="E1109" t="s">
        <v>8475</v>
      </c>
      <c r="F1109" t="s">
        <v>8476</v>
      </c>
      <c r="G1109" t="s">
        <v>8392</v>
      </c>
      <c r="H1109" t="s">
        <v>8392</v>
      </c>
      <c r="I1109" t="s">
        <v>8477</v>
      </c>
      <c r="J1109" t="s">
        <v>8478</v>
      </c>
      <c r="K1109" t="s">
        <v>8479</v>
      </c>
      <c r="L1109" t="s">
        <v>20</v>
      </c>
      <c r="M1109" t="s">
        <v>8480</v>
      </c>
      <c r="N1109" t="s">
        <v>8481</v>
      </c>
      <c r="O1109" t="s">
        <v>8482</v>
      </c>
      <c r="P1109" t="s">
        <v>8483</v>
      </c>
    </row>
    <row r="1110" spans="1:16" x14ac:dyDescent="0.35">
      <c r="A1110" t="s">
        <v>8484</v>
      </c>
      <c r="B1110" t="s">
        <v>194</v>
      </c>
      <c r="C1110" t="s">
        <v>28</v>
      </c>
      <c r="D1110" t="s">
        <v>28</v>
      </c>
      <c r="E1110" t="s">
        <v>8485</v>
      </c>
      <c r="F1110" t="s">
        <v>8486</v>
      </c>
      <c r="G1110" t="s">
        <v>8392</v>
      </c>
      <c r="H1110" t="s">
        <v>8392</v>
      </c>
      <c r="I1110" t="s">
        <v>28</v>
      </c>
      <c r="J1110" t="s">
        <v>8487</v>
      </c>
      <c r="K1110" t="s">
        <v>19</v>
      </c>
      <c r="L1110" t="s">
        <v>20</v>
      </c>
      <c r="M1110" t="s">
        <v>8488</v>
      </c>
      <c r="N1110" t="s">
        <v>8489</v>
      </c>
      <c r="O1110" t="s">
        <v>8490</v>
      </c>
      <c r="P1110" t="s">
        <v>8491</v>
      </c>
    </row>
    <row r="1111" spans="1:16" x14ac:dyDescent="0.35">
      <c r="A1111" t="s">
        <v>8493</v>
      </c>
      <c r="B1111" t="s">
        <v>55</v>
      </c>
      <c r="C1111" t="s">
        <v>311</v>
      </c>
      <c r="D1111" t="s">
        <v>449</v>
      </c>
      <c r="E1111" t="s">
        <v>8494</v>
      </c>
      <c r="F1111" t="s">
        <v>8495</v>
      </c>
      <c r="G1111" t="s">
        <v>8492</v>
      </c>
      <c r="H1111" t="s">
        <v>8492</v>
      </c>
      <c r="I1111" t="s">
        <v>8496</v>
      </c>
      <c r="J1111" t="s">
        <v>8497</v>
      </c>
      <c r="K1111" t="s">
        <v>8498</v>
      </c>
      <c r="L1111" t="s">
        <v>20</v>
      </c>
      <c r="M1111" t="s">
        <v>8499</v>
      </c>
      <c r="N1111" t="s">
        <v>8500</v>
      </c>
      <c r="O1111" t="s">
        <v>8501</v>
      </c>
      <c r="P1111" t="s">
        <v>8502</v>
      </c>
    </row>
    <row r="1112" spans="1:16" x14ac:dyDescent="0.35">
      <c r="A1112" t="s">
        <v>8503</v>
      </c>
      <c r="B1112" t="s">
        <v>32</v>
      </c>
      <c r="C1112" t="s">
        <v>691</v>
      </c>
      <c r="D1112" t="s">
        <v>124</v>
      </c>
      <c r="E1112" t="s">
        <v>8504</v>
      </c>
      <c r="F1112" t="s">
        <v>8505</v>
      </c>
      <c r="G1112" t="s">
        <v>8492</v>
      </c>
      <c r="H1112" t="s">
        <v>8492</v>
      </c>
      <c r="I1112" t="s">
        <v>28</v>
      </c>
      <c r="J1112" t="s">
        <v>8506</v>
      </c>
      <c r="K1112" t="s">
        <v>19</v>
      </c>
      <c r="L1112" t="s">
        <v>20</v>
      </c>
      <c r="M1112" t="s">
        <v>8507</v>
      </c>
      <c r="N1112" t="s">
        <v>8508</v>
      </c>
      <c r="O1112" t="s">
        <v>8509</v>
      </c>
      <c r="P1112" t="s">
        <v>8510</v>
      </c>
    </row>
    <row r="1113" spans="1:16" x14ac:dyDescent="0.35">
      <c r="A1113" t="s">
        <v>8511</v>
      </c>
      <c r="B1113" t="s">
        <v>32</v>
      </c>
      <c r="C1113" t="s">
        <v>25</v>
      </c>
      <c r="D1113" t="s">
        <v>16</v>
      </c>
      <c r="E1113" t="s">
        <v>8512</v>
      </c>
      <c r="F1113" t="s">
        <v>8513</v>
      </c>
      <c r="G1113" t="s">
        <v>8492</v>
      </c>
      <c r="H1113" t="s">
        <v>8492</v>
      </c>
      <c r="I1113" t="s">
        <v>28</v>
      </c>
      <c r="J1113" t="s">
        <v>8514</v>
      </c>
      <c r="K1113" t="s">
        <v>19</v>
      </c>
      <c r="L1113" t="s">
        <v>20</v>
      </c>
      <c r="M1113" t="s">
        <v>8507</v>
      </c>
      <c r="N1113" t="s">
        <v>8508</v>
      </c>
      <c r="O1113" t="s">
        <v>8515</v>
      </c>
      <c r="P1113" t="s">
        <v>8516</v>
      </c>
    </row>
    <row r="1114" spans="1:16" x14ac:dyDescent="0.35">
      <c r="A1114" t="s">
        <v>8517</v>
      </c>
      <c r="B1114" t="s">
        <v>55</v>
      </c>
      <c r="C1114" t="s">
        <v>15</v>
      </c>
      <c r="D1114" t="s">
        <v>27</v>
      </c>
      <c r="E1114" t="s">
        <v>8518</v>
      </c>
      <c r="F1114" t="s">
        <v>8519</v>
      </c>
      <c r="G1114" t="s">
        <v>8492</v>
      </c>
      <c r="H1114" t="s">
        <v>8492</v>
      </c>
      <c r="I1114" t="s">
        <v>8520</v>
      </c>
      <c r="J1114" t="s">
        <v>8521</v>
      </c>
      <c r="K1114" t="s">
        <v>8522</v>
      </c>
      <c r="L1114" t="s">
        <v>20</v>
      </c>
      <c r="M1114" t="s">
        <v>8523</v>
      </c>
      <c r="N1114" t="s">
        <v>8524</v>
      </c>
      <c r="O1114" t="s">
        <v>8525</v>
      </c>
      <c r="P1114" t="s">
        <v>8526</v>
      </c>
    </row>
    <row r="1115" spans="1:16" x14ac:dyDescent="0.35">
      <c r="A1115" t="s">
        <v>8527</v>
      </c>
      <c r="B1115" t="s">
        <v>55</v>
      </c>
      <c r="C1115" t="s">
        <v>311</v>
      </c>
      <c r="D1115" t="s">
        <v>953</v>
      </c>
      <c r="E1115" t="s">
        <v>8528</v>
      </c>
      <c r="F1115" t="s">
        <v>8529</v>
      </c>
      <c r="G1115" t="s">
        <v>8492</v>
      </c>
      <c r="H1115" t="s">
        <v>8492</v>
      </c>
      <c r="I1115" t="s">
        <v>8530</v>
      </c>
      <c r="J1115" t="s">
        <v>8531</v>
      </c>
      <c r="K1115" t="s">
        <v>8532</v>
      </c>
      <c r="L1115" t="s">
        <v>20</v>
      </c>
      <c r="M1115" t="s">
        <v>8533</v>
      </c>
      <c r="N1115" t="s">
        <v>8534</v>
      </c>
      <c r="O1115" t="s">
        <v>8535</v>
      </c>
      <c r="P1115" t="s">
        <v>8536</v>
      </c>
    </row>
    <row r="1116" spans="1:16" x14ac:dyDescent="0.35">
      <c r="A1116" t="s">
        <v>8537</v>
      </c>
      <c r="B1116" t="s">
        <v>32</v>
      </c>
      <c r="C1116" t="s">
        <v>28</v>
      </c>
      <c r="D1116" t="s">
        <v>28</v>
      </c>
      <c r="E1116" t="s">
        <v>8538</v>
      </c>
      <c r="F1116" t="s">
        <v>8539</v>
      </c>
      <c r="G1116" t="s">
        <v>8492</v>
      </c>
      <c r="H1116" t="s">
        <v>8492</v>
      </c>
      <c r="I1116" t="s">
        <v>28</v>
      </c>
      <c r="J1116" t="s">
        <v>8540</v>
      </c>
      <c r="K1116" t="s">
        <v>19</v>
      </c>
      <c r="L1116" t="s">
        <v>20</v>
      </c>
      <c r="M1116" t="s">
        <v>8541</v>
      </c>
      <c r="N1116" t="s">
        <v>8542</v>
      </c>
      <c r="O1116" t="s">
        <v>8543</v>
      </c>
      <c r="P1116" t="s">
        <v>8544</v>
      </c>
    </row>
    <row r="1117" spans="1:16" x14ac:dyDescent="0.35">
      <c r="A1117" t="s">
        <v>8545</v>
      </c>
      <c r="B1117" t="s">
        <v>55</v>
      </c>
      <c r="C1117" t="s">
        <v>28</v>
      </c>
      <c r="D1117" t="s">
        <v>28</v>
      </c>
      <c r="E1117" t="s">
        <v>8546</v>
      </c>
      <c r="F1117" t="s">
        <v>8547</v>
      </c>
      <c r="G1117" t="s">
        <v>8492</v>
      </c>
      <c r="H1117" t="s">
        <v>8492</v>
      </c>
      <c r="I1117" t="s">
        <v>2599</v>
      </c>
      <c r="J1117" t="s">
        <v>8548</v>
      </c>
      <c r="K1117" t="s">
        <v>19</v>
      </c>
      <c r="L1117" t="s">
        <v>20</v>
      </c>
      <c r="M1117" t="s">
        <v>8549</v>
      </c>
      <c r="N1117" t="s">
        <v>8550</v>
      </c>
      <c r="O1117" t="s">
        <v>8551</v>
      </c>
      <c r="P1117" t="s">
        <v>8552</v>
      </c>
    </row>
    <row r="1118" spans="1:16" x14ac:dyDescent="0.35">
      <c r="A1118" t="s">
        <v>8553</v>
      </c>
      <c r="B1118" t="s">
        <v>55</v>
      </c>
      <c r="C1118" t="s">
        <v>28</v>
      </c>
      <c r="D1118" t="s">
        <v>28</v>
      </c>
      <c r="E1118" t="s">
        <v>8554</v>
      </c>
      <c r="F1118" t="s">
        <v>8555</v>
      </c>
      <c r="G1118" t="s">
        <v>8492</v>
      </c>
      <c r="H1118" t="s">
        <v>8492</v>
      </c>
      <c r="I1118" t="s">
        <v>28</v>
      </c>
      <c r="J1118" t="s">
        <v>8556</v>
      </c>
      <c r="K1118" t="s">
        <v>19</v>
      </c>
      <c r="L1118" t="s">
        <v>20</v>
      </c>
      <c r="M1118" t="s">
        <v>8557</v>
      </c>
      <c r="N1118" t="s">
        <v>8558</v>
      </c>
      <c r="O1118" t="s">
        <v>8559</v>
      </c>
      <c r="P1118" t="s">
        <v>8560</v>
      </c>
    </row>
    <row r="1119" spans="1:16" x14ac:dyDescent="0.35">
      <c r="A1119" t="s">
        <v>8561</v>
      </c>
      <c r="B1119" t="s">
        <v>55</v>
      </c>
      <c r="C1119" t="s">
        <v>28</v>
      </c>
      <c r="D1119" t="s">
        <v>28</v>
      </c>
      <c r="E1119" t="s">
        <v>8562</v>
      </c>
      <c r="F1119" t="s">
        <v>8563</v>
      </c>
      <c r="G1119" t="s">
        <v>8492</v>
      </c>
      <c r="H1119" t="s">
        <v>8492</v>
      </c>
      <c r="I1119" t="s">
        <v>8564</v>
      </c>
      <c r="J1119" t="s">
        <v>8565</v>
      </c>
      <c r="K1119" t="s">
        <v>19</v>
      </c>
      <c r="L1119" t="s">
        <v>20</v>
      </c>
      <c r="M1119" t="s">
        <v>8557</v>
      </c>
      <c r="N1119" t="s">
        <v>8558</v>
      </c>
      <c r="O1119" t="s">
        <v>8566</v>
      </c>
      <c r="P1119" t="s">
        <v>8567</v>
      </c>
    </row>
    <row r="1120" spans="1:16" x14ac:dyDescent="0.35">
      <c r="A1120" t="s">
        <v>538</v>
      </c>
      <c r="B1120" t="s">
        <v>55</v>
      </c>
      <c r="C1120" t="s">
        <v>26</v>
      </c>
      <c r="D1120" t="s">
        <v>374</v>
      </c>
      <c r="E1120" t="s">
        <v>8568</v>
      </c>
      <c r="F1120" t="s">
        <v>8569</v>
      </c>
      <c r="G1120" t="s">
        <v>8492</v>
      </c>
      <c r="H1120" t="s">
        <v>8492</v>
      </c>
      <c r="I1120" t="s">
        <v>82</v>
      </c>
      <c r="J1120" t="s">
        <v>8570</v>
      </c>
      <c r="K1120" t="s">
        <v>84</v>
      </c>
      <c r="L1120" t="s">
        <v>20</v>
      </c>
      <c r="M1120" t="s">
        <v>8557</v>
      </c>
      <c r="N1120" t="s">
        <v>8558</v>
      </c>
      <c r="O1120" t="s">
        <v>8571</v>
      </c>
      <c r="P1120" t="s">
        <v>8572</v>
      </c>
    </row>
    <row r="1121" spans="1:16" x14ac:dyDescent="0.35">
      <c r="A1121" t="s">
        <v>8573</v>
      </c>
      <c r="B1121" t="s">
        <v>55</v>
      </c>
      <c r="C1121" t="s">
        <v>691</v>
      </c>
      <c r="D1121" t="s">
        <v>124</v>
      </c>
      <c r="E1121" t="s">
        <v>8574</v>
      </c>
      <c r="F1121" t="s">
        <v>8575</v>
      </c>
      <c r="G1121" t="s">
        <v>8492</v>
      </c>
      <c r="H1121" t="s">
        <v>8492</v>
      </c>
      <c r="I1121" t="s">
        <v>28</v>
      </c>
      <c r="J1121" t="s">
        <v>8576</v>
      </c>
      <c r="K1121" t="s">
        <v>19</v>
      </c>
      <c r="L1121" t="s">
        <v>20</v>
      </c>
      <c r="M1121" t="s">
        <v>8577</v>
      </c>
      <c r="N1121" t="s">
        <v>8578</v>
      </c>
      <c r="O1121" t="s">
        <v>8579</v>
      </c>
      <c r="P1121" t="s">
        <v>8580</v>
      </c>
    </row>
    <row r="1122" spans="1:16" x14ac:dyDescent="0.35">
      <c r="A1122" t="s">
        <v>8581</v>
      </c>
      <c r="B1122" t="s">
        <v>55</v>
      </c>
      <c r="C1122" t="s">
        <v>28</v>
      </c>
      <c r="D1122" t="s">
        <v>28</v>
      </c>
      <c r="E1122" t="s">
        <v>8582</v>
      </c>
      <c r="F1122" t="s">
        <v>8583</v>
      </c>
      <c r="G1122" t="s">
        <v>8492</v>
      </c>
      <c r="H1122" t="s">
        <v>8492</v>
      </c>
      <c r="I1122" t="s">
        <v>8584</v>
      </c>
      <c r="J1122" t="s">
        <v>8585</v>
      </c>
      <c r="K1122" t="s">
        <v>19</v>
      </c>
      <c r="L1122" t="s">
        <v>20</v>
      </c>
      <c r="M1122" t="s">
        <v>8586</v>
      </c>
      <c r="N1122" t="s">
        <v>8587</v>
      </c>
      <c r="O1122" t="s">
        <v>8588</v>
      </c>
      <c r="P1122" t="s">
        <v>8589</v>
      </c>
    </row>
    <row r="1123" spans="1:16" x14ac:dyDescent="0.35">
      <c r="A1123" t="s">
        <v>8595</v>
      </c>
      <c r="B1123" t="s">
        <v>55</v>
      </c>
      <c r="C1123" t="s">
        <v>4840</v>
      </c>
      <c r="D1123" t="s">
        <v>700</v>
      </c>
      <c r="E1123" t="s">
        <v>8596</v>
      </c>
      <c r="F1123" t="s">
        <v>8597</v>
      </c>
      <c r="G1123" t="s">
        <v>8590</v>
      </c>
      <c r="H1123" t="s">
        <v>8594</v>
      </c>
      <c r="I1123" t="s">
        <v>8598</v>
      </c>
      <c r="J1123" t="s">
        <v>8599</v>
      </c>
      <c r="K1123" t="s">
        <v>8600</v>
      </c>
      <c r="L1123" t="s">
        <v>20</v>
      </c>
      <c r="M1123" t="s">
        <v>8592</v>
      </c>
      <c r="N1123" t="s">
        <v>8593</v>
      </c>
      <c r="O1123" t="s">
        <v>8601</v>
      </c>
      <c r="P1123" t="s">
        <v>8602</v>
      </c>
    </row>
    <row r="1124" spans="1:16" x14ac:dyDescent="0.35">
      <c r="A1124" t="s">
        <v>8603</v>
      </c>
      <c r="B1124" t="s">
        <v>88</v>
      </c>
      <c r="C1124" t="s">
        <v>28</v>
      </c>
      <c r="D1124" t="s">
        <v>28</v>
      </c>
      <c r="E1124" t="s">
        <v>8604</v>
      </c>
      <c r="F1124" t="s">
        <v>8605</v>
      </c>
      <c r="G1124" t="s">
        <v>8590</v>
      </c>
      <c r="H1124" t="s">
        <v>8591</v>
      </c>
      <c r="I1124" t="s">
        <v>28</v>
      </c>
      <c r="J1124" t="s">
        <v>8606</v>
      </c>
      <c r="K1124" t="s">
        <v>19</v>
      </c>
      <c r="L1124" t="s">
        <v>20</v>
      </c>
      <c r="M1124" t="s">
        <v>8592</v>
      </c>
      <c r="N1124" t="s">
        <v>8593</v>
      </c>
      <c r="O1124" t="s">
        <v>8607</v>
      </c>
      <c r="P1124" t="s">
        <v>8608</v>
      </c>
    </row>
    <row r="1125" spans="1:16" x14ac:dyDescent="0.35">
      <c r="A1125" t="s">
        <v>8609</v>
      </c>
      <c r="B1125" t="s">
        <v>55</v>
      </c>
      <c r="C1125" t="s">
        <v>140</v>
      </c>
      <c r="D1125" t="s">
        <v>963</v>
      </c>
      <c r="E1125" t="s">
        <v>8610</v>
      </c>
      <c r="F1125" t="s">
        <v>8611</v>
      </c>
      <c r="G1125" t="s">
        <v>8590</v>
      </c>
      <c r="H1125" t="s">
        <v>8591</v>
      </c>
      <c r="I1125" t="s">
        <v>8612</v>
      </c>
      <c r="J1125" t="s">
        <v>8613</v>
      </c>
      <c r="K1125" t="s">
        <v>19</v>
      </c>
      <c r="L1125" t="s">
        <v>20</v>
      </c>
      <c r="M1125" t="s">
        <v>8614</v>
      </c>
      <c r="N1125" t="s">
        <v>8615</v>
      </c>
      <c r="O1125" t="s">
        <v>8616</v>
      </c>
      <c r="P1125" t="s">
        <v>8617</v>
      </c>
    </row>
    <row r="1126" spans="1:16" x14ac:dyDescent="0.35">
      <c r="A1126" t="s">
        <v>8618</v>
      </c>
      <c r="B1126" t="s">
        <v>55</v>
      </c>
      <c r="C1126" t="s">
        <v>28</v>
      </c>
      <c r="D1126" t="s">
        <v>28</v>
      </c>
      <c r="E1126" t="s">
        <v>8619</v>
      </c>
      <c r="F1126" t="s">
        <v>8620</v>
      </c>
      <c r="G1126" t="s">
        <v>8590</v>
      </c>
      <c r="H1126" t="s">
        <v>8591</v>
      </c>
      <c r="I1126" t="s">
        <v>28</v>
      </c>
      <c r="J1126" t="s">
        <v>8621</v>
      </c>
      <c r="K1126" t="s">
        <v>19</v>
      </c>
      <c r="L1126" t="s">
        <v>20</v>
      </c>
      <c r="M1126" t="s">
        <v>8622</v>
      </c>
      <c r="N1126" t="s">
        <v>8623</v>
      </c>
      <c r="O1126" t="s">
        <v>8624</v>
      </c>
      <c r="P1126" t="s">
        <v>8625</v>
      </c>
    </row>
    <row r="1127" spans="1:16" x14ac:dyDescent="0.35">
      <c r="A1127" t="s">
        <v>8626</v>
      </c>
      <c r="B1127" t="s">
        <v>55</v>
      </c>
      <c r="C1127" t="s">
        <v>15</v>
      </c>
      <c r="D1127" t="s">
        <v>324</v>
      </c>
      <c r="E1127" t="s">
        <v>8627</v>
      </c>
      <c r="F1127" t="s">
        <v>8628</v>
      </c>
      <c r="G1127" t="s">
        <v>8590</v>
      </c>
      <c r="H1127" t="s">
        <v>8591</v>
      </c>
      <c r="I1127" t="s">
        <v>8496</v>
      </c>
      <c r="J1127" t="s">
        <v>8629</v>
      </c>
      <c r="K1127" t="s">
        <v>8498</v>
      </c>
      <c r="L1127" t="s">
        <v>20</v>
      </c>
      <c r="M1127" t="s">
        <v>8630</v>
      </c>
      <c r="N1127" t="s">
        <v>8631</v>
      </c>
      <c r="O1127" t="s">
        <v>8632</v>
      </c>
      <c r="P1127" t="s">
        <v>8633</v>
      </c>
    </row>
    <row r="1128" spans="1:16" x14ac:dyDescent="0.35">
      <c r="A1128" t="s">
        <v>8634</v>
      </c>
      <c r="B1128" t="s">
        <v>55</v>
      </c>
      <c r="C1128" t="s">
        <v>205</v>
      </c>
      <c r="D1128" t="s">
        <v>141</v>
      </c>
      <c r="E1128" t="s">
        <v>8635</v>
      </c>
      <c r="F1128" t="s">
        <v>8636</v>
      </c>
      <c r="G1128" t="s">
        <v>8590</v>
      </c>
      <c r="H1128" t="s">
        <v>8594</v>
      </c>
      <c r="I1128" t="s">
        <v>8637</v>
      </c>
      <c r="J1128" t="s">
        <v>8638</v>
      </c>
      <c r="K1128" t="s">
        <v>8639</v>
      </c>
      <c r="L1128" t="s">
        <v>20</v>
      </c>
      <c r="M1128" t="s">
        <v>8640</v>
      </c>
      <c r="N1128" t="s">
        <v>8641</v>
      </c>
      <c r="O1128" t="s">
        <v>8642</v>
      </c>
      <c r="P1128" t="s">
        <v>8643</v>
      </c>
    </row>
    <row r="1129" spans="1:16" x14ac:dyDescent="0.35">
      <c r="A1129" t="s">
        <v>538</v>
      </c>
      <c r="B1129" t="s">
        <v>55</v>
      </c>
      <c r="C1129" t="s">
        <v>691</v>
      </c>
      <c r="D1129" t="s">
        <v>324</v>
      </c>
      <c r="E1129" t="s">
        <v>8644</v>
      </c>
      <c r="F1129" t="s">
        <v>8645</v>
      </c>
      <c r="G1129" t="s">
        <v>8590</v>
      </c>
      <c r="H1129" t="s">
        <v>8591</v>
      </c>
      <c r="I1129" t="s">
        <v>82</v>
      </c>
      <c r="J1129" t="s">
        <v>8646</v>
      </c>
      <c r="K1129" t="s">
        <v>84</v>
      </c>
      <c r="L1129" t="s">
        <v>20</v>
      </c>
      <c r="M1129" t="s">
        <v>8640</v>
      </c>
      <c r="N1129" t="s">
        <v>8641</v>
      </c>
      <c r="O1129" t="s">
        <v>8647</v>
      </c>
      <c r="P1129" t="s">
        <v>8648</v>
      </c>
    </row>
    <row r="1130" spans="1:16" x14ac:dyDescent="0.35">
      <c r="A1130" t="s">
        <v>8649</v>
      </c>
      <c r="B1130" t="s">
        <v>194</v>
      </c>
      <c r="C1130" t="s">
        <v>15</v>
      </c>
      <c r="D1130" t="s">
        <v>16</v>
      </c>
      <c r="E1130" t="s">
        <v>8650</v>
      </c>
      <c r="F1130" t="s">
        <v>8651</v>
      </c>
      <c r="G1130" t="s">
        <v>8590</v>
      </c>
      <c r="H1130" t="s">
        <v>8591</v>
      </c>
      <c r="I1130" t="s">
        <v>28</v>
      </c>
      <c r="J1130" t="s">
        <v>8652</v>
      </c>
      <c r="K1130" t="s">
        <v>19</v>
      </c>
      <c r="L1130" t="s">
        <v>20</v>
      </c>
      <c r="M1130" t="s">
        <v>8640</v>
      </c>
      <c r="N1130" t="s">
        <v>8641</v>
      </c>
      <c r="O1130" t="s">
        <v>8653</v>
      </c>
      <c r="P1130" t="s">
        <v>8654</v>
      </c>
    </row>
    <row r="1131" spans="1:16" x14ac:dyDescent="0.35">
      <c r="A1131" t="s">
        <v>8655</v>
      </c>
      <c r="B1131" t="s">
        <v>55</v>
      </c>
      <c r="C1131" t="s">
        <v>205</v>
      </c>
      <c r="D1131" t="s">
        <v>1785</v>
      </c>
      <c r="E1131" t="s">
        <v>8656</v>
      </c>
      <c r="F1131" t="s">
        <v>8657</v>
      </c>
      <c r="G1131" t="s">
        <v>8590</v>
      </c>
      <c r="H1131" t="s">
        <v>8591</v>
      </c>
      <c r="I1131" t="s">
        <v>8658</v>
      </c>
      <c r="J1131" t="s">
        <v>8659</v>
      </c>
      <c r="K1131" t="s">
        <v>8660</v>
      </c>
      <c r="L1131" t="s">
        <v>20</v>
      </c>
      <c r="M1131" t="s">
        <v>8640</v>
      </c>
      <c r="N1131" t="s">
        <v>8641</v>
      </c>
      <c r="O1131" t="s">
        <v>8661</v>
      </c>
      <c r="P1131" t="s">
        <v>8662</v>
      </c>
    </row>
    <row r="1132" spans="1:16" x14ac:dyDescent="0.35">
      <c r="A1132" t="s">
        <v>8663</v>
      </c>
      <c r="B1132" t="s">
        <v>55</v>
      </c>
      <c r="C1132" t="s">
        <v>78</v>
      </c>
      <c r="D1132" t="s">
        <v>312</v>
      </c>
      <c r="E1132" t="s">
        <v>8664</v>
      </c>
      <c r="F1132" t="s">
        <v>8665</v>
      </c>
      <c r="G1132" t="s">
        <v>8590</v>
      </c>
      <c r="H1132" t="s">
        <v>8591</v>
      </c>
      <c r="I1132" t="s">
        <v>8666</v>
      </c>
      <c r="J1132" t="s">
        <v>8667</v>
      </c>
      <c r="K1132" t="s">
        <v>19</v>
      </c>
      <c r="L1132" t="s">
        <v>20</v>
      </c>
      <c r="M1132" t="s">
        <v>8668</v>
      </c>
      <c r="N1132" t="s">
        <v>8669</v>
      </c>
      <c r="O1132" t="s">
        <v>8670</v>
      </c>
      <c r="P1132" t="s">
        <v>8671</v>
      </c>
    </row>
    <row r="1133" spans="1:16" x14ac:dyDescent="0.35">
      <c r="A1133" t="s">
        <v>8672</v>
      </c>
      <c r="B1133" t="s">
        <v>55</v>
      </c>
      <c r="C1133" t="s">
        <v>15</v>
      </c>
      <c r="D1133" t="s">
        <v>27</v>
      </c>
      <c r="E1133" t="s">
        <v>8673</v>
      </c>
      <c r="F1133" t="s">
        <v>8674</v>
      </c>
      <c r="G1133" t="s">
        <v>8590</v>
      </c>
      <c r="H1133" t="s">
        <v>8591</v>
      </c>
      <c r="I1133" t="s">
        <v>28</v>
      </c>
      <c r="J1133" t="s">
        <v>8675</v>
      </c>
      <c r="K1133" t="s">
        <v>19</v>
      </c>
      <c r="L1133" t="s">
        <v>20</v>
      </c>
      <c r="M1133" t="s">
        <v>8676</v>
      </c>
      <c r="N1133" t="s">
        <v>8677</v>
      </c>
      <c r="O1133" t="s">
        <v>8678</v>
      </c>
      <c r="P1133" t="s">
        <v>8679</v>
      </c>
    </row>
    <row r="1134" spans="1:16" x14ac:dyDescent="0.35">
      <c r="A1134" t="s">
        <v>8680</v>
      </c>
      <c r="B1134" t="s">
        <v>55</v>
      </c>
      <c r="C1134" t="s">
        <v>28</v>
      </c>
      <c r="D1134" t="s">
        <v>28</v>
      </c>
      <c r="E1134" t="s">
        <v>8681</v>
      </c>
      <c r="F1134" t="s">
        <v>8682</v>
      </c>
      <c r="G1134" t="s">
        <v>8590</v>
      </c>
      <c r="H1134" t="s">
        <v>8591</v>
      </c>
      <c r="I1134" t="s">
        <v>8683</v>
      </c>
      <c r="J1134" t="s">
        <v>8684</v>
      </c>
      <c r="K1134" t="s">
        <v>19</v>
      </c>
      <c r="L1134" t="s">
        <v>20</v>
      </c>
      <c r="M1134" t="s">
        <v>8685</v>
      </c>
      <c r="N1134" t="s">
        <v>8686</v>
      </c>
      <c r="O1134" t="s">
        <v>8687</v>
      </c>
      <c r="P1134" t="s">
        <v>8688</v>
      </c>
    </row>
    <row r="1135" spans="1:16" x14ac:dyDescent="0.35">
      <c r="A1135" t="s">
        <v>8689</v>
      </c>
      <c r="B1135" t="s">
        <v>55</v>
      </c>
      <c r="C1135" t="s">
        <v>205</v>
      </c>
      <c r="D1135" t="s">
        <v>6241</v>
      </c>
      <c r="E1135" t="s">
        <v>8690</v>
      </c>
      <c r="F1135" t="s">
        <v>8691</v>
      </c>
      <c r="G1135" t="s">
        <v>8590</v>
      </c>
      <c r="H1135" t="s">
        <v>8591</v>
      </c>
      <c r="I1135" t="s">
        <v>8692</v>
      </c>
      <c r="J1135" t="s">
        <v>8693</v>
      </c>
      <c r="K1135" t="s">
        <v>19</v>
      </c>
      <c r="L1135" t="s">
        <v>20</v>
      </c>
      <c r="M1135" t="s">
        <v>8694</v>
      </c>
      <c r="N1135" t="s">
        <v>8695</v>
      </c>
      <c r="O1135" t="s">
        <v>8696</v>
      </c>
      <c r="P1135" t="s">
        <v>8697</v>
      </c>
    </row>
    <row r="1136" spans="1:16" x14ac:dyDescent="0.35">
      <c r="A1136" t="s">
        <v>8698</v>
      </c>
      <c r="B1136" t="s">
        <v>55</v>
      </c>
      <c r="C1136" t="s">
        <v>15</v>
      </c>
      <c r="D1136" t="s">
        <v>16</v>
      </c>
      <c r="E1136" t="s">
        <v>8699</v>
      </c>
      <c r="F1136" t="s">
        <v>8700</v>
      </c>
      <c r="G1136" t="s">
        <v>8590</v>
      </c>
      <c r="H1136" t="s">
        <v>8591</v>
      </c>
      <c r="I1136" t="s">
        <v>7667</v>
      </c>
      <c r="J1136" t="s">
        <v>8701</v>
      </c>
      <c r="K1136" t="s">
        <v>19</v>
      </c>
      <c r="L1136" t="s">
        <v>20</v>
      </c>
      <c r="M1136" t="s">
        <v>8702</v>
      </c>
      <c r="N1136" t="s">
        <v>8703</v>
      </c>
      <c r="O1136" t="s">
        <v>8704</v>
      </c>
      <c r="P1136" t="s">
        <v>8705</v>
      </c>
    </row>
    <row r="1137" spans="1:16" x14ac:dyDescent="0.35">
      <c r="A1137" t="s">
        <v>8706</v>
      </c>
      <c r="B1137" t="s">
        <v>55</v>
      </c>
      <c r="C1137" t="s">
        <v>497</v>
      </c>
      <c r="D1137" t="s">
        <v>16</v>
      </c>
      <c r="E1137" t="s">
        <v>8707</v>
      </c>
      <c r="F1137" t="s">
        <v>8708</v>
      </c>
      <c r="G1137" t="s">
        <v>8590</v>
      </c>
      <c r="H1137" t="s">
        <v>8591</v>
      </c>
      <c r="I1137" t="s">
        <v>8709</v>
      </c>
      <c r="J1137" t="s">
        <v>8710</v>
      </c>
      <c r="K1137" t="s">
        <v>8711</v>
      </c>
      <c r="L1137" t="s">
        <v>20</v>
      </c>
      <c r="M1137" t="s">
        <v>8712</v>
      </c>
      <c r="N1137" t="s">
        <v>8713</v>
      </c>
      <c r="O1137" t="s">
        <v>8714</v>
      </c>
      <c r="P1137" t="s">
        <v>8715</v>
      </c>
    </row>
    <row r="1138" spans="1:16" x14ac:dyDescent="0.35">
      <c r="A1138" t="s">
        <v>8716</v>
      </c>
      <c r="B1138" t="s">
        <v>55</v>
      </c>
      <c r="C1138" t="s">
        <v>28</v>
      </c>
      <c r="D1138" t="s">
        <v>28</v>
      </c>
      <c r="E1138" t="s">
        <v>8717</v>
      </c>
      <c r="F1138" t="s">
        <v>8718</v>
      </c>
      <c r="G1138" t="s">
        <v>8590</v>
      </c>
      <c r="H1138" t="s">
        <v>8591</v>
      </c>
      <c r="I1138" t="s">
        <v>28</v>
      </c>
      <c r="J1138" t="s">
        <v>8719</v>
      </c>
      <c r="K1138" t="s">
        <v>19</v>
      </c>
      <c r="L1138" t="s">
        <v>20</v>
      </c>
      <c r="M1138" t="s">
        <v>8720</v>
      </c>
      <c r="N1138" t="s">
        <v>8721</v>
      </c>
      <c r="O1138" t="s">
        <v>8722</v>
      </c>
      <c r="P1138" t="s">
        <v>8723</v>
      </c>
    </row>
    <row r="1139" spans="1:16" x14ac:dyDescent="0.35">
      <c r="A1139" t="s">
        <v>8724</v>
      </c>
      <c r="B1139" t="s">
        <v>55</v>
      </c>
      <c r="C1139" t="s">
        <v>548</v>
      </c>
      <c r="D1139" t="s">
        <v>324</v>
      </c>
      <c r="E1139" t="s">
        <v>8725</v>
      </c>
      <c r="F1139" t="s">
        <v>8726</v>
      </c>
      <c r="G1139" t="s">
        <v>8727</v>
      </c>
      <c r="H1139" t="s">
        <v>8594</v>
      </c>
      <c r="I1139" t="s">
        <v>28</v>
      </c>
      <c r="J1139" t="s">
        <v>8728</v>
      </c>
      <c r="K1139" t="s">
        <v>19</v>
      </c>
      <c r="L1139" t="s">
        <v>20</v>
      </c>
      <c r="M1139" t="s">
        <v>8729</v>
      </c>
      <c r="N1139" t="s">
        <v>8730</v>
      </c>
      <c r="O1139" t="s">
        <v>8731</v>
      </c>
      <c r="P1139" t="s">
        <v>8732</v>
      </c>
    </row>
    <row r="1140" spans="1:16" x14ac:dyDescent="0.35">
      <c r="A1140" t="s">
        <v>4470</v>
      </c>
      <c r="B1140" t="s">
        <v>55</v>
      </c>
      <c r="C1140" t="s">
        <v>25</v>
      </c>
      <c r="D1140" t="s">
        <v>16</v>
      </c>
      <c r="E1140" t="s">
        <v>28</v>
      </c>
      <c r="F1140" t="s">
        <v>8733</v>
      </c>
      <c r="G1140" t="s">
        <v>8734</v>
      </c>
      <c r="H1140" t="s">
        <v>8594</v>
      </c>
      <c r="I1140" t="s">
        <v>28</v>
      </c>
      <c r="J1140" t="s">
        <v>8735</v>
      </c>
      <c r="K1140" t="s">
        <v>19</v>
      </c>
      <c r="L1140" t="s">
        <v>20</v>
      </c>
      <c r="M1140" t="s">
        <v>8736</v>
      </c>
      <c r="N1140" t="s">
        <v>8737</v>
      </c>
      <c r="O1140" t="s">
        <v>8738</v>
      </c>
      <c r="P1140" t="s">
        <v>8739</v>
      </c>
    </row>
    <row r="1141" spans="1:16" x14ac:dyDescent="0.35">
      <c r="A1141" t="s">
        <v>8740</v>
      </c>
      <c r="B1141" t="s">
        <v>55</v>
      </c>
      <c r="C1141" t="s">
        <v>28</v>
      </c>
      <c r="D1141" t="s">
        <v>28</v>
      </c>
      <c r="E1141" t="s">
        <v>8741</v>
      </c>
      <c r="F1141" t="s">
        <v>8742</v>
      </c>
      <c r="G1141" t="s">
        <v>8743</v>
      </c>
      <c r="H1141" t="s">
        <v>8594</v>
      </c>
      <c r="I1141" t="s">
        <v>28</v>
      </c>
      <c r="J1141" t="s">
        <v>28</v>
      </c>
      <c r="K1141" t="s">
        <v>19</v>
      </c>
      <c r="L1141" t="s">
        <v>20</v>
      </c>
      <c r="M1141" t="s">
        <v>8744</v>
      </c>
      <c r="N1141" t="s">
        <v>8745</v>
      </c>
      <c r="O1141" t="s">
        <v>8746</v>
      </c>
      <c r="P1141" t="s">
        <v>8747</v>
      </c>
    </row>
    <row r="1142" spans="1:16" x14ac:dyDescent="0.35">
      <c r="A1142" t="s">
        <v>8748</v>
      </c>
      <c r="B1142" t="s">
        <v>32</v>
      </c>
      <c r="C1142" t="s">
        <v>15</v>
      </c>
      <c r="D1142" t="s">
        <v>16</v>
      </c>
      <c r="E1142" t="s">
        <v>8749</v>
      </c>
      <c r="F1142" t="s">
        <v>8750</v>
      </c>
      <c r="G1142" t="s">
        <v>8751</v>
      </c>
      <c r="H1142" t="s">
        <v>8594</v>
      </c>
      <c r="I1142" t="s">
        <v>8752</v>
      </c>
      <c r="J1142" t="s">
        <v>8753</v>
      </c>
      <c r="K1142" t="s">
        <v>19</v>
      </c>
      <c r="L1142" t="s">
        <v>20</v>
      </c>
      <c r="M1142" t="s">
        <v>8754</v>
      </c>
      <c r="N1142" t="s">
        <v>8755</v>
      </c>
      <c r="O1142" t="s">
        <v>8756</v>
      </c>
      <c r="P1142" t="s">
        <v>8757</v>
      </c>
    </row>
    <row r="1143" spans="1:16" x14ac:dyDescent="0.35">
      <c r="A1143" t="s">
        <v>8663</v>
      </c>
      <c r="B1143" t="s">
        <v>55</v>
      </c>
      <c r="C1143" t="s">
        <v>474</v>
      </c>
      <c r="D1143" t="s">
        <v>348</v>
      </c>
      <c r="E1143" t="s">
        <v>8758</v>
      </c>
      <c r="F1143" t="s">
        <v>8759</v>
      </c>
      <c r="G1143" t="s">
        <v>8760</v>
      </c>
      <c r="H1143" t="s">
        <v>8591</v>
      </c>
      <c r="I1143" t="s">
        <v>8666</v>
      </c>
      <c r="J1143" t="s">
        <v>8761</v>
      </c>
      <c r="K1143" t="s">
        <v>19</v>
      </c>
      <c r="L1143" t="s">
        <v>20</v>
      </c>
      <c r="M1143" t="s">
        <v>8762</v>
      </c>
      <c r="N1143" t="s">
        <v>8763</v>
      </c>
      <c r="O1143" t="s">
        <v>8764</v>
      </c>
      <c r="P1143" t="s">
        <v>8765</v>
      </c>
    </row>
    <row r="1144" spans="1:16" x14ac:dyDescent="0.35">
      <c r="A1144" t="s">
        <v>8769</v>
      </c>
      <c r="B1144" t="s">
        <v>32</v>
      </c>
      <c r="C1144" t="s">
        <v>474</v>
      </c>
      <c r="D1144" t="s">
        <v>282</v>
      </c>
      <c r="E1144" t="s">
        <v>8770</v>
      </c>
      <c r="F1144" t="s">
        <v>8771</v>
      </c>
      <c r="G1144" t="s">
        <v>8766</v>
      </c>
      <c r="H1144" t="s">
        <v>8766</v>
      </c>
      <c r="I1144" t="s">
        <v>28</v>
      </c>
      <c r="J1144" t="s">
        <v>8772</v>
      </c>
      <c r="K1144" t="s">
        <v>19</v>
      </c>
      <c r="L1144" t="s">
        <v>20</v>
      </c>
      <c r="M1144" t="s">
        <v>8767</v>
      </c>
      <c r="N1144" t="s">
        <v>8768</v>
      </c>
      <c r="O1144" t="s">
        <v>8773</v>
      </c>
      <c r="P1144" t="s">
        <v>8774</v>
      </c>
    </row>
    <row r="1145" spans="1:16" x14ac:dyDescent="0.35">
      <c r="A1145" t="s">
        <v>8775</v>
      </c>
      <c r="B1145" t="s">
        <v>32</v>
      </c>
      <c r="C1145" t="s">
        <v>28</v>
      </c>
      <c r="D1145" t="s">
        <v>28</v>
      </c>
      <c r="E1145" t="s">
        <v>8776</v>
      </c>
      <c r="F1145" t="s">
        <v>8777</v>
      </c>
      <c r="G1145" t="s">
        <v>8766</v>
      </c>
      <c r="H1145" t="s">
        <v>8766</v>
      </c>
      <c r="I1145" t="s">
        <v>8778</v>
      </c>
      <c r="J1145" t="s">
        <v>8779</v>
      </c>
      <c r="K1145" t="s">
        <v>19</v>
      </c>
      <c r="L1145" t="s">
        <v>20</v>
      </c>
      <c r="M1145" t="s">
        <v>8767</v>
      </c>
      <c r="N1145" t="s">
        <v>8768</v>
      </c>
      <c r="O1145" t="s">
        <v>8780</v>
      </c>
      <c r="P1145" t="s">
        <v>8781</v>
      </c>
    </row>
    <row r="1146" spans="1:16" x14ac:dyDescent="0.35">
      <c r="A1146" t="s">
        <v>8782</v>
      </c>
      <c r="B1146" t="s">
        <v>88</v>
      </c>
      <c r="C1146" t="s">
        <v>15</v>
      </c>
      <c r="D1146" t="s">
        <v>16</v>
      </c>
      <c r="E1146" t="s">
        <v>8783</v>
      </c>
      <c r="F1146" t="s">
        <v>8784</v>
      </c>
      <c r="G1146" t="s">
        <v>8766</v>
      </c>
      <c r="H1146" t="s">
        <v>8766</v>
      </c>
      <c r="I1146" t="s">
        <v>28</v>
      </c>
      <c r="J1146" t="s">
        <v>8785</v>
      </c>
      <c r="K1146" t="s">
        <v>19</v>
      </c>
      <c r="L1146" t="s">
        <v>20</v>
      </c>
      <c r="M1146" t="s">
        <v>8767</v>
      </c>
      <c r="N1146" t="s">
        <v>8768</v>
      </c>
      <c r="O1146" t="s">
        <v>8786</v>
      </c>
      <c r="P1146" t="s">
        <v>8787</v>
      </c>
    </row>
    <row r="1147" spans="1:16" x14ac:dyDescent="0.35">
      <c r="A1147" t="s">
        <v>8788</v>
      </c>
      <c r="B1147" t="s">
        <v>55</v>
      </c>
      <c r="C1147" t="s">
        <v>15</v>
      </c>
      <c r="D1147" t="s">
        <v>27</v>
      </c>
      <c r="E1147" t="s">
        <v>8789</v>
      </c>
      <c r="F1147" t="s">
        <v>8790</v>
      </c>
      <c r="G1147" t="s">
        <v>8766</v>
      </c>
      <c r="H1147" t="s">
        <v>8766</v>
      </c>
      <c r="I1147" t="s">
        <v>28</v>
      </c>
      <c r="J1147" t="s">
        <v>8791</v>
      </c>
      <c r="K1147" t="s">
        <v>19</v>
      </c>
      <c r="L1147" t="s">
        <v>20</v>
      </c>
      <c r="M1147" t="s">
        <v>8767</v>
      </c>
      <c r="N1147" t="s">
        <v>8768</v>
      </c>
      <c r="O1147" t="s">
        <v>8792</v>
      </c>
      <c r="P1147" t="s">
        <v>8793</v>
      </c>
    </row>
    <row r="1148" spans="1:16" x14ac:dyDescent="0.35">
      <c r="A1148" t="s">
        <v>8794</v>
      </c>
      <c r="B1148" t="s">
        <v>107</v>
      </c>
      <c r="C1148" t="s">
        <v>1128</v>
      </c>
      <c r="D1148" t="s">
        <v>27</v>
      </c>
      <c r="E1148" t="s">
        <v>8795</v>
      </c>
      <c r="F1148" t="s">
        <v>8796</v>
      </c>
      <c r="G1148" t="s">
        <v>8766</v>
      </c>
      <c r="H1148" t="s">
        <v>8766</v>
      </c>
      <c r="I1148" t="s">
        <v>28</v>
      </c>
      <c r="J1148" t="s">
        <v>28</v>
      </c>
      <c r="K1148" t="s">
        <v>19</v>
      </c>
      <c r="L1148" t="s">
        <v>20</v>
      </c>
      <c r="M1148" t="s">
        <v>8767</v>
      </c>
      <c r="N1148" t="s">
        <v>8768</v>
      </c>
      <c r="O1148" t="s">
        <v>8797</v>
      </c>
      <c r="P1148" t="s">
        <v>8798</v>
      </c>
    </row>
    <row r="1149" spans="1:16" x14ac:dyDescent="0.35">
      <c r="A1149" t="s">
        <v>8799</v>
      </c>
      <c r="B1149" t="s">
        <v>55</v>
      </c>
      <c r="C1149" t="s">
        <v>15</v>
      </c>
      <c r="D1149" t="s">
        <v>16</v>
      </c>
      <c r="E1149" t="s">
        <v>8800</v>
      </c>
      <c r="F1149" t="s">
        <v>8801</v>
      </c>
      <c r="G1149" t="s">
        <v>8766</v>
      </c>
      <c r="H1149" t="s">
        <v>8766</v>
      </c>
      <c r="I1149" t="s">
        <v>8802</v>
      </c>
      <c r="J1149" t="s">
        <v>8803</v>
      </c>
      <c r="K1149" t="s">
        <v>19</v>
      </c>
      <c r="L1149" t="s">
        <v>20</v>
      </c>
      <c r="M1149" t="s">
        <v>8767</v>
      </c>
      <c r="N1149" t="s">
        <v>8768</v>
      </c>
      <c r="O1149" t="s">
        <v>8804</v>
      </c>
      <c r="P1149" t="s">
        <v>8805</v>
      </c>
    </row>
    <row r="1150" spans="1:16" x14ac:dyDescent="0.35">
      <c r="A1150" t="s">
        <v>8806</v>
      </c>
      <c r="B1150" t="s">
        <v>55</v>
      </c>
      <c r="C1150" t="s">
        <v>205</v>
      </c>
      <c r="D1150" t="s">
        <v>68</v>
      </c>
      <c r="E1150" t="s">
        <v>8807</v>
      </c>
      <c r="F1150" t="s">
        <v>8808</v>
      </c>
      <c r="G1150" t="s">
        <v>8766</v>
      </c>
      <c r="H1150" t="s">
        <v>8766</v>
      </c>
      <c r="I1150" t="s">
        <v>28</v>
      </c>
      <c r="J1150" t="s">
        <v>8809</v>
      </c>
      <c r="K1150" t="s">
        <v>19</v>
      </c>
      <c r="L1150" t="s">
        <v>20</v>
      </c>
      <c r="M1150" t="s">
        <v>8810</v>
      </c>
      <c r="N1150" t="s">
        <v>8811</v>
      </c>
      <c r="O1150" t="s">
        <v>8812</v>
      </c>
      <c r="P1150" t="s">
        <v>8813</v>
      </c>
    </row>
    <row r="1151" spans="1:16" x14ac:dyDescent="0.35">
      <c r="A1151" t="s">
        <v>8814</v>
      </c>
      <c r="B1151" t="s">
        <v>55</v>
      </c>
      <c r="C1151" t="s">
        <v>28</v>
      </c>
      <c r="D1151" t="s">
        <v>28</v>
      </c>
      <c r="E1151" t="s">
        <v>28</v>
      </c>
      <c r="F1151" t="s">
        <v>28</v>
      </c>
      <c r="G1151" t="s">
        <v>8815</v>
      </c>
      <c r="H1151" t="s">
        <v>28</v>
      </c>
      <c r="I1151" t="s">
        <v>8816</v>
      </c>
      <c r="J1151" t="s">
        <v>8817</v>
      </c>
      <c r="K1151" t="s">
        <v>6323</v>
      </c>
      <c r="L1151" t="s">
        <v>20</v>
      </c>
      <c r="M1151" t="s">
        <v>8818</v>
      </c>
      <c r="N1151" t="s">
        <v>8819</v>
      </c>
      <c r="O1151" t="s">
        <v>8820</v>
      </c>
      <c r="P1151" t="s">
        <v>8821</v>
      </c>
    </row>
    <row r="1152" spans="1:16" x14ac:dyDescent="0.35">
      <c r="A1152" t="s">
        <v>8822</v>
      </c>
      <c r="B1152" t="s">
        <v>55</v>
      </c>
      <c r="C1152" t="s">
        <v>28</v>
      </c>
      <c r="D1152" t="s">
        <v>28</v>
      </c>
      <c r="E1152" t="s">
        <v>8823</v>
      </c>
      <c r="F1152" t="s">
        <v>8824</v>
      </c>
      <c r="G1152" t="s">
        <v>8766</v>
      </c>
      <c r="H1152" t="s">
        <v>8766</v>
      </c>
      <c r="I1152" t="s">
        <v>8825</v>
      </c>
      <c r="J1152" t="s">
        <v>8826</v>
      </c>
      <c r="K1152" t="s">
        <v>8827</v>
      </c>
      <c r="L1152" t="s">
        <v>20</v>
      </c>
      <c r="M1152" t="s">
        <v>8828</v>
      </c>
      <c r="N1152" t="s">
        <v>8829</v>
      </c>
      <c r="O1152" t="s">
        <v>8830</v>
      </c>
      <c r="P1152" t="s">
        <v>8831</v>
      </c>
    </row>
    <row r="1153" spans="1:16" x14ac:dyDescent="0.35">
      <c r="A1153" t="s">
        <v>8832</v>
      </c>
      <c r="B1153" t="s">
        <v>55</v>
      </c>
      <c r="C1153" t="s">
        <v>1128</v>
      </c>
      <c r="D1153" t="s">
        <v>27</v>
      </c>
      <c r="E1153" t="s">
        <v>8833</v>
      </c>
      <c r="F1153" t="s">
        <v>8834</v>
      </c>
      <c r="G1153" t="s">
        <v>8766</v>
      </c>
      <c r="H1153" t="s">
        <v>8766</v>
      </c>
      <c r="I1153" t="s">
        <v>28</v>
      </c>
      <c r="J1153" t="s">
        <v>8835</v>
      </c>
      <c r="K1153" t="s">
        <v>19</v>
      </c>
      <c r="L1153" t="s">
        <v>20</v>
      </c>
      <c r="M1153" t="s">
        <v>8836</v>
      </c>
      <c r="N1153" t="s">
        <v>8837</v>
      </c>
      <c r="O1153" t="s">
        <v>8838</v>
      </c>
      <c r="P1153" t="s">
        <v>8839</v>
      </c>
    </row>
    <row r="1154" spans="1:16" x14ac:dyDescent="0.35">
      <c r="A1154" t="s">
        <v>8840</v>
      </c>
      <c r="B1154" t="s">
        <v>107</v>
      </c>
      <c r="C1154" t="s">
        <v>28</v>
      </c>
      <c r="D1154" t="s">
        <v>28</v>
      </c>
      <c r="E1154" t="s">
        <v>8841</v>
      </c>
      <c r="F1154" t="s">
        <v>8842</v>
      </c>
      <c r="G1154" t="s">
        <v>8766</v>
      </c>
      <c r="H1154" t="s">
        <v>8766</v>
      </c>
      <c r="I1154" t="s">
        <v>28</v>
      </c>
      <c r="J1154" t="s">
        <v>28</v>
      </c>
      <c r="K1154" t="s">
        <v>19</v>
      </c>
      <c r="L1154" t="s">
        <v>20</v>
      </c>
      <c r="M1154" t="s">
        <v>8836</v>
      </c>
      <c r="N1154" t="s">
        <v>8837</v>
      </c>
      <c r="O1154" t="s">
        <v>8843</v>
      </c>
      <c r="P1154" t="s">
        <v>8844</v>
      </c>
    </row>
    <row r="1155" spans="1:16" x14ac:dyDescent="0.35">
      <c r="A1155" t="s">
        <v>8663</v>
      </c>
      <c r="B1155" t="s">
        <v>55</v>
      </c>
      <c r="C1155" t="s">
        <v>96</v>
      </c>
      <c r="D1155" t="s">
        <v>251</v>
      </c>
      <c r="E1155" t="s">
        <v>8845</v>
      </c>
      <c r="F1155" t="s">
        <v>8846</v>
      </c>
      <c r="G1155" t="s">
        <v>8766</v>
      </c>
      <c r="H1155" t="s">
        <v>8766</v>
      </c>
      <c r="I1155" t="s">
        <v>8666</v>
      </c>
      <c r="J1155" t="s">
        <v>8847</v>
      </c>
      <c r="K1155" t="s">
        <v>19</v>
      </c>
      <c r="L1155" t="s">
        <v>20</v>
      </c>
      <c r="M1155" t="s">
        <v>8836</v>
      </c>
      <c r="N1155" t="s">
        <v>8837</v>
      </c>
      <c r="O1155" t="s">
        <v>8848</v>
      </c>
      <c r="P1155" t="s">
        <v>8849</v>
      </c>
    </row>
    <row r="1156" spans="1:16" x14ac:dyDescent="0.35">
      <c r="A1156" t="s">
        <v>8850</v>
      </c>
      <c r="B1156" t="s">
        <v>55</v>
      </c>
      <c r="C1156" t="s">
        <v>691</v>
      </c>
      <c r="D1156" t="s">
        <v>16</v>
      </c>
      <c r="E1156" t="s">
        <v>8851</v>
      </c>
      <c r="F1156" t="s">
        <v>8852</v>
      </c>
      <c r="G1156" t="s">
        <v>8766</v>
      </c>
      <c r="H1156" t="s">
        <v>8766</v>
      </c>
      <c r="I1156" t="s">
        <v>8853</v>
      </c>
      <c r="J1156" t="s">
        <v>8854</v>
      </c>
      <c r="K1156" t="s">
        <v>8855</v>
      </c>
      <c r="L1156" t="s">
        <v>20</v>
      </c>
      <c r="M1156" t="s">
        <v>8836</v>
      </c>
      <c r="N1156" t="s">
        <v>8837</v>
      </c>
      <c r="O1156" t="s">
        <v>8856</v>
      </c>
      <c r="P1156" t="s">
        <v>915</v>
      </c>
    </row>
    <row r="1157" spans="1:16" x14ac:dyDescent="0.35">
      <c r="A1157" t="s">
        <v>8857</v>
      </c>
      <c r="B1157" t="s">
        <v>55</v>
      </c>
      <c r="C1157" t="s">
        <v>96</v>
      </c>
      <c r="D1157" t="s">
        <v>449</v>
      </c>
      <c r="E1157" t="s">
        <v>8858</v>
      </c>
      <c r="F1157" t="s">
        <v>8859</v>
      </c>
      <c r="G1157" t="s">
        <v>8766</v>
      </c>
      <c r="H1157" t="s">
        <v>8766</v>
      </c>
      <c r="I1157" t="s">
        <v>8860</v>
      </c>
      <c r="J1157" t="s">
        <v>8861</v>
      </c>
      <c r="K1157" t="s">
        <v>19</v>
      </c>
      <c r="L1157" t="s">
        <v>20</v>
      </c>
      <c r="M1157" t="s">
        <v>8862</v>
      </c>
      <c r="N1157" t="s">
        <v>8863</v>
      </c>
      <c r="O1157" t="s">
        <v>8864</v>
      </c>
      <c r="P1157" t="s">
        <v>8865</v>
      </c>
    </row>
    <row r="1158" spans="1:16" x14ac:dyDescent="0.35">
      <c r="A1158" t="s">
        <v>8866</v>
      </c>
      <c r="B1158" t="s">
        <v>55</v>
      </c>
      <c r="C1158" t="s">
        <v>691</v>
      </c>
      <c r="D1158" t="s">
        <v>16</v>
      </c>
      <c r="E1158" t="s">
        <v>8867</v>
      </c>
      <c r="F1158" t="s">
        <v>8868</v>
      </c>
      <c r="G1158" t="s">
        <v>8869</v>
      </c>
      <c r="H1158" t="s">
        <v>8766</v>
      </c>
      <c r="I1158" t="s">
        <v>28</v>
      </c>
      <c r="J1158" t="s">
        <v>8870</v>
      </c>
      <c r="K1158" t="s">
        <v>19</v>
      </c>
      <c r="L1158" t="s">
        <v>20</v>
      </c>
      <c r="M1158" t="s">
        <v>8871</v>
      </c>
      <c r="N1158" t="s">
        <v>8872</v>
      </c>
      <c r="O1158" t="s">
        <v>8873</v>
      </c>
      <c r="P1158" t="s">
        <v>8874</v>
      </c>
    </row>
    <row r="1159" spans="1:16" x14ac:dyDescent="0.35">
      <c r="A1159" t="s">
        <v>8875</v>
      </c>
      <c r="B1159" t="s">
        <v>55</v>
      </c>
      <c r="C1159" t="s">
        <v>15</v>
      </c>
      <c r="D1159" t="s">
        <v>16</v>
      </c>
      <c r="E1159" t="s">
        <v>8876</v>
      </c>
      <c r="F1159" t="s">
        <v>8852</v>
      </c>
      <c r="G1159" t="s">
        <v>8766</v>
      </c>
      <c r="H1159" t="s">
        <v>8766</v>
      </c>
      <c r="I1159" t="s">
        <v>82</v>
      </c>
      <c r="J1159" t="s">
        <v>8877</v>
      </c>
      <c r="K1159" t="s">
        <v>84</v>
      </c>
      <c r="L1159" t="s">
        <v>20</v>
      </c>
      <c r="M1159" t="s">
        <v>8878</v>
      </c>
      <c r="N1159" t="s">
        <v>8879</v>
      </c>
      <c r="O1159" t="s">
        <v>8880</v>
      </c>
      <c r="P1159" t="s">
        <v>8881</v>
      </c>
    </row>
    <row r="1160" spans="1:16" x14ac:dyDescent="0.35">
      <c r="A1160" t="s">
        <v>8883</v>
      </c>
      <c r="B1160" t="s">
        <v>32</v>
      </c>
      <c r="C1160" t="s">
        <v>15</v>
      </c>
      <c r="D1160" t="s">
        <v>27</v>
      </c>
      <c r="E1160" t="s">
        <v>8884</v>
      </c>
      <c r="F1160" t="s">
        <v>8885</v>
      </c>
      <c r="G1160" t="s">
        <v>8882</v>
      </c>
      <c r="H1160" t="s">
        <v>8766</v>
      </c>
      <c r="I1160" t="s">
        <v>8886</v>
      </c>
      <c r="J1160" t="s">
        <v>8887</v>
      </c>
      <c r="K1160" t="s">
        <v>8888</v>
      </c>
      <c r="L1160" t="s">
        <v>20</v>
      </c>
      <c r="M1160" t="s">
        <v>8889</v>
      </c>
      <c r="N1160" t="s">
        <v>8890</v>
      </c>
      <c r="O1160" t="s">
        <v>8891</v>
      </c>
      <c r="P1160" t="s">
        <v>8892</v>
      </c>
    </row>
    <row r="1161" spans="1:16" x14ac:dyDescent="0.35">
      <c r="A1161" t="s">
        <v>8894</v>
      </c>
      <c r="B1161" t="s">
        <v>107</v>
      </c>
      <c r="C1161" t="s">
        <v>28</v>
      </c>
      <c r="D1161" t="s">
        <v>28</v>
      </c>
      <c r="E1161" t="s">
        <v>8895</v>
      </c>
      <c r="F1161" t="s">
        <v>8896</v>
      </c>
      <c r="G1161" t="s">
        <v>8897</v>
      </c>
      <c r="H1161" t="s">
        <v>8766</v>
      </c>
      <c r="I1161" t="s">
        <v>28</v>
      </c>
      <c r="J1161" t="s">
        <v>28</v>
      </c>
      <c r="K1161" t="s">
        <v>19</v>
      </c>
      <c r="L1161" t="s">
        <v>20</v>
      </c>
      <c r="M1161" t="s">
        <v>8898</v>
      </c>
      <c r="N1161" t="s">
        <v>8899</v>
      </c>
      <c r="O1161" t="s">
        <v>8900</v>
      </c>
      <c r="P1161" t="s">
        <v>8901</v>
      </c>
    </row>
    <row r="1162" spans="1:16" x14ac:dyDescent="0.35">
      <c r="A1162" t="s">
        <v>8905</v>
      </c>
      <c r="B1162" t="s">
        <v>55</v>
      </c>
      <c r="C1162" t="s">
        <v>28</v>
      </c>
      <c r="D1162" t="s">
        <v>28</v>
      </c>
      <c r="E1162" t="s">
        <v>8906</v>
      </c>
      <c r="F1162" t="s">
        <v>8907</v>
      </c>
      <c r="G1162" t="s">
        <v>8893</v>
      </c>
      <c r="H1162" t="s">
        <v>8766</v>
      </c>
      <c r="I1162" t="s">
        <v>28</v>
      </c>
      <c r="J1162" t="s">
        <v>8908</v>
      </c>
      <c r="K1162" t="s">
        <v>19</v>
      </c>
      <c r="L1162" t="s">
        <v>20</v>
      </c>
      <c r="M1162" t="s">
        <v>8909</v>
      </c>
      <c r="N1162" t="s">
        <v>8910</v>
      </c>
      <c r="O1162" t="s">
        <v>8911</v>
      </c>
      <c r="P1162" t="s">
        <v>8912</v>
      </c>
    </row>
    <row r="1163" spans="1:16" x14ac:dyDescent="0.35">
      <c r="A1163" t="s">
        <v>8913</v>
      </c>
      <c r="B1163" t="s">
        <v>55</v>
      </c>
      <c r="C1163" t="s">
        <v>548</v>
      </c>
      <c r="D1163" t="s">
        <v>206</v>
      </c>
      <c r="E1163" t="s">
        <v>8914</v>
      </c>
      <c r="F1163" t="s">
        <v>8915</v>
      </c>
      <c r="G1163" t="s">
        <v>8893</v>
      </c>
      <c r="H1163" t="s">
        <v>8766</v>
      </c>
      <c r="I1163" t="s">
        <v>28</v>
      </c>
      <c r="J1163" t="s">
        <v>8916</v>
      </c>
      <c r="K1163" t="s">
        <v>19</v>
      </c>
      <c r="L1163" t="s">
        <v>20</v>
      </c>
      <c r="M1163" t="s">
        <v>8917</v>
      </c>
      <c r="N1163" t="s">
        <v>8918</v>
      </c>
      <c r="O1163" t="s">
        <v>8919</v>
      </c>
      <c r="P1163" t="s">
        <v>8920</v>
      </c>
    </row>
    <row r="1164" spans="1:16" x14ac:dyDescent="0.35">
      <c r="A1164" t="s">
        <v>8921</v>
      </c>
      <c r="B1164" t="s">
        <v>55</v>
      </c>
      <c r="C1164" t="s">
        <v>691</v>
      </c>
      <c r="D1164" t="s">
        <v>16</v>
      </c>
      <c r="E1164" t="s">
        <v>8922</v>
      </c>
      <c r="F1164" t="s">
        <v>8923</v>
      </c>
      <c r="G1164" t="s">
        <v>8893</v>
      </c>
      <c r="H1164" t="s">
        <v>8766</v>
      </c>
      <c r="I1164" t="s">
        <v>28</v>
      </c>
      <c r="J1164" t="s">
        <v>28</v>
      </c>
      <c r="K1164" t="s">
        <v>19</v>
      </c>
      <c r="L1164" t="s">
        <v>20</v>
      </c>
      <c r="M1164" t="s">
        <v>8924</v>
      </c>
      <c r="N1164" t="s">
        <v>8925</v>
      </c>
      <c r="O1164" t="s">
        <v>8926</v>
      </c>
      <c r="P1164" t="s">
        <v>8927</v>
      </c>
    </row>
    <row r="1165" spans="1:16" x14ac:dyDescent="0.35">
      <c r="A1165" t="s">
        <v>8928</v>
      </c>
      <c r="B1165" t="s">
        <v>55</v>
      </c>
      <c r="C1165" t="s">
        <v>170</v>
      </c>
      <c r="D1165" t="s">
        <v>68</v>
      </c>
      <c r="E1165" t="s">
        <v>8929</v>
      </c>
      <c r="F1165" t="s">
        <v>8930</v>
      </c>
      <c r="G1165" t="s">
        <v>8897</v>
      </c>
      <c r="H1165" t="s">
        <v>8766</v>
      </c>
      <c r="I1165" t="s">
        <v>8931</v>
      </c>
      <c r="J1165" t="s">
        <v>8932</v>
      </c>
      <c r="K1165" t="s">
        <v>8933</v>
      </c>
      <c r="L1165" t="s">
        <v>20</v>
      </c>
      <c r="M1165" t="s">
        <v>8934</v>
      </c>
      <c r="N1165" t="s">
        <v>8935</v>
      </c>
      <c r="O1165" t="s">
        <v>8936</v>
      </c>
      <c r="P1165" t="s">
        <v>8937</v>
      </c>
    </row>
    <row r="1166" spans="1:16" x14ac:dyDescent="0.35">
      <c r="A1166" t="s">
        <v>8938</v>
      </c>
      <c r="B1166" t="s">
        <v>32</v>
      </c>
      <c r="C1166" t="s">
        <v>117</v>
      </c>
      <c r="D1166" t="s">
        <v>16</v>
      </c>
      <c r="E1166" t="s">
        <v>8939</v>
      </c>
      <c r="F1166" t="s">
        <v>8940</v>
      </c>
      <c r="G1166" t="s">
        <v>8902</v>
      </c>
      <c r="H1166" t="s">
        <v>8766</v>
      </c>
      <c r="I1166" t="s">
        <v>18</v>
      </c>
      <c r="J1166" t="s">
        <v>8903</v>
      </c>
      <c r="K1166" t="s">
        <v>19</v>
      </c>
      <c r="L1166" t="s">
        <v>20</v>
      </c>
      <c r="M1166" t="s">
        <v>8941</v>
      </c>
      <c r="N1166" t="s">
        <v>8942</v>
      </c>
      <c r="O1166" t="s">
        <v>8943</v>
      </c>
      <c r="P1166" t="s">
        <v>8944</v>
      </c>
    </row>
    <row r="1167" spans="1:16" x14ac:dyDescent="0.35">
      <c r="A1167" t="s">
        <v>8945</v>
      </c>
      <c r="B1167" t="s">
        <v>55</v>
      </c>
      <c r="C1167" t="s">
        <v>613</v>
      </c>
      <c r="D1167" t="s">
        <v>68</v>
      </c>
      <c r="E1167" t="s">
        <v>8946</v>
      </c>
      <c r="F1167" t="s">
        <v>8947</v>
      </c>
      <c r="G1167" t="s">
        <v>8893</v>
      </c>
      <c r="H1167" t="s">
        <v>8766</v>
      </c>
      <c r="I1167" t="s">
        <v>8948</v>
      </c>
      <c r="J1167" t="s">
        <v>8949</v>
      </c>
      <c r="K1167" t="s">
        <v>19</v>
      </c>
      <c r="L1167" t="s">
        <v>20</v>
      </c>
      <c r="M1167" t="s">
        <v>8950</v>
      </c>
      <c r="N1167" t="s">
        <v>8951</v>
      </c>
      <c r="O1167" t="s">
        <v>8952</v>
      </c>
      <c r="P1167" t="s">
        <v>8953</v>
      </c>
    </row>
    <row r="1168" spans="1:16" x14ac:dyDescent="0.35">
      <c r="A1168" t="s">
        <v>8954</v>
      </c>
      <c r="B1168" t="s">
        <v>55</v>
      </c>
      <c r="C1168" t="s">
        <v>241</v>
      </c>
      <c r="D1168" t="s">
        <v>8955</v>
      </c>
      <c r="E1168" t="s">
        <v>8956</v>
      </c>
      <c r="F1168" t="s">
        <v>8957</v>
      </c>
      <c r="G1168" t="s">
        <v>8893</v>
      </c>
      <c r="H1168" t="s">
        <v>8766</v>
      </c>
      <c r="I1168" t="s">
        <v>8958</v>
      </c>
      <c r="J1168" t="s">
        <v>8959</v>
      </c>
      <c r="K1168" t="s">
        <v>19</v>
      </c>
      <c r="L1168" t="s">
        <v>20</v>
      </c>
      <c r="M1168" t="s">
        <v>8960</v>
      </c>
      <c r="N1168" t="s">
        <v>8961</v>
      </c>
      <c r="O1168" t="s">
        <v>8962</v>
      </c>
      <c r="P1168" t="s">
        <v>8963</v>
      </c>
    </row>
    <row r="1169" spans="1:16" x14ac:dyDescent="0.35">
      <c r="A1169" t="s">
        <v>538</v>
      </c>
      <c r="B1169" t="s">
        <v>55</v>
      </c>
      <c r="C1169" t="s">
        <v>26</v>
      </c>
      <c r="D1169" t="s">
        <v>8964</v>
      </c>
      <c r="E1169" t="s">
        <v>8965</v>
      </c>
      <c r="F1169" t="s">
        <v>8966</v>
      </c>
      <c r="G1169" t="s">
        <v>8893</v>
      </c>
      <c r="H1169" t="s">
        <v>8766</v>
      </c>
      <c r="I1169" t="s">
        <v>82</v>
      </c>
      <c r="J1169" t="s">
        <v>8967</v>
      </c>
      <c r="K1169" t="s">
        <v>84</v>
      </c>
      <c r="L1169" t="s">
        <v>20</v>
      </c>
      <c r="M1169" t="s">
        <v>8968</v>
      </c>
      <c r="N1169" t="s">
        <v>8969</v>
      </c>
      <c r="O1169" t="s">
        <v>8970</v>
      </c>
      <c r="P1169" t="s">
        <v>8971</v>
      </c>
    </row>
    <row r="1170" spans="1:16" x14ac:dyDescent="0.35">
      <c r="A1170" t="s">
        <v>8972</v>
      </c>
      <c r="B1170" t="s">
        <v>55</v>
      </c>
      <c r="C1170" t="s">
        <v>15</v>
      </c>
      <c r="D1170" t="s">
        <v>124</v>
      </c>
      <c r="E1170" t="s">
        <v>8973</v>
      </c>
      <c r="F1170" t="s">
        <v>8974</v>
      </c>
      <c r="G1170" t="s">
        <v>8902</v>
      </c>
      <c r="H1170" t="s">
        <v>8766</v>
      </c>
      <c r="I1170" t="s">
        <v>28</v>
      </c>
      <c r="J1170" t="s">
        <v>8975</v>
      </c>
      <c r="K1170" t="s">
        <v>19</v>
      </c>
      <c r="L1170" t="s">
        <v>20</v>
      </c>
      <c r="M1170" t="s">
        <v>8976</v>
      </c>
      <c r="N1170" t="s">
        <v>8977</v>
      </c>
      <c r="O1170" t="s">
        <v>8978</v>
      </c>
      <c r="P1170" t="s">
        <v>8979</v>
      </c>
    </row>
    <row r="1171" spans="1:16" x14ac:dyDescent="0.35">
      <c r="A1171" t="s">
        <v>8980</v>
      </c>
      <c r="B1171" t="s">
        <v>55</v>
      </c>
      <c r="C1171" t="s">
        <v>158</v>
      </c>
      <c r="D1171" t="s">
        <v>8981</v>
      </c>
      <c r="E1171" t="s">
        <v>8982</v>
      </c>
      <c r="F1171" t="s">
        <v>8983</v>
      </c>
      <c r="G1171" t="s">
        <v>8893</v>
      </c>
      <c r="H1171" t="s">
        <v>8766</v>
      </c>
      <c r="I1171" t="s">
        <v>596</v>
      </c>
      <c r="J1171" t="s">
        <v>8984</v>
      </c>
      <c r="K1171" t="s">
        <v>598</v>
      </c>
      <c r="L1171" t="s">
        <v>20</v>
      </c>
      <c r="M1171" t="s">
        <v>8985</v>
      </c>
      <c r="N1171" t="s">
        <v>8986</v>
      </c>
      <c r="O1171" t="s">
        <v>8987</v>
      </c>
      <c r="P1171" t="s">
        <v>8988</v>
      </c>
    </row>
    <row r="1172" spans="1:16" x14ac:dyDescent="0.35">
      <c r="A1172" t="s">
        <v>8989</v>
      </c>
      <c r="B1172" t="s">
        <v>107</v>
      </c>
      <c r="C1172" t="s">
        <v>699</v>
      </c>
      <c r="D1172" t="s">
        <v>953</v>
      </c>
      <c r="E1172" t="s">
        <v>8990</v>
      </c>
      <c r="F1172" t="s">
        <v>8991</v>
      </c>
      <c r="G1172" t="s">
        <v>8992</v>
      </c>
      <c r="H1172" t="s">
        <v>8766</v>
      </c>
      <c r="I1172" t="s">
        <v>28</v>
      </c>
      <c r="J1172" t="s">
        <v>28</v>
      </c>
      <c r="K1172" t="s">
        <v>19</v>
      </c>
      <c r="L1172" t="s">
        <v>20</v>
      </c>
      <c r="M1172" t="s">
        <v>8993</v>
      </c>
      <c r="N1172" t="s">
        <v>8994</v>
      </c>
      <c r="O1172" t="s">
        <v>8995</v>
      </c>
      <c r="P1172" t="s">
        <v>8996</v>
      </c>
    </row>
    <row r="1173" spans="1:16" x14ac:dyDescent="0.35">
      <c r="A1173" t="s">
        <v>8997</v>
      </c>
      <c r="B1173" t="s">
        <v>55</v>
      </c>
      <c r="C1173" t="s">
        <v>15</v>
      </c>
      <c r="D1173" t="s">
        <v>16</v>
      </c>
      <c r="E1173" t="s">
        <v>28</v>
      </c>
      <c r="F1173" t="s">
        <v>28</v>
      </c>
      <c r="G1173" t="s">
        <v>8815</v>
      </c>
      <c r="H1173" t="s">
        <v>28</v>
      </c>
      <c r="I1173" t="s">
        <v>8816</v>
      </c>
      <c r="J1173" t="s">
        <v>8817</v>
      </c>
      <c r="K1173" t="s">
        <v>6323</v>
      </c>
      <c r="L1173" t="s">
        <v>20</v>
      </c>
      <c r="M1173" t="s">
        <v>8998</v>
      </c>
      <c r="N1173" t="s">
        <v>8999</v>
      </c>
      <c r="O1173" t="s">
        <v>9000</v>
      </c>
      <c r="P1173" t="s">
        <v>9001</v>
      </c>
    </row>
    <row r="1174" spans="1:16" x14ac:dyDescent="0.35">
      <c r="A1174" t="s">
        <v>9002</v>
      </c>
      <c r="B1174" t="s">
        <v>55</v>
      </c>
      <c r="C1174" t="s">
        <v>28</v>
      </c>
      <c r="D1174" t="s">
        <v>28</v>
      </c>
      <c r="E1174" t="s">
        <v>9003</v>
      </c>
      <c r="F1174" t="s">
        <v>9004</v>
      </c>
      <c r="G1174" t="s">
        <v>8902</v>
      </c>
      <c r="H1174" t="s">
        <v>8766</v>
      </c>
      <c r="I1174" t="s">
        <v>28</v>
      </c>
      <c r="J1174" t="s">
        <v>9005</v>
      </c>
      <c r="K1174" t="s">
        <v>19</v>
      </c>
      <c r="L1174" t="s">
        <v>20</v>
      </c>
      <c r="M1174" t="s">
        <v>9006</v>
      </c>
      <c r="N1174" t="s">
        <v>9007</v>
      </c>
      <c r="O1174" t="s">
        <v>9008</v>
      </c>
      <c r="P1174" t="s">
        <v>9009</v>
      </c>
    </row>
    <row r="1175" spans="1:16" x14ac:dyDescent="0.35">
      <c r="A1175" t="s">
        <v>9010</v>
      </c>
      <c r="B1175" t="s">
        <v>107</v>
      </c>
      <c r="C1175" t="s">
        <v>311</v>
      </c>
      <c r="D1175" t="s">
        <v>449</v>
      </c>
      <c r="E1175" t="s">
        <v>9011</v>
      </c>
      <c r="F1175" t="s">
        <v>9012</v>
      </c>
      <c r="G1175" t="s">
        <v>8904</v>
      </c>
      <c r="H1175" t="s">
        <v>8766</v>
      </c>
      <c r="I1175" t="s">
        <v>9013</v>
      </c>
      <c r="J1175" t="s">
        <v>9014</v>
      </c>
      <c r="K1175" t="s">
        <v>19</v>
      </c>
      <c r="L1175" t="s">
        <v>20</v>
      </c>
      <c r="M1175" t="s">
        <v>9015</v>
      </c>
      <c r="N1175" t="s">
        <v>9016</v>
      </c>
      <c r="O1175" t="s">
        <v>9017</v>
      </c>
      <c r="P1175" t="s">
        <v>9018</v>
      </c>
    </row>
    <row r="1176" spans="1:16" x14ac:dyDescent="0.35">
      <c r="A1176" t="s">
        <v>9019</v>
      </c>
      <c r="B1176" t="s">
        <v>32</v>
      </c>
      <c r="C1176" t="s">
        <v>691</v>
      </c>
      <c r="D1176" t="s">
        <v>124</v>
      </c>
      <c r="E1176" t="s">
        <v>9020</v>
      </c>
      <c r="F1176" t="s">
        <v>9021</v>
      </c>
      <c r="G1176" t="s">
        <v>4650</v>
      </c>
      <c r="H1176" t="s">
        <v>4650</v>
      </c>
      <c r="I1176" t="s">
        <v>9022</v>
      </c>
      <c r="J1176" t="s">
        <v>9023</v>
      </c>
      <c r="K1176" t="s">
        <v>9024</v>
      </c>
      <c r="L1176" t="s">
        <v>20</v>
      </c>
      <c r="M1176" t="s">
        <v>9025</v>
      </c>
      <c r="N1176" t="s">
        <v>9026</v>
      </c>
      <c r="O1176" t="s">
        <v>9027</v>
      </c>
      <c r="P1176" t="s">
        <v>9028</v>
      </c>
    </row>
    <row r="1177" spans="1:16" x14ac:dyDescent="0.35">
      <c r="A1177" t="s">
        <v>9033</v>
      </c>
      <c r="B1177" t="s">
        <v>55</v>
      </c>
      <c r="C1177" t="s">
        <v>28</v>
      </c>
      <c r="D1177" t="s">
        <v>28</v>
      </c>
      <c r="E1177" t="s">
        <v>9034</v>
      </c>
      <c r="F1177" t="s">
        <v>9035</v>
      </c>
      <c r="G1177" t="s">
        <v>9029</v>
      </c>
      <c r="H1177" t="s">
        <v>9030</v>
      </c>
      <c r="I1177" t="s">
        <v>28</v>
      </c>
      <c r="J1177" t="s">
        <v>9036</v>
      </c>
      <c r="K1177" t="s">
        <v>19</v>
      </c>
      <c r="L1177" t="s">
        <v>20</v>
      </c>
      <c r="M1177" t="s">
        <v>9031</v>
      </c>
      <c r="N1177" t="s">
        <v>9032</v>
      </c>
      <c r="O1177" t="s">
        <v>9037</v>
      </c>
      <c r="P1177" t="s">
        <v>9038</v>
      </c>
    </row>
    <row r="1178" spans="1:16" x14ac:dyDescent="0.35">
      <c r="A1178" t="s">
        <v>9039</v>
      </c>
      <c r="B1178" t="s">
        <v>55</v>
      </c>
      <c r="C1178" t="s">
        <v>28</v>
      </c>
      <c r="D1178" t="s">
        <v>28</v>
      </c>
      <c r="E1178" t="s">
        <v>9040</v>
      </c>
      <c r="F1178" t="s">
        <v>9041</v>
      </c>
      <c r="G1178" t="s">
        <v>9029</v>
      </c>
      <c r="H1178" t="s">
        <v>9030</v>
      </c>
      <c r="I1178" t="s">
        <v>28</v>
      </c>
      <c r="J1178" t="s">
        <v>9042</v>
      </c>
      <c r="K1178" t="s">
        <v>19</v>
      </c>
      <c r="L1178" t="s">
        <v>20</v>
      </c>
      <c r="M1178" t="s">
        <v>9031</v>
      </c>
      <c r="N1178" t="s">
        <v>9032</v>
      </c>
      <c r="O1178" t="s">
        <v>9043</v>
      </c>
      <c r="P1178" t="s">
        <v>9044</v>
      </c>
    </row>
    <row r="1179" spans="1:16" x14ac:dyDescent="0.35">
      <c r="A1179" t="s">
        <v>9045</v>
      </c>
      <c r="B1179" t="s">
        <v>55</v>
      </c>
      <c r="C1179" t="s">
        <v>205</v>
      </c>
      <c r="D1179" t="s">
        <v>68</v>
      </c>
      <c r="E1179" t="s">
        <v>9046</v>
      </c>
      <c r="F1179" t="s">
        <v>9047</v>
      </c>
      <c r="G1179" t="s">
        <v>9029</v>
      </c>
      <c r="H1179" t="s">
        <v>9030</v>
      </c>
      <c r="I1179" t="s">
        <v>9048</v>
      </c>
      <c r="J1179" t="s">
        <v>9049</v>
      </c>
      <c r="K1179" t="s">
        <v>9050</v>
      </c>
      <c r="L1179" t="s">
        <v>20</v>
      </c>
      <c r="M1179" t="s">
        <v>9031</v>
      </c>
      <c r="N1179" t="s">
        <v>9032</v>
      </c>
      <c r="O1179" t="s">
        <v>9051</v>
      </c>
      <c r="P1179" t="s">
        <v>9052</v>
      </c>
    </row>
    <row r="1180" spans="1:16" x14ac:dyDescent="0.35">
      <c r="A1180" t="s">
        <v>9053</v>
      </c>
      <c r="B1180" t="s">
        <v>55</v>
      </c>
      <c r="C1180" t="s">
        <v>117</v>
      </c>
      <c r="D1180" t="s">
        <v>449</v>
      </c>
      <c r="E1180" t="s">
        <v>9054</v>
      </c>
      <c r="F1180" t="s">
        <v>9055</v>
      </c>
      <c r="G1180" t="s">
        <v>9029</v>
      </c>
      <c r="H1180" t="s">
        <v>9030</v>
      </c>
      <c r="I1180" t="s">
        <v>945</v>
      </c>
      <c r="J1180" t="s">
        <v>9056</v>
      </c>
      <c r="K1180" t="s">
        <v>947</v>
      </c>
      <c r="L1180" t="s">
        <v>20</v>
      </c>
      <c r="M1180" t="s">
        <v>9031</v>
      </c>
      <c r="N1180" t="s">
        <v>9032</v>
      </c>
      <c r="O1180" t="s">
        <v>9057</v>
      </c>
      <c r="P1180" t="s">
        <v>9058</v>
      </c>
    </row>
    <row r="1181" spans="1:16" x14ac:dyDescent="0.35">
      <c r="A1181" t="s">
        <v>9059</v>
      </c>
      <c r="B1181" t="s">
        <v>32</v>
      </c>
      <c r="C1181" t="s">
        <v>28</v>
      </c>
      <c r="D1181" t="s">
        <v>28</v>
      </c>
      <c r="E1181" t="s">
        <v>9060</v>
      </c>
      <c r="F1181" t="s">
        <v>9061</v>
      </c>
      <c r="G1181" t="s">
        <v>9062</v>
      </c>
      <c r="H1181" t="s">
        <v>9030</v>
      </c>
      <c r="I1181" t="s">
        <v>28</v>
      </c>
      <c r="J1181" t="s">
        <v>9063</v>
      </c>
      <c r="K1181" t="s">
        <v>19</v>
      </c>
      <c r="L1181" t="s">
        <v>20</v>
      </c>
      <c r="M1181" t="s">
        <v>9031</v>
      </c>
      <c r="N1181" t="s">
        <v>9032</v>
      </c>
      <c r="O1181" t="s">
        <v>9064</v>
      </c>
      <c r="P1181" t="s">
        <v>9065</v>
      </c>
    </row>
    <row r="1182" spans="1:16" x14ac:dyDescent="0.35">
      <c r="A1182" t="s">
        <v>1219</v>
      </c>
      <c r="B1182" t="s">
        <v>88</v>
      </c>
      <c r="C1182" t="s">
        <v>78</v>
      </c>
      <c r="D1182" t="s">
        <v>348</v>
      </c>
      <c r="E1182" t="s">
        <v>9069</v>
      </c>
      <c r="F1182" t="s">
        <v>9070</v>
      </c>
      <c r="G1182" t="s">
        <v>9029</v>
      </c>
      <c r="H1182" t="s">
        <v>9030</v>
      </c>
      <c r="I1182" t="s">
        <v>28</v>
      </c>
      <c r="J1182" t="s">
        <v>9071</v>
      </c>
      <c r="K1182" t="s">
        <v>19</v>
      </c>
      <c r="L1182" t="s">
        <v>20</v>
      </c>
      <c r="M1182" t="s">
        <v>9067</v>
      </c>
      <c r="N1182" t="s">
        <v>9068</v>
      </c>
      <c r="O1182" t="s">
        <v>9072</v>
      </c>
      <c r="P1182" t="s">
        <v>9073</v>
      </c>
    </row>
    <row r="1183" spans="1:16" x14ac:dyDescent="0.35">
      <c r="A1183" t="s">
        <v>9078</v>
      </c>
      <c r="B1183" t="s">
        <v>32</v>
      </c>
      <c r="C1183" t="s">
        <v>241</v>
      </c>
      <c r="D1183" t="s">
        <v>449</v>
      </c>
      <c r="E1183" t="s">
        <v>9079</v>
      </c>
      <c r="F1183" t="s">
        <v>9080</v>
      </c>
      <c r="G1183" t="s">
        <v>9029</v>
      </c>
      <c r="H1183" t="s">
        <v>9030</v>
      </c>
      <c r="I1183" t="s">
        <v>28</v>
      </c>
      <c r="J1183" t="s">
        <v>9081</v>
      </c>
      <c r="K1183" t="s">
        <v>19</v>
      </c>
      <c r="L1183" t="s">
        <v>20</v>
      </c>
      <c r="M1183" t="s">
        <v>9076</v>
      </c>
      <c r="N1183" t="s">
        <v>9077</v>
      </c>
      <c r="O1183" t="s">
        <v>9082</v>
      </c>
      <c r="P1183" t="s">
        <v>9083</v>
      </c>
    </row>
    <row r="1184" spans="1:16" x14ac:dyDescent="0.35">
      <c r="A1184" t="s">
        <v>9084</v>
      </c>
      <c r="B1184" t="s">
        <v>32</v>
      </c>
      <c r="C1184" t="s">
        <v>341</v>
      </c>
      <c r="D1184" t="s">
        <v>68</v>
      </c>
      <c r="E1184" t="s">
        <v>9085</v>
      </c>
      <c r="F1184" t="s">
        <v>9086</v>
      </c>
      <c r="G1184" t="s">
        <v>9066</v>
      </c>
      <c r="H1184" t="s">
        <v>9030</v>
      </c>
      <c r="I1184" t="s">
        <v>28</v>
      </c>
      <c r="J1184" t="s">
        <v>9087</v>
      </c>
      <c r="K1184" t="s">
        <v>19</v>
      </c>
      <c r="L1184" t="s">
        <v>20</v>
      </c>
      <c r="M1184" t="s">
        <v>9088</v>
      </c>
      <c r="N1184" t="s">
        <v>9089</v>
      </c>
      <c r="O1184" t="s">
        <v>9090</v>
      </c>
      <c r="P1184" t="s">
        <v>9091</v>
      </c>
    </row>
    <row r="1185" spans="1:16" x14ac:dyDescent="0.35">
      <c r="A1185" t="s">
        <v>9092</v>
      </c>
      <c r="B1185" t="s">
        <v>55</v>
      </c>
      <c r="C1185" t="s">
        <v>28</v>
      </c>
      <c r="D1185" t="s">
        <v>28</v>
      </c>
      <c r="E1185" t="s">
        <v>9093</v>
      </c>
      <c r="F1185" t="s">
        <v>9094</v>
      </c>
      <c r="G1185" t="s">
        <v>9029</v>
      </c>
      <c r="H1185" t="s">
        <v>9030</v>
      </c>
      <c r="I1185" t="s">
        <v>3440</v>
      </c>
      <c r="J1185" t="s">
        <v>9095</v>
      </c>
      <c r="K1185" t="s">
        <v>3442</v>
      </c>
      <c r="L1185" t="s">
        <v>20</v>
      </c>
      <c r="M1185" t="s">
        <v>9096</v>
      </c>
      <c r="N1185" t="s">
        <v>9097</v>
      </c>
      <c r="O1185" t="s">
        <v>9098</v>
      </c>
      <c r="P1185" t="s">
        <v>9099</v>
      </c>
    </row>
    <row r="1186" spans="1:16" x14ac:dyDescent="0.35">
      <c r="A1186" t="s">
        <v>9103</v>
      </c>
      <c r="B1186" t="s">
        <v>55</v>
      </c>
      <c r="C1186" t="s">
        <v>311</v>
      </c>
      <c r="D1186" t="s">
        <v>304</v>
      </c>
      <c r="E1186" t="s">
        <v>9104</v>
      </c>
      <c r="F1186" t="s">
        <v>9105</v>
      </c>
      <c r="G1186" t="s">
        <v>9029</v>
      </c>
      <c r="H1186" t="s">
        <v>9030</v>
      </c>
      <c r="I1186" t="s">
        <v>9106</v>
      </c>
      <c r="J1186" t="s">
        <v>9107</v>
      </c>
      <c r="K1186" t="s">
        <v>19</v>
      </c>
      <c r="L1186" t="s">
        <v>20</v>
      </c>
      <c r="M1186" t="s">
        <v>9101</v>
      </c>
      <c r="N1186" t="s">
        <v>9102</v>
      </c>
      <c r="O1186" t="s">
        <v>9108</v>
      </c>
      <c r="P1186" t="s">
        <v>9109</v>
      </c>
    </row>
    <row r="1187" spans="1:16" x14ac:dyDescent="0.35">
      <c r="A1187" t="s">
        <v>9110</v>
      </c>
      <c r="B1187" t="s">
        <v>55</v>
      </c>
      <c r="C1187" t="s">
        <v>497</v>
      </c>
      <c r="D1187" t="s">
        <v>27</v>
      </c>
      <c r="E1187" t="s">
        <v>9111</v>
      </c>
      <c r="F1187" t="s">
        <v>9112</v>
      </c>
      <c r="G1187" t="s">
        <v>9029</v>
      </c>
      <c r="H1187" t="s">
        <v>9030</v>
      </c>
      <c r="I1187" t="s">
        <v>28</v>
      </c>
      <c r="J1187" t="s">
        <v>9113</v>
      </c>
      <c r="K1187" t="s">
        <v>19</v>
      </c>
      <c r="L1187" t="s">
        <v>20</v>
      </c>
      <c r="M1187" t="s">
        <v>9101</v>
      </c>
      <c r="N1187" t="s">
        <v>9102</v>
      </c>
      <c r="O1187" t="s">
        <v>9114</v>
      </c>
      <c r="P1187" t="s">
        <v>9115</v>
      </c>
    </row>
    <row r="1188" spans="1:16" x14ac:dyDescent="0.35">
      <c r="A1188" t="s">
        <v>9116</v>
      </c>
      <c r="B1188" t="s">
        <v>55</v>
      </c>
      <c r="C1188" t="s">
        <v>28</v>
      </c>
      <c r="D1188" t="s">
        <v>28</v>
      </c>
      <c r="E1188" t="s">
        <v>9117</v>
      </c>
      <c r="F1188" t="s">
        <v>9118</v>
      </c>
      <c r="G1188" t="s">
        <v>9029</v>
      </c>
      <c r="H1188" t="s">
        <v>9030</v>
      </c>
      <c r="I1188" t="s">
        <v>9119</v>
      </c>
      <c r="J1188" t="s">
        <v>9120</v>
      </c>
      <c r="K1188" t="s">
        <v>9121</v>
      </c>
      <c r="L1188" t="s">
        <v>20</v>
      </c>
      <c r="M1188" t="s">
        <v>9101</v>
      </c>
      <c r="N1188" t="s">
        <v>9102</v>
      </c>
      <c r="O1188" t="s">
        <v>9122</v>
      </c>
      <c r="P1188" t="s">
        <v>9123</v>
      </c>
    </row>
    <row r="1189" spans="1:16" x14ac:dyDescent="0.35">
      <c r="A1189" t="s">
        <v>9124</v>
      </c>
      <c r="B1189" t="s">
        <v>55</v>
      </c>
      <c r="C1189" t="s">
        <v>28</v>
      </c>
      <c r="D1189" t="s">
        <v>28</v>
      </c>
      <c r="E1189" t="s">
        <v>9125</v>
      </c>
      <c r="F1189" t="s">
        <v>9126</v>
      </c>
      <c r="G1189" t="s">
        <v>9029</v>
      </c>
      <c r="H1189" t="s">
        <v>9030</v>
      </c>
      <c r="I1189" t="s">
        <v>28</v>
      </c>
      <c r="J1189" t="s">
        <v>28</v>
      </c>
      <c r="K1189" t="s">
        <v>19</v>
      </c>
      <c r="L1189" t="s">
        <v>20</v>
      </c>
      <c r="M1189" t="s">
        <v>9101</v>
      </c>
      <c r="N1189" t="s">
        <v>9102</v>
      </c>
      <c r="O1189" t="s">
        <v>9127</v>
      </c>
      <c r="P1189" t="s">
        <v>9128</v>
      </c>
    </row>
    <row r="1190" spans="1:16" x14ac:dyDescent="0.35">
      <c r="A1190" t="s">
        <v>9129</v>
      </c>
      <c r="B1190" t="s">
        <v>55</v>
      </c>
      <c r="C1190" t="s">
        <v>15</v>
      </c>
      <c r="D1190" t="s">
        <v>16</v>
      </c>
      <c r="E1190" t="s">
        <v>9130</v>
      </c>
      <c r="F1190" t="s">
        <v>9131</v>
      </c>
      <c r="G1190" t="s">
        <v>9029</v>
      </c>
      <c r="H1190" t="s">
        <v>9030</v>
      </c>
      <c r="I1190" t="s">
        <v>28</v>
      </c>
      <c r="J1190" t="s">
        <v>9132</v>
      </c>
      <c r="K1190" t="s">
        <v>19</v>
      </c>
      <c r="L1190" t="s">
        <v>20</v>
      </c>
      <c r="M1190" t="s">
        <v>9101</v>
      </c>
      <c r="N1190" t="s">
        <v>9102</v>
      </c>
      <c r="O1190" t="s">
        <v>9133</v>
      </c>
      <c r="P1190" t="s">
        <v>9134</v>
      </c>
    </row>
    <row r="1191" spans="1:16" x14ac:dyDescent="0.35">
      <c r="A1191" t="s">
        <v>9135</v>
      </c>
      <c r="B1191" t="s">
        <v>55</v>
      </c>
      <c r="C1191" t="s">
        <v>15</v>
      </c>
      <c r="D1191" t="s">
        <v>124</v>
      </c>
      <c r="E1191" t="s">
        <v>9136</v>
      </c>
      <c r="F1191" t="s">
        <v>9137</v>
      </c>
      <c r="G1191" t="s">
        <v>9029</v>
      </c>
      <c r="H1191" t="s">
        <v>9030</v>
      </c>
      <c r="I1191" t="s">
        <v>9138</v>
      </c>
      <c r="J1191" t="s">
        <v>9139</v>
      </c>
      <c r="K1191" t="s">
        <v>9140</v>
      </c>
      <c r="L1191" t="s">
        <v>20</v>
      </c>
      <c r="M1191" t="s">
        <v>9101</v>
      </c>
      <c r="N1191" t="s">
        <v>9102</v>
      </c>
      <c r="O1191" t="s">
        <v>9141</v>
      </c>
      <c r="P1191" t="s">
        <v>9142</v>
      </c>
    </row>
    <row r="1192" spans="1:16" x14ac:dyDescent="0.35">
      <c r="A1192" t="s">
        <v>9143</v>
      </c>
      <c r="B1192" t="s">
        <v>55</v>
      </c>
      <c r="C1192" t="s">
        <v>691</v>
      </c>
      <c r="D1192" t="s">
        <v>16</v>
      </c>
      <c r="E1192" t="s">
        <v>9144</v>
      </c>
      <c r="F1192" t="s">
        <v>9145</v>
      </c>
      <c r="G1192" t="s">
        <v>9029</v>
      </c>
      <c r="H1192" t="s">
        <v>9029</v>
      </c>
      <c r="I1192" t="s">
        <v>28</v>
      </c>
      <c r="J1192" t="s">
        <v>9146</v>
      </c>
      <c r="K1192" t="s">
        <v>19</v>
      </c>
      <c r="L1192" t="s">
        <v>20</v>
      </c>
      <c r="M1192" t="s">
        <v>9101</v>
      </c>
      <c r="N1192" t="s">
        <v>9102</v>
      </c>
      <c r="O1192" t="s">
        <v>9147</v>
      </c>
      <c r="P1192" t="s">
        <v>9148</v>
      </c>
    </row>
    <row r="1193" spans="1:16" x14ac:dyDescent="0.35">
      <c r="A1193" t="s">
        <v>9149</v>
      </c>
      <c r="B1193" t="s">
        <v>55</v>
      </c>
      <c r="C1193" t="s">
        <v>15</v>
      </c>
      <c r="D1193" t="s">
        <v>16</v>
      </c>
      <c r="E1193" t="s">
        <v>9150</v>
      </c>
      <c r="F1193" t="s">
        <v>9151</v>
      </c>
      <c r="G1193" t="s">
        <v>9029</v>
      </c>
      <c r="H1193" t="s">
        <v>9030</v>
      </c>
      <c r="I1193" t="s">
        <v>9152</v>
      </c>
      <c r="J1193" t="s">
        <v>28</v>
      </c>
      <c r="K1193" t="s">
        <v>9153</v>
      </c>
      <c r="L1193" t="s">
        <v>20</v>
      </c>
      <c r="M1193" t="s">
        <v>9101</v>
      </c>
      <c r="N1193" t="s">
        <v>9102</v>
      </c>
      <c r="O1193" t="s">
        <v>9154</v>
      </c>
      <c r="P1193" t="s">
        <v>9155</v>
      </c>
    </row>
    <row r="1194" spans="1:16" x14ac:dyDescent="0.35">
      <c r="A1194" t="s">
        <v>9156</v>
      </c>
      <c r="B1194" t="s">
        <v>55</v>
      </c>
      <c r="C1194" t="s">
        <v>241</v>
      </c>
      <c r="D1194" t="s">
        <v>185</v>
      </c>
      <c r="E1194" t="s">
        <v>9157</v>
      </c>
      <c r="F1194" t="s">
        <v>9158</v>
      </c>
      <c r="G1194" t="s">
        <v>9029</v>
      </c>
      <c r="H1194" t="s">
        <v>9030</v>
      </c>
      <c r="I1194" t="s">
        <v>82</v>
      </c>
      <c r="J1194" t="s">
        <v>9159</v>
      </c>
      <c r="K1194" t="s">
        <v>84</v>
      </c>
      <c r="L1194" t="s">
        <v>20</v>
      </c>
      <c r="M1194" t="s">
        <v>9160</v>
      </c>
      <c r="N1194" t="s">
        <v>9161</v>
      </c>
      <c r="O1194" t="s">
        <v>9162</v>
      </c>
      <c r="P1194" t="s">
        <v>9163</v>
      </c>
    </row>
    <row r="1195" spans="1:16" x14ac:dyDescent="0.35">
      <c r="A1195" t="s">
        <v>8039</v>
      </c>
      <c r="B1195" t="s">
        <v>55</v>
      </c>
      <c r="C1195" t="s">
        <v>28</v>
      </c>
      <c r="D1195" t="s">
        <v>28</v>
      </c>
      <c r="E1195" t="s">
        <v>9164</v>
      </c>
      <c r="F1195" t="s">
        <v>9165</v>
      </c>
      <c r="G1195" t="s">
        <v>9100</v>
      </c>
      <c r="H1195" t="s">
        <v>9030</v>
      </c>
      <c r="I1195" t="s">
        <v>28</v>
      </c>
      <c r="J1195" t="s">
        <v>28</v>
      </c>
      <c r="K1195" t="s">
        <v>19</v>
      </c>
      <c r="L1195" t="s">
        <v>20</v>
      </c>
      <c r="M1195" t="s">
        <v>9166</v>
      </c>
      <c r="N1195" t="s">
        <v>9167</v>
      </c>
      <c r="O1195" t="s">
        <v>9168</v>
      </c>
      <c r="P1195" t="s">
        <v>9169</v>
      </c>
    </row>
    <row r="1196" spans="1:16" x14ac:dyDescent="0.35">
      <c r="A1196" t="s">
        <v>9170</v>
      </c>
      <c r="B1196" t="s">
        <v>55</v>
      </c>
      <c r="C1196" t="s">
        <v>96</v>
      </c>
      <c r="D1196" t="s">
        <v>282</v>
      </c>
      <c r="E1196" t="s">
        <v>9171</v>
      </c>
      <c r="F1196" t="s">
        <v>9172</v>
      </c>
      <c r="G1196" t="s">
        <v>9100</v>
      </c>
      <c r="H1196" t="s">
        <v>9030</v>
      </c>
      <c r="I1196" t="s">
        <v>9173</v>
      </c>
      <c r="J1196" t="s">
        <v>9174</v>
      </c>
      <c r="K1196" t="s">
        <v>19</v>
      </c>
      <c r="L1196" t="s">
        <v>20</v>
      </c>
      <c r="M1196" t="s">
        <v>9166</v>
      </c>
      <c r="N1196" t="s">
        <v>9167</v>
      </c>
      <c r="O1196" t="s">
        <v>9175</v>
      </c>
      <c r="P1196" t="s">
        <v>9176</v>
      </c>
    </row>
    <row r="1197" spans="1:16" x14ac:dyDescent="0.35">
      <c r="A1197" t="s">
        <v>9177</v>
      </c>
      <c r="B1197" t="s">
        <v>32</v>
      </c>
      <c r="C1197" t="s">
        <v>548</v>
      </c>
      <c r="D1197" t="s">
        <v>348</v>
      </c>
      <c r="E1197" t="s">
        <v>9178</v>
      </c>
      <c r="F1197" t="s">
        <v>9179</v>
      </c>
      <c r="G1197" t="s">
        <v>9074</v>
      </c>
      <c r="H1197" t="s">
        <v>9030</v>
      </c>
      <c r="I1197" t="s">
        <v>28</v>
      </c>
      <c r="J1197" t="s">
        <v>9180</v>
      </c>
      <c r="K1197" t="s">
        <v>19</v>
      </c>
      <c r="L1197" t="s">
        <v>20</v>
      </c>
      <c r="M1197" t="s">
        <v>9181</v>
      </c>
      <c r="N1197" t="s">
        <v>9182</v>
      </c>
      <c r="O1197" t="s">
        <v>9183</v>
      </c>
      <c r="P1197" t="s">
        <v>9184</v>
      </c>
    </row>
    <row r="1198" spans="1:16" x14ac:dyDescent="0.35">
      <c r="A1198" t="s">
        <v>9185</v>
      </c>
      <c r="B1198" t="s">
        <v>55</v>
      </c>
      <c r="C1198" t="s">
        <v>28</v>
      </c>
      <c r="D1198" t="s">
        <v>28</v>
      </c>
      <c r="E1198" t="s">
        <v>9186</v>
      </c>
      <c r="F1198" t="s">
        <v>9187</v>
      </c>
      <c r="G1198" t="s">
        <v>9188</v>
      </c>
      <c r="H1198" t="s">
        <v>9030</v>
      </c>
      <c r="I1198" t="s">
        <v>28</v>
      </c>
      <c r="J1198" t="s">
        <v>9189</v>
      </c>
      <c r="K1198" t="s">
        <v>19</v>
      </c>
      <c r="L1198" t="s">
        <v>20</v>
      </c>
      <c r="M1198" t="s">
        <v>9190</v>
      </c>
      <c r="N1198" t="s">
        <v>9191</v>
      </c>
      <c r="O1198" t="s">
        <v>9192</v>
      </c>
      <c r="P1198" t="s">
        <v>9193</v>
      </c>
    </row>
    <row r="1199" spans="1:16" x14ac:dyDescent="0.35">
      <c r="A1199" t="s">
        <v>9194</v>
      </c>
      <c r="B1199" t="s">
        <v>55</v>
      </c>
      <c r="C1199" t="s">
        <v>28</v>
      </c>
      <c r="D1199" t="s">
        <v>28</v>
      </c>
      <c r="E1199" t="s">
        <v>9195</v>
      </c>
      <c r="F1199" t="s">
        <v>9196</v>
      </c>
      <c r="G1199" t="s">
        <v>9197</v>
      </c>
      <c r="H1199" t="s">
        <v>9030</v>
      </c>
      <c r="I1199" t="s">
        <v>28</v>
      </c>
      <c r="J1199" t="s">
        <v>9198</v>
      </c>
      <c r="K1199" t="s">
        <v>19</v>
      </c>
      <c r="L1199" t="s">
        <v>20</v>
      </c>
      <c r="M1199" t="s">
        <v>9190</v>
      </c>
      <c r="N1199" t="s">
        <v>9191</v>
      </c>
      <c r="O1199" t="s">
        <v>9199</v>
      </c>
      <c r="P1199" t="s">
        <v>9200</v>
      </c>
    </row>
    <row r="1200" spans="1:16" x14ac:dyDescent="0.35">
      <c r="A1200" t="s">
        <v>9201</v>
      </c>
      <c r="B1200" t="s">
        <v>55</v>
      </c>
      <c r="C1200" t="s">
        <v>1128</v>
      </c>
      <c r="D1200" t="s">
        <v>27</v>
      </c>
      <c r="E1200" t="s">
        <v>9202</v>
      </c>
      <c r="F1200" t="s">
        <v>9203</v>
      </c>
      <c r="G1200" t="s">
        <v>9029</v>
      </c>
      <c r="H1200" t="s">
        <v>9030</v>
      </c>
      <c r="I1200" t="s">
        <v>28</v>
      </c>
      <c r="J1200" t="s">
        <v>9204</v>
      </c>
      <c r="K1200" t="s">
        <v>19</v>
      </c>
      <c r="L1200" t="s">
        <v>20</v>
      </c>
      <c r="M1200" t="s">
        <v>9190</v>
      </c>
      <c r="N1200" t="s">
        <v>9191</v>
      </c>
      <c r="O1200" t="s">
        <v>9205</v>
      </c>
      <c r="P1200" t="s">
        <v>9206</v>
      </c>
    </row>
    <row r="1201" spans="1:16" x14ac:dyDescent="0.35">
      <c r="A1201" t="s">
        <v>9207</v>
      </c>
      <c r="B1201" t="s">
        <v>55</v>
      </c>
      <c r="C1201" t="s">
        <v>205</v>
      </c>
      <c r="D1201" t="s">
        <v>68</v>
      </c>
      <c r="E1201" t="s">
        <v>9208</v>
      </c>
      <c r="F1201" t="s">
        <v>9209</v>
      </c>
      <c r="G1201" t="s">
        <v>9029</v>
      </c>
      <c r="H1201" t="s">
        <v>9030</v>
      </c>
      <c r="I1201" t="s">
        <v>9210</v>
      </c>
      <c r="J1201" t="s">
        <v>9211</v>
      </c>
      <c r="K1201" t="s">
        <v>19</v>
      </c>
      <c r="L1201" t="s">
        <v>20</v>
      </c>
      <c r="M1201" t="s">
        <v>9190</v>
      </c>
      <c r="N1201" t="s">
        <v>9191</v>
      </c>
      <c r="O1201" t="s">
        <v>9212</v>
      </c>
      <c r="P1201" t="s">
        <v>9213</v>
      </c>
    </row>
    <row r="1202" spans="1:16" x14ac:dyDescent="0.35">
      <c r="A1202" t="s">
        <v>9214</v>
      </c>
      <c r="B1202" t="s">
        <v>55</v>
      </c>
      <c r="C1202" t="s">
        <v>15</v>
      </c>
      <c r="D1202" t="s">
        <v>16</v>
      </c>
      <c r="E1202" t="s">
        <v>9215</v>
      </c>
      <c r="F1202" t="s">
        <v>9216</v>
      </c>
      <c r="G1202" t="s">
        <v>9029</v>
      </c>
      <c r="H1202" t="s">
        <v>9030</v>
      </c>
      <c r="I1202" t="s">
        <v>28</v>
      </c>
      <c r="J1202" t="s">
        <v>9217</v>
      </c>
      <c r="K1202" t="s">
        <v>19</v>
      </c>
      <c r="L1202" t="s">
        <v>20</v>
      </c>
      <c r="M1202" t="s">
        <v>9190</v>
      </c>
      <c r="N1202" t="s">
        <v>9191</v>
      </c>
      <c r="O1202" t="s">
        <v>9218</v>
      </c>
      <c r="P1202" t="s">
        <v>9219</v>
      </c>
    </row>
    <row r="1203" spans="1:16" x14ac:dyDescent="0.35">
      <c r="A1203" t="s">
        <v>9220</v>
      </c>
      <c r="B1203" t="s">
        <v>55</v>
      </c>
      <c r="C1203" t="s">
        <v>28</v>
      </c>
      <c r="D1203" t="s">
        <v>28</v>
      </c>
      <c r="E1203" t="s">
        <v>9221</v>
      </c>
      <c r="F1203" t="s">
        <v>9222</v>
      </c>
      <c r="G1203" t="s">
        <v>9029</v>
      </c>
      <c r="H1203" t="s">
        <v>9030</v>
      </c>
      <c r="I1203" t="s">
        <v>28</v>
      </c>
      <c r="J1203" t="s">
        <v>28</v>
      </c>
      <c r="K1203" t="s">
        <v>19</v>
      </c>
      <c r="L1203" t="s">
        <v>20</v>
      </c>
      <c r="M1203" t="s">
        <v>9190</v>
      </c>
      <c r="N1203" t="s">
        <v>9191</v>
      </c>
      <c r="O1203" t="s">
        <v>9223</v>
      </c>
      <c r="P1203" t="s">
        <v>9224</v>
      </c>
    </row>
    <row r="1204" spans="1:16" x14ac:dyDescent="0.35">
      <c r="A1204" t="s">
        <v>1209</v>
      </c>
      <c r="B1204" t="s">
        <v>32</v>
      </c>
      <c r="C1204" t="s">
        <v>691</v>
      </c>
      <c r="D1204" t="s">
        <v>27</v>
      </c>
      <c r="E1204" t="s">
        <v>9225</v>
      </c>
      <c r="F1204" t="s">
        <v>9226</v>
      </c>
      <c r="G1204" t="s">
        <v>9227</v>
      </c>
      <c r="H1204" t="s">
        <v>9030</v>
      </c>
      <c r="I1204" t="s">
        <v>9228</v>
      </c>
      <c r="J1204" t="s">
        <v>9229</v>
      </c>
      <c r="K1204" t="s">
        <v>9230</v>
      </c>
      <c r="L1204" t="s">
        <v>20</v>
      </c>
      <c r="M1204" t="s">
        <v>9190</v>
      </c>
      <c r="N1204" t="s">
        <v>9191</v>
      </c>
      <c r="O1204" t="s">
        <v>9231</v>
      </c>
      <c r="P1204" t="s">
        <v>9232</v>
      </c>
    </row>
    <row r="1205" spans="1:16" x14ac:dyDescent="0.35">
      <c r="A1205" t="s">
        <v>9233</v>
      </c>
      <c r="B1205" t="s">
        <v>55</v>
      </c>
      <c r="C1205" t="s">
        <v>28</v>
      </c>
      <c r="D1205" t="s">
        <v>28</v>
      </c>
      <c r="E1205" t="s">
        <v>9234</v>
      </c>
      <c r="F1205" t="s">
        <v>9235</v>
      </c>
      <c r="G1205" t="s">
        <v>9029</v>
      </c>
      <c r="H1205" t="s">
        <v>9030</v>
      </c>
      <c r="I1205" t="s">
        <v>28</v>
      </c>
      <c r="J1205" t="s">
        <v>28</v>
      </c>
      <c r="K1205" t="s">
        <v>19</v>
      </c>
      <c r="L1205" t="s">
        <v>20</v>
      </c>
      <c r="M1205" t="s">
        <v>9236</v>
      </c>
      <c r="N1205" t="s">
        <v>9237</v>
      </c>
      <c r="O1205" t="s">
        <v>9238</v>
      </c>
      <c r="P1205" t="s">
        <v>9239</v>
      </c>
    </row>
    <row r="1206" spans="1:16" x14ac:dyDescent="0.35">
      <c r="A1206" t="s">
        <v>9240</v>
      </c>
      <c r="B1206" t="s">
        <v>55</v>
      </c>
      <c r="C1206" t="s">
        <v>28</v>
      </c>
      <c r="D1206" t="s">
        <v>28</v>
      </c>
      <c r="E1206" t="s">
        <v>9241</v>
      </c>
      <c r="F1206" t="s">
        <v>9242</v>
      </c>
      <c r="G1206" t="s">
        <v>9029</v>
      </c>
      <c r="H1206" t="s">
        <v>9030</v>
      </c>
      <c r="I1206" t="s">
        <v>28</v>
      </c>
      <c r="J1206" t="s">
        <v>28</v>
      </c>
      <c r="K1206" t="s">
        <v>19</v>
      </c>
      <c r="L1206" t="s">
        <v>20</v>
      </c>
      <c r="M1206" t="s">
        <v>9243</v>
      </c>
      <c r="N1206" t="s">
        <v>9244</v>
      </c>
      <c r="O1206" t="s">
        <v>9245</v>
      </c>
      <c r="P1206" t="s">
        <v>9246</v>
      </c>
    </row>
    <row r="1207" spans="1:16" x14ac:dyDescent="0.35">
      <c r="A1207" t="s">
        <v>1546</v>
      </c>
      <c r="B1207" t="s">
        <v>55</v>
      </c>
      <c r="C1207" t="s">
        <v>357</v>
      </c>
      <c r="D1207" t="s">
        <v>549</v>
      </c>
      <c r="E1207" t="s">
        <v>9247</v>
      </c>
      <c r="F1207" t="s">
        <v>9248</v>
      </c>
      <c r="G1207" t="s">
        <v>9029</v>
      </c>
      <c r="H1207" t="s">
        <v>9030</v>
      </c>
      <c r="I1207" t="s">
        <v>28</v>
      </c>
      <c r="J1207" t="s">
        <v>9249</v>
      </c>
      <c r="K1207" t="s">
        <v>19</v>
      </c>
      <c r="L1207" t="s">
        <v>20</v>
      </c>
      <c r="M1207" t="s">
        <v>9250</v>
      </c>
      <c r="N1207" t="s">
        <v>9251</v>
      </c>
      <c r="O1207" t="s">
        <v>9252</v>
      </c>
      <c r="P1207" t="s">
        <v>9253</v>
      </c>
    </row>
    <row r="1208" spans="1:16" x14ac:dyDescent="0.35">
      <c r="A1208" t="s">
        <v>9254</v>
      </c>
      <c r="B1208" t="s">
        <v>55</v>
      </c>
      <c r="C1208" t="s">
        <v>15</v>
      </c>
      <c r="D1208" t="s">
        <v>27</v>
      </c>
      <c r="E1208" t="s">
        <v>9255</v>
      </c>
      <c r="F1208" t="s">
        <v>9256</v>
      </c>
      <c r="G1208" t="s">
        <v>9029</v>
      </c>
      <c r="H1208" t="s">
        <v>9030</v>
      </c>
      <c r="I1208" t="s">
        <v>9257</v>
      </c>
      <c r="J1208" t="s">
        <v>9258</v>
      </c>
      <c r="K1208" t="s">
        <v>19</v>
      </c>
      <c r="L1208" t="s">
        <v>20</v>
      </c>
      <c r="M1208" t="s">
        <v>9250</v>
      </c>
      <c r="N1208" t="s">
        <v>9251</v>
      </c>
      <c r="O1208" t="s">
        <v>9259</v>
      </c>
      <c r="P1208" t="s">
        <v>9260</v>
      </c>
    </row>
    <row r="1209" spans="1:16" x14ac:dyDescent="0.35">
      <c r="A1209" t="s">
        <v>9261</v>
      </c>
      <c r="B1209" t="s">
        <v>55</v>
      </c>
      <c r="C1209" t="s">
        <v>15</v>
      </c>
      <c r="D1209" t="s">
        <v>16</v>
      </c>
      <c r="E1209" t="s">
        <v>9262</v>
      </c>
      <c r="F1209" t="s">
        <v>9263</v>
      </c>
      <c r="G1209" t="s">
        <v>9066</v>
      </c>
      <c r="H1209" t="s">
        <v>9030</v>
      </c>
      <c r="I1209" t="s">
        <v>9264</v>
      </c>
      <c r="J1209" t="s">
        <v>9265</v>
      </c>
      <c r="K1209" t="s">
        <v>19</v>
      </c>
      <c r="L1209" t="s">
        <v>20</v>
      </c>
      <c r="M1209" t="s">
        <v>9250</v>
      </c>
      <c r="N1209" t="s">
        <v>9251</v>
      </c>
      <c r="O1209" t="s">
        <v>9266</v>
      </c>
      <c r="P1209" t="s">
        <v>9267</v>
      </c>
    </row>
    <row r="1210" spans="1:16" x14ac:dyDescent="0.35">
      <c r="A1210" t="s">
        <v>1209</v>
      </c>
      <c r="B1210" t="s">
        <v>55</v>
      </c>
      <c r="C1210" t="s">
        <v>28</v>
      </c>
      <c r="D1210" t="s">
        <v>28</v>
      </c>
      <c r="E1210" t="s">
        <v>9268</v>
      </c>
      <c r="F1210" t="s">
        <v>9269</v>
      </c>
      <c r="G1210" t="s">
        <v>9075</v>
      </c>
      <c r="H1210" t="s">
        <v>9030</v>
      </c>
      <c r="I1210" t="s">
        <v>28</v>
      </c>
      <c r="J1210" t="s">
        <v>9270</v>
      </c>
      <c r="K1210" t="s">
        <v>19</v>
      </c>
      <c r="L1210" t="s">
        <v>20</v>
      </c>
      <c r="M1210" t="s">
        <v>9250</v>
      </c>
      <c r="N1210" t="s">
        <v>9251</v>
      </c>
      <c r="O1210" t="s">
        <v>9271</v>
      </c>
      <c r="P1210" t="s">
        <v>9272</v>
      </c>
    </row>
    <row r="1211" spans="1:16" x14ac:dyDescent="0.35">
      <c r="A1211" t="s">
        <v>9273</v>
      </c>
      <c r="B1211" t="s">
        <v>55</v>
      </c>
      <c r="C1211" t="s">
        <v>26</v>
      </c>
      <c r="D1211" t="s">
        <v>185</v>
      </c>
      <c r="E1211" t="s">
        <v>9274</v>
      </c>
      <c r="F1211" t="s">
        <v>9275</v>
      </c>
      <c r="G1211" t="s">
        <v>9029</v>
      </c>
      <c r="H1211" t="s">
        <v>9030</v>
      </c>
      <c r="I1211" t="s">
        <v>28</v>
      </c>
      <c r="J1211" t="s">
        <v>9276</v>
      </c>
      <c r="K1211" t="s">
        <v>19</v>
      </c>
      <c r="L1211" t="s">
        <v>20</v>
      </c>
      <c r="M1211" t="s">
        <v>9250</v>
      </c>
      <c r="N1211" t="s">
        <v>9251</v>
      </c>
      <c r="O1211" t="s">
        <v>9277</v>
      </c>
      <c r="P1211" t="s">
        <v>9278</v>
      </c>
    </row>
    <row r="1212" spans="1:16" x14ac:dyDescent="0.35">
      <c r="A1212" t="s">
        <v>9279</v>
      </c>
      <c r="B1212" t="s">
        <v>55</v>
      </c>
      <c r="C1212" t="s">
        <v>15</v>
      </c>
      <c r="D1212" t="s">
        <v>27</v>
      </c>
      <c r="E1212" t="s">
        <v>9280</v>
      </c>
      <c r="F1212" t="s">
        <v>9281</v>
      </c>
      <c r="G1212" t="s">
        <v>9029</v>
      </c>
      <c r="H1212" t="s">
        <v>9030</v>
      </c>
      <c r="I1212" t="s">
        <v>6443</v>
      </c>
      <c r="J1212" t="s">
        <v>9282</v>
      </c>
      <c r="K1212" t="s">
        <v>19</v>
      </c>
      <c r="L1212" t="s">
        <v>20</v>
      </c>
      <c r="M1212" t="s">
        <v>9250</v>
      </c>
      <c r="N1212" t="s">
        <v>9251</v>
      </c>
      <c r="O1212" t="s">
        <v>9283</v>
      </c>
      <c r="P1212" t="s">
        <v>9284</v>
      </c>
    </row>
    <row r="1213" spans="1:16" x14ac:dyDescent="0.35">
      <c r="A1213" t="s">
        <v>9285</v>
      </c>
      <c r="B1213" t="s">
        <v>55</v>
      </c>
      <c r="C1213" t="s">
        <v>26</v>
      </c>
      <c r="D1213" t="s">
        <v>403</v>
      </c>
      <c r="E1213" t="s">
        <v>9286</v>
      </c>
      <c r="F1213" t="s">
        <v>9126</v>
      </c>
      <c r="G1213" t="s">
        <v>9029</v>
      </c>
      <c r="H1213" t="s">
        <v>9030</v>
      </c>
      <c r="I1213" t="s">
        <v>9287</v>
      </c>
      <c r="J1213" t="s">
        <v>9288</v>
      </c>
      <c r="K1213" t="s">
        <v>9289</v>
      </c>
      <c r="L1213" t="s">
        <v>20</v>
      </c>
      <c r="M1213" t="s">
        <v>9290</v>
      </c>
      <c r="N1213" t="s">
        <v>9291</v>
      </c>
      <c r="O1213" t="s">
        <v>9292</v>
      </c>
      <c r="P1213" t="s">
        <v>9293</v>
      </c>
    </row>
    <row r="1214" spans="1:16" x14ac:dyDescent="0.35">
      <c r="A1214" t="s">
        <v>9294</v>
      </c>
      <c r="B1214" t="s">
        <v>55</v>
      </c>
      <c r="C1214" t="s">
        <v>28</v>
      </c>
      <c r="D1214" t="s">
        <v>28</v>
      </c>
      <c r="E1214" t="s">
        <v>9295</v>
      </c>
      <c r="F1214" t="s">
        <v>9296</v>
      </c>
      <c r="G1214" t="s">
        <v>9029</v>
      </c>
      <c r="H1214" t="s">
        <v>9030</v>
      </c>
      <c r="I1214" t="s">
        <v>28</v>
      </c>
      <c r="J1214" t="s">
        <v>9297</v>
      </c>
      <c r="K1214" t="s">
        <v>19</v>
      </c>
      <c r="L1214" t="s">
        <v>20</v>
      </c>
      <c r="M1214" t="s">
        <v>9290</v>
      </c>
      <c r="N1214" t="s">
        <v>9291</v>
      </c>
      <c r="O1214" t="s">
        <v>9298</v>
      </c>
      <c r="P1214" t="s">
        <v>9299</v>
      </c>
    </row>
    <row r="1215" spans="1:16" x14ac:dyDescent="0.35">
      <c r="A1215" t="s">
        <v>9300</v>
      </c>
      <c r="B1215" t="s">
        <v>55</v>
      </c>
      <c r="C1215" t="s">
        <v>28</v>
      </c>
      <c r="D1215" t="s">
        <v>28</v>
      </c>
      <c r="E1215" t="s">
        <v>9301</v>
      </c>
      <c r="F1215" t="s">
        <v>9302</v>
      </c>
      <c r="G1215" t="s">
        <v>9029</v>
      </c>
      <c r="H1215" t="s">
        <v>9029</v>
      </c>
      <c r="I1215" t="s">
        <v>28</v>
      </c>
      <c r="J1215" t="s">
        <v>9303</v>
      </c>
      <c r="K1215" t="s">
        <v>19</v>
      </c>
      <c r="L1215" t="s">
        <v>20</v>
      </c>
      <c r="M1215" t="s">
        <v>9290</v>
      </c>
      <c r="N1215" t="s">
        <v>9291</v>
      </c>
      <c r="O1215" t="s">
        <v>9304</v>
      </c>
      <c r="P1215" t="s">
        <v>9305</v>
      </c>
    </row>
    <row r="1216" spans="1:16" x14ac:dyDescent="0.35">
      <c r="A1216" t="s">
        <v>9306</v>
      </c>
      <c r="B1216" t="s">
        <v>55</v>
      </c>
      <c r="C1216" t="s">
        <v>140</v>
      </c>
      <c r="D1216" t="s">
        <v>1328</v>
      </c>
      <c r="E1216" t="s">
        <v>9307</v>
      </c>
      <c r="F1216" t="s">
        <v>9308</v>
      </c>
      <c r="G1216" t="s">
        <v>9029</v>
      </c>
      <c r="H1216" t="s">
        <v>9030</v>
      </c>
      <c r="I1216" t="s">
        <v>9309</v>
      </c>
      <c r="J1216" t="s">
        <v>9310</v>
      </c>
      <c r="K1216" t="s">
        <v>19</v>
      </c>
      <c r="L1216" t="s">
        <v>20</v>
      </c>
      <c r="M1216" t="s">
        <v>9290</v>
      </c>
      <c r="N1216" t="s">
        <v>9291</v>
      </c>
      <c r="O1216" t="s">
        <v>9311</v>
      </c>
      <c r="P1216" t="s">
        <v>9312</v>
      </c>
    </row>
    <row r="1217" spans="1:16" x14ac:dyDescent="0.35">
      <c r="A1217" t="s">
        <v>9313</v>
      </c>
      <c r="B1217" t="s">
        <v>194</v>
      </c>
      <c r="C1217" t="s">
        <v>25</v>
      </c>
      <c r="D1217" t="s">
        <v>16</v>
      </c>
      <c r="E1217" t="s">
        <v>9314</v>
      </c>
      <c r="F1217" t="s">
        <v>9315</v>
      </c>
      <c r="G1217" t="s">
        <v>9029</v>
      </c>
      <c r="H1217" t="s">
        <v>9030</v>
      </c>
      <c r="I1217" t="s">
        <v>28</v>
      </c>
      <c r="J1217" t="s">
        <v>9316</v>
      </c>
      <c r="K1217" t="s">
        <v>19</v>
      </c>
      <c r="L1217" t="s">
        <v>20</v>
      </c>
      <c r="M1217" t="s">
        <v>9317</v>
      </c>
      <c r="N1217" t="s">
        <v>9318</v>
      </c>
      <c r="O1217" t="s">
        <v>9319</v>
      </c>
      <c r="P1217" t="s">
        <v>9320</v>
      </c>
    </row>
    <row r="1218" spans="1:16" x14ac:dyDescent="0.35">
      <c r="A1218" t="s">
        <v>9321</v>
      </c>
      <c r="B1218" t="s">
        <v>55</v>
      </c>
      <c r="C1218" t="s">
        <v>28</v>
      </c>
      <c r="D1218" t="s">
        <v>28</v>
      </c>
      <c r="E1218" t="s">
        <v>9322</v>
      </c>
      <c r="F1218" t="s">
        <v>9323</v>
      </c>
      <c r="G1218" t="s">
        <v>9029</v>
      </c>
      <c r="H1218" t="s">
        <v>9030</v>
      </c>
      <c r="I1218" t="s">
        <v>2599</v>
      </c>
      <c r="J1218" t="s">
        <v>9324</v>
      </c>
      <c r="K1218" t="s">
        <v>19</v>
      </c>
      <c r="L1218" t="s">
        <v>20</v>
      </c>
      <c r="M1218" t="s">
        <v>9317</v>
      </c>
      <c r="N1218" t="s">
        <v>9318</v>
      </c>
      <c r="O1218" t="s">
        <v>9325</v>
      </c>
      <c r="P1218" t="s">
        <v>9326</v>
      </c>
    </row>
    <row r="1219" spans="1:16" x14ac:dyDescent="0.35">
      <c r="A1219" t="s">
        <v>9327</v>
      </c>
      <c r="B1219" t="s">
        <v>55</v>
      </c>
      <c r="C1219" t="s">
        <v>691</v>
      </c>
      <c r="D1219" t="s">
        <v>16</v>
      </c>
      <c r="E1219" t="s">
        <v>9328</v>
      </c>
      <c r="F1219" t="s">
        <v>9329</v>
      </c>
      <c r="G1219" t="s">
        <v>9074</v>
      </c>
      <c r="H1219" t="s">
        <v>9030</v>
      </c>
      <c r="I1219" t="s">
        <v>9330</v>
      </c>
      <c r="J1219" t="s">
        <v>9331</v>
      </c>
      <c r="K1219" t="s">
        <v>9332</v>
      </c>
      <c r="L1219" t="s">
        <v>20</v>
      </c>
      <c r="M1219" t="s">
        <v>9317</v>
      </c>
      <c r="N1219" t="s">
        <v>9318</v>
      </c>
      <c r="O1219" t="s">
        <v>9333</v>
      </c>
      <c r="P1219" t="s">
        <v>9334</v>
      </c>
    </row>
    <row r="1220" spans="1:16" x14ac:dyDescent="0.35">
      <c r="A1220" t="s">
        <v>9335</v>
      </c>
      <c r="B1220" t="s">
        <v>55</v>
      </c>
      <c r="C1220" t="s">
        <v>140</v>
      </c>
      <c r="D1220" t="s">
        <v>1328</v>
      </c>
      <c r="E1220" t="s">
        <v>9336</v>
      </c>
      <c r="F1220" t="s">
        <v>9337</v>
      </c>
      <c r="G1220" t="s">
        <v>9029</v>
      </c>
      <c r="H1220" t="s">
        <v>9030</v>
      </c>
      <c r="I1220" t="s">
        <v>9338</v>
      </c>
      <c r="J1220" t="s">
        <v>9339</v>
      </c>
      <c r="K1220" t="s">
        <v>9340</v>
      </c>
      <c r="L1220" t="s">
        <v>20</v>
      </c>
      <c r="M1220" t="s">
        <v>9317</v>
      </c>
      <c r="N1220" t="s">
        <v>9318</v>
      </c>
      <c r="O1220" t="s">
        <v>9341</v>
      </c>
      <c r="P1220" t="s">
        <v>9342</v>
      </c>
    </row>
    <row r="1221" spans="1:16" x14ac:dyDescent="0.35">
      <c r="A1221" t="s">
        <v>9343</v>
      </c>
      <c r="B1221" t="s">
        <v>55</v>
      </c>
      <c r="C1221" t="s">
        <v>15</v>
      </c>
      <c r="D1221" t="s">
        <v>16</v>
      </c>
      <c r="E1221" t="s">
        <v>9344</v>
      </c>
      <c r="F1221" t="s">
        <v>9345</v>
      </c>
      <c r="G1221" t="s">
        <v>9029</v>
      </c>
      <c r="H1221" t="s">
        <v>9030</v>
      </c>
      <c r="I1221" t="s">
        <v>9257</v>
      </c>
      <c r="J1221" t="s">
        <v>9346</v>
      </c>
      <c r="K1221" t="s">
        <v>19</v>
      </c>
      <c r="L1221" t="s">
        <v>20</v>
      </c>
      <c r="M1221" t="s">
        <v>9317</v>
      </c>
      <c r="N1221" t="s">
        <v>9318</v>
      </c>
      <c r="O1221" t="s">
        <v>9347</v>
      </c>
      <c r="P1221" t="s">
        <v>9348</v>
      </c>
    </row>
    <row r="1222" spans="1:16" x14ac:dyDescent="0.35">
      <c r="A1222" t="s">
        <v>9349</v>
      </c>
      <c r="B1222" t="s">
        <v>55</v>
      </c>
      <c r="C1222" t="s">
        <v>28</v>
      </c>
      <c r="D1222" t="s">
        <v>28</v>
      </c>
      <c r="E1222" t="s">
        <v>9350</v>
      </c>
      <c r="F1222" t="s">
        <v>9351</v>
      </c>
      <c r="G1222" t="s">
        <v>9352</v>
      </c>
      <c r="H1222" t="s">
        <v>9030</v>
      </c>
      <c r="I1222" t="s">
        <v>28</v>
      </c>
      <c r="J1222" t="s">
        <v>9353</v>
      </c>
      <c r="K1222" t="s">
        <v>19</v>
      </c>
      <c r="L1222" t="s">
        <v>20</v>
      </c>
      <c r="M1222" t="s">
        <v>9317</v>
      </c>
      <c r="N1222" t="s">
        <v>9318</v>
      </c>
      <c r="O1222" t="s">
        <v>9354</v>
      </c>
      <c r="P1222" t="s">
        <v>9355</v>
      </c>
    </row>
    <row r="1223" spans="1:16" x14ac:dyDescent="0.35">
      <c r="A1223" t="s">
        <v>9356</v>
      </c>
      <c r="B1223" t="s">
        <v>55</v>
      </c>
      <c r="C1223" t="s">
        <v>25</v>
      </c>
      <c r="D1223" t="s">
        <v>16</v>
      </c>
      <c r="E1223" t="s">
        <v>9357</v>
      </c>
      <c r="F1223" t="s">
        <v>9358</v>
      </c>
      <c r="G1223" t="s">
        <v>9029</v>
      </c>
      <c r="H1223" t="s">
        <v>9029</v>
      </c>
      <c r="I1223" t="s">
        <v>9359</v>
      </c>
      <c r="J1223" t="s">
        <v>28</v>
      </c>
      <c r="K1223" t="s">
        <v>19</v>
      </c>
      <c r="L1223" t="s">
        <v>20</v>
      </c>
      <c r="M1223" t="s">
        <v>9317</v>
      </c>
      <c r="N1223" t="s">
        <v>9318</v>
      </c>
      <c r="O1223" t="s">
        <v>9360</v>
      </c>
      <c r="P1223" t="s">
        <v>9361</v>
      </c>
    </row>
    <row r="1224" spans="1:16" x14ac:dyDescent="0.35">
      <c r="A1224" t="s">
        <v>9362</v>
      </c>
      <c r="B1224" t="s">
        <v>55</v>
      </c>
      <c r="C1224" t="s">
        <v>28</v>
      </c>
      <c r="D1224" t="s">
        <v>28</v>
      </c>
      <c r="E1224" t="s">
        <v>9363</v>
      </c>
      <c r="F1224" t="s">
        <v>9364</v>
      </c>
      <c r="G1224" t="s">
        <v>9029</v>
      </c>
      <c r="H1224" t="s">
        <v>9030</v>
      </c>
      <c r="I1224" t="s">
        <v>28</v>
      </c>
      <c r="J1224" t="s">
        <v>28</v>
      </c>
      <c r="K1224" t="s">
        <v>19</v>
      </c>
      <c r="L1224" t="s">
        <v>20</v>
      </c>
      <c r="M1224" t="s">
        <v>9317</v>
      </c>
      <c r="N1224" t="s">
        <v>9318</v>
      </c>
      <c r="O1224" t="s">
        <v>9365</v>
      </c>
      <c r="P1224" t="s">
        <v>9366</v>
      </c>
    </row>
    <row r="1225" spans="1:16" x14ac:dyDescent="0.35">
      <c r="A1225" t="s">
        <v>9367</v>
      </c>
      <c r="B1225" t="s">
        <v>55</v>
      </c>
      <c r="C1225" t="s">
        <v>26</v>
      </c>
      <c r="D1225" t="s">
        <v>27</v>
      </c>
      <c r="E1225" t="s">
        <v>9368</v>
      </c>
      <c r="F1225" t="s">
        <v>9369</v>
      </c>
      <c r="G1225" t="s">
        <v>9029</v>
      </c>
      <c r="H1225" t="s">
        <v>9030</v>
      </c>
      <c r="I1225" t="s">
        <v>9370</v>
      </c>
      <c r="J1225" t="s">
        <v>9371</v>
      </c>
      <c r="K1225" t="s">
        <v>9372</v>
      </c>
      <c r="L1225" t="s">
        <v>20</v>
      </c>
      <c r="M1225" t="s">
        <v>9373</v>
      </c>
      <c r="N1225" t="s">
        <v>9374</v>
      </c>
      <c r="O1225" t="s">
        <v>9375</v>
      </c>
      <c r="P1225" t="s">
        <v>9376</v>
      </c>
    </row>
    <row r="1226" spans="1:16" x14ac:dyDescent="0.35">
      <c r="A1226" t="s">
        <v>482</v>
      </c>
      <c r="B1226" t="s">
        <v>55</v>
      </c>
      <c r="C1226" t="s">
        <v>140</v>
      </c>
      <c r="D1226" t="s">
        <v>374</v>
      </c>
      <c r="E1226" t="s">
        <v>9377</v>
      </c>
      <c r="F1226" t="s">
        <v>9378</v>
      </c>
      <c r="G1226" t="s">
        <v>9075</v>
      </c>
      <c r="H1226" t="s">
        <v>9030</v>
      </c>
      <c r="I1226" t="s">
        <v>162</v>
      </c>
      <c r="J1226" t="s">
        <v>9379</v>
      </c>
      <c r="K1226" t="s">
        <v>164</v>
      </c>
      <c r="L1226" t="s">
        <v>20</v>
      </c>
      <c r="M1226" t="s">
        <v>9373</v>
      </c>
      <c r="N1226" t="s">
        <v>9374</v>
      </c>
      <c r="O1226" t="s">
        <v>9380</v>
      </c>
      <c r="P1226" t="s">
        <v>9381</v>
      </c>
    </row>
    <row r="1227" spans="1:16" x14ac:dyDescent="0.35">
      <c r="A1227" t="s">
        <v>780</v>
      </c>
      <c r="B1227" t="s">
        <v>55</v>
      </c>
      <c r="C1227" t="s">
        <v>96</v>
      </c>
      <c r="D1227" t="s">
        <v>22</v>
      </c>
      <c r="E1227" t="s">
        <v>9382</v>
      </c>
      <c r="F1227" t="s">
        <v>9383</v>
      </c>
      <c r="G1227" t="s">
        <v>9029</v>
      </c>
      <c r="H1227" t="s">
        <v>9030</v>
      </c>
      <c r="I1227" t="s">
        <v>9384</v>
      </c>
      <c r="J1227" t="s">
        <v>9385</v>
      </c>
      <c r="K1227" t="s">
        <v>19</v>
      </c>
      <c r="L1227" t="s">
        <v>20</v>
      </c>
      <c r="M1227" t="s">
        <v>9373</v>
      </c>
      <c r="N1227" t="s">
        <v>9374</v>
      </c>
      <c r="O1227" t="s">
        <v>9386</v>
      </c>
      <c r="P1227" t="s">
        <v>9387</v>
      </c>
    </row>
    <row r="1228" spans="1:16" x14ac:dyDescent="0.35">
      <c r="A1228" t="s">
        <v>9388</v>
      </c>
      <c r="B1228" t="s">
        <v>55</v>
      </c>
      <c r="C1228" t="s">
        <v>28</v>
      </c>
      <c r="D1228" t="s">
        <v>28</v>
      </c>
      <c r="E1228" t="s">
        <v>9389</v>
      </c>
      <c r="F1228" t="s">
        <v>9390</v>
      </c>
      <c r="G1228" t="s">
        <v>9391</v>
      </c>
      <c r="H1228" t="s">
        <v>9030</v>
      </c>
      <c r="I1228" t="s">
        <v>1331</v>
      </c>
      <c r="J1228" t="s">
        <v>28</v>
      </c>
      <c r="K1228" t="s">
        <v>19</v>
      </c>
      <c r="L1228" t="s">
        <v>20</v>
      </c>
      <c r="M1228" t="s">
        <v>9373</v>
      </c>
      <c r="N1228" t="s">
        <v>9374</v>
      </c>
      <c r="O1228" t="s">
        <v>9392</v>
      </c>
      <c r="P1228" t="s">
        <v>9393</v>
      </c>
    </row>
    <row r="1229" spans="1:16" x14ac:dyDescent="0.35">
      <c r="A1229" t="s">
        <v>325</v>
      </c>
      <c r="B1229" t="s">
        <v>55</v>
      </c>
      <c r="C1229" t="s">
        <v>28</v>
      </c>
      <c r="D1229" t="s">
        <v>28</v>
      </c>
      <c r="E1229" t="s">
        <v>9394</v>
      </c>
      <c r="F1229" t="s">
        <v>9395</v>
      </c>
      <c r="G1229" t="s">
        <v>9188</v>
      </c>
      <c r="H1229" t="s">
        <v>9030</v>
      </c>
      <c r="I1229" t="s">
        <v>28</v>
      </c>
      <c r="J1229" t="s">
        <v>9396</v>
      </c>
      <c r="K1229" t="s">
        <v>19</v>
      </c>
      <c r="L1229" t="s">
        <v>20</v>
      </c>
      <c r="M1229" t="s">
        <v>9397</v>
      </c>
      <c r="N1229" t="s">
        <v>9398</v>
      </c>
      <c r="O1229" t="s">
        <v>9399</v>
      </c>
      <c r="P1229" t="s">
        <v>9400</v>
      </c>
    </row>
    <row r="1230" spans="1:16" x14ac:dyDescent="0.35">
      <c r="A1230" t="s">
        <v>9401</v>
      </c>
      <c r="B1230" t="s">
        <v>107</v>
      </c>
      <c r="C1230" t="s">
        <v>205</v>
      </c>
      <c r="D1230" t="s">
        <v>3638</v>
      </c>
      <c r="E1230" t="s">
        <v>9402</v>
      </c>
      <c r="F1230" t="s">
        <v>9403</v>
      </c>
      <c r="G1230" t="s">
        <v>9029</v>
      </c>
      <c r="H1230" t="s">
        <v>9030</v>
      </c>
      <c r="I1230" t="s">
        <v>9404</v>
      </c>
      <c r="J1230" t="s">
        <v>9405</v>
      </c>
      <c r="K1230" t="s">
        <v>9406</v>
      </c>
      <c r="L1230" t="s">
        <v>20</v>
      </c>
      <c r="M1230" t="s">
        <v>9397</v>
      </c>
      <c r="N1230" t="s">
        <v>9398</v>
      </c>
      <c r="O1230" t="s">
        <v>9407</v>
      </c>
      <c r="P1230" t="s">
        <v>9408</v>
      </c>
    </row>
    <row r="1231" spans="1:16" x14ac:dyDescent="0.35">
      <c r="A1231" t="s">
        <v>9409</v>
      </c>
      <c r="B1231" t="s">
        <v>55</v>
      </c>
      <c r="C1231" t="s">
        <v>28</v>
      </c>
      <c r="D1231" t="s">
        <v>28</v>
      </c>
      <c r="E1231" t="s">
        <v>9410</v>
      </c>
      <c r="F1231" t="s">
        <v>9411</v>
      </c>
      <c r="G1231" t="s">
        <v>9412</v>
      </c>
      <c r="H1231" t="s">
        <v>9030</v>
      </c>
      <c r="I1231" t="s">
        <v>28</v>
      </c>
      <c r="J1231" t="s">
        <v>28</v>
      </c>
      <c r="K1231" t="s">
        <v>19</v>
      </c>
      <c r="L1231" t="s">
        <v>20</v>
      </c>
      <c r="M1231" t="s">
        <v>9397</v>
      </c>
      <c r="N1231" t="s">
        <v>9398</v>
      </c>
      <c r="O1231" t="s">
        <v>9413</v>
      </c>
      <c r="P1231" t="s">
        <v>9414</v>
      </c>
    </row>
    <row r="1232" spans="1:16" x14ac:dyDescent="0.35">
      <c r="A1232" t="s">
        <v>9415</v>
      </c>
      <c r="B1232" t="s">
        <v>55</v>
      </c>
      <c r="C1232" t="s">
        <v>28</v>
      </c>
      <c r="D1232" t="s">
        <v>28</v>
      </c>
      <c r="E1232" t="s">
        <v>9416</v>
      </c>
      <c r="F1232" t="s">
        <v>9417</v>
      </c>
      <c r="G1232" t="s">
        <v>9418</v>
      </c>
      <c r="H1232" t="s">
        <v>9419</v>
      </c>
      <c r="I1232" t="s">
        <v>162</v>
      </c>
      <c r="J1232" t="s">
        <v>9420</v>
      </c>
      <c r="K1232" t="s">
        <v>164</v>
      </c>
      <c r="L1232" t="s">
        <v>20</v>
      </c>
      <c r="M1232" t="s">
        <v>9421</v>
      </c>
      <c r="N1232" t="s">
        <v>9422</v>
      </c>
      <c r="O1232" t="s">
        <v>9423</v>
      </c>
      <c r="P1232" t="s">
        <v>9424</v>
      </c>
    </row>
    <row r="1233" spans="1:16" x14ac:dyDescent="0.35">
      <c r="A1233" t="s">
        <v>538</v>
      </c>
      <c r="B1233" t="s">
        <v>55</v>
      </c>
      <c r="C1233" t="s">
        <v>474</v>
      </c>
      <c r="D1233" t="s">
        <v>374</v>
      </c>
      <c r="E1233" t="s">
        <v>9425</v>
      </c>
      <c r="F1233" t="s">
        <v>9426</v>
      </c>
      <c r="G1233" t="s">
        <v>9427</v>
      </c>
      <c r="H1233" t="s">
        <v>9428</v>
      </c>
      <c r="I1233" t="s">
        <v>82</v>
      </c>
      <c r="J1233" t="s">
        <v>9429</v>
      </c>
      <c r="K1233" t="s">
        <v>84</v>
      </c>
      <c r="L1233" t="s">
        <v>20</v>
      </c>
      <c r="M1233" t="s">
        <v>9430</v>
      </c>
      <c r="N1233" t="s">
        <v>9431</v>
      </c>
      <c r="O1233" t="s">
        <v>9432</v>
      </c>
      <c r="P1233" t="s">
        <v>9433</v>
      </c>
    </row>
    <row r="1234" spans="1:16" x14ac:dyDescent="0.35">
      <c r="A1234" t="s">
        <v>9434</v>
      </c>
      <c r="B1234" t="s">
        <v>55</v>
      </c>
      <c r="C1234" t="s">
        <v>15</v>
      </c>
      <c r="D1234" t="s">
        <v>27</v>
      </c>
      <c r="E1234" t="s">
        <v>9435</v>
      </c>
      <c r="F1234" t="s">
        <v>9436</v>
      </c>
      <c r="G1234" t="s">
        <v>9437</v>
      </c>
      <c r="H1234" t="s">
        <v>9428</v>
      </c>
      <c r="I1234" t="s">
        <v>162</v>
      </c>
      <c r="J1234" t="s">
        <v>9438</v>
      </c>
      <c r="K1234" t="s">
        <v>164</v>
      </c>
      <c r="L1234" t="s">
        <v>20</v>
      </c>
      <c r="M1234" t="s">
        <v>9439</v>
      </c>
      <c r="N1234" t="s">
        <v>9440</v>
      </c>
      <c r="O1234" t="s">
        <v>9441</v>
      </c>
      <c r="P1234" t="s">
        <v>9442</v>
      </c>
    </row>
    <row r="1235" spans="1:16" x14ac:dyDescent="0.35">
      <c r="A1235" t="s">
        <v>538</v>
      </c>
      <c r="B1235" t="s">
        <v>55</v>
      </c>
      <c r="C1235" t="s">
        <v>311</v>
      </c>
      <c r="D1235" t="s">
        <v>24</v>
      </c>
      <c r="E1235" t="s">
        <v>9443</v>
      </c>
      <c r="F1235" t="s">
        <v>9444</v>
      </c>
      <c r="G1235" t="s">
        <v>9445</v>
      </c>
      <c r="H1235" t="s">
        <v>9419</v>
      </c>
      <c r="I1235" t="s">
        <v>82</v>
      </c>
      <c r="J1235" t="s">
        <v>9446</v>
      </c>
      <c r="K1235" t="s">
        <v>84</v>
      </c>
      <c r="L1235" t="s">
        <v>20</v>
      </c>
      <c r="M1235" t="s">
        <v>9447</v>
      </c>
      <c r="N1235" t="s">
        <v>9448</v>
      </c>
      <c r="O1235" t="s">
        <v>9449</v>
      </c>
      <c r="P1235" t="s">
        <v>9450</v>
      </c>
    </row>
    <row r="1236" spans="1:16" x14ac:dyDescent="0.35">
      <c r="A1236" t="s">
        <v>482</v>
      </c>
      <c r="B1236" t="s">
        <v>55</v>
      </c>
      <c r="C1236" t="s">
        <v>28</v>
      </c>
      <c r="D1236" t="s">
        <v>28</v>
      </c>
      <c r="E1236" t="s">
        <v>9451</v>
      </c>
      <c r="F1236" t="s">
        <v>9452</v>
      </c>
      <c r="G1236" t="s">
        <v>9453</v>
      </c>
      <c r="H1236" t="s">
        <v>4775</v>
      </c>
      <c r="I1236" t="s">
        <v>162</v>
      </c>
      <c r="J1236" t="s">
        <v>9454</v>
      </c>
      <c r="K1236" t="s">
        <v>164</v>
      </c>
      <c r="L1236" t="s">
        <v>20</v>
      </c>
      <c r="M1236" t="s">
        <v>9455</v>
      </c>
      <c r="N1236" t="s">
        <v>9456</v>
      </c>
      <c r="O1236" t="s">
        <v>9457</v>
      </c>
      <c r="P1236" t="s">
        <v>9458</v>
      </c>
    </row>
    <row r="1237" spans="1:16" x14ac:dyDescent="0.35">
      <c r="A1237" t="s">
        <v>9459</v>
      </c>
      <c r="B1237" t="s">
        <v>55</v>
      </c>
      <c r="C1237" t="s">
        <v>28</v>
      </c>
      <c r="D1237" t="s">
        <v>28</v>
      </c>
      <c r="E1237" t="s">
        <v>9460</v>
      </c>
      <c r="F1237" t="s">
        <v>9461</v>
      </c>
      <c r="G1237" t="s">
        <v>9462</v>
      </c>
      <c r="H1237" t="s">
        <v>9419</v>
      </c>
      <c r="I1237" t="s">
        <v>162</v>
      </c>
      <c r="J1237" t="s">
        <v>9463</v>
      </c>
      <c r="K1237" t="s">
        <v>164</v>
      </c>
      <c r="L1237" t="s">
        <v>20</v>
      </c>
      <c r="M1237" t="s">
        <v>9464</v>
      </c>
      <c r="N1237" t="s">
        <v>9465</v>
      </c>
      <c r="O1237" t="s">
        <v>9466</v>
      </c>
      <c r="P1237" t="s">
        <v>9467</v>
      </c>
    </row>
    <row r="1238" spans="1:16" x14ac:dyDescent="0.35">
      <c r="A1238" t="s">
        <v>9468</v>
      </c>
      <c r="B1238" t="s">
        <v>55</v>
      </c>
      <c r="C1238" t="s">
        <v>158</v>
      </c>
      <c r="D1238" t="s">
        <v>22</v>
      </c>
      <c r="E1238" t="s">
        <v>9469</v>
      </c>
      <c r="F1238" t="s">
        <v>9470</v>
      </c>
      <c r="G1238" t="s">
        <v>9471</v>
      </c>
      <c r="H1238" t="s">
        <v>9419</v>
      </c>
      <c r="I1238" t="s">
        <v>162</v>
      </c>
      <c r="J1238" t="s">
        <v>9472</v>
      </c>
      <c r="K1238" t="s">
        <v>164</v>
      </c>
      <c r="L1238" t="s">
        <v>20</v>
      </c>
      <c r="M1238" t="s">
        <v>9088</v>
      </c>
      <c r="N1238" t="s">
        <v>9089</v>
      </c>
      <c r="O1238" t="s">
        <v>9473</v>
      </c>
      <c r="P1238" t="s">
        <v>9474</v>
      </c>
    </row>
    <row r="1239" spans="1:16" x14ac:dyDescent="0.35">
      <c r="A1239" t="s">
        <v>9477</v>
      </c>
      <c r="B1239" t="s">
        <v>55</v>
      </c>
      <c r="C1239" t="s">
        <v>177</v>
      </c>
      <c r="D1239" t="s">
        <v>4942</v>
      </c>
      <c r="E1239" t="s">
        <v>9478</v>
      </c>
      <c r="F1239" t="s">
        <v>9479</v>
      </c>
      <c r="G1239" t="s">
        <v>4650</v>
      </c>
      <c r="H1239" t="s">
        <v>4650</v>
      </c>
      <c r="I1239" t="s">
        <v>9022</v>
      </c>
      <c r="J1239" t="s">
        <v>9480</v>
      </c>
      <c r="K1239" t="s">
        <v>19</v>
      </c>
      <c r="L1239" t="s">
        <v>20</v>
      </c>
      <c r="M1239" t="s">
        <v>9475</v>
      </c>
      <c r="N1239" t="s">
        <v>9476</v>
      </c>
      <c r="O1239" t="s">
        <v>9481</v>
      </c>
      <c r="P1239" t="s">
        <v>9482</v>
      </c>
    </row>
    <row r="1240" spans="1:16" x14ac:dyDescent="0.35">
      <c r="A1240" t="s">
        <v>9483</v>
      </c>
      <c r="B1240" t="s">
        <v>32</v>
      </c>
      <c r="C1240" t="s">
        <v>1816</v>
      </c>
      <c r="D1240" t="s">
        <v>7444</v>
      </c>
      <c r="E1240" t="s">
        <v>9484</v>
      </c>
      <c r="F1240" t="s">
        <v>9485</v>
      </c>
      <c r="G1240" t="s">
        <v>4650</v>
      </c>
      <c r="H1240" t="s">
        <v>4650</v>
      </c>
      <c r="I1240" t="s">
        <v>9486</v>
      </c>
      <c r="J1240" t="s">
        <v>9487</v>
      </c>
      <c r="K1240" t="s">
        <v>19</v>
      </c>
      <c r="L1240" t="s">
        <v>20</v>
      </c>
      <c r="M1240" t="s">
        <v>9475</v>
      </c>
      <c r="N1240" t="s">
        <v>9476</v>
      </c>
      <c r="O1240" t="s">
        <v>9488</v>
      </c>
      <c r="P1240" t="s">
        <v>9489</v>
      </c>
    </row>
    <row r="1241" spans="1:16" x14ac:dyDescent="0.35">
      <c r="A1241" t="s">
        <v>9490</v>
      </c>
      <c r="B1241" t="s">
        <v>32</v>
      </c>
      <c r="C1241" t="s">
        <v>474</v>
      </c>
      <c r="D1241" t="s">
        <v>963</v>
      </c>
      <c r="E1241" t="s">
        <v>9491</v>
      </c>
      <c r="F1241" t="s">
        <v>9492</v>
      </c>
      <c r="G1241" t="s">
        <v>4650</v>
      </c>
      <c r="H1241" t="s">
        <v>4650</v>
      </c>
      <c r="I1241" t="s">
        <v>28</v>
      </c>
      <c r="J1241" t="s">
        <v>9493</v>
      </c>
      <c r="K1241" t="s">
        <v>19</v>
      </c>
      <c r="L1241" t="s">
        <v>20</v>
      </c>
      <c r="M1241" t="s">
        <v>9475</v>
      </c>
      <c r="N1241" t="s">
        <v>9476</v>
      </c>
      <c r="O1241" t="s">
        <v>9494</v>
      </c>
      <c r="P1241" t="s">
        <v>9495</v>
      </c>
    </row>
    <row r="1242" spans="1:16" x14ac:dyDescent="0.35">
      <c r="A1242" t="s">
        <v>9496</v>
      </c>
      <c r="B1242" t="s">
        <v>32</v>
      </c>
      <c r="C1242" t="s">
        <v>252</v>
      </c>
      <c r="D1242" t="s">
        <v>374</v>
      </c>
      <c r="E1242" t="s">
        <v>9497</v>
      </c>
      <c r="F1242" t="s">
        <v>9498</v>
      </c>
      <c r="G1242" t="s">
        <v>4650</v>
      </c>
      <c r="H1242" t="s">
        <v>4650</v>
      </c>
      <c r="I1242" t="s">
        <v>9486</v>
      </c>
      <c r="J1242" t="s">
        <v>9499</v>
      </c>
      <c r="K1242" t="s">
        <v>19</v>
      </c>
      <c r="L1242" t="s">
        <v>20</v>
      </c>
      <c r="M1242" t="s">
        <v>9475</v>
      </c>
      <c r="N1242" t="s">
        <v>9476</v>
      </c>
      <c r="O1242" t="s">
        <v>9500</v>
      </c>
      <c r="P1242" t="s">
        <v>9501</v>
      </c>
    </row>
    <row r="1243" spans="1:16" x14ac:dyDescent="0.35">
      <c r="A1243" t="s">
        <v>9504</v>
      </c>
      <c r="B1243" t="s">
        <v>32</v>
      </c>
      <c r="C1243" t="s">
        <v>699</v>
      </c>
      <c r="D1243" t="s">
        <v>242</v>
      </c>
      <c r="E1243" t="s">
        <v>9505</v>
      </c>
      <c r="F1243" t="s">
        <v>9506</v>
      </c>
      <c r="G1243" t="s">
        <v>4650</v>
      </c>
      <c r="H1243" t="s">
        <v>4650</v>
      </c>
      <c r="I1243" t="s">
        <v>28</v>
      </c>
      <c r="J1243" t="s">
        <v>9507</v>
      </c>
      <c r="K1243" t="s">
        <v>19</v>
      </c>
      <c r="L1243" t="s">
        <v>20</v>
      </c>
      <c r="M1243" t="s">
        <v>9502</v>
      </c>
      <c r="N1243" t="s">
        <v>9503</v>
      </c>
      <c r="O1243" t="s">
        <v>9508</v>
      </c>
      <c r="P1243" t="s">
        <v>9509</v>
      </c>
    </row>
    <row r="1244" spans="1:16" x14ac:dyDescent="0.35">
      <c r="A1244" t="s">
        <v>9510</v>
      </c>
      <c r="B1244" t="s">
        <v>32</v>
      </c>
      <c r="C1244" t="s">
        <v>170</v>
      </c>
      <c r="D1244" t="s">
        <v>9511</v>
      </c>
      <c r="E1244" t="s">
        <v>9512</v>
      </c>
      <c r="F1244" t="s">
        <v>9513</v>
      </c>
      <c r="G1244" t="s">
        <v>4650</v>
      </c>
      <c r="H1244" t="s">
        <v>4650</v>
      </c>
      <c r="I1244" t="s">
        <v>9022</v>
      </c>
      <c r="J1244" t="s">
        <v>9514</v>
      </c>
      <c r="K1244" t="s">
        <v>9024</v>
      </c>
      <c r="L1244" t="s">
        <v>20</v>
      </c>
      <c r="M1244" t="s">
        <v>9502</v>
      </c>
      <c r="N1244" t="s">
        <v>9503</v>
      </c>
      <c r="O1244" t="s">
        <v>9515</v>
      </c>
      <c r="P1244" t="s">
        <v>9516</v>
      </c>
    </row>
    <row r="1245" spans="1:16" x14ac:dyDescent="0.35">
      <c r="A1245" t="s">
        <v>9517</v>
      </c>
      <c r="B1245" t="s">
        <v>107</v>
      </c>
      <c r="C1245" t="s">
        <v>357</v>
      </c>
      <c r="D1245" t="s">
        <v>231</v>
      </c>
      <c r="E1245" t="s">
        <v>9518</v>
      </c>
      <c r="F1245" t="s">
        <v>9519</v>
      </c>
      <c r="G1245" t="s">
        <v>4650</v>
      </c>
      <c r="H1245" t="s">
        <v>4650</v>
      </c>
      <c r="I1245" t="s">
        <v>9022</v>
      </c>
      <c r="J1245" t="s">
        <v>9520</v>
      </c>
      <c r="K1245" t="s">
        <v>9024</v>
      </c>
      <c r="L1245" t="s">
        <v>20</v>
      </c>
      <c r="M1245" t="s">
        <v>9502</v>
      </c>
      <c r="N1245" t="s">
        <v>9503</v>
      </c>
      <c r="O1245" t="s">
        <v>9521</v>
      </c>
      <c r="P1245" t="s">
        <v>9522</v>
      </c>
    </row>
    <row r="1246" spans="1:16" x14ac:dyDescent="0.35">
      <c r="A1246" t="s">
        <v>9523</v>
      </c>
      <c r="B1246" t="s">
        <v>32</v>
      </c>
      <c r="C1246" t="s">
        <v>357</v>
      </c>
      <c r="D1246" t="s">
        <v>185</v>
      </c>
      <c r="E1246" t="s">
        <v>9524</v>
      </c>
      <c r="F1246" t="s">
        <v>9525</v>
      </c>
      <c r="G1246" t="s">
        <v>4650</v>
      </c>
      <c r="H1246" t="s">
        <v>4650</v>
      </c>
      <c r="I1246" t="s">
        <v>9022</v>
      </c>
      <c r="J1246" t="s">
        <v>9526</v>
      </c>
      <c r="K1246" t="s">
        <v>9024</v>
      </c>
      <c r="L1246" t="s">
        <v>20</v>
      </c>
      <c r="M1246" t="s">
        <v>9502</v>
      </c>
      <c r="N1246" t="s">
        <v>9503</v>
      </c>
      <c r="O1246" t="s">
        <v>9527</v>
      </c>
      <c r="P1246" t="s">
        <v>9528</v>
      </c>
    </row>
    <row r="1247" spans="1:16" x14ac:dyDescent="0.35">
      <c r="A1247" t="s">
        <v>9529</v>
      </c>
      <c r="B1247" t="s">
        <v>32</v>
      </c>
      <c r="C1247" t="s">
        <v>962</v>
      </c>
      <c r="D1247" t="s">
        <v>79</v>
      </c>
      <c r="E1247" t="s">
        <v>9530</v>
      </c>
      <c r="F1247" t="s">
        <v>9531</v>
      </c>
      <c r="G1247" t="s">
        <v>4650</v>
      </c>
      <c r="H1247" t="s">
        <v>4650</v>
      </c>
      <c r="I1247" t="s">
        <v>9022</v>
      </c>
      <c r="J1247" t="s">
        <v>9532</v>
      </c>
      <c r="K1247" t="s">
        <v>9024</v>
      </c>
      <c r="L1247" t="s">
        <v>20</v>
      </c>
      <c r="M1247" t="s">
        <v>9533</v>
      </c>
      <c r="N1247" t="s">
        <v>9534</v>
      </c>
      <c r="O1247" t="s">
        <v>9535</v>
      </c>
      <c r="P1247" t="s">
        <v>9536</v>
      </c>
    </row>
    <row r="1248" spans="1:16" x14ac:dyDescent="0.35">
      <c r="A1248" t="s">
        <v>9537</v>
      </c>
      <c r="B1248" t="s">
        <v>32</v>
      </c>
      <c r="C1248" t="s">
        <v>250</v>
      </c>
      <c r="D1248" t="s">
        <v>1328</v>
      </c>
      <c r="E1248" t="s">
        <v>9538</v>
      </c>
      <c r="F1248" t="s">
        <v>9539</v>
      </c>
      <c r="G1248" t="s">
        <v>9540</v>
      </c>
      <c r="H1248" t="s">
        <v>4650</v>
      </c>
      <c r="I1248" t="s">
        <v>9541</v>
      </c>
      <c r="J1248" t="s">
        <v>9542</v>
      </c>
      <c r="K1248" t="s">
        <v>19</v>
      </c>
      <c r="L1248" t="s">
        <v>20</v>
      </c>
      <c r="M1248" t="s">
        <v>9533</v>
      </c>
      <c r="N1248" t="s">
        <v>9534</v>
      </c>
      <c r="O1248" t="s">
        <v>9543</v>
      </c>
      <c r="P1248" t="s">
        <v>9544</v>
      </c>
    </row>
    <row r="1249" spans="1:16" x14ac:dyDescent="0.35">
      <c r="A1249" t="s">
        <v>9545</v>
      </c>
      <c r="B1249" t="s">
        <v>32</v>
      </c>
      <c r="C1249" t="s">
        <v>1128</v>
      </c>
      <c r="D1249" t="s">
        <v>1328</v>
      </c>
      <c r="E1249" t="s">
        <v>9546</v>
      </c>
      <c r="F1249" t="s">
        <v>9547</v>
      </c>
      <c r="G1249" t="s">
        <v>4650</v>
      </c>
      <c r="H1249" t="s">
        <v>4650</v>
      </c>
      <c r="I1249" t="s">
        <v>28</v>
      </c>
      <c r="J1249" t="s">
        <v>9548</v>
      </c>
      <c r="K1249" t="s">
        <v>19</v>
      </c>
      <c r="L1249" t="s">
        <v>20</v>
      </c>
      <c r="M1249" t="s">
        <v>9533</v>
      </c>
      <c r="N1249" t="s">
        <v>9534</v>
      </c>
      <c r="O1249" t="s">
        <v>9549</v>
      </c>
      <c r="P1249" t="s">
        <v>9550</v>
      </c>
    </row>
    <row r="1250" spans="1:16" x14ac:dyDescent="0.35">
      <c r="A1250" t="s">
        <v>9551</v>
      </c>
      <c r="B1250" t="s">
        <v>55</v>
      </c>
      <c r="C1250" t="s">
        <v>357</v>
      </c>
      <c r="D1250" t="s">
        <v>9552</v>
      </c>
      <c r="E1250" t="s">
        <v>9553</v>
      </c>
      <c r="F1250" t="s">
        <v>9554</v>
      </c>
      <c r="G1250" t="s">
        <v>4650</v>
      </c>
      <c r="H1250" t="s">
        <v>4650</v>
      </c>
      <c r="I1250" t="s">
        <v>9022</v>
      </c>
      <c r="J1250" t="s">
        <v>9555</v>
      </c>
      <c r="K1250" t="s">
        <v>9024</v>
      </c>
      <c r="L1250" t="s">
        <v>20</v>
      </c>
      <c r="M1250" t="s">
        <v>9502</v>
      </c>
      <c r="N1250" t="s">
        <v>9503</v>
      </c>
      <c r="O1250" t="s">
        <v>9556</v>
      </c>
      <c r="P1250" t="s">
        <v>9557</v>
      </c>
    </row>
    <row r="1251" spans="1:16" x14ac:dyDescent="0.35">
      <c r="A1251" t="s">
        <v>9558</v>
      </c>
      <c r="B1251" t="s">
        <v>32</v>
      </c>
      <c r="C1251" t="s">
        <v>628</v>
      </c>
      <c r="D1251" t="s">
        <v>1795</v>
      </c>
      <c r="E1251" t="s">
        <v>9559</v>
      </c>
      <c r="F1251" t="s">
        <v>9560</v>
      </c>
      <c r="G1251" t="s">
        <v>4650</v>
      </c>
      <c r="H1251" t="s">
        <v>4650</v>
      </c>
      <c r="I1251" t="s">
        <v>9022</v>
      </c>
      <c r="J1251" t="s">
        <v>9561</v>
      </c>
      <c r="K1251" t="s">
        <v>9024</v>
      </c>
      <c r="L1251" t="s">
        <v>20</v>
      </c>
      <c r="M1251" t="s">
        <v>9562</v>
      </c>
      <c r="N1251" t="s">
        <v>9563</v>
      </c>
      <c r="O1251" t="s">
        <v>9564</v>
      </c>
      <c r="P1251" t="s">
        <v>9565</v>
      </c>
    </row>
    <row r="1252" spans="1:16" x14ac:dyDescent="0.35">
      <c r="A1252" t="s">
        <v>9566</v>
      </c>
      <c r="B1252" t="s">
        <v>88</v>
      </c>
      <c r="C1252" t="s">
        <v>1128</v>
      </c>
      <c r="D1252" t="s">
        <v>374</v>
      </c>
      <c r="E1252" t="s">
        <v>9567</v>
      </c>
      <c r="F1252" t="s">
        <v>9568</v>
      </c>
      <c r="G1252" t="s">
        <v>4650</v>
      </c>
      <c r="H1252" t="s">
        <v>4650</v>
      </c>
      <c r="I1252" t="s">
        <v>91</v>
      </c>
      <c r="J1252" t="s">
        <v>9569</v>
      </c>
      <c r="K1252" t="s">
        <v>19</v>
      </c>
      <c r="L1252" t="s">
        <v>20</v>
      </c>
      <c r="M1252" t="s">
        <v>9562</v>
      </c>
      <c r="N1252" t="s">
        <v>9563</v>
      </c>
      <c r="O1252" t="s">
        <v>9570</v>
      </c>
      <c r="P1252" t="s">
        <v>9571</v>
      </c>
    </row>
    <row r="1253" spans="1:16" x14ac:dyDescent="0.35">
      <c r="A1253" t="s">
        <v>9572</v>
      </c>
      <c r="B1253" t="s">
        <v>32</v>
      </c>
      <c r="C1253" t="s">
        <v>357</v>
      </c>
      <c r="D1253" t="s">
        <v>539</v>
      </c>
      <c r="E1253" t="s">
        <v>9573</v>
      </c>
      <c r="F1253" t="s">
        <v>9574</v>
      </c>
      <c r="G1253" t="s">
        <v>4650</v>
      </c>
      <c r="H1253" t="s">
        <v>4650</v>
      </c>
      <c r="I1253" t="s">
        <v>9022</v>
      </c>
      <c r="J1253" t="s">
        <v>9575</v>
      </c>
      <c r="K1253" t="s">
        <v>9024</v>
      </c>
      <c r="L1253" t="s">
        <v>20</v>
      </c>
      <c r="M1253" t="s">
        <v>9562</v>
      </c>
      <c r="N1253" t="s">
        <v>9563</v>
      </c>
      <c r="O1253" t="s">
        <v>9576</v>
      </c>
      <c r="P1253" t="s">
        <v>9577</v>
      </c>
    </row>
    <row r="1254" spans="1:16" x14ac:dyDescent="0.35">
      <c r="A1254" t="s">
        <v>9578</v>
      </c>
      <c r="B1254" t="s">
        <v>32</v>
      </c>
      <c r="C1254" t="s">
        <v>699</v>
      </c>
      <c r="D1254" t="s">
        <v>9579</v>
      </c>
      <c r="E1254" t="s">
        <v>9580</v>
      </c>
      <c r="F1254" t="s">
        <v>9581</v>
      </c>
      <c r="G1254" t="s">
        <v>4650</v>
      </c>
      <c r="H1254" t="s">
        <v>4650</v>
      </c>
      <c r="I1254" t="s">
        <v>9022</v>
      </c>
      <c r="J1254" t="s">
        <v>9582</v>
      </c>
      <c r="K1254" t="s">
        <v>9024</v>
      </c>
      <c r="L1254" t="s">
        <v>20</v>
      </c>
      <c r="M1254" t="s">
        <v>9562</v>
      </c>
      <c r="N1254" t="s">
        <v>9563</v>
      </c>
      <c r="O1254" t="s">
        <v>9583</v>
      </c>
      <c r="P1254" t="s">
        <v>9584</v>
      </c>
    </row>
    <row r="1255" spans="1:16" x14ac:dyDescent="0.35">
      <c r="A1255" t="s">
        <v>9585</v>
      </c>
      <c r="B1255" t="s">
        <v>32</v>
      </c>
      <c r="C1255" t="s">
        <v>177</v>
      </c>
      <c r="D1255" t="s">
        <v>348</v>
      </c>
      <c r="E1255" t="s">
        <v>9586</v>
      </c>
      <c r="F1255" t="s">
        <v>9587</v>
      </c>
      <c r="G1255" t="s">
        <v>4650</v>
      </c>
      <c r="H1255" t="s">
        <v>4650</v>
      </c>
      <c r="I1255" t="s">
        <v>28</v>
      </c>
      <c r="J1255" t="s">
        <v>9588</v>
      </c>
      <c r="K1255" t="s">
        <v>19</v>
      </c>
      <c r="L1255" t="s">
        <v>20</v>
      </c>
      <c r="M1255" t="s">
        <v>9562</v>
      </c>
      <c r="N1255" t="s">
        <v>9563</v>
      </c>
      <c r="O1255" t="s">
        <v>9589</v>
      </c>
      <c r="P1255" t="s">
        <v>9590</v>
      </c>
    </row>
    <row r="1256" spans="1:16" x14ac:dyDescent="0.35">
      <c r="A1256" t="s">
        <v>9591</v>
      </c>
      <c r="B1256" t="s">
        <v>55</v>
      </c>
      <c r="C1256" t="s">
        <v>311</v>
      </c>
      <c r="D1256" t="s">
        <v>7071</v>
      </c>
      <c r="E1256" t="s">
        <v>9592</v>
      </c>
      <c r="F1256" t="s">
        <v>9593</v>
      </c>
      <c r="G1256" t="s">
        <v>4650</v>
      </c>
      <c r="H1256" t="s">
        <v>4650</v>
      </c>
      <c r="I1256" t="s">
        <v>1936</v>
      </c>
      <c r="J1256" t="s">
        <v>9594</v>
      </c>
      <c r="K1256" t="s">
        <v>1938</v>
      </c>
      <c r="L1256" t="s">
        <v>20</v>
      </c>
      <c r="M1256" t="s">
        <v>9595</v>
      </c>
      <c r="N1256" t="s">
        <v>9596</v>
      </c>
      <c r="O1256" t="s">
        <v>9597</v>
      </c>
      <c r="P1256" t="s">
        <v>9598</v>
      </c>
    </row>
    <row r="1257" spans="1:16" x14ac:dyDescent="0.35">
      <c r="A1257" t="s">
        <v>9599</v>
      </c>
      <c r="B1257" t="s">
        <v>55</v>
      </c>
      <c r="C1257" t="s">
        <v>548</v>
      </c>
      <c r="D1257" t="s">
        <v>9600</v>
      </c>
      <c r="E1257" t="s">
        <v>9601</v>
      </c>
      <c r="F1257" t="s">
        <v>9602</v>
      </c>
      <c r="G1257" t="s">
        <v>4650</v>
      </c>
      <c r="H1257" t="s">
        <v>4650</v>
      </c>
      <c r="I1257" t="s">
        <v>9022</v>
      </c>
      <c r="J1257" t="s">
        <v>9603</v>
      </c>
      <c r="K1257" t="s">
        <v>9024</v>
      </c>
      <c r="L1257" t="s">
        <v>20</v>
      </c>
      <c r="M1257" t="s">
        <v>9595</v>
      </c>
      <c r="N1257" t="s">
        <v>9596</v>
      </c>
      <c r="O1257" t="s">
        <v>9604</v>
      </c>
      <c r="P1257" t="s">
        <v>9605</v>
      </c>
    </row>
    <row r="1258" spans="1:16" x14ac:dyDescent="0.35">
      <c r="A1258" t="s">
        <v>9608</v>
      </c>
      <c r="B1258" t="s">
        <v>55</v>
      </c>
      <c r="C1258" t="s">
        <v>4840</v>
      </c>
      <c r="D1258" t="s">
        <v>1795</v>
      </c>
      <c r="E1258" t="s">
        <v>9609</v>
      </c>
      <c r="F1258" t="s">
        <v>9610</v>
      </c>
      <c r="G1258" t="s">
        <v>4650</v>
      </c>
      <c r="H1258" t="s">
        <v>4650</v>
      </c>
      <c r="I1258" t="s">
        <v>1973</v>
      </c>
      <c r="J1258" t="s">
        <v>9611</v>
      </c>
      <c r="K1258" t="s">
        <v>1975</v>
      </c>
      <c r="L1258" t="s">
        <v>20</v>
      </c>
      <c r="M1258" t="s">
        <v>9606</v>
      </c>
      <c r="N1258" t="s">
        <v>9607</v>
      </c>
      <c r="O1258" t="s">
        <v>9612</v>
      </c>
      <c r="P1258" t="s">
        <v>9613</v>
      </c>
    </row>
    <row r="1259" spans="1:16" x14ac:dyDescent="0.35">
      <c r="A1259" t="s">
        <v>9614</v>
      </c>
      <c r="B1259" t="s">
        <v>55</v>
      </c>
      <c r="C1259" t="s">
        <v>78</v>
      </c>
      <c r="D1259" t="s">
        <v>9615</v>
      </c>
      <c r="E1259" t="s">
        <v>9616</v>
      </c>
      <c r="F1259" t="s">
        <v>9617</v>
      </c>
      <c r="G1259" t="s">
        <v>4650</v>
      </c>
      <c r="H1259" t="s">
        <v>4650</v>
      </c>
      <c r="I1259" t="s">
        <v>82</v>
      </c>
      <c r="J1259" t="s">
        <v>9618</v>
      </c>
      <c r="K1259" t="s">
        <v>84</v>
      </c>
      <c r="L1259" t="s">
        <v>20</v>
      </c>
      <c r="M1259" t="s">
        <v>9606</v>
      </c>
      <c r="N1259" t="s">
        <v>9607</v>
      </c>
      <c r="O1259" t="s">
        <v>9619</v>
      </c>
      <c r="P1259" t="s">
        <v>9620</v>
      </c>
    </row>
    <row r="1260" spans="1:16" x14ac:dyDescent="0.35">
      <c r="A1260" t="s">
        <v>9621</v>
      </c>
      <c r="B1260" t="s">
        <v>32</v>
      </c>
      <c r="C1260" t="s">
        <v>252</v>
      </c>
      <c r="D1260" t="s">
        <v>1267</v>
      </c>
      <c r="E1260" t="s">
        <v>9622</v>
      </c>
      <c r="F1260" t="s">
        <v>9623</v>
      </c>
      <c r="G1260" t="s">
        <v>4650</v>
      </c>
      <c r="H1260" t="s">
        <v>4650</v>
      </c>
      <c r="I1260" t="s">
        <v>9022</v>
      </c>
      <c r="J1260" t="s">
        <v>9624</v>
      </c>
      <c r="K1260" t="s">
        <v>9024</v>
      </c>
      <c r="L1260" t="s">
        <v>20</v>
      </c>
      <c r="M1260" t="s">
        <v>9606</v>
      </c>
      <c r="N1260" t="s">
        <v>9607</v>
      </c>
      <c r="O1260" t="s">
        <v>9625</v>
      </c>
      <c r="P1260" t="s">
        <v>9626</v>
      </c>
    </row>
    <row r="1261" spans="1:16" x14ac:dyDescent="0.35">
      <c r="A1261" t="s">
        <v>9627</v>
      </c>
      <c r="B1261" t="s">
        <v>32</v>
      </c>
      <c r="C1261" t="s">
        <v>1128</v>
      </c>
      <c r="D1261" t="s">
        <v>374</v>
      </c>
      <c r="E1261" t="s">
        <v>9628</v>
      </c>
      <c r="F1261" t="s">
        <v>9629</v>
      </c>
      <c r="G1261" t="s">
        <v>4650</v>
      </c>
      <c r="H1261" t="s">
        <v>4650</v>
      </c>
      <c r="I1261" t="s">
        <v>9022</v>
      </c>
      <c r="J1261" t="s">
        <v>9630</v>
      </c>
      <c r="K1261" t="s">
        <v>9024</v>
      </c>
      <c r="L1261" t="s">
        <v>20</v>
      </c>
      <c r="M1261" t="s">
        <v>9606</v>
      </c>
      <c r="N1261" t="s">
        <v>9607</v>
      </c>
      <c r="O1261" t="s">
        <v>9631</v>
      </c>
      <c r="P1261" t="s">
        <v>9632</v>
      </c>
    </row>
    <row r="1262" spans="1:16" x14ac:dyDescent="0.35">
      <c r="A1262" t="s">
        <v>9633</v>
      </c>
      <c r="B1262" t="s">
        <v>32</v>
      </c>
      <c r="C1262" t="s">
        <v>341</v>
      </c>
      <c r="D1262" t="s">
        <v>268</v>
      </c>
      <c r="E1262" t="s">
        <v>9634</v>
      </c>
      <c r="F1262" t="s">
        <v>9635</v>
      </c>
      <c r="G1262" t="s">
        <v>4650</v>
      </c>
      <c r="H1262" t="s">
        <v>4650</v>
      </c>
      <c r="I1262" t="s">
        <v>9022</v>
      </c>
      <c r="J1262" t="s">
        <v>9636</v>
      </c>
      <c r="K1262" t="s">
        <v>9024</v>
      </c>
      <c r="L1262" t="s">
        <v>20</v>
      </c>
      <c r="M1262" t="s">
        <v>9637</v>
      </c>
      <c r="N1262" t="s">
        <v>9638</v>
      </c>
      <c r="O1262" t="s">
        <v>9639</v>
      </c>
      <c r="P1262" t="s">
        <v>9640</v>
      </c>
    </row>
    <row r="1263" spans="1:16" x14ac:dyDescent="0.35">
      <c r="A1263" t="s">
        <v>9641</v>
      </c>
      <c r="B1263" t="s">
        <v>32</v>
      </c>
      <c r="C1263" t="s">
        <v>357</v>
      </c>
      <c r="D1263" t="s">
        <v>24</v>
      </c>
      <c r="E1263" t="s">
        <v>9642</v>
      </c>
      <c r="F1263" t="s">
        <v>9643</v>
      </c>
      <c r="G1263" t="s">
        <v>4650</v>
      </c>
      <c r="H1263" t="s">
        <v>4650</v>
      </c>
      <c r="I1263" t="s">
        <v>9022</v>
      </c>
      <c r="J1263" t="s">
        <v>9644</v>
      </c>
      <c r="K1263" t="s">
        <v>9024</v>
      </c>
      <c r="L1263" t="s">
        <v>20</v>
      </c>
      <c r="M1263" t="s">
        <v>9637</v>
      </c>
      <c r="N1263" t="s">
        <v>9638</v>
      </c>
      <c r="O1263" t="s">
        <v>9645</v>
      </c>
      <c r="P1263" t="s">
        <v>9646</v>
      </c>
    </row>
    <row r="1264" spans="1:16" x14ac:dyDescent="0.35">
      <c r="A1264" t="s">
        <v>9648</v>
      </c>
      <c r="B1264" t="s">
        <v>55</v>
      </c>
      <c r="C1264" t="s">
        <v>177</v>
      </c>
      <c r="D1264" t="s">
        <v>1129</v>
      </c>
      <c r="E1264" t="s">
        <v>9649</v>
      </c>
      <c r="F1264" t="s">
        <v>9650</v>
      </c>
      <c r="G1264" t="s">
        <v>4650</v>
      </c>
      <c r="H1264" t="s">
        <v>4650</v>
      </c>
      <c r="I1264" t="s">
        <v>9022</v>
      </c>
      <c r="J1264" t="s">
        <v>9651</v>
      </c>
      <c r="K1264" t="s">
        <v>9024</v>
      </c>
      <c r="L1264" t="s">
        <v>20</v>
      </c>
      <c r="M1264" t="s">
        <v>9637</v>
      </c>
      <c r="N1264" t="s">
        <v>9638</v>
      </c>
      <c r="O1264" t="s">
        <v>9652</v>
      </c>
      <c r="P1264" t="s">
        <v>9653</v>
      </c>
    </row>
    <row r="1265" spans="1:16" x14ac:dyDescent="0.35">
      <c r="A1265" t="s">
        <v>9654</v>
      </c>
      <c r="B1265" t="s">
        <v>55</v>
      </c>
      <c r="C1265" t="s">
        <v>78</v>
      </c>
      <c r="D1265" t="s">
        <v>268</v>
      </c>
      <c r="E1265" t="s">
        <v>9655</v>
      </c>
      <c r="F1265" t="s">
        <v>9656</v>
      </c>
      <c r="G1265" t="s">
        <v>4650</v>
      </c>
      <c r="H1265" t="s">
        <v>4650</v>
      </c>
      <c r="I1265" t="s">
        <v>82</v>
      </c>
      <c r="J1265" t="s">
        <v>9657</v>
      </c>
      <c r="K1265" t="s">
        <v>84</v>
      </c>
      <c r="L1265" t="s">
        <v>20</v>
      </c>
      <c r="M1265" t="s">
        <v>9637</v>
      </c>
      <c r="N1265" t="s">
        <v>9638</v>
      </c>
      <c r="O1265" t="s">
        <v>9658</v>
      </c>
      <c r="P1265" t="s">
        <v>9659</v>
      </c>
    </row>
    <row r="1266" spans="1:16" x14ac:dyDescent="0.35">
      <c r="A1266" t="s">
        <v>9660</v>
      </c>
      <c r="B1266" t="s">
        <v>55</v>
      </c>
      <c r="C1266" t="s">
        <v>158</v>
      </c>
      <c r="D1266" t="s">
        <v>7873</v>
      </c>
      <c r="E1266" t="s">
        <v>9661</v>
      </c>
      <c r="F1266" t="s">
        <v>9662</v>
      </c>
      <c r="G1266" t="s">
        <v>4650</v>
      </c>
      <c r="H1266" t="s">
        <v>4650</v>
      </c>
      <c r="I1266" t="s">
        <v>9663</v>
      </c>
      <c r="J1266" t="s">
        <v>9664</v>
      </c>
      <c r="K1266" t="s">
        <v>9665</v>
      </c>
      <c r="L1266" t="s">
        <v>20</v>
      </c>
      <c r="M1266" t="s">
        <v>9637</v>
      </c>
      <c r="N1266" t="s">
        <v>9638</v>
      </c>
      <c r="O1266" t="s">
        <v>9666</v>
      </c>
      <c r="P1266" t="s">
        <v>9667</v>
      </c>
    </row>
    <row r="1267" spans="1:16" x14ac:dyDescent="0.35">
      <c r="A1267" t="s">
        <v>9668</v>
      </c>
      <c r="B1267" t="s">
        <v>55</v>
      </c>
      <c r="C1267" t="s">
        <v>691</v>
      </c>
      <c r="D1267" t="s">
        <v>403</v>
      </c>
      <c r="E1267" t="s">
        <v>9669</v>
      </c>
      <c r="F1267" t="s">
        <v>9670</v>
      </c>
      <c r="G1267" t="s">
        <v>4650</v>
      </c>
      <c r="H1267" t="s">
        <v>4650</v>
      </c>
      <c r="I1267" t="s">
        <v>1936</v>
      </c>
      <c r="J1267" t="s">
        <v>9671</v>
      </c>
      <c r="K1267" t="s">
        <v>1938</v>
      </c>
      <c r="L1267" t="s">
        <v>20</v>
      </c>
      <c r="M1267" t="s">
        <v>9672</v>
      </c>
      <c r="N1267" t="s">
        <v>9673</v>
      </c>
      <c r="O1267" t="s">
        <v>9674</v>
      </c>
      <c r="P1267" t="s">
        <v>9675</v>
      </c>
    </row>
    <row r="1268" spans="1:16" x14ac:dyDescent="0.35">
      <c r="A1268" t="s">
        <v>9676</v>
      </c>
      <c r="B1268" t="s">
        <v>32</v>
      </c>
      <c r="C1268" t="s">
        <v>241</v>
      </c>
      <c r="D1268" t="s">
        <v>22</v>
      </c>
      <c r="E1268" t="s">
        <v>9677</v>
      </c>
      <c r="F1268" t="s">
        <v>9678</v>
      </c>
      <c r="G1268" t="s">
        <v>4650</v>
      </c>
      <c r="H1268" t="s">
        <v>4650</v>
      </c>
      <c r="I1268" t="s">
        <v>9486</v>
      </c>
      <c r="J1268" t="s">
        <v>9679</v>
      </c>
      <c r="K1268" t="s">
        <v>19</v>
      </c>
      <c r="L1268" t="s">
        <v>20</v>
      </c>
      <c r="M1268" t="s">
        <v>9672</v>
      </c>
      <c r="N1268" t="s">
        <v>9673</v>
      </c>
      <c r="O1268" t="s">
        <v>9680</v>
      </c>
      <c r="P1268" t="s">
        <v>9681</v>
      </c>
    </row>
    <row r="1269" spans="1:16" x14ac:dyDescent="0.35">
      <c r="A1269" t="s">
        <v>9682</v>
      </c>
      <c r="B1269" t="s">
        <v>55</v>
      </c>
      <c r="C1269" t="s">
        <v>311</v>
      </c>
      <c r="D1269" t="s">
        <v>282</v>
      </c>
      <c r="E1269" t="s">
        <v>9683</v>
      </c>
      <c r="F1269" t="s">
        <v>9684</v>
      </c>
      <c r="G1269" t="s">
        <v>4650</v>
      </c>
      <c r="H1269" t="s">
        <v>4650</v>
      </c>
      <c r="I1269" t="s">
        <v>9685</v>
      </c>
      <c r="J1269" t="s">
        <v>9686</v>
      </c>
      <c r="K1269" t="s">
        <v>19</v>
      </c>
      <c r="L1269" t="s">
        <v>20</v>
      </c>
      <c r="M1269" t="s">
        <v>9672</v>
      </c>
      <c r="N1269" t="s">
        <v>9673</v>
      </c>
      <c r="O1269" t="s">
        <v>9687</v>
      </c>
      <c r="P1269" t="s">
        <v>9688</v>
      </c>
    </row>
    <row r="1270" spans="1:16" x14ac:dyDescent="0.35">
      <c r="A1270" t="s">
        <v>9689</v>
      </c>
      <c r="B1270" t="s">
        <v>55</v>
      </c>
      <c r="C1270" t="s">
        <v>205</v>
      </c>
      <c r="D1270" t="s">
        <v>68</v>
      </c>
      <c r="E1270" t="s">
        <v>9690</v>
      </c>
      <c r="F1270" t="s">
        <v>9691</v>
      </c>
      <c r="G1270" t="s">
        <v>4650</v>
      </c>
      <c r="H1270" t="s">
        <v>4650</v>
      </c>
      <c r="I1270" t="s">
        <v>9692</v>
      </c>
      <c r="J1270" t="s">
        <v>9693</v>
      </c>
      <c r="K1270" t="s">
        <v>19</v>
      </c>
      <c r="L1270" t="s">
        <v>20</v>
      </c>
      <c r="M1270" t="s">
        <v>9672</v>
      </c>
      <c r="N1270" t="s">
        <v>9673</v>
      </c>
      <c r="O1270" t="s">
        <v>9694</v>
      </c>
      <c r="P1270" t="s">
        <v>9695</v>
      </c>
    </row>
    <row r="1271" spans="1:16" x14ac:dyDescent="0.35">
      <c r="A1271" t="s">
        <v>9696</v>
      </c>
      <c r="B1271" t="s">
        <v>55</v>
      </c>
      <c r="C1271" t="s">
        <v>78</v>
      </c>
      <c r="D1271" t="s">
        <v>1643</v>
      </c>
      <c r="E1271" t="s">
        <v>9697</v>
      </c>
      <c r="F1271" t="s">
        <v>9698</v>
      </c>
      <c r="G1271" t="s">
        <v>4650</v>
      </c>
      <c r="H1271" t="s">
        <v>4650</v>
      </c>
      <c r="I1271" t="s">
        <v>9699</v>
      </c>
      <c r="J1271" t="s">
        <v>9700</v>
      </c>
      <c r="K1271" t="s">
        <v>9701</v>
      </c>
      <c r="L1271" t="s">
        <v>20</v>
      </c>
      <c r="M1271" t="s">
        <v>9672</v>
      </c>
      <c r="N1271" t="s">
        <v>9673</v>
      </c>
      <c r="O1271" t="s">
        <v>9702</v>
      </c>
      <c r="P1271" t="s">
        <v>9703</v>
      </c>
    </row>
    <row r="1272" spans="1:16" x14ac:dyDescent="0.35">
      <c r="A1272" t="s">
        <v>9704</v>
      </c>
      <c r="B1272" t="s">
        <v>55</v>
      </c>
      <c r="C1272" t="s">
        <v>117</v>
      </c>
      <c r="D1272" t="s">
        <v>124</v>
      </c>
      <c r="E1272" t="s">
        <v>9705</v>
      </c>
      <c r="F1272" t="s">
        <v>9706</v>
      </c>
      <c r="G1272" t="s">
        <v>4650</v>
      </c>
      <c r="H1272" t="s">
        <v>4650</v>
      </c>
      <c r="I1272" t="s">
        <v>9707</v>
      </c>
      <c r="J1272" t="s">
        <v>9708</v>
      </c>
      <c r="K1272" t="s">
        <v>9709</v>
      </c>
      <c r="L1272" t="s">
        <v>20</v>
      </c>
      <c r="M1272" t="s">
        <v>9672</v>
      </c>
      <c r="N1272" t="s">
        <v>9673</v>
      </c>
      <c r="O1272" t="s">
        <v>9710</v>
      </c>
      <c r="P1272" t="s">
        <v>9711</v>
      </c>
    </row>
    <row r="1273" spans="1:16" x14ac:dyDescent="0.35">
      <c r="A1273" t="s">
        <v>9712</v>
      </c>
      <c r="B1273" t="s">
        <v>55</v>
      </c>
      <c r="C1273" t="s">
        <v>78</v>
      </c>
      <c r="D1273" t="s">
        <v>8307</v>
      </c>
      <c r="E1273" t="s">
        <v>9713</v>
      </c>
      <c r="F1273" t="s">
        <v>9714</v>
      </c>
      <c r="G1273" t="s">
        <v>4650</v>
      </c>
      <c r="H1273" t="s">
        <v>4650</v>
      </c>
      <c r="I1273" t="s">
        <v>28</v>
      </c>
      <c r="J1273" t="s">
        <v>9715</v>
      </c>
      <c r="K1273" t="s">
        <v>19</v>
      </c>
      <c r="L1273" t="s">
        <v>20</v>
      </c>
      <c r="M1273" t="s">
        <v>9672</v>
      </c>
      <c r="N1273" t="s">
        <v>9673</v>
      </c>
      <c r="O1273" t="s">
        <v>9716</v>
      </c>
      <c r="P1273" t="s">
        <v>9717</v>
      </c>
    </row>
    <row r="1274" spans="1:16" x14ac:dyDescent="0.35">
      <c r="A1274" t="s">
        <v>9718</v>
      </c>
      <c r="B1274" t="s">
        <v>55</v>
      </c>
      <c r="C1274" t="s">
        <v>448</v>
      </c>
      <c r="D1274" t="s">
        <v>549</v>
      </c>
      <c r="E1274" t="s">
        <v>9719</v>
      </c>
      <c r="F1274" t="s">
        <v>9720</v>
      </c>
      <c r="G1274" t="s">
        <v>4650</v>
      </c>
      <c r="H1274" t="s">
        <v>4650</v>
      </c>
      <c r="I1274" t="s">
        <v>9022</v>
      </c>
      <c r="J1274" t="s">
        <v>9721</v>
      </c>
      <c r="K1274" t="s">
        <v>9024</v>
      </c>
      <c r="L1274" t="s">
        <v>20</v>
      </c>
      <c r="M1274" t="s">
        <v>9672</v>
      </c>
      <c r="N1274" t="s">
        <v>9673</v>
      </c>
      <c r="O1274" t="s">
        <v>9722</v>
      </c>
      <c r="P1274" t="s">
        <v>9723</v>
      </c>
    </row>
    <row r="1275" spans="1:16" x14ac:dyDescent="0.35">
      <c r="A1275" t="s">
        <v>9724</v>
      </c>
      <c r="B1275" t="s">
        <v>55</v>
      </c>
      <c r="C1275" t="s">
        <v>78</v>
      </c>
      <c r="D1275" t="s">
        <v>1795</v>
      </c>
      <c r="E1275" t="s">
        <v>28</v>
      </c>
      <c r="F1275" t="s">
        <v>9725</v>
      </c>
      <c r="G1275" t="s">
        <v>9726</v>
      </c>
      <c r="H1275" t="s">
        <v>4650</v>
      </c>
      <c r="I1275" t="s">
        <v>9727</v>
      </c>
      <c r="J1275" t="s">
        <v>9728</v>
      </c>
      <c r="K1275" t="s">
        <v>9729</v>
      </c>
      <c r="L1275" t="s">
        <v>20</v>
      </c>
      <c r="M1275" t="s">
        <v>9672</v>
      </c>
      <c r="N1275" t="s">
        <v>9673</v>
      </c>
      <c r="O1275" t="s">
        <v>9730</v>
      </c>
      <c r="P1275" t="s">
        <v>9731</v>
      </c>
    </row>
    <row r="1276" spans="1:16" x14ac:dyDescent="0.35">
      <c r="A1276" t="s">
        <v>2098</v>
      </c>
      <c r="B1276" t="s">
        <v>55</v>
      </c>
      <c r="C1276" t="s">
        <v>28</v>
      </c>
      <c r="D1276" t="s">
        <v>28</v>
      </c>
      <c r="E1276" t="s">
        <v>9732</v>
      </c>
      <c r="F1276" t="s">
        <v>9733</v>
      </c>
      <c r="G1276" t="s">
        <v>4650</v>
      </c>
      <c r="H1276" t="s">
        <v>4650</v>
      </c>
      <c r="I1276" t="s">
        <v>28</v>
      </c>
      <c r="J1276" t="s">
        <v>9734</v>
      </c>
      <c r="K1276" t="s">
        <v>19</v>
      </c>
      <c r="L1276" t="s">
        <v>20</v>
      </c>
      <c r="M1276" t="s">
        <v>9735</v>
      </c>
      <c r="N1276" t="s">
        <v>9736</v>
      </c>
      <c r="O1276" t="s">
        <v>9737</v>
      </c>
      <c r="P1276" t="s">
        <v>9738</v>
      </c>
    </row>
    <row r="1277" spans="1:16" x14ac:dyDescent="0.35">
      <c r="A1277" t="s">
        <v>9739</v>
      </c>
      <c r="B1277" t="s">
        <v>107</v>
      </c>
      <c r="C1277" t="s">
        <v>177</v>
      </c>
      <c r="D1277" t="s">
        <v>324</v>
      </c>
      <c r="E1277" t="s">
        <v>9740</v>
      </c>
      <c r="F1277" t="s">
        <v>9741</v>
      </c>
      <c r="G1277" t="s">
        <v>4650</v>
      </c>
      <c r="H1277" t="s">
        <v>4650</v>
      </c>
      <c r="I1277" t="s">
        <v>28</v>
      </c>
      <c r="J1277" t="s">
        <v>9742</v>
      </c>
      <c r="K1277" t="s">
        <v>19</v>
      </c>
      <c r="L1277" t="s">
        <v>20</v>
      </c>
      <c r="M1277" t="s">
        <v>9735</v>
      </c>
      <c r="N1277" t="s">
        <v>9736</v>
      </c>
      <c r="O1277" t="s">
        <v>9743</v>
      </c>
      <c r="P1277" t="s">
        <v>915</v>
      </c>
    </row>
    <row r="1278" spans="1:16" x14ac:dyDescent="0.35">
      <c r="A1278" t="s">
        <v>9744</v>
      </c>
      <c r="B1278" t="s">
        <v>55</v>
      </c>
      <c r="C1278" t="s">
        <v>474</v>
      </c>
      <c r="D1278" t="s">
        <v>1591</v>
      </c>
      <c r="E1278" t="s">
        <v>9745</v>
      </c>
      <c r="F1278" t="s">
        <v>9746</v>
      </c>
      <c r="G1278" t="s">
        <v>4650</v>
      </c>
      <c r="H1278" t="s">
        <v>4650</v>
      </c>
      <c r="I1278" t="s">
        <v>82</v>
      </c>
      <c r="J1278" t="s">
        <v>9747</v>
      </c>
      <c r="K1278" t="s">
        <v>84</v>
      </c>
      <c r="L1278" t="s">
        <v>20</v>
      </c>
      <c r="M1278" t="s">
        <v>9735</v>
      </c>
      <c r="N1278" t="s">
        <v>9736</v>
      </c>
      <c r="O1278" t="s">
        <v>9748</v>
      </c>
      <c r="P1278" t="s">
        <v>9749</v>
      </c>
    </row>
    <row r="1279" spans="1:16" x14ac:dyDescent="0.35">
      <c r="A1279" t="s">
        <v>9750</v>
      </c>
      <c r="B1279" t="s">
        <v>55</v>
      </c>
      <c r="C1279" t="s">
        <v>474</v>
      </c>
      <c r="D1279" t="s">
        <v>1286</v>
      </c>
      <c r="E1279" t="s">
        <v>9751</v>
      </c>
      <c r="F1279" t="s">
        <v>9752</v>
      </c>
      <c r="G1279" t="s">
        <v>4650</v>
      </c>
      <c r="H1279" t="s">
        <v>4650</v>
      </c>
      <c r="I1279" t="s">
        <v>9022</v>
      </c>
      <c r="J1279" t="s">
        <v>9753</v>
      </c>
      <c r="K1279" t="s">
        <v>9024</v>
      </c>
      <c r="L1279" t="s">
        <v>20</v>
      </c>
      <c r="M1279" t="s">
        <v>9735</v>
      </c>
      <c r="N1279" t="s">
        <v>9736</v>
      </c>
      <c r="O1279" t="s">
        <v>9754</v>
      </c>
      <c r="P1279" t="s">
        <v>9755</v>
      </c>
    </row>
    <row r="1280" spans="1:16" x14ac:dyDescent="0.35">
      <c r="A1280" t="s">
        <v>9756</v>
      </c>
      <c r="B1280" t="s">
        <v>55</v>
      </c>
      <c r="C1280" t="s">
        <v>241</v>
      </c>
      <c r="D1280" t="s">
        <v>629</v>
      </c>
      <c r="E1280" t="s">
        <v>9757</v>
      </c>
      <c r="F1280" t="s">
        <v>9758</v>
      </c>
      <c r="G1280" t="s">
        <v>4650</v>
      </c>
      <c r="H1280" t="s">
        <v>4650</v>
      </c>
      <c r="I1280" t="s">
        <v>596</v>
      </c>
      <c r="J1280" t="s">
        <v>9759</v>
      </c>
      <c r="K1280" t="s">
        <v>598</v>
      </c>
      <c r="L1280" t="s">
        <v>20</v>
      </c>
      <c r="M1280" t="s">
        <v>9735</v>
      </c>
      <c r="N1280" t="s">
        <v>9736</v>
      </c>
      <c r="O1280" t="s">
        <v>9760</v>
      </c>
      <c r="P1280" t="s">
        <v>9761</v>
      </c>
    </row>
    <row r="1281" spans="1:16" x14ac:dyDescent="0.35">
      <c r="A1281" t="s">
        <v>9762</v>
      </c>
      <c r="B1281" t="s">
        <v>55</v>
      </c>
      <c r="C1281" t="s">
        <v>205</v>
      </c>
      <c r="D1281" t="s">
        <v>242</v>
      </c>
      <c r="E1281" t="s">
        <v>9763</v>
      </c>
      <c r="F1281" t="s">
        <v>9764</v>
      </c>
      <c r="G1281" t="s">
        <v>4650</v>
      </c>
      <c r="H1281" t="s">
        <v>4650</v>
      </c>
      <c r="I1281" t="s">
        <v>2101</v>
      </c>
      <c r="J1281" t="s">
        <v>9765</v>
      </c>
      <c r="K1281" t="s">
        <v>2103</v>
      </c>
      <c r="L1281" t="s">
        <v>20</v>
      </c>
      <c r="M1281" t="s">
        <v>9735</v>
      </c>
      <c r="N1281" t="s">
        <v>9736</v>
      </c>
      <c r="O1281" t="s">
        <v>9766</v>
      </c>
      <c r="P1281" t="s">
        <v>9767</v>
      </c>
    </row>
    <row r="1282" spans="1:16" x14ac:dyDescent="0.35">
      <c r="A1282" t="s">
        <v>9768</v>
      </c>
      <c r="B1282" t="s">
        <v>55</v>
      </c>
      <c r="C1282" t="s">
        <v>548</v>
      </c>
      <c r="D1282" t="s">
        <v>475</v>
      </c>
      <c r="E1282" t="s">
        <v>9769</v>
      </c>
      <c r="F1282" t="s">
        <v>9770</v>
      </c>
      <c r="G1282" t="s">
        <v>4650</v>
      </c>
      <c r="H1282" t="s">
        <v>4650</v>
      </c>
      <c r="I1282" t="s">
        <v>9771</v>
      </c>
      <c r="J1282" t="s">
        <v>9772</v>
      </c>
      <c r="K1282" t="s">
        <v>19</v>
      </c>
      <c r="L1282" t="s">
        <v>20</v>
      </c>
      <c r="M1282" t="s">
        <v>9735</v>
      </c>
      <c r="N1282" t="s">
        <v>9736</v>
      </c>
      <c r="O1282" t="s">
        <v>9773</v>
      </c>
      <c r="P1282" t="s">
        <v>9774</v>
      </c>
    </row>
    <row r="1283" spans="1:16" x14ac:dyDescent="0.35">
      <c r="A1283" t="s">
        <v>9775</v>
      </c>
      <c r="B1283" t="s">
        <v>55</v>
      </c>
      <c r="C1283" t="s">
        <v>311</v>
      </c>
      <c r="D1283" t="s">
        <v>22</v>
      </c>
      <c r="E1283" t="s">
        <v>9776</v>
      </c>
      <c r="F1283" t="s">
        <v>9777</v>
      </c>
      <c r="G1283" t="s">
        <v>4650</v>
      </c>
      <c r="H1283" t="s">
        <v>4650</v>
      </c>
      <c r="I1283" t="s">
        <v>82</v>
      </c>
      <c r="J1283" t="s">
        <v>9778</v>
      </c>
      <c r="K1283" t="s">
        <v>84</v>
      </c>
      <c r="L1283" t="s">
        <v>20</v>
      </c>
      <c r="M1283" t="s">
        <v>9779</v>
      </c>
      <c r="N1283" t="s">
        <v>9780</v>
      </c>
      <c r="O1283" t="s">
        <v>9781</v>
      </c>
      <c r="P1283" t="s">
        <v>9782</v>
      </c>
    </row>
    <row r="1284" spans="1:16" x14ac:dyDescent="0.35">
      <c r="A1284" t="s">
        <v>9783</v>
      </c>
      <c r="B1284" t="s">
        <v>55</v>
      </c>
      <c r="C1284" t="s">
        <v>474</v>
      </c>
      <c r="D1284" t="s">
        <v>206</v>
      </c>
      <c r="E1284" t="s">
        <v>9784</v>
      </c>
      <c r="F1284" t="s">
        <v>9785</v>
      </c>
      <c r="G1284" t="s">
        <v>4650</v>
      </c>
      <c r="H1284" t="s">
        <v>4650</v>
      </c>
      <c r="I1284" t="s">
        <v>82</v>
      </c>
      <c r="J1284" t="s">
        <v>9786</v>
      </c>
      <c r="K1284" t="s">
        <v>84</v>
      </c>
      <c r="L1284" t="s">
        <v>20</v>
      </c>
      <c r="M1284" t="s">
        <v>9787</v>
      </c>
      <c r="N1284" t="s">
        <v>9788</v>
      </c>
      <c r="O1284" t="s">
        <v>9789</v>
      </c>
      <c r="P1284" t="s">
        <v>9790</v>
      </c>
    </row>
    <row r="1285" spans="1:16" x14ac:dyDescent="0.35">
      <c r="A1285" t="s">
        <v>9791</v>
      </c>
      <c r="B1285" t="s">
        <v>55</v>
      </c>
      <c r="C1285" t="s">
        <v>691</v>
      </c>
      <c r="D1285" t="s">
        <v>348</v>
      </c>
      <c r="E1285" t="s">
        <v>9792</v>
      </c>
      <c r="F1285" t="s">
        <v>9793</v>
      </c>
      <c r="G1285" t="s">
        <v>4650</v>
      </c>
      <c r="H1285" t="s">
        <v>4650</v>
      </c>
      <c r="I1285" t="s">
        <v>9794</v>
      </c>
      <c r="J1285" t="s">
        <v>9795</v>
      </c>
      <c r="K1285" t="s">
        <v>19</v>
      </c>
      <c r="L1285" t="s">
        <v>20</v>
      </c>
      <c r="M1285" t="s">
        <v>9787</v>
      </c>
      <c r="N1285" t="s">
        <v>9788</v>
      </c>
      <c r="O1285" t="s">
        <v>9796</v>
      </c>
      <c r="P1285" t="s">
        <v>9797</v>
      </c>
    </row>
    <row r="1286" spans="1:16" x14ac:dyDescent="0.35">
      <c r="A1286" t="s">
        <v>9798</v>
      </c>
      <c r="B1286" t="s">
        <v>55</v>
      </c>
      <c r="C1286" t="s">
        <v>474</v>
      </c>
      <c r="D1286" t="s">
        <v>9799</v>
      </c>
      <c r="E1286" t="s">
        <v>9800</v>
      </c>
      <c r="F1286" t="s">
        <v>9801</v>
      </c>
      <c r="G1286" t="s">
        <v>4650</v>
      </c>
      <c r="H1286" t="s">
        <v>4650</v>
      </c>
      <c r="I1286" t="s">
        <v>162</v>
      </c>
      <c r="J1286" t="s">
        <v>9802</v>
      </c>
      <c r="K1286" t="s">
        <v>164</v>
      </c>
      <c r="L1286" t="s">
        <v>20</v>
      </c>
      <c r="M1286" t="s">
        <v>9787</v>
      </c>
      <c r="N1286" t="s">
        <v>9788</v>
      </c>
      <c r="O1286" t="s">
        <v>9803</v>
      </c>
      <c r="P1286" t="s">
        <v>9804</v>
      </c>
    </row>
    <row r="1287" spans="1:16" x14ac:dyDescent="0.35">
      <c r="A1287" t="s">
        <v>1209</v>
      </c>
      <c r="B1287" t="s">
        <v>32</v>
      </c>
      <c r="C1287" t="s">
        <v>140</v>
      </c>
      <c r="D1287" t="s">
        <v>374</v>
      </c>
      <c r="E1287" t="s">
        <v>9805</v>
      </c>
      <c r="F1287" t="s">
        <v>9806</v>
      </c>
      <c r="G1287" t="s">
        <v>9807</v>
      </c>
      <c r="H1287" t="s">
        <v>4650</v>
      </c>
      <c r="I1287" t="s">
        <v>9808</v>
      </c>
      <c r="J1287" t="s">
        <v>9809</v>
      </c>
      <c r="K1287" t="s">
        <v>19</v>
      </c>
      <c r="L1287" t="s">
        <v>20</v>
      </c>
      <c r="M1287" t="s">
        <v>9810</v>
      </c>
      <c r="N1287" t="s">
        <v>9811</v>
      </c>
      <c r="O1287" t="s">
        <v>9812</v>
      </c>
      <c r="P1287" t="s">
        <v>9813</v>
      </c>
    </row>
    <row r="1288" spans="1:16" x14ac:dyDescent="0.35">
      <c r="A1288" t="s">
        <v>9814</v>
      </c>
      <c r="B1288" t="s">
        <v>373</v>
      </c>
      <c r="C1288" t="s">
        <v>78</v>
      </c>
      <c r="D1288" t="s">
        <v>5874</v>
      </c>
      <c r="E1288" t="s">
        <v>9815</v>
      </c>
      <c r="F1288" t="s">
        <v>9816</v>
      </c>
      <c r="G1288" t="s">
        <v>4650</v>
      </c>
      <c r="H1288" t="s">
        <v>4650</v>
      </c>
      <c r="I1288" t="s">
        <v>2101</v>
      </c>
      <c r="J1288" t="s">
        <v>9817</v>
      </c>
      <c r="K1288" t="s">
        <v>2103</v>
      </c>
      <c r="L1288" t="s">
        <v>20</v>
      </c>
      <c r="M1288" t="s">
        <v>9818</v>
      </c>
      <c r="N1288" t="s">
        <v>9819</v>
      </c>
      <c r="O1288" t="s">
        <v>9820</v>
      </c>
      <c r="P1288" t="s">
        <v>9821</v>
      </c>
    </row>
    <row r="1289" spans="1:16" x14ac:dyDescent="0.35">
      <c r="A1289" t="s">
        <v>482</v>
      </c>
      <c r="B1289" t="s">
        <v>55</v>
      </c>
      <c r="C1289" t="s">
        <v>78</v>
      </c>
      <c r="D1289" t="s">
        <v>6327</v>
      </c>
      <c r="E1289" t="s">
        <v>9822</v>
      </c>
      <c r="F1289" t="s">
        <v>9823</v>
      </c>
      <c r="G1289" t="s">
        <v>4650</v>
      </c>
      <c r="H1289" t="s">
        <v>4650</v>
      </c>
      <c r="I1289" t="s">
        <v>162</v>
      </c>
      <c r="J1289" t="s">
        <v>9824</v>
      </c>
      <c r="K1289" t="s">
        <v>164</v>
      </c>
      <c r="L1289" t="s">
        <v>20</v>
      </c>
      <c r="M1289" t="s">
        <v>9825</v>
      </c>
      <c r="N1289" t="s">
        <v>9826</v>
      </c>
      <c r="O1289" t="s">
        <v>9827</v>
      </c>
      <c r="P1289" t="s">
        <v>9828</v>
      </c>
    </row>
    <row r="1290" spans="1:16" x14ac:dyDescent="0.35">
      <c r="A1290" t="s">
        <v>9829</v>
      </c>
      <c r="B1290" t="s">
        <v>55</v>
      </c>
      <c r="C1290" t="s">
        <v>548</v>
      </c>
      <c r="D1290" t="s">
        <v>9830</v>
      </c>
      <c r="E1290" t="s">
        <v>9831</v>
      </c>
      <c r="F1290" t="s">
        <v>9832</v>
      </c>
      <c r="G1290" t="s">
        <v>4650</v>
      </c>
      <c r="H1290" t="s">
        <v>4650</v>
      </c>
      <c r="I1290" t="s">
        <v>9833</v>
      </c>
      <c r="J1290" t="s">
        <v>9834</v>
      </c>
      <c r="K1290" t="s">
        <v>9835</v>
      </c>
      <c r="L1290" t="s">
        <v>20</v>
      </c>
      <c r="M1290" t="s">
        <v>9825</v>
      </c>
      <c r="N1290" t="s">
        <v>9826</v>
      </c>
      <c r="O1290" t="s">
        <v>9836</v>
      </c>
      <c r="P1290" t="s">
        <v>9837</v>
      </c>
    </row>
    <row r="1291" spans="1:16" x14ac:dyDescent="0.35">
      <c r="A1291" t="s">
        <v>9838</v>
      </c>
      <c r="B1291" t="s">
        <v>55</v>
      </c>
      <c r="C1291" t="s">
        <v>78</v>
      </c>
      <c r="D1291" t="s">
        <v>6241</v>
      </c>
      <c r="E1291" t="s">
        <v>9839</v>
      </c>
      <c r="F1291" t="s">
        <v>9840</v>
      </c>
      <c r="G1291" t="s">
        <v>4650</v>
      </c>
      <c r="H1291" t="s">
        <v>4650</v>
      </c>
      <c r="I1291" t="s">
        <v>9841</v>
      </c>
      <c r="J1291" t="s">
        <v>9842</v>
      </c>
      <c r="K1291" t="s">
        <v>9843</v>
      </c>
      <c r="L1291" t="s">
        <v>20</v>
      </c>
      <c r="M1291" t="s">
        <v>9825</v>
      </c>
      <c r="N1291" t="s">
        <v>9826</v>
      </c>
      <c r="O1291" t="s">
        <v>9844</v>
      </c>
      <c r="P1291" t="s">
        <v>9845</v>
      </c>
    </row>
    <row r="1292" spans="1:16" x14ac:dyDescent="0.35">
      <c r="A1292" t="s">
        <v>9846</v>
      </c>
      <c r="B1292" t="s">
        <v>55</v>
      </c>
      <c r="C1292" t="s">
        <v>117</v>
      </c>
      <c r="D1292" t="s">
        <v>16</v>
      </c>
      <c r="E1292" t="s">
        <v>9847</v>
      </c>
      <c r="F1292" t="s">
        <v>9848</v>
      </c>
      <c r="G1292" t="s">
        <v>4650</v>
      </c>
      <c r="H1292" t="s">
        <v>4650</v>
      </c>
      <c r="I1292" t="s">
        <v>28</v>
      </c>
      <c r="J1292" t="s">
        <v>9849</v>
      </c>
      <c r="K1292" t="s">
        <v>19</v>
      </c>
      <c r="L1292" t="s">
        <v>20</v>
      </c>
      <c r="M1292" t="s">
        <v>9850</v>
      </c>
      <c r="N1292" t="s">
        <v>9851</v>
      </c>
      <c r="O1292" t="s">
        <v>9852</v>
      </c>
      <c r="P1292" t="s">
        <v>9853</v>
      </c>
    </row>
    <row r="1293" spans="1:16" x14ac:dyDescent="0.35">
      <c r="A1293" t="s">
        <v>482</v>
      </c>
      <c r="B1293" t="s">
        <v>55</v>
      </c>
      <c r="C1293" t="s">
        <v>497</v>
      </c>
      <c r="D1293" t="s">
        <v>68</v>
      </c>
      <c r="E1293" t="s">
        <v>9856</v>
      </c>
      <c r="F1293" t="s">
        <v>9857</v>
      </c>
      <c r="G1293" t="s">
        <v>4650</v>
      </c>
      <c r="H1293" t="s">
        <v>4650</v>
      </c>
      <c r="I1293" t="s">
        <v>162</v>
      </c>
      <c r="J1293" t="s">
        <v>9858</v>
      </c>
      <c r="K1293" t="s">
        <v>164</v>
      </c>
      <c r="L1293" t="s">
        <v>20</v>
      </c>
      <c r="M1293" t="s">
        <v>9854</v>
      </c>
      <c r="N1293" t="s">
        <v>9855</v>
      </c>
      <c r="O1293" t="s">
        <v>9859</v>
      </c>
      <c r="P1293" t="s">
        <v>9860</v>
      </c>
    </row>
    <row r="1294" spans="1:16" x14ac:dyDescent="0.35">
      <c r="A1294" t="s">
        <v>9861</v>
      </c>
      <c r="B1294" t="s">
        <v>157</v>
      </c>
      <c r="C1294" t="s">
        <v>474</v>
      </c>
      <c r="D1294" t="s">
        <v>9862</v>
      </c>
      <c r="E1294" t="s">
        <v>9863</v>
      </c>
      <c r="F1294" t="s">
        <v>9864</v>
      </c>
      <c r="G1294" t="s">
        <v>4650</v>
      </c>
      <c r="H1294" t="s">
        <v>4650</v>
      </c>
      <c r="I1294" t="s">
        <v>9022</v>
      </c>
      <c r="J1294" t="s">
        <v>9865</v>
      </c>
      <c r="K1294" t="s">
        <v>9024</v>
      </c>
      <c r="L1294" t="s">
        <v>20</v>
      </c>
      <c r="M1294" t="s">
        <v>9866</v>
      </c>
      <c r="N1294" t="s">
        <v>9867</v>
      </c>
      <c r="O1294" t="s">
        <v>9868</v>
      </c>
      <c r="P1294" t="s">
        <v>9869</v>
      </c>
    </row>
    <row r="1295" spans="1:16" x14ac:dyDescent="0.35">
      <c r="A1295" t="s">
        <v>9870</v>
      </c>
      <c r="B1295" t="s">
        <v>55</v>
      </c>
      <c r="C1295" t="s">
        <v>177</v>
      </c>
      <c r="D1295" t="s">
        <v>206</v>
      </c>
      <c r="E1295" t="s">
        <v>9871</v>
      </c>
      <c r="F1295" t="s">
        <v>9872</v>
      </c>
      <c r="G1295" t="s">
        <v>9873</v>
      </c>
      <c r="H1295" t="s">
        <v>4650</v>
      </c>
      <c r="I1295" t="s">
        <v>596</v>
      </c>
      <c r="J1295" t="s">
        <v>9874</v>
      </c>
      <c r="K1295" t="s">
        <v>598</v>
      </c>
      <c r="L1295" t="s">
        <v>20</v>
      </c>
      <c r="M1295" t="s">
        <v>9875</v>
      </c>
      <c r="N1295" t="s">
        <v>9876</v>
      </c>
      <c r="O1295" t="s">
        <v>9877</v>
      </c>
      <c r="P1295" t="s">
        <v>9878</v>
      </c>
    </row>
    <row r="1296" spans="1:16" x14ac:dyDescent="0.35">
      <c r="A1296" t="s">
        <v>9880</v>
      </c>
      <c r="B1296" t="s">
        <v>88</v>
      </c>
      <c r="C1296" t="s">
        <v>4840</v>
      </c>
      <c r="D1296" t="s">
        <v>449</v>
      </c>
      <c r="E1296" t="s">
        <v>9881</v>
      </c>
      <c r="F1296" t="s">
        <v>9882</v>
      </c>
      <c r="G1296" t="s">
        <v>9883</v>
      </c>
      <c r="H1296" t="s">
        <v>4650</v>
      </c>
      <c r="I1296" t="s">
        <v>28</v>
      </c>
      <c r="J1296" t="s">
        <v>9884</v>
      </c>
      <c r="K1296" t="s">
        <v>19</v>
      </c>
      <c r="L1296" t="s">
        <v>20</v>
      </c>
      <c r="M1296" t="s">
        <v>9885</v>
      </c>
      <c r="N1296" t="s">
        <v>9886</v>
      </c>
      <c r="O1296" t="s">
        <v>9887</v>
      </c>
      <c r="P1296" t="s">
        <v>9888</v>
      </c>
    </row>
    <row r="1297" spans="1:16" x14ac:dyDescent="0.35">
      <c r="A1297" t="s">
        <v>3510</v>
      </c>
      <c r="B1297" t="s">
        <v>55</v>
      </c>
      <c r="C1297" t="s">
        <v>1128</v>
      </c>
      <c r="D1297" t="s">
        <v>27</v>
      </c>
      <c r="E1297" t="s">
        <v>28</v>
      </c>
      <c r="F1297" t="s">
        <v>9889</v>
      </c>
      <c r="G1297" t="s">
        <v>9726</v>
      </c>
      <c r="H1297" t="s">
        <v>4650</v>
      </c>
      <c r="I1297" t="s">
        <v>1299</v>
      </c>
      <c r="J1297" t="s">
        <v>9890</v>
      </c>
      <c r="K1297" t="s">
        <v>19</v>
      </c>
      <c r="L1297" t="s">
        <v>20</v>
      </c>
      <c r="M1297" t="s">
        <v>9891</v>
      </c>
      <c r="N1297" t="s">
        <v>9892</v>
      </c>
      <c r="O1297" t="s">
        <v>9893</v>
      </c>
      <c r="P1297" t="s">
        <v>9894</v>
      </c>
    </row>
    <row r="1298" spans="1:16" x14ac:dyDescent="0.35">
      <c r="A1298" t="s">
        <v>9895</v>
      </c>
      <c r="B1298" t="s">
        <v>55</v>
      </c>
      <c r="C1298" t="s">
        <v>250</v>
      </c>
      <c r="D1298" t="s">
        <v>9896</v>
      </c>
      <c r="E1298" t="s">
        <v>9897</v>
      </c>
      <c r="F1298" t="s">
        <v>9898</v>
      </c>
      <c r="G1298" t="s">
        <v>9883</v>
      </c>
      <c r="H1298" t="s">
        <v>4650</v>
      </c>
      <c r="I1298" t="s">
        <v>9486</v>
      </c>
      <c r="J1298" t="s">
        <v>9899</v>
      </c>
      <c r="K1298" t="s">
        <v>19</v>
      </c>
      <c r="L1298" t="s">
        <v>20</v>
      </c>
      <c r="M1298" t="s">
        <v>9900</v>
      </c>
      <c r="N1298" t="s">
        <v>9901</v>
      </c>
      <c r="O1298" t="s">
        <v>9902</v>
      </c>
      <c r="P1298" t="s">
        <v>9903</v>
      </c>
    </row>
    <row r="1299" spans="1:16" x14ac:dyDescent="0.35">
      <c r="A1299" t="s">
        <v>9712</v>
      </c>
      <c r="B1299" t="s">
        <v>55</v>
      </c>
      <c r="C1299" t="s">
        <v>140</v>
      </c>
      <c r="D1299" t="s">
        <v>206</v>
      </c>
      <c r="E1299" t="s">
        <v>9905</v>
      </c>
      <c r="F1299" t="s">
        <v>9906</v>
      </c>
      <c r="G1299" t="s">
        <v>9907</v>
      </c>
      <c r="H1299" t="s">
        <v>4650</v>
      </c>
      <c r="I1299" t="s">
        <v>28</v>
      </c>
      <c r="J1299" t="s">
        <v>9908</v>
      </c>
      <c r="K1299" t="s">
        <v>19</v>
      </c>
      <c r="L1299" t="s">
        <v>20</v>
      </c>
      <c r="M1299" t="s">
        <v>9909</v>
      </c>
      <c r="N1299" t="s">
        <v>9910</v>
      </c>
      <c r="O1299" t="s">
        <v>9911</v>
      </c>
      <c r="P1299" t="s">
        <v>9912</v>
      </c>
    </row>
    <row r="1300" spans="1:16" x14ac:dyDescent="0.35">
      <c r="A1300" t="s">
        <v>9913</v>
      </c>
      <c r="B1300" t="s">
        <v>55</v>
      </c>
      <c r="C1300" t="s">
        <v>78</v>
      </c>
      <c r="D1300" t="s">
        <v>22</v>
      </c>
      <c r="E1300" t="s">
        <v>9914</v>
      </c>
      <c r="F1300" t="s">
        <v>9915</v>
      </c>
      <c r="G1300" t="s">
        <v>9879</v>
      </c>
      <c r="H1300" t="s">
        <v>4650</v>
      </c>
      <c r="I1300" t="s">
        <v>9486</v>
      </c>
      <c r="J1300" t="s">
        <v>9916</v>
      </c>
      <c r="K1300" t="s">
        <v>19</v>
      </c>
      <c r="L1300" t="s">
        <v>20</v>
      </c>
      <c r="M1300" t="s">
        <v>9917</v>
      </c>
      <c r="N1300" t="s">
        <v>9918</v>
      </c>
      <c r="O1300" t="s">
        <v>9919</v>
      </c>
      <c r="P1300" t="s">
        <v>9920</v>
      </c>
    </row>
    <row r="1301" spans="1:16" x14ac:dyDescent="0.35">
      <c r="A1301" t="s">
        <v>9921</v>
      </c>
      <c r="B1301" t="s">
        <v>55</v>
      </c>
      <c r="C1301" t="s">
        <v>311</v>
      </c>
      <c r="D1301" t="s">
        <v>953</v>
      </c>
      <c r="E1301" t="s">
        <v>9922</v>
      </c>
      <c r="F1301" t="s">
        <v>9923</v>
      </c>
      <c r="G1301" t="s">
        <v>9924</v>
      </c>
      <c r="H1301" t="s">
        <v>4650</v>
      </c>
      <c r="I1301" t="s">
        <v>28</v>
      </c>
      <c r="J1301" t="s">
        <v>28</v>
      </c>
      <c r="K1301" t="s">
        <v>19</v>
      </c>
      <c r="L1301" t="s">
        <v>20</v>
      </c>
      <c r="M1301" t="s">
        <v>9925</v>
      </c>
      <c r="N1301" t="s">
        <v>9926</v>
      </c>
      <c r="O1301" t="s">
        <v>9927</v>
      </c>
      <c r="P1301" t="s">
        <v>9928</v>
      </c>
    </row>
    <row r="1302" spans="1:16" x14ac:dyDescent="0.35">
      <c r="A1302" t="s">
        <v>2159</v>
      </c>
      <c r="B1302" t="s">
        <v>55</v>
      </c>
      <c r="C1302" t="s">
        <v>474</v>
      </c>
      <c r="D1302" t="s">
        <v>2116</v>
      </c>
      <c r="E1302" t="s">
        <v>9929</v>
      </c>
      <c r="F1302" t="s">
        <v>9930</v>
      </c>
      <c r="G1302" t="s">
        <v>9931</v>
      </c>
      <c r="H1302" t="s">
        <v>4650</v>
      </c>
      <c r="I1302" t="s">
        <v>28</v>
      </c>
      <c r="J1302" t="s">
        <v>9932</v>
      </c>
      <c r="K1302" t="s">
        <v>19</v>
      </c>
      <c r="L1302" t="s">
        <v>20</v>
      </c>
      <c r="M1302" t="s">
        <v>9933</v>
      </c>
      <c r="N1302" t="s">
        <v>9934</v>
      </c>
      <c r="O1302" t="s">
        <v>9935</v>
      </c>
      <c r="P1302" t="s">
        <v>9936</v>
      </c>
    </row>
    <row r="1303" spans="1:16" x14ac:dyDescent="0.35">
      <c r="A1303" t="s">
        <v>9937</v>
      </c>
      <c r="B1303" t="s">
        <v>55</v>
      </c>
      <c r="C1303" t="s">
        <v>28</v>
      </c>
      <c r="D1303" t="s">
        <v>28</v>
      </c>
      <c r="E1303" t="s">
        <v>9938</v>
      </c>
      <c r="F1303" t="s">
        <v>9939</v>
      </c>
      <c r="G1303" t="s">
        <v>9940</v>
      </c>
      <c r="H1303" t="s">
        <v>4650</v>
      </c>
      <c r="I1303" t="s">
        <v>28</v>
      </c>
      <c r="J1303" t="s">
        <v>9941</v>
      </c>
      <c r="K1303" t="s">
        <v>19</v>
      </c>
      <c r="L1303" t="s">
        <v>20</v>
      </c>
      <c r="M1303" t="s">
        <v>9942</v>
      </c>
      <c r="N1303" t="s">
        <v>9943</v>
      </c>
      <c r="O1303" t="s">
        <v>9944</v>
      </c>
      <c r="P1303" t="s">
        <v>9945</v>
      </c>
    </row>
    <row r="1304" spans="1:16" x14ac:dyDescent="0.35">
      <c r="A1304" t="s">
        <v>9950</v>
      </c>
      <c r="B1304" t="s">
        <v>55</v>
      </c>
      <c r="C1304" t="s">
        <v>26</v>
      </c>
      <c r="D1304" t="s">
        <v>1706</v>
      </c>
      <c r="E1304" t="s">
        <v>9951</v>
      </c>
      <c r="F1304" t="s">
        <v>9952</v>
      </c>
      <c r="G1304" t="s">
        <v>9946</v>
      </c>
      <c r="H1304" t="s">
        <v>9946</v>
      </c>
      <c r="I1304" t="s">
        <v>28</v>
      </c>
      <c r="J1304" t="s">
        <v>9953</v>
      </c>
      <c r="K1304" t="s">
        <v>19</v>
      </c>
      <c r="L1304" t="s">
        <v>20</v>
      </c>
      <c r="M1304" t="s">
        <v>9947</v>
      </c>
      <c r="N1304" t="s">
        <v>9948</v>
      </c>
      <c r="O1304" t="s">
        <v>9954</v>
      </c>
      <c r="P1304" t="s">
        <v>9955</v>
      </c>
    </row>
    <row r="1305" spans="1:16" x14ac:dyDescent="0.35">
      <c r="A1305" t="s">
        <v>9185</v>
      </c>
      <c r="B1305" t="s">
        <v>32</v>
      </c>
      <c r="C1305" t="s">
        <v>15</v>
      </c>
      <c r="D1305" t="s">
        <v>16</v>
      </c>
      <c r="E1305" t="s">
        <v>28</v>
      </c>
      <c r="F1305" t="s">
        <v>9956</v>
      </c>
      <c r="G1305" t="s">
        <v>9946</v>
      </c>
      <c r="H1305" t="s">
        <v>9946</v>
      </c>
      <c r="I1305" t="s">
        <v>28</v>
      </c>
      <c r="J1305" t="s">
        <v>9957</v>
      </c>
      <c r="K1305" t="s">
        <v>19</v>
      </c>
      <c r="L1305" t="s">
        <v>20</v>
      </c>
      <c r="M1305" t="s">
        <v>9947</v>
      </c>
      <c r="N1305" t="s">
        <v>9948</v>
      </c>
      <c r="O1305" t="s">
        <v>9958</v>
      </c>
      <c r="P1305" t="s">
        <v>915</v>
      </c>
    </row>
    <row r="1306" spans="1:16" x14ac:dyDescent="0.35">
      <c r="A1306" t="s">
        <v>9959</v>
      </c>
      <c r="B1306" t="s">
        <v>55</v>
      </c>
      <c r="C1306" t="s">
        <v>78</v>
      </c>
      <c r="D1306" t="s">
        <v>614</v>
      </c>
      <c r="E1306" t="s">
        <v>9960</v>
      </c>
      <c r="F1306" t="s">
        <v>9961</v>
      </c>
      <c r="G1306" t="s">
        <v>9946</v>
      </c>
      <c r="H1306" t="s">
        <v>9946</v>
      </c>
      <c r="I1306" t="s">
        <v>28</v>
      </c>
      <c r="J1306" t="s">
        <v>9962</v>
      </c>
      <c r="K1306" t="s">
        <v>19</v>
      </c>
      <c r="L1306" t="s">
        <v>20</v>
      </c>
      <c r="M1306" t="s">
        <v>9947</v>
      </c>
      <c r="N1306" t="s">
        <v>9948</v>
      </c>
      <c r="O1306" t="s">
        <v>9963</v>
      </c>
      <c r="P1306" t="s">
        <v>915</v>
      </c>
    </row>
    <row r="1307" spans="1:16" x14ac:dyDescent="0.35">
      <c r="A1307" t="s">
        <v>9964</v>
      </c>
      <c r="B1307" t="s">
        <v>55</v>
      </c>
      <c r="C1307" t="s">
        <v>691</v>
      </c>
      <c r="D1307" t="s">
        <v>27</v>
      </c>
      <c r="E1307" t="s">
        <v>9965</v>
      </c>
      <c r="F1307" t="s">
        <v>9966</v>
      </c>
      <c r="G1307" t="s">
        <v>9946</v>
      </c>
      <c r="H1307" t="s">
        <v>9946</v>
      </c>
      <c r="I1307" t="s">
        <v>28</v>
      </c>
      <c r="J1307" t="s">
        <v>9967</v>
      </c>
      <c r="K1307" t="s">
        <v>19</v>
      </c>
      <c r="L1307" t="s">
        <v>20</v>
      </c>
      <c r="M1307" t="s">
        <v>9968</v>
      </c>
      <c r="N1307" t="s">
        <v>9969</v>
      </c>
      <c r="O1307" t="s">
        <v>9970</v>
      </c>
      <c r="P1307" t="s">
        <v>915</v>
      </c>
    </row>
    <row r="1308" spans="1:16" x14ac:dyDescent="0.35">
      <c r="A1308" t="s">
        <v>4673</v>
      </c>
      <c r="B1308" t="s">
        <v>88</v>
      </c>
      <c r="C1308" t="s">
        <v>28</v>
      </c>
      <c r="D1308" t="s">
        <v>28</v>
      </c>
      <c r="E1308" t="s">
        <v>9949</v>
      </c>
      <c r="F1308" t="s">
        <v>9971</v>
      </c>
      <c r="G1308" t="s">
        <v>9946</v>
      </c>
      <c r="H1308" t="s">
        <v>9946</v>
      </c>
      <c r="I1308" t="s">
        <v>28</v>
      </c>
      <c r="J1308" t="s">
        <v>9972</v>
      </c>
      <c r="K1308" t="s">
        <v>19</v>
      </c>
      <c r="L1308" t="s">
        <v>20</v>
      </c>
      <c r="M1308" t="s">
        <v>9968</v>
      </c>
      <c r="N1308" t="s">
        <v>9969</v>
      </c>
      <c r="O1308" t="s">
        <v>9973</v>
      </c>
      <c r="P1308" t="s">
        <v>915</v>
      </c>
    </row>
    <row r="1309" spans="1:16" x14ac:dyDescent="0.35">
      <c r="A1309" t="s">
        <v>9974</v>
      </c>
      <c r="B1309" t="s">
        <v>55</v>
      </c>
      <c r="C1309" t="s">
        <v>15</v>
      </c>
      <c r="D1309" t="s">
        <v>27</v>
      </c>
      <c r="E1309" t="s">
        <v>9975</v>
      </c>
      <c r="F1309" t="s">
        <v>9976</v>
      </c>
      <c r="G1309" t="s">
        <v>9946</v>
      </c>
      <c r="H1309" t="s">
        <v>9946</v>
      </c>
      <c r="I1309" t="s">
        <v>28</v>
      </c>
      <c r="J1309" t="s">
        <v>28</v>
      </c>
      <c r="K1309" t="s">
        <v>19</v>
      </c>
      <c r="L1309" t="s">
        <v>20</v>
      </c>
      <c r="M1309" t="s">
        <v>9968</v>
      </c>
      <c r="N1309" t="s">
        <v>9969</v>
      </c>
      <c r="O1309" t="s">
        <v>9977</v>
      </c>
      <c r="P1309" t="s">
        <v>915</v>
      </c>
    </row>
    <row r="1310" spans="1:16" x14ac:dyDescent="0.35">
      <c r="A1310" t="s">
        <v>9978</v>
      </c>
      <c r="B1310" t="s">
        <v>55</v>
      </c>
      <c r="C1310" t="s">
        <v>28</v>
      </c>
      <c r="D1310" t="s">
        <v>28</v>
      </c>
      <c r="E1310" t="s">
        <v>9979</v>
      </c>
      <c r="F1310" t="s">
        <v>9980</v>
      </c>
      <c r="G1310" t="s">
        <v>9946</v>
      </c>
      <c r="H1310" t="s">
        <v>9946</v>
      </c>
      <c r="I1310" t="s">
        <v>9981</v>
      </c>
      <c r="J1310" t="s">
        <v>9982</v>
      </c>
      <c r="K1310" t="s">
        <v>19</v>
      </c>
      <c r="L1310" t="s">
        <v>20</v>
      </c>
      <c r="M1310" t="s">
        <v>9983</v>
      </c>
      <c r="N1310" t="s">
        <v>9984</v>
      </c>
      <c r="O1310" t="s">
        <v>9985</v>
      </c>
      <c r="P1310" t="s">
        <v>915</v>
      </c>
    </row>
    <row r="1311" spans="1:16" x14ac:dyDescent="0.35">
      <c r="A1311" t="s">
        <v>9986</v>
      </c>
      <c r="B1311" t="s">
        <v>55</v>
      </c>
      <c r="C1311" t="s">
        <v>15</v>
      </c>
      <c r="D1311" t="s">
        <v>27</v>
      </c>
      <c r="E1311" t="s">
        <v>9987</v>
      </c>
      <c r="F1311" t="s">
        <v>9988</v>
      </c>
      <c r="G1311" t="s">
        <v>9946</v>
      </c>
      <c r="H1311" t="s">
        <v>9946</v>
      </c>
      <c r="I1311" t="s">
        <v>28</v>
      </c>
      <c r="J1311" t="s">
        <v>9989</v>
      </c>
      <c r="K1311" t="s">
        <v>19</v>
      </c>
      <c r="L1311" t="s">
        <v>20</v>
      </c>
      <c r="M1311" t="s">
        <v>9983</v>
      </c>
      <c r="N1311" t="s">
        <v>9984</v>
      </c>
      <c r="O1311" t="s">
        <v>9990</v>
      </c>
      <c r="P1311" t="s">
        <v>915</v>
      </c>
    </row>
    <row r="1312" spans="1:16" x14ac:dyDescent="0.35">
      <c r="A1312" t="s">
        <v>9991</v>
      </c>
      <c r="B1312" t="s">
        <v>55</v>
      </c>
      <c r="C1312" t="s">
        <v>78</v>
      </c>
      <c r="D1312" t="s">
        <v>141</v>
      </c>
      <c r="E1312" t="s">
        <v>9992</v>
      </c>
      <c r="F1312" t="s">
        <v>9993</v>
      </c>
      <c r="G1312" t="s">
        <v>9946</v>
      </c>
      <c r="H1312" t="s">
        <v>9946</v>
      </c>
      <c r="I1312" t="s">
        <v>9994</v>
      </c>
      <c r="J1312" t="s">
        <v>9995</v>
      </c>
      <c r="K1312" t="s">
        <v>9996</v>
      </c>
      <c r="L1312" t="s">
        <v>20</v>
      </c>
      <c r="M1312" t="s">
        <v>9983</v>
      </c>
      <c r="N1312" t="s">
        <v>9984</v>
      </c>
      <c r="O1312" t="s">
        <v>9997</v>
      </c>
      <c r="P1312" t="s">
        <v>915</v>
      </c>
    </row>
    <row r="1313" spans="1:16" x14ac:dyDescent="0.35">
      <c r="A1313" t="s">
        <v>538</v>
      </c>
      <c r="B1313" t="s">
        <v>55</v>
      </c>
      <c r="C1313" t="s">
        <v>170</v>
      </c>
      <c r="D1313" t="s">
        <v>68</v>
      </c>
      <c r="E1313" t="s">
        <v>9998</v>
      </c>
      <c r="F1313" t="s">
        <v>9999</v>
      </c>
      <c r="G1313" t="s">
        <v>9946</v>
      </c>
      <c r="H1313" t="s">
        <v>9946</v>
      </c>
      <c r="I1313" t="s">
        <v>82</v>
      </c>
      <c r="J1313" t="s">
        <v>10000</v>
      </c>
      <c r="K1313" t="s">
        <v>84</v>
      </c>
      <c r="L1313" t="s">
        <v>20</v>
      </c>
      <c r="M1313" t="s">
        <v>10001</v>
      </c>
      <c r="N1313" t="s">
        <v>10002</v>
      </c>
      <c r="O1313" t="s">
        <v>10003</v>
      </c>
      <c r="P1313" t="s">
        <v>10004</v>
      </c>
    </row>
    <row r="1314" spans="1:16" x14ac:dyDescent="0.35">
      <c r="A1314" t="s">
        <v>10005</v>
      </c>
      <c r="B1314" t="s">
        <v>32</v>
      </c>
      <c r="C1314" t="s">
        <v>357</v>
      </c>
      <c r="D1314" t="s">
        <v>141</v>
      </c>
      <c r="E1314" t="s">
        <v>10006</v>
      </c>
      <c r="F1314" t="s">
        <v>10007</v>
      </c>
      <c r="G1314" t="s">
        <v>9946</v>
      </c>
      <c r="H1314" t="s">
        <v>9946</v>
      </c>
      <c r="I1314" t="s">
        <v>28</v>
      </c>
      <c r="J1314" t="s">
        <v>10008</v>
      </c>
      <c r="K1314" t="s">
        <v>19</v>
      </c>
      <c r="L1314" t="s">
        <v>20</v>
      </c>
      <c r="M1314" t="s">
        <v>10009</v>
      </c>
      <c r="N1314" t="s">
        <v>10010</v>
      </c>
      <c r="O1314" t="s">
        <v>10011</v>
      </c>
      <c r="P1314" t="s">
        <v>915</v>
      </c>
    </row>
    <row r="1315" spans="1:16" x14ac:dyDescent="0.35">
      <c r="A1315" t="s">
        <v>10013</v>
      </c>
      <c r="B1315" t="s">
        <v>55</v>
      </c>
      <c r="C1315" t="s">
        <v>28</v>
      </c>
      <c r="D1315" t="s">
        <v>28</v>
      </c>
      <c r="E1315" t="s">
        <v>10014</v>
      </c>
      <c r="F1315" t="s">
        <v>10015</v>
      </c>
      <c r="G1315" t="s">
        <v>10016</v>
      </c>
      <c r="H1315" t="s">
        <v>10016</v>
      </c>
      <c r="I1315" t="s">
        <v>28</v>
      </c>
      <c r="J1315" t="s">
        <v>10017</v>
      </c>
      <c r="K1315" t="s">
        <v>19</v>
      </c>
      <c r="L1315" t="s">
        <v>20</v>
      </c>
      <c r="M1315" t="s">
        <v>10018</v>
      </c>
      <c r="N1315" t="s">
        <v>10019</v>
      </c>
      <c r="O1315" t="s">
        <v>10020</v>
      </c>
      <c r="P1315" t="s">
        <v>10021</v>
      </c>
    </row>
    <row r="1316" spans="1:16" x14ac:dyDescent="0.35">
      <c r="A1316" t="s">
        <v>10022</v>
      </c>
      <c r="B1316" t="s">
        <v>55</v>
      </c>
      <c r="C1316" t="s">
        <v>311</v>
      </c>
      <c r="D1316" t="s">
        <v>9647</v>
      </c>
      <c r="E1316" t="s">
        <v>10023</v>
      </c>
      <c r="F1316" t="s">
        <v>10024</v>
      </c>
      <c r="G1316" t="s">
        <v>10012</v>
      </c>
      <c r="H1316" t="s">
        <v>10012</v>
      </c>
      <c r="I1316" t="s">
        <v>82</v>
      </c>
      <c r="J1316" t="s">
        <v>10025</v>
      </c>
      <c r="K1316" t="s">
        <v>84</v>
      </c>
      <c r="L1316" t="s">
        <v>20</v>
      </c>
      <c r="M1316" t="s">
        <v>10018</v>
      </c>
      <c r="N1316" t="s">
        <v>10019</v>
      </c>
      <c r="O1316" t="s">
        <v>10026</v>
      </c>
      <c r="P1316" t="s">
        <v>10027</v>
      </c>
    </row>
    <row r="1317" spans="1:16" x14ac:dyDescent="0.35">
      <c r="A1317" t="s">
        <v>10030</v>
      </c>
      <c r="B1317" t="s">
        <v>55</v>
      </c>
      <c r="C1317" t="s">
        <v>78</v>
      </c>
      <c r="D1317" t="s">
        <v>4314</v>
      </c>
      <c r="E1317" t="s">
        <v>10031</v>
      </c>
      <c r="F1317" t="s">
        <v>10032</v>
      </c>
      <c r="G1317" t="s">
        <v>10012</v>
      </c>
      <c r="H1317" t="s">
        <v>10012</v>
      </c>
      <c r="I1317" t="s">
        <v>10033</v>
      </c>
      <c r="J1317" t="s">
        <v>10034</v>
      </c>
      <c r="K1317" t="s">
        <v>19</v>
      </c>
      <c r="L1317" t="s">
        <v>20</v>
      </c>
      <c r="M1317" t="s">
        <v>10028</v>
      </c>
      <c r="N1317" t="s">
        <v>10029</v>
      </c>
      <c r="O1317" t="s">
        <v>10035</v>
      </c>
      <c r="P1317" t="s">
        <v>10036</v>
      </c>
    </row>
    <row r="1318" spans="1:16" x14ac:dyDescent="0.35">
      <c r="A1318" t="s">
        <v>10037</v>
      </c>
      <c r="B1318" t="s">
        <v>107</v>
      </c>
      <c r="C1318" t="s">
        <v>311</v>
      </c>
      <c r="D1318" t="s">
        <v>22</v>
      </c>
      <c r="E1318" t="s">
        <v>10038</v>
      </c>
      <c r="F1318" t="s">
        <v>10039</v>
      </c>
      <c r="G1318" t="s">
        <v>10012</v>
      </c>
      <c r="H1318" t="s">
        <v>10012</v>
      </c>
      <c r="I1318" t="s">
        <v>28</v>
      </c>
      <c r="J1318" t="s">
        <v>10040</v>
      </c>
      <c r="K1318" t="s">
        <v>19</v>
      </c>
      <c r="L1318" t="s">
        <v>20</v>
      </c>
      <c r="M1318" t="s">
        <v>10028</v>
      </c>
      <c r="N1318" t="s">
        <v>10029</v>
      </c>
      <c r="O1318" t="s">
        <v>10041</v>
      </c>
      <c r="P1318" t="s">
        <v>10042</v>
      </c>
    </row>
    <row r="1319" spans="1:16" x14ac:dyDescent="0.35">
      <c r="A1319" t="s">
        <v>10043</v>
      </c>
      <c r="B1319" t="s">
        <v>88</v>
      </c>
      <c r="C1319" t="s">
        <v>25</v>
      </c>
      <c r="D1319" t="s">
        <v>27</v>
      </c>
      <c r="E1319" t="s">
        <v>10044</v>
      </c>
      <c r="F1319" t="s">
        <v>10045</v>
      </c>
      <c r="G1319" t="s">
        <v>10012</v>
      </c>
      <c r="H1319" t="s">
        <v>10012</v>
      </c>
      <c r="I1319" t="s">
        <v>28</v>
      </c>
      <c r="J1319" t="s">
        <v>10046</v>
      </c>
      <c r="K1319" t="s">
        <v>19</v>
      </c>
      <c r="L1319" t="s">
        <v>20</v>
      </c>
      <c r="M1319" t="s">
        <v>10028</v>
      </c>
      <c r="N1319" t="s">
        <v>10029</v>
      </c>
      <c r="O1319" t="s">
        <v>10047</v>
      </c>
      <c r="P1319" t="s">
        <v>10048</v>
      </c>
    </row>
    <row r="1320" spans="1:16" x14ac:dyDescent="0.35">
      <c r="A1320" t="s">
        <v>10049</v>
      </c>
      <c r="B1320" t="s">
        <v>55</v>
      </c>
      <c r="C1320" t="s">
        <v>26</v>
      </c>
      <c r="D1320" t="s">
        <v>304</v>
      </c>
      <c r="E1320" t="s">
        <v>10050</v>
      </c>
      <c r="F1320" t="s">
        <v>10051</v>
      </c>
      <c r="G1320" t="s">
        <v>10012</v>
      </c>
      <c r="H1320" t="s">
        <v>10012</v>
      </c>
      <c r="I1320" t="s">
        <v>10052</v>
      </c>
      <c r="J1320" t="s">
        <v>10053</v>
      </c>
      <c r="K1320" t="s">
        <v>10054</v>
      </c>
      <c r="L1320" t="s">
        <v>20</v>
      </c>
      <c r="M1320" t="s">
        <v>10055</v>
      </c>
      <c r="N1320" t="s">
        <v>10056</v>
      </c>
      <c r="O1320" t="s">
        <v>10057</v>
      </c>
      <c r="P1320" t="s">
        <v>10058</v>
      </c>
    </row>
    <row r="1321" spans="1:16" x14ac:dyDescent="0.35">
      <c r="A1321" t="s">
        <v>10059</v>
      </c>
      <c r="B1321" t="s">
        <v>32</v>
      </c>
      <c r="C1321" t="s">
        <v>28</v>
      </c>
      <c r="D1321" t="s">
        <v>28</v>
      </c>
      <c r="E1321" t="s">
        <v>10060</v>
      </c>
      <c r="F1321" t="s">
        <v>10061</v>
      </c>
      <c r="G1321" t="s">
        <v>10012</v>
      </c>
      <c r="H1321" t="s">
        <v>10012</v>
      </c>
      <c r="I1321" t="s">
        <v>10052</v>
      </c>
      <c r="J1321" t="s">
        <v>10062</v>
      </c>
      <c r="K1321" t="s">
        <v>10054</v>
      </c>
      <c r="L1321" t="s">
        <v>20</v>
      </c>
      <c r="M1321" t="s">
        <v>10063</v>
      </c>
      <c r="N1321" t="s">
        <v>10064</v>
      </c>
      <c r="O1321" t="s">
        <v>10065</v>
      </c>
      <c r="P1321" t="s">
        <v>10066</v>
      </c>
    </row>
    <row r="1322" spans="1:16" x14ac:dyDescent="0.35">
      <c r="A1322" t="s">
        <v>10067</v>
      </c>
      <c r="B1322" t="s">
        <v>107</v>
      </c>
      <c r="C1322" t="s">
        <v>28</v>
      </c>
      <c r="D1322" t="s">
        <v>28</v>
      </c>
      <c r="E1322" t="s">
        <v>10068</v>
      </c>
      <c r="F1322" t="s">
        <v>10069</v>
      </c>
      <c r="G1322" t="s">
        <v>10012</v>
      </c>
      <c r="H1322" t="s">
        <v>10012</v>
      </c>
      <c r="I1322" t="s">
        <v>28</v>
      </c>
      <c r="J1322" t="s">
        <v>28</v>
      </c>
      <c r="K1322" t="s">
        <v>19</v>
      </c>
      <c r="L1322" t="s">
        <v>20</v>
      </c>
      <c r="M1322" t="s">
        <v>10063</v>
      </c>
      <c r="N1322" t="s">
        <v>10064</v>
      </c>
      <c r="O1322" t="s">
        <v>10070</v>
      </c>
      <c r="P1322" t="s">
        <v>10071</v>
      </c>
    </row>
    <row r="1323" spans="1:16" x14ac:dyDescent="0.35">
      <c r="A1323" t="s">
        <v>10072</v>
      </c>
      <c r="B1323" t="s">
        <v>55</v>
      </c>
      <c r="C1323" t="s">
        <v>15</v>
      </c>
      <c r="D1323" t="s">
        <v>27</v>
      </c>
      <c r="E1323" t="s">
        <v>10073</v>
      </c>
      <c r="F1323" t="s">
        <v>10074</v>
      </c>
      <c r="G1323" t="s">
        <v>10012</v>
      </c>
      <c r="H1323" t="s">
        <v>10012</v>
      </c>
      <c r="I1323" t="s">
        <v>28</v>
      </c>
      <c r="J1323" t="s">
        <v>10075</v>
      </c>
      <c r="K1323" t="s">
        <v>19</v>
      </c>
      <c r="L1323" t="s">
        <v>20</v>
      </c>
      <c r="M1323" t="s">
        <v>10063</v>
      </c>
      <c r="N1323" t="s">
        <v>10064</v>
      </c>
      <c r="O1323" t="s">
        <v>10076</v>
      </c>
      <c r="P1323" t="s">
        <v>10077</v>
      </c>
    </row>
    <row r="1324" spans="1:16" x14ac:dyDescent="0.35">
      <c r="A1324" t="s">
        <v>10078</v>
      </c>
      <c r="B1324" t="s">
        <v>55</v>
      </c>
      <c r="C1324" t="s">
        <v>117</v>
      </c>
      <c r="D1324" t="s">
        <v>27</v>
      </c>
      <c r="E1324" t="s">
        <v>10079</v>
      </c>
      <c r="F1324" t="s">
        <v>10080</v>
      </c>
      <c r="G1324" t="s">
        <v>10012</v>
      </c>
      <c r="H1324" t="s">
        <v>10012</v>
      </c>
      <c r="I1324" t="s">
        <v>28</v>
      </c>
      <c r="J1324" t="s">
        <v>10081</v>
      </c>
      <c r="K1324" t="s">
        <v>19</v>
      </c>
      <c r="L1324" t="s">
        <v>20</v>
      </c>
      <c r="M1324" t="s">
        <v>10063</v>
      </c>
      <c r="N1324" t="s">
        <v>10064</v>
      </c>
      <c r="O1324" t="s">
        <v>10082</v>
      </c>
      <c r="P1324" t="s">
        <v>10083</v>
      </c>
    </row>
    <row r="1325" spans="1:16" x14ac:dyDescent="0.35">
      <c r="A1325" t="s">
        <v>10084</v>
      </c>
      <c r="B1325" t="s">
        <v>107</v>
      </c>
      <c r="C1325" t="s">
        <v>691</v>
      </c>
      <c r="D1325" t="s">
        <v>16</v>
      </c>
      <c r="E1325" t="s">
        <v>10085</v>
      </c>
      <c r="F1325" t="s">
        <v>10086</v>
      </c>
      <c r="G1325" t="s">
        <v>10012</v>
      </c>
      <c r="H1325" t="s">
        <v>10012</v>
      </c>
      <c r="I1325" t="s">
        <v>28</v>
      </c>
      <c r="J1325" t="s">
        <v>10087</v>
      </c>
      <c r="K1325" t="s">
        <v>19</v>
      </c>
      <c r="L1325" t="s">
        <v>20</v>
      </c>
      <c r="M1325" t="s">
        <v>10088</v>
      </c>
      <c r="N1325" t="s">
        <v>10089</v>
      </c>
      <c r="O1325" t="s">
        <v>10090</v>
      </c>
      <c r="P1325" t="s">
        <v>10091</v>
      </c>
    </row>
    <row r="1326" spans="1:16" x14ac:dyDescent="0.35">
      <c r="A1326" t="s">
        <v>10092</v>
      </c>
      <c r="B1326" t="s">
        <v>55</v>
      </c>
      <c r="C1326" t="s">
        <v>15</v>
      </c>
      <c r="D1326" t="s">
        <v>16</v>
      </c>
      <c r="E1326" t="s">
        <v>10093</v>
      </c>
      <c r="F1326" t="s">
        <v>10094</v>
      </c>
      <c r="G1326" t="s">
        <v>10012</v>
      </c>
      <c r="H1326" t="s">
        <v>10012</v>
      </c>
      <c r="I1326" t="s">
        <v>10095</v>
      </c>
      <c r="J1326" t="s">
        <v>10096</v>
      </c>
      <c r="K1326" t="s">
        <v>10097</v>
      </c>
      <c r="L1326" t="s">
        <v>20</v>
      </c>
      <c r="M1326" t="s">
        <v>10088</v>
      </c>
      <c r="N1326" t="s">
        <v>10089</v>
      </c>
      <c r="O1326" t="s">
        <v>10098</v>
      </c>
      <c r="P1326" t="s">
        <v>10099</v>
      </c>
    </row>
    <row r="1327" spans="1:16" x14ac:dyDescent="0.35">
      <c r="A1327" t="s">
        <v>10100</v>
      </c>
      <c r="B1327" t="s">
        <v>55</v>
      </c>
      <c r="C1327" t="s">
        <v>28</v>
      </c>
      <c r="D1327" t="s">
        <v>28</v>
      </c>
      <c r="E1327" t="s">
        <v>10101</v>
      </c>
      <c r="F1327" t="s">
        <v>10102</v>
      </c>
      <c r="G1327" t="s">
        <v>10012</v>
      </c>
      <c r="H1327" t="s">
        <v>10012</v>
      </c>
      <c r="I1327" t="s">
        <v>28</v>
      </c>
      <c r="J1327" t="s">
        <v>10103</v>
      </c>
      <c r="K1327" t="s">
        <v>19</v>
      </c>
      <c r="L1327" t="s">
        <v>20</v>
      </c>
      <c r="M1327" t="s">
        <v>10088</v>
      </c>
      <c r="N1327" t="s">
        <v>10089</v>
      </c>
      <c r="O1327" t="s">
        <v>10104</v>
      </c>
      <c r="P1327" t="s">
        <v>10105</v>
      </c>
    </row>
    <row r="1328" spans="1:16" x14ac:dyDescent="0.35">
      <c r="A1328" t="s">
        <v>10106</v>
      </c>
      <c r="B1328" t="s">
        <v>107</v>
      </c>
      <c r="C1328" t="s">
        <v>241</v>
      </c>
      <c r="D1328" t="s">
        <v>6241</v>
      </c>
      <c r="E1328" t="s">
        <v>10107</v>
      </c>
      <c r="F1328" t="s">
        <v>10086</v>
      </c>
      <c r="G1328" t="s">
        <v>10012</v>
      </c>
      <c r="H1328" t="s">
        <v>10012</v>
      </c>
      <c r="I1328" t="s">
        <v>28</v>
      </c>
      <c r="J1328" t="s">
        <v>10108</v>
      </c>
      <c r="K1328" t="s">
        <v>19</v>
      </c>
      <c r="L1328" t="s">
        <v>20</v>
      </c>
      <c r="M1328" t="s">
        <v>10088</v>
      </c>
      <c r="N1328" t="s">
        <v>10089</v>
      </c>
      <c r="O1328" t="s">
        <v>10109</v>
      </c>
      <c r="P1328" t="s">
        <v>10110</v>
      </c>
    </row>
    <row r="1329" spans="1:16" x14ac:dyDescent="0.35">
      <c r="A1329" t="s">
        <v>10111</v>
      </c>
      <c r="B1329" t="s">
        <v>55</v>
      </c>
      <c r="C1329" t="s">
        <v>96</v>
      </c>
      <c r="D1329" t="s">
        <v>549</v>
      </c>
      <c r="E1329" t="s">
        <v>10112</v>
      </c>
      <c r="F1329" t="s">
        <v>10113</v>
      </c>
      <c r="G1329" t="s">
        <v>10012</v>
      </c>
      <c r="H1329" t="s">
        <v>10012</v>
      </c>
      <c r="I1329" t="s">
        <v>10114</v>
      </c>
      <c r="J1329" t="s">
        <v>10115</v>
      </c>
      <c r="K1329" t="s">
        <v>19</v>
      </c>
      <c r="L1329" t="s">
        <v>20</v>
      </c>
      <c r="M1329" t="s">
        <v>10116</v>
      </c>
      <c r="N1329" t="s">
        <v>10117</v>
      </c>
      <c r="O1329" t="s">
        <v>10118</v>
      </c>
      <c r="P1329" t="s">
        <v>10119</v>
      </c>
    </row>
    <row r="1330" spans="1:16" x14ac:dyDescent="0.35">
      <c r="A1330" t="s">
        <v>10120</v>
      </c>
      <c r="B1330" t="s">
        <v>55</v>
      </c>
      <c r="C1330" t="s">
        <v>15</v>
      </c>
      <c r="D1330" t="s">
        <v>16</v>
      </c>
      <c r="E1330" t="s">
        <v>10121</v>
      </c>
      <c r="F1330" t="s">
        <v>10122</v>
      </c>
      <c r="G1330" t="s">
        <v>10012</v>
      </c>
      <c r="H1330" t="s">
        <v>10012</v>
      </c>
      <c r="I1330" t="s">
        <v>28</v>
      </c>
      <c r="J1330" t="s">
        <v>28</v>
      </c>
      <c r="K1330" t="s">
        <v>19</v>
      </c>
      <c r="L1330" t="s">
        <v>20</v>
      </c>
      <c r="M1330" t="s">
        <v>10116</v>
      </c>
      <c r="N1330" t="s">
        <v>10117</v>
      </c>
      <c r="O1330" t="s">
        <v>10123</v>
      </c>
      <c r="P1330" t="s">
        <v>10124</v>
      </c>
    </row>
    <row r="1331" spans="1:16" x14ac:dyDescent="0.35">
      <c r="A1331" t="s">
        <v>10125</v>
      </c>
      <c r="B1331" t="s">
        <v>55</v>
      </c>
      <c r="C1331" t="s">
        <v>699</v>
      </c>
      <c r="D1331" t="s">
        <v>449</v>
      </c>
      <c r="E1331" t="s">
        <v>10126</v>
      </c>
      <c r="F1331" t="s">
        <v>10127</v>
      </c>
      <c r="G1331" t="s">
        <v>10012</v>
      </c>
      <c r="H1331" t="s">
        <v>10012</v>
      </c>
      <c r="I1331" t="s">
        <v>28</v>
      </c>
      <c r="J1331" t="s">
        <v>10128</v>
      </c>
      <c r="K1331" t="s">
        <v>19</v>
      </c>
      <c r="L1331" t="s">
        <v>20</v>
      </c>
      <c r="M1331" t="s">
        <v>10116</v>
      </c>
      <c r="N1331" t="s">
        <v>10117</v>
      </c>
      <c r="O1331" t="s">
        <v>10129</v>
      </c>
      <c r="P1331" t="s">
        <v>10130</v>
      </c>
    </row>
    <row r="1332" spans="1:16" x14ac:dyDescent="0.35">
      <c r="A1332" t="s">
        <v>10131</v>
      </c>
      <c r="B1332" t="s">
        <v>55</v>
      </c>
      <c r="C1332" t="s">
        <v>311</v>
      </c>
      <c r="D1332" t="s">
        <v>9647</v>
      </c>
      <c r="E1332" t="s">
        <v>10132</v>
      </c>
      <c r="F1332" t="s">
        <v>10133</v>
      </c>
      <c r="G1332" t="s">
        <v>10012</v>
      </c>
      <c r="H1332" t="s">
        <v>10012</v>
      </c>
      <c r="I1332" t="s">
        <v>10134</v>
      </c>
      <c r="J1332" t="s">
        <v>10135</v>
      </c>
      <c r="K1332" t="s">
        <v>10136</v>
      </c>
      <c r="L1332" t="s">
        <v>20</v>
      </c>
      <c r="M1332" t="s">
        <v>10137</v>
      </c>
      <c r="N1332" t="s">
        <v>10138</v>
      </c>
      <c r="O1332" t="s">
        <v>10139</v>
      </c>
      <c r="P1332" t="s">
        <v>10140</v>
      </c>
    </row>
    <row r="1333" spans="1:16" x14ac:dyDescent="0.35">
      <c r="A1333" t="s">
        <v>10125</v>
      </c>
      <c r="B1333" t="s">
        <v>55</v>
      </c>
      <c r="C1333" t="s">
        <v>241</v>
      </c>
      <c r="D1333" t="s">
        <v>304</v>
      </c>
      <c r="E1333" t="s">
        <v>10141</v>
      </c>
      <c r="F1333" t="s">
        <v>10142</v>
      </c>
      <c r="G1333" t="s">
        <v>10143</v>
      </c>
      <c r="H1333" t="s">
        <v>10012</v>
      </c>
      <c r="I1333" t="s">
        <v>28</v>
      </c>
      <c r="J1333" t="s">
        <v>10144</v>
      </c>
      <c r="K1333" t="s">
        <v>19</v>
      </c>
      <c r="L1333" t="s">
        <v>20</v>
      </c>
      <c r="M1333" t="s">
        <v>10145</v>
      </c>
      <c r="N1333" t="s">
        <v>10146</v>
      </c>
      <c r="O1333" t="s">
        <v>10147</v>
      </c>
      <c r="P1333" t="s">
        <v>10148</v>
      </c>
    </row>
    <row r="1334" spans="1:16" x14ac:dyDescent="0.35">
      <c r="A1334" t="s">
        <v>10149</v>
      </c>
      <c r="B1334" t="s">
        <v>55</v>
      </c>
      <c r="C1334" t="s">
        <v>205</v>
      </c>
      <c r="D1334" t="s">
        <v>774</v>
      </c>
      <c r="E1334" t="s">
        <v>10150</v>
      </c>
      <c r="F1334" t="s">
        <v>10151</v>
      </c>
      <c r="G1334" t="s">
        <v>10012</v>
      </c>
      <c r="H1334" t="s">
        <v>10012</v>
      </c>
      <c r="I1334" t="s">
        <v>10152</v>
      </c>
      <c r="J1334" t="s">
        <v>10153</v>
      </c>
      <c r="K1334" t="s">
        <v>19</v>
      </c>
      <c r="L1334" t="s">
        <v>20</v>
      </c>
      <c r="M1334" t="s">
        <v>10154</v>
      </c>
      <c r="N1334" t="s">
        <v>10155</v>
      </c>
      <c r="O1334" t="s">
        <v>10156</v>
      </c>
      <c r="P1334" t="s">
        <v>10157</v>
      </c>
    </row>
    <row r="1335" spans="1:16" x14ac:dyDescent="0.35">
      <c r="A1335" t="s">
        <v>10158</v>
      </c>
      <c r="B1335" t="s">
        <v>107</v>
      </c>
      <c r="C1335" t="s">
        <v>28</v>
      </c>
      <c r="D1335" t="s">
        <v>28</v>
      </c>
      <c r="E1335" t="s">
        <v>10159</v>
      </c>
      <c r="F1335" t="s">
        <v>10160</v>
      </c>
      <c r="G1335" t="s">
        <v>10012</v>
      </c>
      <c r="H1335" t="s">
        <v>10012</v>
      </c>
      <c r="I1335" t="s">
        <v>28</v>
      </c>
      <c r="J1335" t="s">
        <v>10161</v>
      </c>
      <c r="K1335" t="s">
        <v>19</v>
      </c>
      <c r="L1335" t="s">
        <v>20</v>
      </c>
      <c r="M1335" t="s">
        <v>10162</v>
      </c>
      <c r="N1335" t="s">
        <v>10163</v>
      </c>
      <c r="O1335" t="s">
        <v>10164</v>
      </c>
      <c r="P1335" t="s">
        <v>10165</v>
      </c>
    </row>
    <row r="1336" spans="1:16" x14ac:dyDescent="0.35">
      <c r="A1336" t="s">
        <v>10166</v>
      </c>
      <c r="B1336" t="s">
        <v>55</v>
      </c>
      <c r="C1336" t="s">
        <v>158</v>
      </c>
      <c r="D1336" t="s">
        <v>449</v>
      </c>
      <c r="E1336" t="s">
        <v>10167</v>
      </c>
      <c r="F1336" t="s">
        <v>10168</v>
      </c>
      <c r="G1336" t="s">
        <v>10012</v>
      </c>
      <c r="H1336" t="s">
        <v>10012</v>
      </c>
      <c r="I1336" t="s">
        <v>28</v>
      </c>
      <c r="J1336" t="s">
        <v>28</v>
      </c>
      <c r="K1336" t="s">
        <v>19</v>
      </c>
      <c r="L1336" t="s">
        <v>20</v>
      </c>
      <c r="M1336" t="s">
        <v>10162</v>
      </c>
      <c r="N1336" t="s">
        <v>10163</v>
      </c>
      <c r="O1336" t="s">
        <v>10169</v>
      </c>
      <c r="P1336" t="s">
        <v>10170</v>
      </c>
    </row>
    <row r="1337" spans="1:16" x14ac:dyDescent="0.35">
      <c r="A1337" t="s">
        <v>482</v>
      </c>
      <c r="B1337" t="s">
        <v>55</v>
      </c>
      <c r="C1337" t="s">
        <v>205</v>
      </c>
      <c r="D1337" t="s">
        <v>10171</v>
      </c>
      <c r="E1337" t="s">
        <v>10172</v>
      </c>
      <c r="F1337" t="s">
        <v>10173</v>
      </c>
      <c r="G1337" t="s">
        <v>10012</v>
      </c>
      <c r="H1337" t="s">
        <v>10012</v>
      </c>
      <c r="I1337" t="s">
        <v>162</v>
      </c>
      <c r="J1337" t="s">
        <v>10174</v>
      </c>
      <c r="K1337" t="s">
        <v>164</v>
      </c>
      <c r="L1337" t="s">
        <v>20</v>
      </c>
      <c r="M1337" t="s">
        <v>10162</v>
      </c>
      <c r="N1337" t="s">
        <v>10163</v>
      </c>
      <c r="O1337" t="s">
        <v>10175</v>
      </c>
      <c r="P1337" t="s">
        <v>10176</v>
      </c>
    </row>
    <row r="1338" spans="1:16" x14ac:dyDescent="0.35">
      <c r="A1338" t="s">
        <v>10177</v>
      </c>
      <c r="B1338" t="s">
        <v>194</v>
      </c>
      <c r="C1338" t="s">
        <v>15</v>
      </c>
      <c r="D1338" t="s">
        <v>16</v>
      </c>
      <c r="E1338" t="s">
        <v>10178</v>
      </c>
      <c r="F1338" t="s">
        <v>10179</v>
      </c>
      <c r="G1338" t="s">
        <v>10012</v>
      </c>
      <c r="H1338" t="s">
        <v>10012</v>
      </c>
      <c r="I1338" t="s">
        <v>28</v>
      </c>
      <c r="J1338" t="s">
        <v>10180</v>
      </c>
      <c r="K1338" t="s">
        <v>19</v>
      </c>
      <c r="L1338" t="s">
        <v>20</v>
      </c>
      <c r="M1338" t="s">
        <v>10181</v>
      </c>
      <c r="N1338" t="s">
        <v>10182</v>
      </c>
      <c r="O1338" t="s">
        <v>10183</v>
      </c>
      <c r="P1338" t="s">
        <v>10184</v>
      </c>
    </row>
    <row r="1339" spans="1:16" x14ac:dyDescent="0.35">
      <c r="A1339" t="s">
        <v>10185</v>
      </c>
      <c r="B1339" t="s">
        <v>55</v>
      </c>
      <c r="C1339" t="s">
        <v>28</v>
      </c>
      <c r="D1339" t="s">
        <v>28</v>
      </c>
      <c r="E1339" t="s">
        <v>10093</v>
      </c>
      <c r="F1339" t="s">
        <v>10186</v>
      </c>
      <c r="G1339" t="s">
        <v>10012</v>
      </c>
      <c r="H1339" t="s">
        <v>10012</v>
      </c>
      <c r="I1339" t="s">
        <v>10187</v>
      </c>
      <c r="J1339" t="s">
        <v>10096</v>
      </c>
      <c r="K1339" t="s">
        <v>19</v>
      </c>
      <c r="L1339" t="s">
        <v>20</v>
      </c>
      <c r="M1339" t="s">
        <v>10188</v>
      </c>
      <c r="N1339" t="s">
        <v>10189</v>
      </c>
      <c r="O1339" t="s">
        <v>10190</v>
      </c>
      <c r="P1339" t="s">
        <v>10099</v>
      </c>
    </row>
    <row r="1340" spans="1:16" x14ac:dyDescent="0.35">
      <c r="A1340" t="s">
        <v>10191</v>
      </c>
      <c r="B1340" t="s">
        <v>55</v>
      </c>
      <c r="C1340" t="s">
        <v>15</v>
      </c>
      <c r="D1340" t="s">
        <v>68</v>
      </c>
      <c r="E1340" t="s">
        <v>10192</v>
      </c>
      <c r="F1340" t="s">
        <v>10193</v>
      </c>
      <c r="G1340" t="s">
        <v>10012</v>
      </c>
      <c r="H1340" t="s">
        <v>10012</v>
      </c>
      <c r="I1340" t="s">
        <v>10194</v>
      </c>
      <c r="J1340" t="s">
        <v>10195</v>
      </c>
      <c r="K1340" t="s">
        <v>19</v>
      </c>
      <c r="L1340" t="s">
        <v>20</v>
      </c>
      <c r="M1340" t="s">
        <v>10196</v>
      </c>
      <c r="N1340" t="s">
        <v>10197</v>
      </c>
      <c r="O1340" t="s">
        <v>10198</v>
      </c>
      <c r="P1340" t="s">
        <v>10199</v>
      </c>
    </row>
    <row r="1341" spans="1:16" x14ac:dyDescent="0.35">
      <c r="A1341" t="s">
        <v>10200</v>
      </c>
      <c r="B1341" t="s">
        <v>107</v>
      </c>
      <c r="C1341" t="s">
        <v>15</v>
      </c>
      <c r="D1341" t="s">
        <v>16</v>
      </c>
      <c r="E1341" t="s">
        <v>10201</v>
      </c>
      <c r="F1341" t="s">
        <v>10202</v>
      </c>
      <c r="G1341" t="s">
        <v>10012</v>
      </c>
      <c r="H1341" t="s">
        <v>10012</v>
      </c>
      <c r="I1341" t="s">
        <v>28</v>
      </c>
      <c r="J1341" t="s">
        <v>10203</v>
      </c>
      <c r="K1341" t="s">
        <v>19</v>
      </c>
      <c r="L1341" t="s">
        <v>20</v>
      </c>
      <c r="M1341" t="s">
        <v>10196</v>
      </c>
      <c r="N1341" t="s">
        <v>10197</v>
      </c>
      <c r="O1341" t="s">
        <v>10204</v>
      </c>
      <c r="P1341" t="s">
        <v>10205</v>
      </c>
    </row>
    <row r="1342" spans="1:16" x14ac:dyDescent="0.35">
      <c r="A1342" t="s">
        <v>10206</v>
      </c>
      <c r="B1342" t="s">
        <v>55</v>
      </c>
      <c r="C1342" t="s">
        <v>205</v>
      </c>
      <c r="D1342" t="s">
        <v>304</v>
      </c>
      <c r="E1342" t="s">
        <v>10207</v>
      </c>
      <c r="F1342" t="s">
        <v>10208</v>
      </c>
      <c r="G1342" t="s">
        <v>10012</v>
      </c>
      <c r="H1342" t="s">
        <v>10012</v>
      </c>
      <c r="I1342" t="s">
        <v>28</v>
      </c>
      <c r="J1342" t="s">
        <v>10209</v>
      </c>
      <c r="K1342" t="s">
        <v>19</v>
      </c>
      <c r="L1342" t="s">
        <v>20</v>
      </c>
      <c r="M1342" t="s">
        <v>10210</v>
      </c>
      <c r="N1342" t="s">
        <v>10211</v>
      </c>
      <c r="O1342" t="s">
        <v>10212</v>
      </c>
      <c r="P1342" t="s">
        <v>10213</v>
      </c>
    </row>
    <row r="1343" spans="1:16" x14ac:dyDescent="0.35">
      <c r="A1343" t="s">
        <v>10214</v>
      </c>
      <c r="B1343" t="s">
        <v>55</v>
      </c>
      <c r="C1343" t="s">
        <v>28</v>
      </c>
      <c r="D1343" t="s">
        <v>28</v>
      </c>
      <c r="E1343" t="s">
        <v>10215</v>
      </c>
      <c r="F1343" t="s">
        <v>10216</v>
      </c>
      <c r="G1343" t="s">
        <v>10012</v>
      </c>
      <c r="H1343" t="s">
        <v>10012</v>
      </c>
      <c r="I1343" t="s">
        <v>28</v>
      </c>
      <c r="J1343" t="s">
        <v>28</v>
      </c>
      <c r="K1343" t="s">
        <v>19</v>
      </c>
      <c r="L1343" t="s">
        <v>20</v>
      </c>
      <c r="M1343" t="s">
        <v>10210</v>
      </c>
      <c r="N1343" t="s">
        <v>10211</v>
      </c>
      <c r="O1343" t="s">
        <v>10217</v>
      </c>
      <c r="P1343" t="s">
        <v>10218</v>
      </c>
    </row>
    <row r="1344" spans="1:16" x14ac:dyDescent="0.35">
      <c r="A1344" t="s">
        <v>10219</v>
      </c>
      <c r="B1344" t="s">
        <v>32</v>
      </c>
      <c r="C1344" t="s">
        <v>28</v>
      </c>
      <c r="D1344" t="s">
        <v>28</v>
      </c>
      <c r="E1344" t="s">
        <v>10220</v>
      </c>
      <c r="F1344" t="s">
        <v>10221</v>
      </c>
      <c r="G1344" t="s">
        <v>10222</v>
      </c>
      <c r="H1344" t="s">
        <v>10012</v>
      </c>
      <c r="I1344" t="s">
        <v>10052</v>
      </c>
      <c r="J1344" t="s">
        <v>10223</v>
      </c>
      <c r="K1344" t="s">
        <v>10054</v>
      </c>
      <c r="L1344" t="s">
        <v>20</v>
      </c>
      <c r="M1344" t="s">
        <v>10224</v>
      </c>
      <c r="N1344" t="s">
        <v>10225</v>
      </c>
      <c r="O1344" t="s">
        <v>10226</v>
      </c>
      <c r="P1344" t="s">
        <v>10227</v>
      </c>
    </row>
    <row r="1345" spans="1:16" x14ac:dyDescent="0.35">
      <c r="A1345" t="s">
        <v>10228</v>
      </c>
      <c r="B1345" t="s">
        <v>55</v>
      </c>
      <c r="C1345" t="s">
        <v>474</v>
      </c>
      <c r="D1345" t="s">
        <v>1785</v>
      </c>
      <c r="E1345" t="s">
        <v>10229</v>
      </c>
      <c r="F1345" t="s">
        <v>10230</v>
      </c>
      <c r="G1345" t="s">
        <v>10012</v>
      </c>
      <c r="H1345" t="s">
        <v>10012</v>
      </c>
      <c r="I1345" t="s">
        <v>28</v>
      </c>
      <c r="J1345" t="s">
        <v>10231</v>
      </c>
      <c r="K1345" t="s">
        <v>19</v>
      </c>
      <c r="L1345" t="s">
        <v>20</v>
      </c>
      <c r="M1345" t="s">
        <v>10232</v>
      </c>
      <c r="N1345" t="s">
        <v>10233</v>
      </c>
      <c r="O1345" t="s">
        <v>10234</v>
      </c>
      <c r="P1345" t="s">
        <v>10235</v>
      </c>
    </row>
    <row r="1346" spans="1:16" x14ac:dyDescent="0.35">
      <c r="A1346" t="s">
        <v>10236</v>
      </c>
      <c r="B1346" t="s">
        <v>55</v>
      </c>
      <c r="C1346" t="s">
        <v>15</v>
      </c>
      <c r="D1346" t="s">
        <v>16</v>
      </c>
      <c r="E1346" t="s">
        <v>10237</v>
      </c>
      <c r="F1346" t="s">
        <v>10238</v>
      </c>
      <c r="G1346" t="s">
        <v>10012</v>
      </c>
      <c r="H1346" t="s">
        <v>10012</v>
      </c>
      <c r="I1346" t="s">
        <v>10239</v>
      </c>
      <c r="J1346" t="s">
        <v>10240</v>
      </c>
      <c r="K1346" t="s">
        <v>10241</v>
      </c>
      <c r="L1346" t="s">
        <v>20</v>
      </c>
      <c r="M1346" t="s">
        <v>10242</v>
      </c>
      <c r="N1346" t="s">
        <v>10243</v>
      </c>
      <c r="O1346" t="s">
        <v>10244</v>
      </c>
      <c r="P1346" t="s">
        <v>10245</v>
      </c>
    </row>
    <row r="1347" spans="1:16" x14ac:dyDescent="0.35">
      <c r="A1347" t="s">
        <v>10246</v>
      </c>
      <c r="B1347" t="s">
        <v>107</v>
      </c>
      <c r="C1347" t="s">
        <v>28</v>
      </c>
      <c r="D1347" t="s">
        <v>28</v>
      </c>
      <c r="E1347" t="s">
        <v>10247</v>
      </c>
      <c r="F1347" t="s">
        <v>10248</v>
      </c>
      <c r="G1347" t="s">
        <v>10249</v>
      </c>
      <c r="H1347" t="s">
        <v>10012</v>
      </c>
      <c r="I1347" t="s">
        <v>28</v>
      </c>
      <c r="J1347" t="s">
        <v>28</v>
      </c>
      <c r="K1347" t="s">
        <v>19</v>
      </c>
      <c r="L1347" t="s">
        <v>20</v>
      </c>
      <c r="M1347" t="s">
        <v>10250</v>
      </c>
      <c r="N1347" t="s">
        <v>10251</v>
      </c>
      <c r="O1347" t="s">
        <v>10252</v>
      </c>
      <c r="P1347" t="s">
        <v>915</v>
      </c>
    </row>
    <row r="1348" spans="1:16" x14ac:dyDescent="0.35">
      <c r="A1348" t="s">
        <v>10253</v>
      </c>
      <c r="B1348" t="s">
        <v>55</v>
      </c>
      <c r="C1348" t="s">
        <v>691</v>
      </c>
      <c r="D1348" t="s">
        <v>374</v>
      </c>
      <c r="E1348" t="s">
        <v>10254</v>
      </c>
      <c r="F1348" t="s">
        <v>10255</v>
      </c>
      <c r="G1348" t="s">
        <v>10012</v>
      </c>
      <c r="H1348" t="s">
        <v>10012</v>
      </c>
      <c r="I1348" t="s">
        <v>28</v>
      </c>
      <c r="J1348" t="s">
        <v>10256</v>
      </c>
      <c r="K1348" t="s">
        <v>19</v>
      </c>
      <c r="L1348" t="s">
        <v>20</v>
      </c>
      <c r="M1348" t="s">
        <v>10257</v>
      </c>
      <c r="N1348" t="s">
        <v>10258</v>
      </c>
      <c r="O1348" t="s">
        <v>10259</v>
      </c>
      <c r="P1348" t="s">
        <v>10260</v>
      </c>
    </row>
    <row r="1349" spans="1:16" x14ac:dyDescent="0.35">
      <c r="A1349" t="s">
        <v>10261</v>
      </c>
      <c r="B1349" t="s">
        <v>373</v>
      </c>
      <c r="C1349" t="s">
        <v>158</v>
      </c>
      <c r="D1349" t="s">
        <v>7107</v>
      </c>
      <c r="E1349" t="s">
        <v>10262</v>
      </c>
      <c r="F1349" t="s">
        <v>10263</v>
      </c>
      <c r="G1349" t="s">
        <v>10012</v>
      </c>
      <c r="H1349" t="s">
        <v>10012</v>
      </c>
      <c r="I1349" t="s">
        <v>10134</v>
      </c>
      <c r="J1349" t="s">
        <v>10264</v>
      </c>
      <c r="K1349" t="s">
        <v>10136</v>
      </c>
      <c r="L1349" t="s">
        <v>20</v>
      </c>
      <c r="M1349" t="s">
        <v>10265</v>
      </c>
      <c r="N1349" t="s">
        <v>10266</v>
      </c>
      <c r="O1349" t="s">
        <v>10267</v>
      </c>
      <c r="P1349" t="s">
        <v>10268</v>
      </c>
    </row>
    <row r="1350" spans="1:16" x14ac:dyDescent="0.35">
      <c r="A1350" t="s">
        <v>10269</v>
      </c>
      <c r="B1350" t="s">
        <v>55</v>
      </c>
      <c r="C1350" t="s">
        <v>28</v>
      </c>
      <c r="D1350" t="s">
        <v>28</v>
      </c>
      <c r="E1350" t="s">
        <v>10270</v>
      </c>
      <c r="F1350" t="s">
        <v>10202</v>
      </c>
      <c r="G1350" t="s">
        <v>10012</v>
      </c>
      <c r="H1350" t="s">
        <v>10012</v>
      </c>
      <c r="I1350" t="s">
        <v>10271</v>
      </c>
      <c r="J1350" t="s">
        <v>10272</v>
      </c>
      <c r="K1350" t="s">
        <v>10273</v>
      </c>
      <c r="L1350" t="s">
        <v>20</v>
      </c>
      <c r="M1350" t="s">
        <v>10274</v>
      </c>
      <c r="N1350" t="s">
        <v>10275</v>
      </c>
      <c r="O1350" t="s">
        <v>10276</v>
      </c>
      <c r="P1350" t="s">
        <v>10277</v>
      </c>
    </row>
    <row r="1351" spans="1:16" x14ac:dyDescent="0.35">
      <c r="A1351" t="s">
        <v>10278</v>
      </c>
      <c r="B1351" t="s">
        <v>55</v>
      </c>
      <c r="C1351" t="s">
        <v>15</v>
      </c>
      <c r="D1351" t="s">
        <v>27</v>
      </c>
      <c r="E1351" t="s">
        <v>10279</v>
      </c>
      <c r="F1351" t="s">
        <v>10280</v>
      </c>
      <c r="G1351" t="s">
        <v>10012</v>
      </c>
      <c r="H1351" t="s">
        <v>10012</v>
      </c>
      <c r="I1351" t="s">
        <v>28</v>
      </c>
      <c r="J1351" t="s">
        <v>10281</v>
      </c>
      <c r="K1351" t="s">
        <v>19</v>
      </c>
      <c r="L1351" t="s">
        <v>20</v>
      </c>
      <c r="M1351" t="s">
        <v>10274</v>
      </c>
      <c r="N1351" t="s">
        <v>10275</v>
      </c>
      <c r="O1351" t="s">
        <v>10282</v>
      </c>
      <c r="P1351" t="s">
        <v>10283</v>
      </c>
    </row>
    <row r="1352" spans="1:16" x14ac:dyDescent="0.35">
      <c r="A1352" t="s">
        <v>10284</v>
      </c>
      <c r="B1352" t="s">
        <v>55</v>
      </c>
      <c r="C1352" t="s">
        <v>117</v>
      </c>
      <c r="D1352" t="s">
        <v>27</v>
      </c>
      <c r="E1352" t="s">
        <v>10285</v>
      </c>
      <c r="F1352" t="s">
        <v>10286</v>
      </c>
      <c r="G1352" t="s">
        <v>10012</v>
      </c>
      <c r="H1352" t="s">
        <v>10012</v>
      </c>
      <c r="I1352" t="s">
        <v>596</v>
      </c>
      <c r="J1352" t="s">
        <v>28</v>
      </c>
      <c r="K1352" t="s">
        <v>598</v>
      </c>
      <c r="L1352" t="s">
        <v>20</v>
      </c>
      <c r="M1352" t="s">
        <v>10287</v>
      </c>
      <c r="N1352" t="s">
        <v>10288</v>
      </c>
      <c r="O1352" t="s">
        <v>10289</v>
      </c>
      <c r="P1352" t="s">
        <v>10290</v>
      </c>
    </row>
    <row r="1353" spans="1:16" x14ac:dyDescent="0.35">
      <c r="A1353" t="s">
        <v>10291</v>
      </c>
      <c r="B1353" t="s">
        <v>194</v>
      </c>
      <c r="C1353" t="s">
        <v>117</v>
      </c>
      <c r="D1353" t="s">
        <v>27</v>
      </c>
      <c r="E1353" t="s">
        <v>10292</v>
      </c>
      <c r="F1353" t="s">
        <v>10293</v>
      </c>
      <c r="G1353" t="s">
        <v>10012</v>
      </c>
      <c r="H1353" t="s">
        <v>10012</v>
      </c>
      <c r="I1353" t="s">
        <v>28</v>
      </c>
      <c r="J1353" t="s">
        <v>10294</v>
      </c>
      <c r="K1353" t="s">
        <v>19</v>
      </c>
      <c r="L1353" t="s">
        <v>20</v>
      </c>
      <c r="M1353" t="s">
        <v>10287</v>
      </c>
      <c r="N1353" t="s">
        <v>10288</v>
      </c>
      <c r="O1353" t="s">
        <v>10295</v>
      </c>
      <c r="P1353" t="s">
        <v>10296</v>
      </c>
    </row>
    <row r="1354" spans="1:16" x14ac:dyDescent="0.35">
      <c r="A1354" t="s">
        <v>10297</v>
      </c>
      <c r="B1354" t="s">
        <v>32</v>
      </c>
      <c r="C1354" t="s">
        <v>28</v>
      </c>
      <c r="D1354" t="s">
        <v>28</v>
      </c>
      <c r="E1354" t="s">
        <v>10298</v>
      </c>
      <c r="F1354" t="s">
        <v>10299</v>
      </c>
      <c r="G1354" t="s">
        <v>10012</v>
      </c>
      <c r="H1354" t="s">
        <v>10012</v>
      </c>
      <c r="I1354" t="s">
        <v>28</v>
      </c>
      <c r="J1354" t="s">
        <v>28</v>
      </c>
      <c r="K1354" t="s">
        <v>19</v>
      </c>
      <c r="L1354" t="s">
        <v>20</v>
      </c>
      <c r="M1354" t="s">
        <v>10300</v>
      </c>
      <c r="N1354" t="s">
        <v>10301</v>
      </c>
      <c r="O1354" t="s">
        <v>10302</v>
      </c>
      <c r="P1354" t="s">
        <v>10303</v>
      </c>
    </row>
    <row r="1355" spans="1:16" x14ac:dyDescent="0.35">
      <c r="A1355" t="s">
        <v>538</v>
      </c>
      <c r="B1355" t="s">
        <v>55</v>
      </c>
      <c r="C1355" t="s">
        <v>15</v>
      </c>
      <c r="D1355" t="s">
        <v>16</v>
      </c>
      <c r="E1355" t="s">
        <v>10304</v>
      </c>
      <c r="F1355" t="s">
        <v>10305</v>
      </c>
      <c r="G1355" t="s">
        <v>10012</v>
      </c>
      <c r="H1355" t="s">
        <v>10012</v>
      </c>
      <c r="I1355" t="s">
        <v>82</v>
      </c>
      <c r="J1355" t="s">
        <v>28</v>
      </c>
      <c r="K1355" t="s">
        <v>84</v>
      </c>
      <c r="L1355" t="s">
        <v>20</v>
      </c>
      <c r="M1355" t="s">
        <v>10306</v>
      </c>
      <c r="N1355" t="s">
        <v>10307</v>
      </c>
      <c r="O1355" t="s">
        <v>10308</v>
      </c>
      <c r="P1355" t="s">
        <v>915</v>
      </c>
    </row>
    <row r="1356" spans="1:16" x14ac:dyDescent="0.35">
      <c r="A1356" t="s">
        <v>10030</v>
      </c>
      <c r="B1356" t="s">
        <v>55</v>
      </c>
      <c r="C1356" t="s">
        <v>15</v>
      </c>
      <c r="D1356" t="s">
        <v>348</v>
      </c>
      <c r="E1356" t="s">
        <v>10309</v>
      </c>
      <c r="F1356" t="s">
        <v>10310</v>
      </c>
      <c r="G1356" t="s">
        <v>10311</v>
      </c>
      <c r="H1356" t="s">
        <v>10012</v>
      </c>
      <c r="I1356" t="s">
        <v>10033</v>
      </c>
      <c r="J1356" t="s">
        <v>10312</v>
      </c>
      <c r="K1356" t="s">
        <v>19</v>
      </c>
      <c r="L1356" t="s">
        <v>20</v>
      </c>
      <c r="M1356" t="s">
        <v>10313</v>
      </c>
      <c r="N1356" t="s">
        <v>10314</v>
      </c>
      <c r="O1356" t="s">
        <v>10315</v>
      </c>
      <c r="P1356" t="s">
        <v>10316</v>
      </c>
    </row>
    <row r="1357" spans="1:16" x14ac:dyDescent="0.35">
      <c r="A1357" t="s">
        <v>10030</v>
      </c>
      <c r="B1357" t="s">
        <v>55</v>
      </c>
      <c r="C1357" t="s">
        <v>15</v>
      </c>
      <c r="D1357" t="s">
        <v>16</v>
      </c>
      <c r="E1357" t="s">
        <v>10317</v>
      </c>
      <c r="F1357" t="s">
        <v>10318</v>
      </c>
      <c r="G1357" t="s">
        <v>10319</v>
      </c>
      <c r="H1357" t="s">
        <v>10012</v>
      </c>
      <c r="I1357" t="s">
        <v>10033</v>
      </c>
      <c r="J1357" t="s">
        <v>10320</v>
      </c>
      <c r="K1357" t="s">
        <v>19</v>
      </c>
      <c r="L1357" t="s">
        <v>20</v>
      </c>
      <c r="M1357" t="s">
        <v>10321</v>
      </c>
      <c r="N1357" t="s">
        <v>10322</v>
      </c>
      <c r="O1357" t="s">
        <v>10323</v>
      </c>
      <c r="P1357" t="s">
        <v>10324</v>
      </c>
    </row>
    <row r="1358" spans="1:16" x14ac:dyDescent="0.35">
      <c r="A1358" t="s">
        <v>10325</v>
      </c>
      <c r="B1358" t="s">
        <v>55</v>
      </c>
      <c r="C1358" t="s">
        <v>357</v>
      </c>
      <c r="D1358" t="s">
        <v>324</v>
      </c>
      <c r="E1358" t="s">
        <v>10326</v>
      </c>
      <c r="F1358" t="s">
        <v>10327</v>
      </c>
      <c r="G1358" t="s">
        <v>10328</v>
      </c>
      <c r="H1358" t="s">
        <v>10012</v>
      </c>
      <c r="I1358" t="s">
        <v>10329</v>
      </c>
      <c r="J1358" t="s">
        <v>10330</v>
      </c>
      <c r="K1358" t="s">
        <v>10331</v>
      </c>
      <c r="L1358" t="s">
        <v>20</v>
      </c>
      <c r="M1358" t="s">
        <v>10332</v>
      </c>
      <c r="N1358" t="s">
        <v>10333</v>
      </c>
      <c r="O1358" t="s">
        <v>10334</v>
      </c>
      <c r="P1358" t="s">
        <v>10335</v>
      </c>
    </row>
    <row r="1359" spans="1:16" x14ac:dyDescent="0.35">
      <c r="A1359" t="s">
        <v>10336</v>
      </c>
      <c r="B1359" t="s">
        <v>32</v>
      </c>
      <c r="C1359" t="s">
        <v>311</v>
      </c>
      <c r="D1359" t="s">
        <v>141</v>
      </c>
      <c r="E1359" t="s">
        <v>10337</v>
      </c>
      <c r="F1359" t="s">
        <v>10338</v>
      </c>
      <c r="G1359" t="s">
        <v>10339</v>
      </c>
      <c r="H1359" t="s">
        <v>10012</v>
      </c>
      <c r="I1359" t="s">
        <v>28</v>
      </c>
      <c r="J1359" t="s">
        <v>10340</v>
      </c>
      <c r="K1359" t="s">
        <v>19</v>
      </c>
      <c r="L1359" t="s">
        <v>20</v>
      </c>
      <c r="M1359" t="s">
        <v>10341</v>
      </c>
      <c r="N1359" t="s">
        <v>10342</v>
      </c>
      <c r="O1359" t="s">
        <v>10343</v>
      </c>
      <c r="P1359" t="s">
        <v>10344</v>
      </c>
    </row>
    <row r="1360" spans="1:16" x14ac:dyDescent="0.35">
      <c r="A1360" t="s">
        <v>4227</v>
      </c>
      <c r="B1360" t="s">
        <v>55</v>
      </c>
      <c r="C1360" t="s">
        <v>158</v>
      </c>
      <c r="D1360" t="s">
        <v>374</v>
      </c>
      <c r="E1360" t="s">
        <v>10346</v>
      </c>
      <c r="F1360" t="s">
        <v>10347</v>
      </c>
      <c r="G1360" t="s">
        <v>10311</v>
      </c>
      <c r="H1360" t="s">
        <v>10012</v>
      </c>
      <c r="I1360" t="s">
        <v>82</v>
      </c>
      <c r="J1360" t="s">
        <v>10348</v>
      </c>
      <c r="K1360" t="s">
        <v>84</v>
      </c>
      <c r="L1360" t="s">
        <v>20</v>
      </c>
      <c r="M1360" t="s">
        <v>10349</v>
      </c>
      <c r="N1360" t="s">
        <v>10350</v>
      </c>
      <c r="O1360" t="s">
        <v>10351</v>
      </c>
      <c r="P1360" t="s">
        <v>10352</v>
      </c>
    </row>
    <row r="1361" spans="1:16" x14ac:dyDescent="0.35">
      <c r="A1361" t="s">
        <v>482</v>
      </c>
      <c r="B1361" t="s">
        <v>55</v>
      </c>
      <c r="C1361" t="s">
        <v>241</v>
      </c>
      <c r="D1361" t="s">
        <v>268</v>
      </c>
      <c r="E1361" t="s">
        <v>10353</v>
      </c>
      <c r="F1361" t="s">
        <v>10354</v>
      </c>
      <c r="G1361" t="s">
        <v>10355</v>
      </c>
      <c r="H1361" t="s">
        <v>7184</v>
      </c>
      <c r="I1361" t="s">
        <v>162</v>
      </c>
      <c r="J1361" t="s">
        <v>10356</v>
      </c>
      <c r="K1361" t="s">
        <v>164</v>
      </c>
      <c r="L1361" t="s">
        <v>20</v>
      </c>
      <c r="M1361" t="s">
        <v>10357</v>
      </c>
      <c r="N1361" t="s">
        <v>10358</v>
      </c>
      <c r="O1361" t="s">
        <v>10359</v>
      </c>
      <c r="P1361" t="s">
        <v>10360</v>
      </c>
    </row>
    <row r="1362" spans="1:16" x14ac:dyDescent="0.35">
      <c r="A1362" t="s">
        <v>10361</v>
      </c>
      <c r="B1362" t="s">
        <v>55</v>
      </c>
      <c r="C1362" t="s">
        <v>241</v>
      </c>
      <c r="D1362" t="s">
        <v>549</v>
      </c>
      <c r="E1362" t="s">
        <v>10362</v>
      </c>
      <c r="F1362" t="s">
        <v>10363</v>
      </c>
      <c r="G1362" t="s">
        <v>10364</v>
      </c>
      <c r="H1362" t="s">
        <v>10012</v>
      </c>
      <c r="I1362" t="s">
        <v>10152</v>
      </c>
      <c r="J1362" t="s">
        <v>10365</v>
      </c>
      <c r="K1362" t="s">
        <v>19</v>
      </c>
      <c r="L1362" t="s">
        <v>20</v>
      </c>
      <c r="M1362" t="s">
        <v>10366</v>
      </c>
      <c r="N1362" t="s">
        <v>10367</v>
      </c>
      <c r="O1362" t="s">
        <v>10368</v>
      </c>
      <c r="P1362" t="s">
        <v>10369</v>
      </c>
    </row>
    <row r="1363" spans="1:16" x14ac:dyDescent="0.35">
      <c r="A1363" t="s">
        <v>538</v>
      </c>
      <c r="B1363" t="s">
        <v>55</v>
      </c>
      <c r="C1363" t="s">
        <v>158</v>
      </c>
      <c r="D1363" t="s">
        <v>1604</v>
      </c>
      <c r="E1363" t="s">
        <v>10370</v>
      </c>
      <c r="F1363" t="s">
        <v>10371</v>
      </c>
      <c r="G1363" t="s">
        <v>10345</v>
      </c>
      <c r="H1363" t="s">
        <v>10012</v>
      </c>
      <c r="I1363" t="s">
        <v>82</v>
      </c>
      <c r="J1363" t="s">
        <v>10372</v>
      </c>
      <c r="K1363" t="s">
        <v>84</v>
      </c>
      <c r="L1363" t="s">
        <v>20</v>
      </c>
      <c r="M1363" t="s">
        <v>10373</v>
      </c>
      <c r="N1363" t="s">
        <v>10374</v>
      </c>
      <c r="O1363" t="s">
        <v>10375</v>
      </c>
      <c r="P1363" t="s">
        <v>10376</v>
      </c>
    </row>
    <row r="1364" spans="1:16" x14ac:dyDescent="0.35">
      <c r="A1364" t="s">
        <v>310</v>
      </c>
      <c r="B1364" t="s">
        <v>55</v>
      </c>
      <c r="C1364" t="s">
        <v>474</v>
      </c>
      <c r="D1364" t="s">
        <v>304</v>
      </c>
      <c r="E1364" t="s">
        <v>10377</v>
      </c>
      <c r="F1364" t="s">
        <v>10378</v>
      </c>
      <c r="G1364" t="s">
        <v>10355</v>
      </c>
      <c r="H1364" t="s">
        <v>7184</v>
      </c>
      <c r="I1364" t="s">
        <v>82</v>
      </c>
      <c r="J1364" t="s">
        <v>10379</v>
      </c>
      <c r="K1364" t="s">
        <v>84</v>
      </c>
      <c r="L1364" t="s">
        <v>20</v>
      </c>
      <c r="M1364" t="s">
        <v>10380</v>
      </c>
      <c r="N1364" t="s">
        <v>10381</v>
      </c>
      <c r="O1364" t="s">
        <v>10382</v>
      </c>
      <c r="P1364" t="s">
        <v>10383</v>
      </c>
    </row>
    <row r="1365" spans="1:16" x14ac:dyDescent="0.35">
      <c r="A1365" t="s">
        <v>10384</v>
      </c>
      <c r="B1365" t="s">
        <v>32</v>
      </c>
      <c r="C1365" t="s">
        <v>117</v>
      </c>
      <c r="D1365" t="s">
        <v>1795</v>
      </c>
      <c r="E1365" t="s">
        <v>10385</v>
      </c>
      <c r="F1365" t="s">
        <v>10386</v>
      </c>
      <c r="G1365" t="s">
        <v>9445</v>
      </c>
      <c r="H1365" t="s">
        <v>9419</v>
      </c>
      <c r="I1365" t="s">
        <v>28</v>
      </c>
      <c r="J1365" t="s">
        <v>10387</v>
      </c>
      <c r="K1365" t="s">
        <v>19</v>
      </c>
      <c r="L1365" t="s">
        <v>20</v>
      </c>
      <c r="M1365" t="s">
        <v>10388</v>
      </c>
      <c r="N1365" t="s">
        <v>10389</v>
      </c>
      <c r="O1365" t="s">
        <v>10390</v>
      </c>
      <c r="P1365" t="s">
        <v>10391</v>
      </c>
    </row>
    <row r="1366" spans="1:16" x14ac:dyDescent="0.35">
      <c r="A1366" t="s">
        <v>10392</v>
      </c>
      <c r="B1366" t="s">
        <v>55</v>
      </c>
      <c r="C1366" t="s">
        <v>28</v>
      </c>
      <c r="D1366" t="s">
        <v>28</v>
      </c>
      <c r="E1366" t="s">
        <v>10393</v>
      </c>
      <c r="F1366" t="s">
        <v>10394</v>
      </c>
      <c r="G1366" t="s">
        <v>9445</v>
      </c>
      <c r="H1366" t="s">
        <v>9419</v>
      </c>
      <c r="I1366" t="s">
        <v>28</v>
      </c>
      <c r="J1366" t="s">
        <v>10395</v>
      </c>
      <c r="K1366" t="s">
        <v>19</v>
      </c>
      <c r="L1366" t="s">
        <v>20</v>
      </c>
      <c r="M1366" t="s">
        <v>10388</v>
      </c>
      <c r="N1366" t="s">
        <v>10389</v>
      </c>
      <c r="O1366" t="s">
        <v>10396</v>
      </c>
      <c r="P1366" t="s">
        <v>10397</v>
      </c>
    </row>
    <row r="1367" spans="1:16" x14ac:dyDescent="0.35">
      <c r="A1367" t="s">
        <v>10398</v>
      </c>
      <c r="B1367" t="s">
        <v>55</v>
      </c>
      <c r="C1367" t="s">
        <v>15</v>
      </c>
      <c r="D1367" t="s">
        <v>27</v>
      </c>
      <c r="E1367" t="s">
        <v>10399</v>
      </c>
      <c r="F1367" t="s">
        <v>10400</v>
      </c>
      <c r="G1367" t="s">
        <v>9445</v>
      </c>
      <c r="H1367" t="s">
        <v>9419</v>
      </c>
      <c r="I1367" t="s">
        <v>10401</v>
      </c>
      <c r="J1367" t="s">
        <v>10402</v>
      </c>
      <c r="K1367" t="s">
        <v>10403</v>
      </c>
      <c r="L1367" t="s">
        <v>20</v>
      </c>
      <c r="M1367" t="s">
        <v>10388</v>
      </c>
      <c r="N1367" t="s">
        <v>10389</v>
      </c>
      <c r="O1367" t="s">
        <v>10404</v>
      </c>
      <c r="P1367" t="s">
        <v>10405</v>
      </c>
    </row>
    <row r="1368" spans="1:16" x14ac:dyDescent="0.35">
      <c r="A1368" t="s">
        <v>10406</v>
      </c>
      <c r="B1368" t="s">
        <v>32</v>
      </c>
      <c r="C1368" t="s">
        <v>691</v>
      </c>
      <c r="D1368" t="s">
        <v>16</v>
      </c>
      <c r="E1368" t="s">
        <v>10407</v>
      </c>
      <c r="F1368" t="s">
        <v>10408</v>
      </c>
      <c r="G1368" t="s">
        <v>10409</v>
      </c>
      <c r="H1368" t="s">
        <v>9419</v>
      </c>
      <c r="I1368" t="s">
        <v>10410</v>
      </c>
      <c r="J1368" t="s">
        <v>10411</v>
      </c>
      <c r="K1368" t="s">
        <v>10412</v>
      </c>
      <c r="L1368" t="s">
        <v>20</v>
      </c>
      <c r="M1368" t="s">
        <v>10413</v>
      </c>
      <c r="N1368" t="s">
        <v>10414</v>
      </c>
      <c r="O1368" t="s">
        <v>10415</v>
      </c>
      <c r="P1368" t="s">
        <v>10416</v>
      </c>
    </row>
    <row r="1369" spans="1:16" x14ac:dyDescent="0.35">
      <c r="A1369" t="s">
        <v>10417</v>
      </c>
      <c r="B1369" t="s">
        <v>55</v>
      </c>
      <c r="C1369" t="s">
        <v>28</v>
      </c>
      <c r="D1369" t="s">
        <v>28</v>
      </c>
      <c r="E1369" t="s">
        <v>10418</v>
      </c>
      <c r="F1369" t="s">
        <v>10419</v>
      </c>
      <c r="G1369" t="s">
        <v>9445</v>
      </c>
      <c r="H1369" t="s">
        <v>9419</v>
      </c>
      <c r="I1369" t="s">
        <v>3440</v>
      </c>
      <c r="J1369" t="s">
        <v>10420</v>
      </c>
      <c r="K1369" t="s">
        <v>3442</v>
      </c>
      <c r="L1369" t="s">
        <v>20</v>
      </c>
      <c r="M1369" t="s">
        <v>10421</v>
      </c>
      <c r="N1369" t="s">
        <v>10422</v>
      </c>
      <c r="O1369" t="s">
        <v>10423</v>
      </c>
      <c r="P1369" t="s">
        <v>10424</v>
      </c>
    </row>
    <row r="1370" spans="1:16" x14ac:dyDescent="0.35">
      <c r="A1370" t="s">
        <v>10426</v>
      </c>
      <c r="B1370" t="s">
        <v>32</v>
      </c>
      <c r="C1370" t="s">
        <v>96</v>
      </c>
      <c r="D1370" t="s">
        <v>374</v>
      </c>
      <c r="E1370" t="s">
        <v>10427</v>
      </c>
      <c r="F1370" t="s">
        <v>10428</v>
      </c>
      <c r="G1370" t="s">
        <v>10429</v>
      </c>
      <c r="H1370" t="s">
        <v>9419</v>
      </c>
      <c r="I1370" t="s">
        <v>10430</v>
      </c>
      <c r="J1370" t="s">
        <v>10431</v>
      </c>
      <c r="K1370" t="s">
        <v>10432</v>
      </c>
      <c r="L1370" t="s">
        <v>20</v>
      </c>
      <c r="M1370" t="s">
        <v>10421</v>
      </c>
      <c r="N1370" t="s">
        <v>10422</v>
      </c>
      <c r="O1370" t="s">
        <v>10433</v>
      </c>
      <c r="P1370" t="s">
        <v>10434</v>
      </c>
    </row>
    <row r="1371" spans="1:16" x14ac:dyDescent="0.35">
      <c r="A1371" t="s">
        <v>10435</v>
      </c>
      <c r="B1371" t="s">
        <v>55</v>
      </c>
      <c r="C1371" t="s">
        <v>28</v>
      </c>
      <c r="D1371" t="s">
        <v>28</v>
      </c>
      <c r="E1371" t="s">
        <v>10436</v>
      </c>
      <c r="F1371" t="s">
        <v>10437</v>
      </c>
      <c r="G1371" t="s">
        <v>9445</v>
      </c>
      <c r="H1371" t="s">
        <v>9419</v>
      </c>
      <c r="I1371" t="s">
        <v>10438</v>
      </c>
      <c r="J1371" t="s">
        <v>10439</v>
      </c>
      <c r="K1371" t="s">
        <v>10440</v>
      </c>
      <c r="L1371" t="s">
        <v>20</v>
      </c>
      <c r="M1371" t="s">
        <v>10421</v>
      </c>
      <c r="N1371" t="s">
        <v>10422</v>
      </c>
      <c r="O1371" t="s">
        <v>10441</v>
      </c>
      <c r="P1371" t="s">
        <v>10442</v>
      </c>
    </row>
    <row r="1372" spans="1:16" x14ac:dyDescent="0.35">
      <c r="A1372" t="s">
        <v>10445</v>
      </c>
      <c r="B1372" t="s">
        <v>55</v>
      </c>
      <c r="C1372" t="s">
        <v>28</v>
      </c>
      <c r="D1372" t="s">
        <v>28</v>
      </c>
      <c r="E1372" t="s">
        <v>10446</v>
      </c>
      <c r="F1372" t="s">
        <v>10447</v>
      </c>
      <c r="G1372" t="s">
        <v>10448</v>
      </c>
      <c r="H1372" t="s">
        <v>9419</v>
      </c>
      <c r="I1372" t="s">
        <v>10449</v>
      </c>
      <c r="J1372" t="s">
        <v>10450</v>
      </c>
      <c r="K1372" t="s">
        <v>19</v>
      </c>
      <c r="L1372" t="s">
        <v>20</v>
      </c>
      <c r="M1372" t="s">
        <v>10443</v>
      </c>
      <c r="N1372" t="s">
        <v>10444</v>
      </c>
      <c r="O1372" t="s">
        <v>10451</v>
      </c>
      <c r="P1372" t="s">
        <v>10452</v>
      </c>
    </row>
    <row r="1373" spans="1:16" x14ac:dyDescent="0.35">
      <c r="A1373" t="s">
        <v>10453</v>
      </c>
      <c r="B1373" t="s">
        <v>55</v>
      </c>
      <c r="C1373" t="s">
        <v>15</v>
      </c>
      <c r="D1373" t="s">
        <v>16</v>
      </c>
      <c r="E1373" t="s">
        <v>10454</v>
      </c>
      <c r="F1373" t="s">
        <v>10455</v>
      </c>
      <c r="G1373" t="s">
        <v>9445</v>
      </c>
      <c r="H1373" t="s">
        <v>9419</v>
      </c>
      <c r="I1373" t="s">
        <v>10456</v>
      </c>
      <c r="J1373" t="s">
        <v>10457</v>
      </c>
      <c r="K1373" t="s">
        <v>10458</v>
      </c>
      <c r="L1373" t="s">
        <v>20</v>
      </c>
      <c r="M1373" t="s">
        <v>10443</v>
      </c>
      <c r="N1373" t="s">
        <v>10444</v>
      </c>
      <c r="O1373" t="s">
        <v>10459</v>
      </c>
      <c r="P1373" t="s">
        <v>10460</v>
      </c>
    </row>
    <row r="1374" spans="1:16" x14ac:dyDescent="0.35">
      <c r="A1374" t="s">
        <v>10461</v>
      </c>
      <c r="B1374" t="s">
        <v>55</v>
      </c>
      <c r="C1374" t="s">
        <v>15</v>
      </c>
      <c r="D1374" t="s">
        <v>68</v>
      </c>
      <c r="E1374" t="s">
        <v>10462</v>
      </c>
      <c r="F1374" t="s">
        <v>10463</v>
      </c>
      <c r="G1374" t="s">
        <v>10464</v>
      </c>
      <c r="H1374" t="s">
        <v>9419</v>
      </c>
      <c r="I1374" t="s">
        <v>10465</v>
      </c>
      <c r="J1374" t="s">
        <v>10466</v>
      </c>
      <c r="K1374" t="s">
        <v>10467</v>
      </c>
      <c r="L1374" t="s">
        <v>20</v>
      </c>
      <c r="M1374" t="s">
        <v>10468</v>
      </c>
      <c r="N1374" t="s">
        <v>10469</v>
      </c>
      <c r="O1374" t="s">
        <v>10470</v>
      </c>
      <c r="P1374" t="s">
        <v>10471</v>
      </c>
    </row>
    <row r="1375" spans="1:16" x14ac:dyDescent="0.35">
      <c r="A1375" t="s">
        <v>10473</v>
      </c>
      <c r="B1375" t="s">
        <v>55</v>
      </c>
      <c r="C1375" t="s">
        <v>474</v>
      </c>
      <c r="D1375" t="s">
        <v>1798</v>
      </c>
      <c r="E1375" t="s">
        <v>10474</v>
      </c>
      <c r="F1375" t="s">
        <v>10475</v>
      </c>
      <c r="G1375" t="s">
        <v>9445</v>
      </c>
      <c r="H1375" t="s">
        <v>9419</v>
      </c>
      <c r="I1375" t="s">
        <v>10476</v>
      </c>
      <c r="J1375" t="s">
        <v>10477</v>
      </c>
      <c r="K1375" t="s">
        <v>19</v>
      </c>
      <c r="L1375" t="s">
        <v>20</v>
      </c>
      <c r="M1375" t="s">
        <v>10478</v>
      </c>
      <c r="N1375" t="s">
        <v>10479</v>
      </c>
      <c r="O1375" t="s">
        <v>10480</v>
      </c>
      <c r="P1375" t="s">
        <v>10481</v>
      </c>
    </row>
    <row r="1376" spans="1:16" x14ac:dyDescent="0.35">
      <c r="A1376" t="s">
        <v>10482</v>
      </c>
      <c r="B1376" t="s">
        <v>55</v>
      </c>
      <c r="C1376" t="s">
        <v>15</v>
      </c>
      <c r="D1376" t="s">
        <v>16</v>
      </c>
      <c r="E1376" t="s">
        <v>10483</v>
      </c>
      <c r="F1376" t="s">
        <v>10484</v>
      </c>
      <c r="G1376" t="s">
        <v>10485</v>
      </c>
      <c r="H1376" t="s">
        <v>9419</v>
      </c>
      <c r="I1376" t="s">
        <v>28</v>
      </c>
      <c r="J1376" t="s">
        <v>10486</v>
      </c>
      <c r="K1376" t="s">
        <v>19</v>
      </c>
      <c r="L1376" t="s">
        <v>20</v>
      </c>
      <c r="M1376" t="s">
        <v>10478</v>
      </c>
      <c r="N1376" t="s">
        <v>10479</v>
      </c>
      <c r="O1376" t="s">
        <v>10487</v>
      </c>
      <c r="P1376" t="s">
        <v>10488</v>
      </c>
    </row>
    <row r="1377" spans="1:16" x14ac:dyDescent="0.35">
      <c r="A1377" t="s">
        <v>10489</v>
      </c>
      <c r="B1377" t="s">
        <v>55</v>
      </c>
      <c r="C1377" t="s">
        <v>26</v>
      </c>
      <c r="D1377" t="s">
        <v>1785</v>
      </c>
      <c r="E1377" t="s">
        <v>10490</v>
      </c>
      <c r="F1377" t="s">
        <v>10491</v>
      </c>
      <c r="G1377" t="s">
        <v>9445</v>
      </c>
      <c r="H1377" t="s">
        <v>9419</v>
      </c>
      <c r="I1377" t="s">
        <v>10492</v>
      </c>
      <c r="J1377" t="s">
        <v>10493</v>
      </c>
      <c r="K1377" t="s">
        <v>19</v>
      </c>
      <c r="L1377" t="s">
        <v>20</v>
      </c>
      <c r="M1377" t="s">
        <v>10494</v>
      </c>
      <c r="N1377" t="s">
        <v>10495</v>
      </c>
      <c r="O1377" t="s">
        <v>10496</v>
      </c>
      <c r="P1377" t="s">
        <v>10497</v>
      </c>
    </row>
    <row r="1378" spans="1:16" x14ac:dyDescent="0.35">
      <c r="A1378" t="s">
        <v>10498</v>
      </c>
      <c r="B1378" t="s">
        <v>32</v>
      </c>
      <c r="C1378" t="s">
        <v>15</v>
      </c>
      <c r="D1378" t="s">
        <v>614</v>
      </c>
      <c r="E1378" t="s">
        <v>10499</v>
      </c>
      <c r="F1378" t="s">
        <v>10500</v>
      </c>
      <c r="G1378" t="s">
        <v>10485</v>
      </c>
      <c r="H1378" t="s">
        <v>9419</v>
      </c>
      <c r="I1378" t="s">
        <v>10501</v>
      </c>
      <c r="J1378" t="s">
        <v>10502</v>
      </c>
      <c r="K1378" t="s">
        <v>19</v>
      </c>
      <c r="L1378" t="s">
        <v>20</v>
      </c>
      <c r="M1378" t="s">
        <v>10494</v>
      </c>
      <c r="N1378" t="s">
        <v>10495</v>
      </c>
      <c r="O1378" t="s">
        <v>10503</v>
      </c>
      <c r="P1378" t="s">
        <v>10504</v>
      </c>
    </row>
    <row r="1379" spans="1:16" x14ac:dyDescent="0.35">
      <c r="A1379" t="s">
        <v>1209</v>
      </c>
      <c r="B1379" t="s">
        <v>55</v>
      </c>
      <c r="C1379" t="s">
        <v>28</v>
      </c>
      <c r="D1379" t="s">
        <v>28</v>
      </c>
      <c r="E1379" t="s">
        <v>10505</v>
      </c>
      <c r="F1379" t="s">
        <v>10506</v>
      </c>
      <c r="G1379" t="s">
        <v>10507</v>
      </c>
      <c r="H1379" t="s">
        <v>9419</v>
      </c>
      <c r="I1379" t="s">
        <v>28</v>
      </c>
      <c r="J1379" t="s">
        <v>10508</v>
      </c>
      <c r="K1379" t="s">
        <v>19</v>
      </c>
      <c r="L1379" t="s">
        <v>20</v>
      </c>
      <c r="M1379" t="s">
        <v>10509</v>
      </c>
      <c r="N1379" t="s">
        <v>10510</v>
      </c>
      <c r="O1379" t="s">
        <v>10511</v>
      </c>
      <c r="P1379" t="s">
        <v>10512</v>
      </c>
    </row>
    <row r="1380" spans="1:16" x14ac:dyDescent="0.35">
      <c r="A1380" t="s">
        <v>10515</v>
      </c>
      <c r="B1380" t="s">
        <v>55</v>
      </c>
      <c r="C1380" t="s">
        <v>241</v>
      </c>
      <c r="D1380" t="s">
        <v>206</v>
      </c>
      <c r="E1380" t="s">
        <v>10516</v>
      </c>
      <c r="F1380" t="s">
        <v>10517</v>
      </c>
      <c r="G1380" t="s">
        <v>10518</v>
      </c>
      <c r="H1380" t="s">
        <v>9419</v>
      </c>
      <c r="I1380" t="s">
        <v>28</v>
      </c>
      <c r="J1380" t="s">
        <v>28</v>
      </c>
      <c r="K1380" t="s">
        <v>19</v>
      </c>
      <c r="L1380" t="s">
        <v>20</v>
      </c>
      <c r="M1380" t="s">
        <v>10513</v>
      </c>
      <c r="N1380" t="s">
        <v>10514</v>
      </c>
      <c r="O1380" t="s">
        <v>10519</v>
      </c>
      <c r="P1380" t="s">
        <v>10520</v>
      </c>
    </row>
    <row r="1381" spans="1:16" x14ac:dyDescent="0.35">
      <c r="A1381" t="s">
        <v>10521</v>
      </c>
      <c r="B1381" t="s">
        <v>55</v>
      </c>
      <c r="C1381" t="s">
        <v>28</v>
      </c>
      <c r="D1381" t="s">
        <v>28</v>
      </c>
      <c r="E1381" t="s">
        <v>10522</v>
      </c>
      <c r="F1381" t="s">
        <v>10523</v>
      </c>
      <c r="G1381" t="s">
        <v>10472</v>
      </c>
      <c r="H1381" t="s">
        <v>9419</v>
      </c>
      <c r="I1381" t="s">
        <v>28</v>
      </c>
      <c r="J1381" t="s">
        <v>10524</v>
      </c>
      <c r="K1381" t="s">
        <v>19</v>
      </c>
      <c r="L1381" t="s">
        <v>20</v>
      </c>
      <c r="M1381" t="s">
        <v>10525</v>
      </c>
      <c r="N1381" t="s">
        <v>10526</v>
      </c>
      <c r="O1381" t="s">
        <v>10527</v>
      </c>
      <c r="P1381" t="s">
        <v>10528</v>
      </c>
    </row>
    <row r="1382" spans="1:16" x14ac:dyDescent="0.35">
      <c r="A1382" t="s">
        <v>10529</v>
      </c>
      <c r="B1382" t="s">
        <v>55</v>
      </c>
      <c r="C1382" t="s">
        <v>15</v>
      </c>
      <c r="D1382" t="s">
        <v>16</v>
      </c>
      <c r="E1382" t="s">
        <v>10530</v>
      </c>
      <c r="F1382" t="s">
        <v>10531</v>
      </c>
      <c r="G1382" t="s">
        <v>10425</v>
      </c>
      <c r="H1382" t="s">
        <v>9419</v>
      </c>
      <c r="I1382" t="s">
        <v>28</v>
      </c>
      <c r="J1382" t="s">
        <v>28</v>
      </c>
      <c r="K1382" t="s">
        <v>19</v>
      </c>
      <c r="L1382" t="s">
        <v>20</v>
      </c>
      <c r="M1382" t="s">
        <v>10532</v>
      </c>
      <c r="N1382" t="s">
        <v>10533</v>
      </c>
      <c r="O1382" t="s">
        <v>10534</v>
      </c>
      <c r="P1382" t="s">
        <v>10535</v>
      </c>
    </row>
    <row r="1383" spans="1:16" x14ac:dyDescent="0.35">
      <c r="A1383" t="s">
        <v>10536</v>
      </c>
      <c r="B1383" t="s">
        <v>32</v>
      </c>
      <c r="C1383" t="s">
        <v>96</v>
      </c>
      <c r="D1383" t="s">
        <v>812</v>
      </c>
      <c r="E1383" t="s">
        <v>10537</v>
      </c>
      <c r="F1383" t="s">
        <v>10538</v>
      </c>
      <c r="G1383" t="s">
        <v>10539</v>
      </c>
      <c r="H1383" t="s">
        <v>9419</v>
      </c>
      <c r="I1383" t="s">
        <v>10540</v>
      </c>
      <c r="J1383" t="s">
        <v>10541</v>
      </c>
      <c r="K1383" t="s">
        <v>19</v>
      </c>
      <c r="L1383" t="s">
        <v>20</v>
      </c>
      <c r="M1383" t="s">
        <v>10532</v>
      </c>
      <c r="N1383" t="s">
        <v>10533</v>
      </c>
      <c r="O1383" t="s">
        <v>10542</v>
      </c>
      <c r="P1383" t="s">
        <v>10543</v>
      </c>
    </row>
    <row r="1384" spans="1:16" x14ac:dyDescent="0.35">
      <c r="A1384" t="s">
        <v>10544</v>
      </c>
      <c r="B1384" t="s">
        <v>55</v>
      </c>
      <c r="C1384" t="s">
        <v>691</v>
      </c>
      <c r="D1384" t="s">
        <v>324</v>
      </c>
      <c r="E1384" t="s">
        <v>10545</v>
      </c>
      <c r="F1384" t="s">
        <v>10546</v>
      </c>
      <c r="G1384" t="s">
        <v>9445</v>
      </c>
      <c r="H1384" t="s">
        <v>9419</v>
      </c>
      <c r="I1384" t="s">
        <v>10547</v>
      </c>
      <c r="J1384" t="s">
        <v>10548</v>
      </c>
      <c r="K1384" t="s">
        <v>10549</v>
      </c>
      <c r="L1384" t="s">
        <v>20</v>
      </c>
      <c r="M1384" t="s">
        <v>10532</v>
      </c>
      <c r="N1384" t="s">
        <v>10533</v>
      </c>
      <c r="O1384" t="s">
        <v>10550</v>
      </c>
      <c r="P1384" t="s">
        <v>10551</v>
      </c>
    </row>
    <row r="1385" spans="1:16" x14ac:dyDescent="0.35">
      <c r="A1385" t="s">
        <v>10552</v>
      </c>
      <c r="B1385" t="s">
        <v>55</v>
      </c>
      <c r="C1385" t="s">
        <v>28</v>
      </c>
      <c r="D1385" t="s">
        <v>28</v>
      </c>
      <c r="E1385" t="s">
        <v>10553</v>
      </c>
      <c r="F1385" t="s">
        <v>10554</v>
      </c>
      <c r="G1385" t="s">
        <v>10518</v>
      </c>
      <c r="H1385" t="s">
        <v>9419</v>
      </c>
      <c r="I1385" t="s">
        <v>28</v>
      </c>
      <c r="J1385" t="s">
        <v>10555</v>
      </c>
      <c r="K1385" t="s">
        <v>19</v>
      </c>
      <c r="L1385" t="s">
        <v>20</v>
      </c>
      <c r="M1385" t="s">
        <v>10532</v>
      </c>
      <c r="N1385" t="s">
        <v>10533</v>
      </c>
      <c r="O1385" t="s">
        <v>10556</v>
      </c>
      <c r="P1385" t="s">
        <v>10557</v>
      </c>
    </row>
    <row r="1386" spans="1:16" x14ac:dyDescent="0.35">
      <c r="A1386" t="s">
        <v>10558</v>
      </c>
      <c r="B1386" t="s">
        <v>55</v>
      </c>
      <c r="C1386" t="s">
        <v>15</v>
      </c>
      <c r="D1386" t="s">
        <v>68</v>
      </c>
      <c r="E1386" t="s">
        <v>10559</v>
      </c>
      <c r="F1386" t="s">
        <v>10560</v>
      </c>
      <c r="G1386" t="s">
        <v>10561</v>
      </c>
      <c r="H1386" t="s">
        <v>9419</v>
      </c>
      <c r="I1386" t="s">
        <v>10562</v>
      </c>
      <c r="J1386" t="s">
        <v>10563</v>
      </c>
      <c r="K1386" t="s">
        <v>10564</v>
      </c>
      <c r="L1386" t="s">
        <v>20</v>
      </c>
      <c r="M1386" t="s">
        <v>10565</v>
      </c>
      <c r="N1386" t="s">
        <v>10566</v>
      </c>
      <c r="O1386" t="s">
        <v>10567</v>
      </c>
      <c r="P1386" t="s">
        <v>10568</v>
      </c>
    </row>
    <row r="1387" spans="1:16" x14ac:dyDescent="0.35">
      <c r="A1387" t="s">
        <v>10569</v>
      </c>
      <c r="B1387" t="s">
        <v>32</v>
      </c>
      <c r="C1387" t="s">
        <v>28</v>
      </c>
      <c r="D1387" t="s">
        <v>28</v>
      </c>
      <c r="E1387" t="s">
        <v>10499</v>
      </c>
      <c r="F1387" t="s">
        <v>10500</v>
      </c>
      <c r="G1387" t="s">
        <v>10485</v>
      </c>
      <c r="H1387" t="s">
        <v>9419</v>
      </c>
      <c r="I1387" t="s">
        <v>10501</v>
      </c>
      <c r="J1387" t="s">
        <v>10502</v>
      </c>
      <c r="K1387" t="s">
        <v>19</v>
      </c>
      <c r="L1387" t="s">
        <v>20</v>
      </c>
      <c r="M1387" t="s">
        <v>10570</v>
      </c>
      <c r="N1387" t="s">
        <v>10571</v>
      </c>
      <c r="O1387" t="s">
        <v>10572</v>
      </c>
      <c r="P1387" t="s">
        <v>10573</v>
      </c>
    </row>
    <row r="1388" spans="1:16" x14ac:dyDescent="0.35">
      <c r="A1388" t="s">
        <v>10574</v>
      </c>
      <c r="B1388" t="s">
        <v>55</v>
      </c>
      <c r="C1388" t="s">
        <v>28</v>
      </c>
      <c r="D1388" t="s">
        <v>28</v>
      </c>
      <c r="E1388" t="s">
        <v>10575</v>
      </c>
      <c r="F1388" t="s">
        <v>10576</v>
      </c>
      <c r="G1388" t="s">
        <v>9445</v>
      </c>
      <c r="H1388" t="s">
        <v>9419</v>
      </c>
      <c r="I1388" t="s">
        <v>10577</v>
      </c>
      <c r="J1388" t="s">
        <v>10578</v>
      </c>
      <c r="K1388" t="s">
        <v>10579</v>
      </c>
      <c r="L1388" t="s">
        <v>20</v>
      </c>
      <c r="M1388" t="s">
        <v>10570</v>
      </c>
      <c r="N1388" t="s">
        <v>10571</v>
      </c>
      <c r="O1388" t="s">
        <v>10580</v>
      </c>
      <c r="P1388" t="s">
        <v>10581</v>
      </c>
    </row>
    <row r="1389" spans="1:16" x14ac:dyDescent="0.35">
      <c r="A1389" t="s">
        <v>10582</v>
      </c>
      <c r="B1389" t="s">
        <v>55</v>
      </c>
      <c r="C1389" t="s">
        <v>117</v>
      </c>
      <c r="D1389" t="s">
        <v>16</v>
      </c>
      <c r="E1389" t="s">
        <v>10583</v>
      </c>
      <c r="F1389" t="s">
        <v>10584</v>
      </c>
      <c r="G1389" t="s">
        <v>10472</v>
      </c>
      <c r="H1389" t="s">
        <v>9419</v>
      </c>
      <c r="I1389" t="s">
        <v>28</v>
      </c>
      <c r="J1389" t="s">
        <v>10585</v>
      </c>
      <c r="K1389" t="s">
        <v>19</v>
      </c>
      <c r="L1389" t="s">
        <v>20</v>
      </c>
      <c r="M1389" t="s">
        <v>10586</v>
      </c>
      <c r="N1389" t="s">
        <v>10587</v>
      </c>
      <c r="O1389" t="s">
        <v>10588</v>
      </c>
      <c r="P1389" t="s">
        <v>10589</v>
      </c>
    </row>
    <row r="1390" spans="1:16" x14ac:dyDescent="0.35">
      <c r="A1390" t="s">
        <v>10590</v>
      </c>
      <c r="B1390" t="s">
        <v>55</v>
      </c>
      <c r="C1390" t="s">
        <v>78</v>
      </c>
      <c r="D1390" t="s">
        <v>68</v>
      </c>
      <c r="E1390" t="s">
        <v>10591</v>
      </c>
      <c r="F1390" t="s">
        <v>10592</v>
      </c>
      <c r="G1390" t="s">
        <v>9445</v>
      </c>
      <c r="H1390" t="s">
        <v>9419</v>
      </c>
      <c r="I1390" t="s">
        <v>10593</v>
      </c>
      <c r="J1390" t="s">
        <v>10594</v>
      </c>
      <c r="K1390" t="s">
        <v>10595</v>
      </c>
      <c r="L1390" t="s">
        <v>20</v>
      </c>
      <c r="M1390" t="s">
        <v>10596</v>
      </c>
      <c r="N1390" t="s">
        <v>10597</v>
      </c>
      <c r="O1390" t="s">
        <v>10598</v>
      </c>
      <c r="P1390" t="s">
        <v>10599</v>
      </c>
    </row>
    <row r="1391" spans="1:16" x14ac:dyDescent="0.35">
      <c r="A1391" t="s">
        <v>10600</v>
      </c>
      <c r="B1391" t="s">
        <v>55</v>
      </c>
      <c r="C1391" t="s">
        <v>15</v>
      </c>
      <c r="D1391" t="s">
        <v>68</v>
      </c>
      <c r="E1391" t="s">
        <v>10601</v>
      </c>
      <c r="F1391" t="s">
        <v>10602</v>
      </c>
      <c r="G1391" t="s">
        <v>9445</v>
      </c>
      <c r="H1391" t="s">
        <v>9419</v>
      </c>
      <c r="I1391" t="s">
        <v>28</v>
      </c>
      <c r="J1391" t="s">
        <v>10603</v>
      </c>
      <c r="K1391" t="s">
        <v>19</v>
      </c>
      <c r="L1391" t="s">
        <v>20</v>
      </c>
      <c r="M1391" t="s">
        <v>10596</v>
      </c>
      <c r="N1391" t="s">
        <v>10597</v>
      </c>
      <c r="O1391" t="s">
        <v>10604</v>
      </c>
      <c r="P1391" t="s">
        <v>10605</v>
      </c>
    </row>
    <row r="1392" spans="1:16" x14ac:dyDescent="0.35">
      <c r="A1392" t="s">
        <v>10606</v>
      </c>
      <c r="B1392" t="s">
        <v>55</v>
      </c>
      <c r="C1392" t="s">
        <v>140</v>
      </c>
      <c r="D1392" t="s">
        <v>812</v>
      </c>
      <c r="E1392" t="s">
        <v>10607</v>
      </c>
      <c r="F1392" t="s">
        <v>10608</v>
      </c>
      <c r="G1392" t="s">
        <v>10425</v>
      </c>
      <c r="H1392" t="s">
        <v>9419</v>
      </c>
      <c r="I1392" t="s">
        <v>10609</v>
      </c>
      <c r="J1392" t="s">
        <v>10610</v>
      </c>
      <c r="K1392" t="s">
        <v>19</v>
      </c>
      <c r="L1392" t="s">
        <v>20</v>
      </c>
      <c r="M1392" t="s">
        <v>10596</v>
      </c>
      <c r="N1392" t="s">
        <v>10597</v>
      </c>
      <c r="O1392" t="s">
        <v>10611</v>
      </c>
      <c r="P1392" t="s">
        <v>10612</v>
      </c>
    </row>
    <row r="1393" spans="1:16" x14ac:dyDescent="0.35">
      <c r="A1393" t="s">
        <v>10613</v>
      </c>
      <c r="B1393" t="s">
        <v>55</v>
      </c>
      <c r="C1393" t="s">
        <v>26</v>
      </c>
      <c r="D1393" t="s">
        <v>1785</v>
      </c>
      <c r="E1393" t="s">
        <v>10614</v>
      </c>
      <c r="F1393" t="s">
        <v>10615</v>
      </c>
      <c r="G1393" t="s">
        <v>9445</v>
      </c>
      <c r="H1393" t="s">
        <v>9419</v>
      </c>
      <c r="I1393" t="s">
        <v>28</v>
      </c>
      <c r="J1393" t="s">
        <v>10616</v>
      </c>
      <c r="K1393" t="s">
        <v>19</v>
      </c>
      <c r="L1393" t="s">
        <v>20</v>
      </c>
      <c r="M1393" t="s">
        <v>10596</v>
      </c>
      <c r="N1393" t="s">
        <v>10597</v>
      </c>
      <c r="O1393" t="s">
        <v>10617</v>
      </c>
      <c r="P1393" t="s">
        <v>10618</v>
      </c>
    </row>
    <row r="1394" spans="1:16" x14ac:dyDescent="0.35">
      <c r="A1394" t="s">
        <v>10619</v>
      </c>
      <c r="B1394" t="s">
        <v>55</v>
      </c>
      <c r="C1394" t="s">
        <v>117</v>
      </c>
      <c r="D1394" t="s">
        <v>27</v>
      </c>
      <c r="E1394" t="s">
        <v>10620</v>
      </c>
      <c r="F1394" t="s">
        <v>10621</v>
      </c>
      <c r="G1394" t="s">
        <v>9445</v>
      </c>
      <c r="H1394" t="s">
        <v>9419</v>
      </c>
      <c r="I1394" t="s">
        <v>28</v>
      </c>
      <c r="J1394" t="s">
        <v>10622</v>
      </c>
      <c r="K1394" t="s">
        <v>19</v>
      </c>
      <c r="L1394" t="s">
        <v>20</v>
      </c>
      <c r="M1394" t="s">
        <v>10623</v>
      </c>
      <c r="N1394" t="s">
        <v>10624</v>
      </c>
      <c r="O1394" t="s">
        <v>10625</v>
      </c>
      <c r="P1394" t="s">
        <v>10626</v>
      </c>
    </row>
    <row r="1395" spans="1:16" x14ac:dyDescent="0.35">
      <c r="A1395" t="s">
        <v>10627</v>
      </c>
      <c r="B1395" t="s">
        <v>55</v>
      </c>
      <c r="C1395" t="s">
        <v>26</v>
      </c>
      <c r="D1395" t="s">
        <v>1795</v>
      </c>
      <c r="E1395" t="s">
        <v>10628</v>
      </c>
      <c r="F1395" t="s">
        <v>10629</v>
      </c>
      <c r="G1395" t="s">
        <v>9445</v>
      </c>
      <c r="H1395" t="s">
        <v>9419</v>
      </c>
      <c r="I1395" t="s">
        <v>10630</v>
      </c>
      <c r="J1395" t="s">
        <v>10631</v>
      </c>
      <c r="K1395" t="s">
        <v>19</v>
      </c>
      <c r="L1395" t="s">
        <v>20</v>
      </c>
      <c r="M1395" t="s">
        <v>10623</v>
      </c>
      <c r="N1395" t="s">
        <v>10624</v>
      </c>
      <c r="O1395" t="s">
        <v>10632</v>
      </c>
      <c r="P1395" t="s">
        <v>10633</v>
      </c>
    </row>
    <row r="1396" spans="1:16" x14ac:dyDescent="0.35">
      <c r="A1396" t="s">
        <v>10634</v>
      </c>
      <c r="B1396" t="s">
        <v>32</v>
      </c>
      <c r="C1396" t="s">
        <v>78</v>
      </c>
      <c r="D1396" t="s">
        <v>614</v>
      </c>
      <c r="E1396" t="s">
        <v>10635</v>
      </c>
      <c r="F1396" t="s">
        <v>10636</v>
      </c>
      <c r="G1396" t="s">
        <v>10637</v>
      </c>
      <c r="H1396" t="s">
        <v>9419</v>
      </c>
      <c r="I1396" t="s">
        <v>10638</v>
      </c>
      <c r="J1396" t="s">
        <v>10639</v>
      </c>
      <c r="K1396" t="s">
        <v>10640</v>
      </c>
      <c r="L1396" t="s">
        <v>20</v>
      </c>
      <c r="M1396" t="s">
        <v>10623</v>
      </c>
      <c r="N1396" t="s">
        <v>10624</v>
      </c>
      <c r="O1396" t="s">
        <v>10641</v>
      </c>
      <c r="P1396" t="s">
        <v>10642</v>
      </c>
    </row>
    <row r="1397" spans="1:16" x14ac:dyDescent="0.35">
      <c r="A1397" t="s">
        <v>10643</v>
      </c>
      <c r="B1397" t="s">
        <v>55</v>
      </c>
      <c r="C1397" t="s">
        <v>311</v>
      </c>
      <c r="D1397" t="s">
        <v>10644</v>
      </c>
      <c r="E1397" t="s">
        <v>10645</v>
      </c>
      <c r="F1397" t="s">
        <v>10394</v>
      </c>
      <c r="G1397" t="s">
        <v>9445</v>
      </c>
      <c r="H1397" t="s">
        <v>9419</v>
      </c>
      <c r="I1397" t="s">
        <v>162</v>
      </c>
      <c r="J1397" t="s">
        <v>10646</v>
      </c>
      <c r="K1397" t="s">
        <v>164</v>
      </c>
      <c r="L1397" t="s">
        <v>20</v>
      </c>
      <c r="M1397" t="s">
        <v>10623</v>
      </c>
      <c r="N1397" t="s">
        <v>10624</v>
      </c>
      <c r="O1397" t="s">
        <v>10647</v>
      </c>
      <c r="P1397" t="s">
        <v>10648</v>
      </c>
    </row>
    <row r="1398" spans="1:16" x14ac:dyDescent="0.35">
      <c r="A1398" t="s">
        <v>10649</v>
      </c>
      <c r="B1398" t="s">
        <v>55</v>
      </c>
      <c r="C1398" t="s">
        <v>28</v>
      </c>
      <c r="D1398" t="s">
        <v>28</v>
      </c>
      <c r="E1398" t="s">
        <v>10650</v>
      </c>
      <c r="F1398" t="s">
        <v>10651</v>
      </c>
      <c r="G1398" t="s">
        <v>10539</v>
      </c>
      <c r="H1398" t="s">
        <v>9419</v>
      </c>
      <c r="I1398" t="s">
        <v>28</v>
      </c>
      <c r="J1398" t="s">
        <v>10652</v>
      </c>
      <c r="K1398" t="s">
        <v>19</v>
      </c>
      <c r="L1398" t="s">
        <v>20</v>
      </c>
      <c r="M1398" t="s">
        <v>10653</v>
      </c>
      <c r="N1398" t="s">
        <v>10654</v>
      </c>
      <c r="O1398" t="s">
        <v>10655</v>
      </c>
      <c r="P1398" t="s">
        <v>10656</v>
      </c>
    </row>
    <row r="1399" spans="1:16" x14ac:dyDescent="0.35">
      <c r="A1399" t="s">
        <v>10657</v>
      </c>
      <c r="B1399" t="s">
        <v>55</v>
      </c>
      <c r="C1399" t="s">
        <v>205</v>
      </c>
      <c r="D1399" t="s">
        <v>1604</v>
      </c>
      <c r="E1399" t="s">
        <v>10658</v>
      </c>
      <c r="F1399" t="s">
        <v>10659</v>
      </c>
      <c r="G1399" t="s">
        <v>10660</v>
      </c>
      <c r="H1399" t="s">
        <v>9419</v>
      </c>
      <c r="I1399" t="s">
        <v>10661</v>
      </c>
      <c r="J1399" t="s">
        <v>10662</v>
      </c>
      <c r="K1399" t="s">
        <v>10663</v>
      </c>
      <c r="L1399" t="s">
        <v>20</v>
      </c>
      <c r="M1399" t="s">
        <v>10653</v>
      </c>
      <c r="N1399" t="s">
        <v>10654</v>
      </c>
      <c r="O1399" t="s">
        <v>10664</v>
      </c>
      <c r="P1399" t="s">
        <v>10665</v>
      </c>
    </row>
    <row r="1400" spans="1:16" x14ac:dyDescent="0.35">
      <c r="A1400" t="s">
        <v>10649</v>
      </c>
      <c r="B1400" t="s">
        <v>55</v>
      </c>
      <c r="C1400" t="s">
        <v>15</v>
      </c>
      <c r="D1400" t="s">
        <v>16</v>
      </c>
      <c r="E1400" t="s">
        <v>28</v>
      </c>
      <c r="F1400" t="s">
        <v>10666</v>
      </c>
      <c r="G1400" t="s">
        <v>10667</v>
      </c>
      <c r="H1400" t="s">
        <v>9419</v>
      </c>
      <c r="I1400" t="s">
        <v>10668</v>
      </c>
      <c r="J1400" t="s">
        <v>10669</v>
      </c>
      <c r="K1400" t="s">
        <v>10670</v>
      </c>
      <c r="L1400" t="s">
        <v>20</v>
      </c>
      <c r="M1400" t="s">
        <v>10671</v>
      </c>
      <c r="N1400" t="s">
        <v>10672</v>
      </c>
      <c r="O1400" t="s">
        <v>10673</v>
      </c>
      <c r="P1400" t="s">
        <v>10674</v>
      </c>
    </row>
    <row r="1401" spans="1:16" x14ac:dyDescent="0.35">
      <c r="A1401" t="s">
        <v>10582</v>
      </c>
      <c r="B1401" t="s">
        <v>55</v>
      </c>
      <c r="C1401" t="s">
        <v>28</v>
      </c>
      <c r="D1401" t="s">
        <v>28</v>
      </c>
      <c r="E1401" t="s">
        <v>10677</v>
      </c>
      <c r="F1401" t="s">
        <v>10678</v>
      </c>
      <c r="G1401" t="s">
        <v>10518</v>
      </c>
      <c r="H1401" t="s">
        <v>9419</v>
      </c>
      <c r="I1401" t="s">
        <v>28</v>
      </c>
      <c r="J1401" t="s">
        <v>10679</v>
      </c>
      <c r="K1401" t="s">
        <v>19</v>
      </c>
      <c r="L1401" t="s">
        <v>20</v>
      </c>
      <c r="M1401" t="s">
        <v>10675</v>
      </c>
      <c r="N1401" t="s">
        <v>10676</v>
      </c>
      <c r="O1401" t="s">
        <v>10680</v>
      </c>
      <c r="P1401" t="s">
        <v>10681</v>
      </c>
    </row>
    <row r="1402" spans="1:16" x14ac:dyDescent="0.35">
      <c r="A1402" t="s">
        <v>10649</v>
      </c>
      <c r="B1402" t="s">
        <v>55</v>
      </c>
      <c r="C1402" t="s">
        <v>241</v>
      </c>
      <c r="D1402" t="s">
        <v>614</v>
      </c>
      <c r="E1402" t="s">
        <v>10682</v>
      </c>
      <c r="F1402" t="s">
        <v>10683</v>
      </c>
      <c r="G1402" t="s">
        <v>9471</v>
      </c>
      <c r="H1402" t="s">
        <v>9419</v>
      </c>
      <c r="I1402" t="s">
        <v>10668</v>
      </c>
      <c r="J1402" t="s">
        <v>10684</v>
      </c>
      <c r="K1402" t="s">
        <v>10670</v>
      </c>
      <c r="L1402" t="s">
        <v>20</v>
      </c>
      <c r="M1402" t="s">
        <v>10685</v>
      </c>
      <c r="N1402" t="s">
        <v>10686</v>
      </c>
      <c r="O1402" t="s">
        <v>10687</v>
      </c>
      <c r="P1402" t="s">
        <v>10688</v>
      </c>
    </row>
    <row r="1403" spans="1:16" x14ac:dyDescent="0.35">
      <c r="A1403" t="s">
        <v>10689</v>
      </c>
      <c r="B1403" t="s">
        <v>55</v>
      </c>
      <c r="C1403" t="s">
        <v>205</v>
      </c>
      <c r="D1403" t="s">
        <v>952</v>
      </c>
      <c r="E1403" t="s">
        <v>10690</v>
      </c>
      <c r="F1403" t="s">
        <v>10691</v>
      </c>
      <c r="G1403" t="s">
        <v>9445</v>
      </c>
      <c r="H1403" t="s">
        <v>9419</v>
      </c>
      <c r="I1403" t="s">
        <v>10668</v>
      </c>
      <c r="J1403" t="s">
        <v>10692</v>
      </c>
      <c r="K1403" t="s">
        <v>10670</v>
      </c>
      <c r="L1403" t="s">
        <v>20</v>
      </c>
      <c r="M1403" t="s">
        <v>10685</v>
      </c>
      <c r="N1403" t="s">
        <v>10686</v>
      </c>
      <c r="O1403" t="s">
        <v>10693</v>
      </c>
      <c r="P1403" t="s">
        <v>10694</v>
      </c>
    </row>
    <row r="1404" spans="1:16" x14ac:dyDescent="0.35">
      <c r="A1404" t="s">
        <v>10695</v>
      </c>
      <c r="B1404" t="s">
        <v>107</v>
      </c>
      <c r="C1404" t="s">
        <v>28</v>
      </c>
      <c r="D1404" t="s">
        <v>28</v>
      </c>
      <c r="E1404" t="s">
        <v>10696</v>
      </c>
      <c r="F1404" t="s">
        <v>10697</v>
      </c>
      <c r="G1404" t="s">
        <v>10472</v>
      </c>
      <c r="H1404" t="s">
        <v>9419</v>
      </c>
      <c r="I1404" t="s">
        <v>28</v>
      </c>
      <c r="J1404" t="s">
        <v>10698</v>
      </c>
      <c r="K1404" t="s">
        <v>19</v>
      </c>
      <c r="L1404" t="s">
        <v>20</v>
      </c>
      <c r="M1404" t="s">
        <v>10699</v>
      </c>
      <c r="N1404" t="s">
        <v>10700</v>
      </c>
      <c r="O1404" t="s">
        <v>10701</v>
      </c>
      <c r="P1404" t="s">
        <v>10702</v>
      </c>
    </row>
    <row r="1405" spans="1:16" x14ac:dyDescent="0.35">
      <c r="A1405" t="s">
        <v>10703</v>
      </c>
      <c r="B1405" t="s">
        <v>55</v>
      </c>
      <c r="C1405" t="s">
        <v>177</v>
      </c>
      <c r="D1405" t="s">
        <v>614</v>
      </c>
      <c r="E1405" t="s">
        <v>10704</v>
      </c>
      <c r="F1405" t="s">
        <v>10705</v>
      </c>
      <c r="G1405" t="s">
        <v>9445</v>
      </c>
      <c r="H1405" t="s">
        <v>9419</v>
      </c>
      <c r="I1405" t="s">
        <v>10706</v>
      </c>
      <c r="J1405" t="s">
        <v>10707</v>
      </c>
      <c r="K1405" t="s">
        <v>10708</v>
      </c>
      <c r="L1405" t="s">
        <v>20</v>
      </c>
      <c r="M1405" t="s">
        <v>10709</v>
      </c>
      <c r="N1405" t="s">
        <v>10710</v>
      </c>
      <c r="O1405" t="s">
        <v>10711</v>
      </c>
      <c r="P1405" t="s">
        <v>10712</v>
      </c>
    </row>
    <row r="1406" spans="1:16" x14ac:dyDescent="0.35">
      <c r="A1406" t="s">
        <v>10713</v>
      </c>
      <c r="B1406" t="s">
        <v>55</v>
      </c>
      <c r="C1406" t="s">
        <v>78</v>
      </c>
      <c r="D1406" t="s">
        <v>206</v>
      </c>
      <c r="E1406" t="s">
        <v>10714</v>
      </c>
      <c r="F1406" t="s">
        <v>10715</v>
      </c>
      <c r="G1406" t="s">
        <v>9445</v>
      </c>
      <c r="H1406" t="s">
        <v>9419</v>
      </c>
      <c r="I1406" t="s">
        <v>10716</v>
      </c>
      <c r="J1406" t="s">
        <v>10717</v>
      </c>
      <c r="K1406" t="s">
        <v>10718</v>
      </c>
      <c r="L1406" t="s">
        <v>20</v>
      </c>
      <c r="M1406" t="s">
        <v>10709</v>
      </c>
      <c r="N1406" t="s">
        <v>10710</v>
      </c>
      <c r="O1406" t="s">
        <v>10719</v>
      </c>
      <c r="P1406" t="s">
        <v>10720</v>
      </c>
    </row>
    <row r="1407" spans="1:16" x14ac:dyDescent="0.35">
      <c r="A1407" t="s">
        <v>10721</v>
      </c>
      <c r="B1407" t="s">
        <v>55</v>
      </c>
      <c r="C1407" t="s">
        <v>26</v>
      </c>
      <c r="D1407" t="s">
        <v>27</v>
      </c>
      <c r="E1407" t="s">
        <v>10722</v>
      </c>
      <c r="F1407" t="s">
        <v>10723</v>
      </c>
      <c r="G1407" t="s">
        <v>10472</v>
      </c>
      <c r="H1407" t="s">
        <v>9419</v>
      </c>
      <c r="I1407" t="s">
        <v>10724</v>
      </c>
      <c r="J1407" t="s">
        <v>10725</v>
      </c>
      <c r="K1407" t="s">
        <v>10726</v>
      </c>
      <c r="L1407" t="s">
        <v>20</v>
      </c>
      <c r="M1407" t="s">
        <v>10727</v>
      </c>
      <c r="N1407" t="s">
        <v>10728</v>
      </c>
      <c r="O1407" t="s">
        <v>10729</v>
      </c>
      <c r="P1407" t="s">
        <v>10730</v>
      </c>
    </row>
    <row r="1408" spans="1:16" x14ac:dyDescent="0.35">
      <c r="A1408" t="s">
        <v>10731</v>
      </c>
      <c r="B1408" t="s">
        <v>55</v>
      </c>
      <c r="C1408" t="s">
        <v>311</v>
      </c>
      <c r="D1408" t="s">
        <v>304</v>
      </c>
      <c r="E1408" t="s">
        <v>10732</v>
      </c>
      <c r="F1408" t="s">
        <v>10733</v>
      </c>
      <c r="G1408" t="s">
        <v>10485</v>
      </c>
      <c r="H1408" t="s">
        <v>9419</v>
      </c>
      <c r="I1408" t="s">
        <v>162</v>
      </c>
      <c r="J1408" t="s">
        <v>10734</v>
      </c>
      <c r="K1408" t="s">
        <v>164</v>
      </c>
      <c r="L1408" t="s">
        <v>20</v>
      </c>
      <c r="M1408" t="s">
        <v>10735</v>
      </c>
      <c r="N1408" t="s">
        <v>10736</v>
      </c>
      <c r="O1408" t="s">
        <v>10737</v>
      </c>
      <c r="P1408" t="s">
        <v>10738</v>
      </c>
    </row>
    <row r="1409" spans="1:16" x14ac:dyDescent="0.35">
      <c r="A1409" t="s">
        <v>10739</v>
      </c>
      <c r="B1409" t="s">
        <v>55</v>
      </c>
      <c r="C1409" t="s">
        <v>699</v>
      </c>
      <c r="D1409" t="s">
        <v>268</v>
      </c>
      <c r="E1409" t="s">
        <v>10740</v>
      </c>
      <c r="F1409" t="s">
        <v>10741</v>
      </c>
      <c r="G1409" t="s">
        <v>9445</v>
      </c>
      <c r="H1409" t="s">
        <v>9419</v>
      </c>
      <c r="I1409" t="s">
        <v>10742</v>
      </c>
      <c r="J1409" t="s">
        <v>10743</v>
      </c>
      <c r="K1409" t="s">
        <v>19</v>
      </c>
      <c r="L1409" t="s">
        <v>20</v>
      </c>
      <c r="M1409" t="s">
        <v>10735</v>
      </c>
      <c r="N1409" t="s">
        <v>10736</v>
      </c>
      <c r="O1409" t="s">
        <v>10744</v>
      </c>
      <c r="P1409" t="s">
        <v>10745</v>
      </c>
    </row>
    <row r="1410" spans="1:16" x14ac:dyDescent="0.35">
      <c r="A1410" t="s">
        <v>10746</v>
      </c>
      <c r="B1410" t="s">
        <v>55</v>
      </c>
      <c r="C1410" t="s">
        <v>117</v>
      </c>
      <c r="D1410" t="s">
        <v>16</v>
      </c>
      <c r="E1410" t="s">
        <v>10747</v>
      </c>
      <c r="F1410" t="s">
        <v>10748</v>
      </c>
      <c r="G1410" t="s">
        <v>10749</v>
      </c>
      <c r="H1410" t="s">
        <v>9419</v>
      </c>
      <c r="I1410" t="s">
        <v>162</v>
      </c>
      <c r="J1410" t="s">
        <v>10750</v>
      </c>
      <c r="K1410" t="s">
        <v>164</v>
      </c>
      <c r="L1410" t="s">
        <v>20</v>
      </c>
      <c r="M1410" t="s">
        <v>10751</v>
      </c>
      <c r="N1410" t="s">
        <v>10752</v>
      </c>
      <c r="O1410" t="s">
        <v>10753</v>
      </c>
      <c r="P1410" t="s">
        <v>10754</v>
      </c>
    </row>
    <row r="1411" spans="1:16" x14ac:dyDescent="0.35">
      <c r="A1411" t="s">
        <v>10755</v>
      </c>
      <c r="B1411" t="s">
        <v>373</v>
      </c>
      <c r="C1411" t="s">
        <v>26</v>
      </c>
      <c r="D1411" t="s">
        <v>1129</v>
      </c>
      <c r="E1411" t="s">
        <v>10756</v>
      </c>
      <c r="F1411" t="s">
        <v>10757</v>
      </c>
      <c r="G1411" t="s">
        <v>9445</v>
      </c>
      <c r="H1411" t="s">
        <v>9419</v>
      </c>
      <c r="I1411" t="s">
        <v>10758</v>
      </c>
      <c r="J1411" t="s">
        <v>10759</v>
      </c>
      <c r="K1411" t="s">
        <v>10760</v>
      </c>
      <c r="L1411" t="s">
        <v>20</v>
      </c>
      <c r="M1411" t="s">
        <v>10761</v>
      </c>
      <c r="N1411" t="s">
        <v>10762</v>
      </c>
      <c r="O1411" t="s">
        <v>10763</v>
      </c>
      <c r="P1411" t="s">
        <v>10764</v>
      </c>
    </row>
    <row r="1412" spans="1:16" x14ac:dyDescent="0.35">
      <c r="A1412" t="s">
        <v>10765</v>
      </c>
      <c r="B1412" t="s">
        <v>55</v>
      </c>
      <c r="C1412" t="s">
        <v>28</v>
      </c>
      <c r="D1412" t="s">
        <v>28</v>
      </c>
      <c r="E1412" t="s">
        <v>10766</v>
      </c>
      <c r="F1412" t="s">
        <v>10767</v>
      </c>
      <c r="G1412" t="s">
        <v>10768</v>
      </c>
      <c r="H1412" t="s">
        <v>9419</v>
      </c>
      <c r="I1412" t="s">
        <v>162</v>
      </c>
      <c r="J1412" t="s">
        <v>10769</v>
      </c>
      <c r="K1412" t="s">
        <v>164</v>
      </c>
      <c r="L1412" t="s">
        <v>20</v>
      </c>
      <c r="M1412" t="s">
        <v>10770</v>
      </c>
      <c r="N1412" t="s">
        <v>10771</v>
      </c>
      <c r="O1412" t="s">
        <v>10772</v>
      </c>
      <c r="P1412" t="s">
        <v>10773</v>
      </c>
    </row>
    <row r="1413" spans="1:16" x14ac:dyDescent="0.35">
      <c r="A1413" t="s">
        <v>10774</v>
      </c>
      <c r="B1413" t="s">
        <v>55</v>
      </c>
      <c r="C1413" t="s">
        <v>15</v>
      </c>
      <c r="D1413" t="s">
        <v>68</v>
      </c>
      <c r="E1413" t="s">
        <v>10775</v>
      </c>
      <c r="F1413" t="s">
        <v>10776</v>
      </c>
      <c r="G1413" t="s">
        <v>10485</v>
      </c>
      <c r="H1413" t="s">
        <v>9419</v>
      </c>
      <c r="I1413" t="s">
        <v>10777</v>
      </c>
      <c r="J1413" t="s">
        <v>10778</v>
      </c>
      <c r="K1413" t="s">
        <v>10779</v>
      </c>
      <c r="L1413" t="s">
        <v>20</v>
      </c>
      <c r="M1413" t="s">
        <v>10780</v>
      </c>
      <c r="N1413" t="s">
        <v>10781</v>
      </c>
      <c r="O1413" t="s">
        <v>10782</v>
      </c>
      <c r="P1413" t="s">
        <v>10783</v>
      </c>
    </row>
    <row r="1414" spans="1:16" x14ac:dyDescent="0.35">
      <c r="A1414" t="s">
        <v>10784</v>
      </c>
      <c r="B1414" t="s">
        <v>55</v>
      </c>
      <c r="C1414" t="s">
        <v>28</v>
      </c>
      <c r="D1414" t="s">
        <v>28</v>
      </c>
      <c r="E1414" t="s">
        <v>10785</v>
      </c>
      <c r="F1414" t="s">
        <v>10786</v>
      </c>
      <c r="G1414" t="s">
        <v>10787</v>
      </c>
      <c r="H1414" t="s">
        <v>9419</v>
      </c>
      <c r="I1414" t="s">
        <v>162</v>
      </c>
      <c r="J1414" t="s">
        <v>10788</v>
      </c>
      <c r="K1414" t="s">
        <v>164</v>
      </c>
      <c r="L1414" t="s">
        <v>20</v>
      </c>
      <c r="M1414" t="s">
        <v>10789</v>
      </c>
      <c r="N1414" t="s">
        <v>10790</v>
      </c>
      <c r="O1414" t="s">
        <v>10791</v>
      </c>
      <c r="P1414" t="s">
        <v>10792</v>
      </c>
    </row>
    <row r="1415" spans="1:16" x14ac:dyDescent="0.35">
      <c r="A1415" t="s">
        <v>10793</v>
      </c>
      <c r="B1415" t="s">
        <v>55</v>
      </c>
      <c r="C1415" t="s">
        <v>28</v>
      </c>
      <c r="D1415" t="s">
        <v>28</v>
      </c>
      <c r="E1415" t="s">
        <v>10794</v>
      </c>
      <c r="F1415" t="s">
        <v>10795</v>
      </c>
      <c r="G1415" t="s">
        <v>10796</v>
      </c>
      <c r="H1415" t="s">
        <v>10797</v>
      </c>
      <c r="I1415" t="s">
        <v>28</v>
      </c>
      <c r="J1415" t="s">
        <v>10798</v>
      </c>
      <c r="K1415" t="s">
        <v>19</v>
      </c>
      <c r="L1415" t="s">
        <v>20</v>
      </c>
      <c r="M1415" t="s">
        <v>10799</v>
      </c>
      <c r="N1415" t="s">
        <v>10800</v>
      </c>
      <c r="O1415" t="s">
        <v>10801</v>
      </c>
      <c r="P1415" t="s">
        <v>10802</v>
      </c>
    </row>
    <row r="1416" spans="1:16" x14ac:dyDescent="0.35">
      <c r="A1416" t="s">
        <v>10803</v>
      </c>
      <c r="B1416" t="s">
        <v>55</v>
      </c>
      <c r="C1416" t="s">
        <v>28</v>
      </c>
      <c r="D1416" t="s">
        <v>28</v>
      </c>
      <c r="E1416" t="s">
        <v>10804</v>
      </c>
      <c r="F1416" t="s">
        <v>10805</v>
      </c>
      <c r="G1416" t="s">
        <v>10806</v>
      </c>
      <c r="H1416" t="s">
        <v>10797</v>
      </c>
      <c r="I1416" t="s">
        <v>28</v>
      </c>
      <c r="J1416" t="s">
        <v>28</v>
      </c>
      <c r="K1416" t="s">
        <v>19</v>
      </c>
      <c r="L1416" t="s">
        <v>20</v>
      </c>
      <c r="M1416" t="s">
        <v>10807</v>
      </c>
      <c r="N1416" t="s">
        <v>10808</v>
      </c>
      <c r="O1416" t="s">
        <v>10809</v>
      </c>
      <c r="P1416" t="s">
        <v>10810</v>
      </c>
    </row>
    <row r="1417" spans="1:16" x14ac:dyDescent="0.35">
      <c r="A1417" t="s">
        <v>10811</v>
      </c>
      <c r="B1417" t="s">
        <v>55</v>
      </c>
      <c r="C1417" t="s">
        <v>15</v>
      </c>
      <c r="D1417" t="s">
        <v>16</v>
      </c>
      <c r="E1417" t="s">
        <v>10812</v>
      </c>
      <c r="F1417" t="s">
        <v>10813</v>
      </c>
      <c r="G1417" t="s">
        <v>10806</v>
      </c>
      <c r="H1417" t="s">
        <v>10797</v>
      </c>
      <c r="I1417" t="s">
        <v>28</v>
      </c>
      <c r="J1417" t="s">
        <v>10814</v>
      </c>
      <c r="K1417" t="s">
        <v>19</v>
      </c>
      <c r="L1417" t="s">
        <v>20</v>
      </c>
      <c r="M1417" t="s">
        <v>10807</v>
      </c>
      <c r="N1417" t="s">
        <v>10808</v>
      </c>
      <c r="O1417" t="s">
        <v>10815</v>
      </c>
      <c r="P1417" t="s">
        <v>10816</v>
      </c>
    </row>
    <row r="1418" spans="1:16" x14ac:dyDescent="0.35">
      <c r="A1418" t="s">
        <v>10817</v>
      </c>
      <c r="B1418" t="s">
        <v>55</v>
      </c>
      <c r="C1418" t="s">
        <v>28</v>
      </c>
      <c r="D1418" t="s">
        <v>28</v>
      </c>
      <c r="E1418" t="s">
        <v>10818</v>
      </c>
      <c r="F1418" t="s">
        <v>10819</v>
      </c>
      <c r="G1418" t="s">
        <v>10820</v>
      </c>
      <c r="H1418" t="s">
        <v>10797</v>
      </c>
      <c r="I1418" t="s">
        <v>28</v>
      </c>
      <c r="J1418" t="s">
        <v>10821</v>
      </c>
      <c r="K1418" t="s">
        <v>19</v>
      </c>
      <c r="L1418" t="s">
        <v>20</v>
      </c>
      <c r="M1418" t="s">
        <v>10822</v>
      </c>
      <c r="N1418" t="s">
        <v>10823</v>
      </c>
      <c r="O1418" t="s">
        <v>10824</v>
      </c>
      <c r="P1418" t="s">
        <v>10825</v>
      </c>
    </row>
    <row r="1419" spans="1:16" x14ac:dyDescent="0.35">
      <c r="A1419" t="s">
        <v>10817</v>
      </c>
      <c r="B1419" t="s">
        <v>55</v>
      </c>
      <c r="C1419" t="s">
        <v>15</v>
      </c>
      <c r="D1419" t="s">
        <v>68</v>
      </c>
      <c r="E1419" t="s">
        <v>10826</v>
      </c>
      <c r="F1419" t="s">
        <v>10827</v>
      </c>
      <c r="G1419" t="s">
        <v>10828</v>
      </c>
      <c r="H1419" t="s">
        <v>10797</v>
      </c>
      <c r="I1419" t="s">
        <v>28</v>
      </c>
      <c r="J1419" t="s">
        <v>10829</v>
      </c>
      <c r="K1419" t="s">
        <v>19</v>
      </c>
      <c r="L1419" t="s">
        <v>20</v>
      </c>
      <c r="M1419" t="s">
        <v>10830</v>
      </c>
      <c r="N1419" t="s">
        <v>10831</v>
      </c>
      <c r="O1419" t="s">
        <v>10832</v>
      </c>
      <c r="P1419" t="s">
        <v>10833</v>
      </c>
    </row>
    <row r="1420" spans="1:16" x14ac:dyDescent="0.35">
      <c r="A1420" t="s">
        <v>10834</v>
      </c>
      <c r="B1420" t="s">
        <v>32</v>
      </c>
      <c r="C1420" t="s">
        <v>205</v>
      </c>
      <c r="D1420" t="s">
        <v>1785</v>
      </c>
      <c r="E1420" t="s">
        <v>10835</v>
      </c>
      <c r="F1420" t="s">
        <v>10836</v>
      </c>
      <c r="G1420" t="s">
        <v>10796</v>
      </c>
      <c r="H1420" t="s">
        <v>10797</v>
      </c>
      <c r="I1420" t="s">
        <v>10837</v>
      </c>
      <c r="J1420" t="s">
        <v>10838</v>
      </c>
      <c r="K1420" t="s">
        <v>10839</v>
      </c>
      <c r="L1420" t="s">
        <v>20</v>
      </c>
      <c r="M1420" t="s">
        <v>10830</v>
      </c>
      <c r="N1420" t="s">
        <v>10831</v>
      </c>
      <c r="O1420" t="s">
        <v>10840</v>
      </c>
      <c r="P1420" t="s">
        <v>10841</v>
      </c>
    </row>
    <row r="1421" spans="1:16" x14ac:dyDescent="0.35">
      <c r="A1421" t="s">
        <v>10842</v>
      </c>
      <c r="B1421" t="s">
        <v>55</v>
      </c>
      <c r="C1421" t="s">
        <v>15</v>
      </c>
      <c r="D1421" t="s">
        <v>16</v>
      </c>
      <c r="E1421" t="s">
        <v>10843</v>
      </c>
      <c r="F1421" t="s">
        <v>10844</v>
      </c>
      <c r="G1421" t="s">
        <v>10796</v>
      </c>
      <c r="H1421" t="s">
        <v>10797</v>
      </c>
      <c r="I1421" t="s">
        <v>10845</v>
      </c>
      <c r="J1421" t="s">
        <v>10846</v>
      </c>
      <c r="K1421" t="s">
        <v>10847</v>
      </c>
      <c r="L1421" t="s">
        <v>20</v>
      </c>
      <c r="M1421" t="s">
        <v>10830</v>
      </c>
      <c r="N1421" t="s">
        <v>10831</v>
      </c>
      <c r="O1421" t="s">
        <v>10848</v>
      </c>
      <c r="P1421" t="s">
        <v>10849</v>
      </c>
    </row>
    <row r="1422" spans="1:16" x14ac:dyDescent="0.35">
      <c r="A1422" t="s">
        <v>10850</v>
      </c>
      <c r="B1422" t="s">
        <v>55</v>
      </c>
      <c r="C1422" t="s">
        <v>15</v>
      </c>
      <c r="D1422" t="s">
        <v>16</v>
      </c>
      <c r="E1422" t="s">
        <v>10851</v>
      </c>
      <c r="F1422" t="s">
        <v>10852</v>
      </c>
      <c r="G1422" t="s">
        <v>10796</v>
      </c>
      <c r="H1422" t="s">
        <v>10797</v>
      </c>
      <c r="I1422" t="s">
        <v>28</v>
      </c>
      <c r="J1422" t="s">
        <v>10853</v>
      </c>
      <c r="K1422" t="s">
        <v>19</v>
      </c>
      <c r="L1422" t="s">
        <v>20</v>
      </c>
      <c r="M1422" t="s">
        <v>10830</v>
      </c>
      <c r="N1422" t="s">
        <v>10831</v>
      </c>
      <c r="O1422" t="s">
        <v>10854</v>
      </c>
      <c r="P1422" t="s">
        <v>10855</v>
      </c>
    </row>
    <row r="1423" spans="1:16" x14ac:dyDescent="0.35">
      <c r="A1423" t="s">
        <v>10856</v>
      </c>
      <c r="B1423" t="s">
        <v>55</v>
      </c>
      <c r="C1423" t="s">
        <v>96</v>
      </c>
      <c r="D1423" t="s">
        <v>1795</v>
      </c>
      <c r="E1423" t="s">
        <v>10857</v>
      </c>
      <c r="F1423" t="s">
        <v>10858</v>
      </c>
      <c r="G1423" t="s">
        <v>10796</v>
      </c>
      <c r="H1423" t="s">
        <v>10797</v>
      </c>
      <c r="I1423" t="s">
        <v>10859</v>
      </c>
      <c r="J1423" t="s">
        <v>10860</v>
      </c>
      <c r="K1423" t="s">
        <v>10861</v>
      </c>
      <c r="L1423" t="s">
        <v>20</v>
      </c>
      <c r="M1423" t="s">
        <v>10830</v>
      </c>
      <c r="N1423" t="s">
        <v>10831</v>
      </c>
      <c r="O1423" t="s">
        <v>10862</v>
      </c>
      <c r="P1423" t="s">
        <v>10863</v>
      </c>
    </row>
    <row r="1424" spans="1:16" x14ac:dyDescent="0.35">
      <c r="A1424" t="s">
        <v>10864</v>
      </c>
      <c r="B1424" t="s">
        <v>55</v>
      </c>
      <c r="C1424" t="s">
        <v>15</v>
      </c>
      <c r="D1424" t="s">
        <v>68</v>
      </c>
      <c r="E1424" t="s">
        <v>10865</v>
      </c>
      <c r="F1424" t="s">
        <v>10866</v>
      </c>
      <c r="G1424" t="s">
        <v>10796</v>
      </c>
      <c r="H1424" t="s">
        <v>10797</v>
      </c>
      <c r="I1424" t="s">
        <v>28</v>
      </c>
      <c r="J1424" t="s">
        <v>10867</v>
      </c>
      <c r="K1424" t="s">
        <v>19</v>
      </c>
      <c r="L1424" t="s">
        <v>20</v>
      </c>
      <c r="M1424" t="s">
        <v>10830</v>
      </c>
      <c r="N1424" t="s">
        <v>10831</v>
      </c>
      <c r="O1424" t="s">
        <v>10868</v>
      </c>
      <c r="P1424" t="s">
        <v>10869</v>
      </c>
    </row>
    <row r="1425" spans="1:16" x14ac:dyDescent="0.35">
      <c r="A1425" t="s">
        <v>10870</v>
      </c>
      <c r="B1425" t="s">
        <v>32</v>
      </c>
      <c r="C1425" t="s">
        <v>26</v>
      </c>
      <c r="D1425" t="s">
        <v>1795</v>
      </c>
      <c r="E1425" t="s">
        <v>10871</v>
      </c>
      <c r="F1425" t="s">
        <v>10872</v>
      </c>
      <c r="G1425" t="s">
        <v>10796</v>
      </c>
      <c r="H1425" t="s">
        <v>10797</v>
      </c>
      <c r="I1425" t="s">
        <v>10873</v>
      </c>
      <c r="J1425" t="s">
        <v>10874</v>
      </c>
      <c r="K1425" t="s">
        <v>10875</v>
      </c>
      <c r="L1425" t="s">
        <v>20</v>
      </c>
      <c r="M1425" t="s">
        <v>10830</v>
      </c>
      <c r="N1425" t="s">
        <v>10831</v>
      </c>
      <c r="O1425" t="s">
        <v>10876</v>
      </c>
      <c r="P1425" t="s">
        <v>10877</v>
      </c>
    </row>
    <row r="1426" spans="1:16" x14ac:dyDescent="0.35">
      <c r="A1426" t="s">
        <v>10878</v>
      </c>
      <c r="B1426" t="s">
        <v>107</v>
      </c>
      <c r="C1426" t="s">
        <v>28</v>
      </c>
      <c r="D1426" t="s">
        <v>28</v>
      </c>
      <c r="E1426" t="s">
        <v>10879</v>
      </c>
      <c r="F1426" t="s">
        <v>10880</v>
      </c>
      <c r="G1426" t="s">
        <v>10796</v>
      </c>
      <c r="H1426" t="s">
        <v>10797</v>
      </c>
      <c r="I1426" t="s">
        <v>10881</v>
      </c>
      <c r="J1426" t="s">
        <v>10882</v>
      </c>
      <c r="K1426" t="s">
        <v>19</v>
      </c>
      <c r="L1426" t="s">
        <v>20</v>
      </c>
      <c r="M1426" t="s">
        <v>10830</v>
      </c>
      <c r="N1426" t="s">
        <v>10831</v>
      </c>
      <c r="O1426" t="s">
        <v>10883</v>
      </c>
      <c r="P1426" t="s">
        <v>10884</v>
      </c>
    </row>
    <row r="1427" spans="1:16" x14ac:dyDescent="0.35">
      <c r="A1427" t="s">
        <v>10887</v>
      </c>
      <c r="B1427" t="s">
        <v>55</v>
      </c>
      <c r="C1427" t="s">
        <v>177</v>
      </c>
      <c r="D1427" t="s">
        <v>2474</v>
      </c>
      <c r="E1427" t="s">
        <v>10888</v>
      </c>
      <c r="F1427" t="s">
        <v>10889</v>
      </c>
      <c r="G1427" t="s">
        <v>10796</v>
      </c>
      <c r="H1427" t="s">
        <v>10797</v>
      </c>
      <c r="I1427" t="s">
        <v>28</v>
      </c>
      <c r="J1427" t="s">
        <v>10890</v>
      </c>
      <c r="K1427" t="s">
        <v>19</v>
      </c>
      <c r="L1427" t="s">
        <v>20</v>
      </c>
      <c r="M1427" t="s">
        <v>10885</v>
      </c>
      <c r="N1427" t="s">
        <v>10886</v>
      </c>
      <c r="O1427" t="s">
        <v>10891</v>
      </c>
      <c r="P1427" t="s">
        <v>10892</v>
      </c>
    </row>
    <row r="1428" spans="1:16" x14ac:dyDescent="0.35">
      <c r="A1428" t="s">
        <v>10893</v>
      </c>
      <c r="B1428" t="s">
        <v>55</v>
      </c>
      <c r="C1428" t="s">
        <v>691</v>
      </c>
      <c r="D1428" t="s">
        <v>68</v>
      </c>
      <c r="E1428" t="s">
        <v>10894</v>
      </c>
      <c r="F1428" t="s">
        <v>10895</v>
      </c>
      <c r="G1428" t="s">
        <v>10796</v>
      </c>
      <c r="H1428" t="s">
        <v>10797</v>
      </c>
      <c r="I1428" t="s">
        <v>28</v>
      </c>
      <c r="J1428" t="s">
        <v>10896</v>
      </c>
      <c r="K1428" t="s">
        <v>19</v>
      </c>
      <c r="L1428" t="s">
        <v>20</v>
      </c>
      <c r="M1428" t="s">
        <v>10885</v>
      </c>
      <c r="N1428" t="s">
        <v>10886</v>
      </c>
      <c r="O1428" t="s">
        <v>10897</v>
      </c>
      <c r="P1428" t="s">
        <v>10898</v>
      </c>
    </row>
    <row r="1429" spans="1:16" x14ac:dyDescent="0.35">
      <c r="A1429" t="s">
        <v>10899</v>
      </c>
      <c r="B1429" t="s">
        <v>32</v>
      </c>
      <c r="C1429" t="s">
        <v>96</v>
      </c>
      <c r="D1429" t="s">
        <v>124</v>
      </c>
      <c r="E1429" t="s">
        <v>10900</v>
      </c>
      <c r="F1429" t="s">
        <v>10901</v>
      </c>
      <c r="G1429" t="s">
        <v>10902</v>
      </c>
      <c r="H1429" t="s">
        <v>10797</v>
      </c>
      <c r="I1429" t="s">
        <v>10903</v>
      </c>
      <c r="J1429" t="s">
        <v>10904</v>
      </c>
      <c r="K1429" t="s">
        <v>10905</v>
      </c>
      <c r="L1429" t="s">
        <v>20</v>
      </c>
      <c r="M1429" t="s">
        <v>10885</v>
      </c>
      <c r="N1429" t="s">
        <v>10886</v>
      </c>
      <c r="O1429" t="s">
        <v>10906</v>
      </c>
      <c r="P1429" t="s">
        <v>10907</v>
      </c>
    </row>
    <row r="1430" spans="1:16" x14ac:dyDescent="0.35">
      <c r="A1430" t="s">
        <v>10864</v>
      </c>
      <c r="B1430" t="s">
        <v>55</v>
      </c>
      <c r="C1430" t="s">
        <v>28</v>
      </c>
      <c r="D1430" t="s">
        <v>28</v>
      </c>
      <c r="E1430" t="s">
        <v>28</v>
      </c>
      <c r="F1430" t="s">
        <v>10909</v>
      </c>
      <c r="G1430" t="s">
        <v>10910</v>
      </c>
      <c r="H1430" t="s">
        <v>10797</v>
      </c>
      <c r="I1430" t="s">
        <v>28</v>
      </c>
      <c r="J1430" t="s">
        <v>10911</v>
      </c>
      <c r="K1430" t="s">
        <v>19</v>
      </c>
      <c r="L1430" t="s">
        <v>20</v>
      </c>
      <c r="M1430" t="s">
        <v>10885</v>
      </c>
      <c r="N1430" t="s">
        <v>10886</v>
      </c>
      <c r="O1430" t="s">
        <v>10912</v>
      </c>
      <c r="P1430" t="s">
        <v>10913</v>
      </c>
    </row>
    <row r="1431" spans="1:16" x14ac:dyDescent="0.35">
      <c r="A1431" t="s">
        <v>10915</v>
      </c>
      <c r="B1431" t="s">
        <v>32</v>
      </c>
      <c r="C1431" t="s">
        <v>241</v>
      </c>
      <c r="D1431" t="s">
        <v>614</v>
      </c>
      <c r="E1431" t="s">
        <v>10916</v>
      </c>
      <c r="F1431" t="s">
        <v>10917</v>
      </c>
      <c r="G1431" t="s">
        <v>10918</v>
      </c>
      <c r="H1431" t="s">
        <v>10797</v>
      </c>
      <c r="I1431" t="s">
        <v>28</v>
      </c>
      <c r="J1431" t="s">
        <v>10919</v>
      </c>
      <c r="K1431" t="s">
        <v>19</v>
      </c>
      <c r="L1431" t="s">
        <v>20</v>
      </c>
      <c r="M1431" t="s">
        <v>10885</v>
      </c>
      <c r="N1431" t="s">
        <v>10886</v>
      </c>
      <c r="O1431" t="s">
        <v>10920</v>
      </c>
      <c r="P1431" t="s">
        <v>10921</v>
      </c>
    </row>
    <row r="1432" spans="1:16" x14ac:dyDescent="0.35">
      <c r="A1432" t="s">
        <v>10922</v>
      </c>
      <c r="B1432" t="s">
        <v>107</v>
      </c>
      <c r="C1432" t="s">
        <v>15</v>
      </c>
      <c r="D1432" t="s">
        <v>68</v>
      </c>
      <c r="E1432" t="s">
        <v>10923</v>
      </c>
      <c r="F1432" t="s">
        <v>10924</v>
      </c>
      <c r="G1432" t="s">
        <v>10796</v>
      </c>
      <c r="H1432" t="s">
        <v>10797</v>
      </c>
      <c r="I1432" t="s">
        <v>10925</v>
      </c>
      <c r="J1432" t="s">
        <v>10926</v>
      </c>
      <c r="K1432" t="s">
        <v>19</v>
      </c>
      <c r="L1432" t="s">
        <v>20</v>
      </c>
      <c r="M1432" t="s">
        <v>10885</v>
      </c>
      <c r="N1432" t="s">
        <v>10886</v>
      </c>
      <c r="O1432" t="s">
        <v>10927</v>
      </c>
      <c r="P1432" t="s">
        <v>10928</v>
      </c>
    </row>
    <row r="1433" spans="1:16" x14ac:dyDescent="0.35">
      <c r="A1433" t="s">
        <v>10929</v>
      </c>
      <c r="B1433" t="s">
        <v>55</v>
      </c>
      <c r="C1433" t="s">
        <v>28</v>
      </c>
      <c r="D1433" t="s">
        <v>28</v>
      </c>
      <c r="E1433" t="s">
        <v>10930</v>
      </c>
      <c r="F1433" t="s">
        <v>10931</v>
      </c>
      <c r="G1433" t="s">
        <v>10932</v>
      </c>
      <c r="H1433" t="s">
        <v>10797</v>
      </c>
      <c r="I1433" t="s">
        <v>28</v>
      </c>
      <c r="J1433" t="s">
        <v>10933</v>
      </c>
      <c r="K1433" t="s">
        <v>19</v>
      </c>
      <c r="L1433" t="s">
        <v>20</v>
      </c>
      <c r="M1433" t="s">
        <v>10934</v>
      </c>
      <c r="N1433" t="s">
        <v>10935</v>
      </c>
      <c r="O1433" t="s">
        <v>10936</v>
      </c>
      <c r="P1433" t="s">
        <v>10937</v>
      </c>
    </row>
    <row r="1434" spans="1:16" x14ac:dyDescent="0.35">
      <c r="A1434" t="s">
        <v>10938</v>
      </c>
      <c r="B1434" t="s">
        <v>55</v>
      </c>
      <c r="C1434" t="s">
        <v>158</v>
      </c>
      <c r="D1434" t="s">
        <v>1798</v>
      </c>
      <c r="E1434" t="s">
        <v>10939</v>
      </c>
      <c r="F1434" t="s">
        <v>10940</v>
      </c>
      <c r="G1434" t="s">
        <v>10796</v>
      </c>
      <c r="H1434" t="s">
        <v>10797</v>
      </c>
      <c r="I1434" t="s">
        <v>10941</v>
      </c>
      <c r="J1434" t="s">
        <v>10942</v>
      </c>
      <c r="K1434" t="s">
        <v>10943</v>
      </c>
      <c r="L1434" t="s">
        <v>20</v>
      </c>
      <c r="M1434" t="s">
        <v>10934</v>
      </c>
      <c r="N1434" t="s">
        <v>10935</v>
      </c>
      <c r="O1434" t="s">
        <v>10944</v>
      </c>
      <c r="P1434" t="s">
        <v>10945</v>
      </c>
    </row>
    <row r="1435" spans="1:16" x14ac:dyDescent="0.35">
      <c r="A1435" t="s">
        <v>10946</v>
      </c>
      <c r="B1435" t="s">
        <v>55</v>
      </c>
      <c r="C1435" t="s">
        <v>78</v>
      </c>
      <c r="D1435" t="s">
        <v>629</v>
      </c>
      <c r="E1435" t="s">
        <v>10947</v>
      </c>
      <c r="F1435" t="s">
        <v>10948</v>
      </c>
      <c r="G1435" t="s">
        <v>10796</v>
      </c>
      <c r="H1435" t="s">
        <v>10797</v>
      </c>
      <c r="I1435" t="s">
        <v>10949</v>
      </c>
      <c r="J1435" t="s">
        <v>10950</v>
      </c>
      <c r="K1435" t="s">
        <v>10951</v>
      </c>
      <c r="L1435" t="s">
        <v>20</v>
      </c>
      <c r="M1435" t="s">
        <v>10934</v>
      </c>
      <c r="N1435" t="s">
        <v>10935</v>
      </c>
      <c r="O1435" t="s">
        <v>10952</v>
      </c>
      <c r="P1435" t="s">
        <v>10953</v>
      </c>
    </row>
    <row r="1436" spans="1:16" x14ac:dyDescent="0.35">
      <c r="A1436" t="s">
        <v>10954</v>
      </c>
      <c r="B1436" t="s">
        <v>55</v>
      </c>
      <c r="C1436" t="s">
        <v>28</v>
      </c>
      <c r="D1436" t="s">
        <v>28</v>
      </c>
      <c r="E1436" t="s">
        <v>10955</v>
      </c>
      <c r="F1436" t="s">
        <v>10956</v>
      </c>
      <c r="G1436" t="s">
        <v>10796</v>
      </c>
      <c r="H1436" t="s">
        <v>10797</v>
      </c>
      <c r="I1436" t="s">
        <v>28</v>
      </c>
      <c r="J1436" t="s">
        <v>10957</v>
      </c>
      <c r="K1436" t="s">
        <v>19</v>
      </c>
      <c r="L1436" t="s">
        <v>20</v>
      </c>
      <c r="M1436" t="s">
        <v>10934</v>
      </c>
      <c r="N1436" t="s">
        <v>10935</v>
      </c>
      <c r="O1436" t="s">
        <v>10958</v>
      </c>
      <c r="P1436" t="s">
        <v>10959</v>
      </c>
    </row>
    <row r="1437" spans="1:16" x14ac:dyDescent="0.35">
      <c r="A1437" t="s">
        <v>10960</v>
      </c>
      <c r="B1437" t="s">
        <v>32</v>
      </c>
      <c r="C1437" t="s">
        <v>15</v>
      </c>
      <c r="D1437" t="s">
        <v>27</v>
      </c>
      <c r="E1437" t="s">
        <v>10961</v>
      </c>
      <c r="F1437" t="s">
        <v>10962</v>
      </c>
      <c r="G1437" t="s">
        <v>10963</v>
      </c>
      <c r="H1437" t="s">
        <v>10908</v>
      </c>
      <c r="I1437" t="s">
        <v>28</v>
      </c>
      <c r="J1437" t="s">
        <v>10964</v>
      </c>
      <c r="K1437" t="s">
        <v>19</v>
      </c>
      <c r="L1437" t="s">
        <v>20</v>
      </c>
      <c r="M1437" t="s">
        <v>10934</v>
      </c>
      <c r="N1437" t="s">
        <v>10935</v>
      </c>
      <c r="O1437" t="s">
        <v>10965</v>
      </c>
      <c r="P1437" t="s">
        <v>10966</v>
      </c>
    </row>
    <row r="1438" spans="1:16" x14ac:dyDescent="0.35">
      <c r="A1438" t="s">
        <v>10967</v>
      </c>
      <c r="B1438" t="s">
        <v>55</v>
      </c>
      <c r="C1438" t="s">
        <v>26</v>
      </c>
      <c r="D1438" t="s">
        <v>206</v>
      </c>
      <c r="E1438" t="s">
        <v>10968</v>
      </c>
      <c r="F1438" t="s">
        <v>10969</v>
      </c>
      <c r="G1438" t="s">
        <v>10970</v>
      </c>
      <c r="H1438" t="s">
        <v>10797</v>
      </c>
      <c r="I1438" t="s">
        <v>28</v>
      </c>
      <c r="J1438" t="s">
        <v>10971</v>
      </c>
      <c r="K1438" t="s">
        <v>19</v>
      </c>
      <c r="L1438" t="s">
        <v>20</v>
      </c>
      <c r="M1438" t="s">
        <v>10934</v>
      </c>
      <c r="N1438" t="s">
        <v>10935</v>
      </c>
      <c r="O1438" t="s">
        <v>10972</v>
      </c>
      <c r="P1438" t="s">
        <v>10973</v>
      </c>
    </row>
    <row r="1439" spans="1:16" x14ac:dyDescent="0.35">
      <c r="A1439" t="s">
        <v>10974</v>
      </c>
      <c r="B1439" t="s">
        <v>55</v>
      </c>
      <c r="C1439" t="s">
        <v>28</v>
      </c>
      <c r="D1439" t="s">
        <v>28</v>
      </c>
      <c r="E1439" t="s">
        <v>10975</v>
      </c>
      <c r="F1439" t="s">
        <v>10976</v>
      </c>
      <c r="G1439" t="s">
        <v>10977</v>
      </c>
      <c r="H1439" t="s">
        <v>10908</v>
      </c>
      <c r="I1439" t="s">
        <v>10978</v>
      </c>
      <c r="J1439" t="s">
        <v>10979</v>
      </c>
      <c r="K1439" t="s">
        <v>19</v>
      </c>
      <c r="L1439" t="s">
        <v>20</v>
      </c>
      <c r="M1439" t="s">
        <v>10934</v>
      </c>
      <c r="N1439" t="s">
        <v>10935</v>
      </c>
      <c r="O1439" t="s">
        <v>10980</v>
      </c>
      <c r="P1439" t="s">
        <v>10981</v>
      </c>
    </row>
    <row r="1440" spans="1:16" x14ac:dyDescent="0.35">
      <c r="A1440" t="s">
        <v>10982</v>
      </c>
      <c r="B1440" t="s">
        <v>55</v>
      </c>
      <c r="C1440" t="s">
        <v>311</v>
      </c>
      <c r="D1440" t="s">
        <v>812</v>
      </c>
      <c r="E1440" t="s">
        <v>10983</v>
      </c>
      <c r="F1440" t="s">
        <v>10984</v>
      </c>
      <c r="G1440" t="s">
        <v>10796</v>
      </c>
      <c r="H1440" t="s">
        <v>10797</v>
      </c>
      <c r="I1440" t="s">
        <v>10985</v>
      </c>
      <c r="J1440" t="s">
        <v>10986</v>
      </c>
      <c r="K1440" t="s">
        <v>10987</v>
      </c>
      <c r="L1440" t="s">
        <v>20</v>
      </c>
      <c r="M1440" t="s">
        <v>10799</v>
      </c>
      <c r="N1440" t="s">
        <v>10800</v>
      </c>
      <c r="O1440" t="s">
        <v>10988</v>
      </c>
      <c r="P1440" t="s">
        <v>10989</v>
      </c>
    </row>
    <row r="1441" spans="1:16" x14ac:dyDescent="0.35">
      <c r="A1441" t="s">
        <v>10990</v>
      </c>
      <c r="B1441" t="s">
        <v>55</v>
      </c>
      <c r="C1441" t="s">
        <v>1128</v>
      </c>
      <c r="D1441" t="s">
        <v>374</v>
      </c>
      <c r="E1441" t="s">
        <v>10991</v>
      </c>
      <c r="F1441" t="s">
        <v>10992</v>
      </c>
      <c r="G1441" t="s">
        <v>10902</v>
      </c>
      <c r="H1441" t="s">
        <v>10908</v>
      </c>
      <c r="I1441" t="s">
        <v>10978</v>
      </c>
      <c r="J1441" t="s">
        <v>10993</v>
      </c>
      <c r="K1441" t="s">
        <v>10994</v>
      </c>
      <c r="L1441" t="s">
        <v>20</v>
      </c>
      <c r="M1441" t="s">
        <v>10995</v>
      </c>
      <c r="N1441" t="s">
        <v>10996</v>
      </c>
      <c r="O1441" t="s">
        <v>10997</v>
      </c>
      <c r="P1441" t="s">
        <v>10998</v>
      </c>
    </row>
    <row r="1442" spans="1:16" x14ac:dyDescent="0.35">
      <c r="A1442" t="s">
        <v>11003</v>
      </c>
      <c r="B1442" t="s">
        <v>55</v>
      </c>
      <c r="C1442" t="s">
        <v>28</v>
      </c>
      <c r="D1442" t="s">
        <v>28</v>
      </c>
      <c r="E1442" t="s">
        <v>11004</v>
      </c>
      <c r="F1442" t="s">
        <v>11005</v>
      </c>
      <c r="G1442" t="s">
        <v>10796</v>
      </c>
      <c r="H1442" t="s">
        <v>10797</v>
      </c>
      <c r="I1442" t="s">
        <v>11006</v>
      </c>
      <c r="J1442" t="s">
        <v>11007</v>
      </c>
      <c r="K1442" t="s">
        <v>11008</v>
      </c>
      <c r="L1442" t="s">
        <v>20</v>
      </c>
      <c r="M1442" t="s">
        <v>11001</v>
      </c>
      <c r="N1442" t="s">
        <v>11002</v>
      </c>
      <c r="O1442" t="s">
        <v>11009</v>
      </c>
      <c r="P1442" t="s">
        <v>11010</v>
      </c>
    </row>
    <row r="1443" spans="1:16" x14ac:dyDescent="0.35">
      <c r="A1443" t="s">
        <v>11012</v>
      </c>
      <c r="B1443" t="s">
        <v>32</v>
      </c>
      <c r="C1443" t="s">
        <v>28</v>
      </c>
      <c r="D1443" t="s">
        <v>28</v>
      </c>
      <c r="E1443" t="s">
        <v>11013</v>
      </c>
      <c r="F1443" t="s">
        <v>11014</v>
      </c>
      <c r="G1443" t="s">
        <v>11015</v>
      </c>
      <c r="H1443" t="s">
        <v>10797</v>
      </c>
      <c r="I1443" t="s">
        <v>28</v>
      </c>
      <c r="J1443" t="s">
        <v>11016</v>
      </c>
      <c r="K1443" t="s">
        <v>19</v>
      </c>
      <c r="L1443" t="s">
        <v>20</v>
      </c>
      <c r="M1443" t="s">
        <v>11017</v>
      </c>
      <c r="N1443" t="s">
        <v>11018</v>
      </c>
      <c r="O1443" t="s">
        <v>11019</v>
      </c>
      <c r="P1443" t="s">
        <v>11020</v>
      </c>
    </row>
    <row r="1444" spans="1:16" x14ac:dyDescent="0.35">
      <c r="A1444" t="s">
        <v>11021</v>
      </c>
      <c r="B1444" t="s">
        <v>55</v>
      </c>
      <c r="C1444" t="s">
        <v>691</v>
      </c>
      <c r="D1444" t="s">
        <v>124</v>
      </c>
      <c r="E1444" t="s">
        <v>11022</v>
      </c>
      <c r="F1444" t="s">
        <v>11023</v>
      </c>
      <c r="G1444" t="s">
        <v>11024</v>
      </c>
      <c r="H1444" t="s">
        <v>10908</v>
      </c>
      <c r="I1444" t="s">
        <v>10978</v>
      </c>
      <c r="J1444" t="s">
        <v>11025</v>
      </c>
      <c r="K1444" t="s">
        <v>10994</v>
      </c>
      <c r="L1444" t="s">
        <v>20</v>
      </c>
      <c r="M1444" t="s">
        <v>11026</v>
      </c>
      <c r="N1444" t="s">
        <v>11027</v>
      </c>
      <c r="O1444" t="s">
        <v>11028</v>
      </c>
      <c r="P1444" t="s">
        <v>915</v>
      </c>
    </row>
    <row r="1445" spans="1:16" x14ac:dyDescent="0.35">
      <c r="A1445" t="s">
        <v>11029</v>
      </c>
      <c r="B1445" t="s">
        <v>55</v>
      </c>
      <c r="C1445" t="s">
        <v>205</v>
      </c>
      <c r="D1445" t="s">
        <v>1328</v>
      </c>
      <c r="E1445" t="s">
        <v>11030</v>
      </c>
      <c r="F1445" t="s">
        <v>11031</v>
      </c>
      <c r="G1445" t="s">
        <v>10796</v>
      </c>
      <c r="H1445" t="s">
        <v>10797</v>
      </c>
      <c r="I1445" t="s">
        <v>11032</v>
      </c>
      <c r="J1445" t="s">
        <v>11033</v>
      </c>
      <c r="K1445" t="s">
        <v>11034</v>
      </c>
      <c r="L1445" t="s">
        <v>20</v>
      </c>
      <c r="M1445" t="s">
        <v>11026</v>
      </c>
      <c r="N1445" t="s">
        <v>11027</v>
      </c>
      <c r="O1445" t="s">
        <v>11035</v>
      </c>
      <c r="P1445" t="s">
        <v>11036</v>
      </c>
    </row>
    <row r="1446" spans="1:16" x14ac:dyDescent="0.35">
      <c r="A1446" t="s">
        <v>11037</v>
      </c>
      <c r="B1446" t="s">
        <v>55</v>
      </c>
      <c r="C1446" t="s">
        <v>28</v>
      </c>
      <c r="D1446" t="s">
        <v>28</v>
      </c>
      <c r="E1446" t="s">
        <v>11038</v>
      </c>
      <c r="F1446" t="s">
        <v>11039</v>
      </c>
      <c r="G1446" t="s">
        <v>10902</v>
      </c>
      <c r="H1446" t="s">
        <v>10797</v>
      </c>
      <c r="I1446" t="s">
        <v>28</v>
      </c>
      <c r="J1446" t="s">
        <v>11040</v>
      </c>
      <c r="K1446" t="s">
        <v>19</v>
      </c>
      <c r="L1446" t="s">
        <v>20</v>
      </c>
      <c r="M1446" t="s">
        <v>11026</v>
      </c>
      <c r="N1446" t="s">
        <v>11027</v>
      </c>
      <c r="O1446" t="s">
        <v>11041</v>
      </c>
      <c r="P1446" t="s">
        <v>11042</v>
      </c>
    </row>
    <row r="1447" spans="1:16" x14ac:dyDescent="0.35">
      <c r="A1447" t="s">
        <v>11043</v>
      </c>
      <c r="B1447" t="s">
        <v>55</v>
      </c>
      <c r="C1447" t="s">
        <v>341</v>
      </c>
      <c r="D1447" t="s">
        <v>124</v>
      </c>
      <c r="E1447" t="s">
        <v>11044</v>
      </c>
      <c r="F1447" t="s">
        <v>11045</v>
      </c>
      <c r="G1447" t="s">
        <v>10828</v>
      </c>
      <c r="H1447" t="s">
        <v>10797</v>
      </c>
      <c r="I1447" t="s">
        <v>28</v>
      </c>
      <c r="J1447" t="s">
        <v>11046</v>
      </c>
      <c r="K1447" t="s">
        <v>19</v>
      </c>
      <c r="L1447" t="s">
        <v>20</v>
      </c>
      <c r="M1447" t="s">
        <v>11026</v>
      </c>
      <c r="N1447" t="s">
        <v>11027</v>
      </c>
      <c r="O1447" t="s">
        <v>11047</v>
      </c>
      <c r="P1447" t="s">
        <v>11048</v>
      </c>
    </row>
    <row r="1448" spans="1:16" x14ac:dyDescent="0.35">
      <c r="A1448" t="s">
        <v>11049</v>
      </c>
      <c r="B1448" t="s">
        <v>55</v>
      </c>
      <c r="C1448" t="s">
        <v>15</v>
      </c>
      <c r="D1448" t="s">
        <v>27</v>
      </c>
      <c r="E1448" t="s">
        <v>11050</v>
      </c>
      <c r="F1448" t="s">
        <v>11051</v>
      </c>
      <c r="G1448" t="s">
        <v>10796</v>
      </c>
      <c r="H1448" t="s">
        <v>10797</v>
      </c>
      <c r="I1448" t="s">
        <v>11052</v>
      </c>
      <c r="J1448" t="s">
        <v>11053</v>
      </c>
      <c r="K1448" t="s">
        <v>11054</v>
      </c>
      <c r="L1448" t="s">
        <v>20</v>
      </c>
      <c r="M1448" t="s">
        <v>11026</v>
      </c>
      <c r="N1448" t="s">
        <v>11027</v>
      </c>
      <c r="O1448" t="s">
        <v>11055</v>
      </c>
      <c r="P1448" t="s">
        <v>11056</v>
      </c>
    </row>
    <row r="1449" spans="1:16" x14ac:dyDescent="0.35">
      <c r="A1449" t="s">
        <v>11059</v>
      </c>
      <c r="B1449" t="s">
        <v>55</v>
      </c>
      <c r="C1449" t="s">
        <v>205</v>
      </c>
      <c r="D1449" t="s">
        <v>206</v>
      </c>
      <c r="E1449" t="s">
        <v>11060</v>
      </c>
      <c r="F1449" t="s">
        <v>11061</v>
      </c>
      <c r="G1449" t="s">
        <v>11062</v>
      </c>
      <c r="H1449" t="s">
        <v>10908</v>
      </c>
      <c r="I1449" t="s">
        <v>10978</v>
      </c>
      <c r="J1449" t="s">
        <v>11063</v>
      </c>
      <c r="K1449" t="s">
        <v>10994</v>
      </c>
      <c r="L1449" t="s">
        <v>20</v>
      </c>
      <c r="M1449" t="s">
        <v>11057</v>
      </c>
      <c r="N1449" t="s">
        <v>11058</v>
      </c>
      <c r="O1449" t="s">
        <v>11064</v>
      </c>
      <c r="P1449" t="s">
        <v>11065</v>
      </c>
    </row>
    <row r="1450" spans="1:16" x14ac:dyDescent="0.35">
      <c r="A1450" t="s">
        <v>11066</v>
      </c>
      <c r="B1450" t="s">
        <v>55</v>
      </c>
      <c r="C1450" t="s">
        <v>474</v>
      </c>
      <c r="D1450" t="s">
        <v>141</v>
      </c>
      <c r="E1450" t="s">
        <v>11067</v>
      </c>
      <c r="F1450" t="s">
        <v>11068</v>
      </c>
      <c r="G1450" t="s">
        <v>10796</v>
      </c>
      <c r="H1450" t="s">
        <v>10797</v>
      </c>
      <c r="I1450" t="s">
        <v>11069</v>
      </c>
      <c r="J1450" t="s">
        <v>11070</v>
      </c>
      <c r="K1450" t="s">
        <v>19</v>
      </c>
      <c r="L1450" t="s">
        <v>20</v>
      </c>
      <c r="M1450" t="s">
        <v>11057</v>
      </c>
      <c r="N1450" t="s">
        <v>11058</v>
      </c>
      <c r="O1450" t="s">
        <v>11071</v>
      </c>
      <c r="P1450" t="s">
        <v>11072</v>
      </c>
    </row>
    <row r="1451" spans="1:16" x14ac:dyDescent="0.35">
      <c r="A1451" t="s">
        <v>11073</v>
      </c>
      <c r="B1451" t="s">
        <v>55</v>
      </c>
      <c r="C1451" t="s">
        <v>28</v>
      </c>
      <c r="D1451" t="s">
        <v>28</v>
      </c>
      <c r="E1451" t="s">
        <v>11074</v>
      </c>
      <c r="F1451" t="s">
        <v>11075</v>
      </c>
      <c r="G1451" t="s">
        <v>10806</v>
      </c>
      <c r="H1451" t="s">
        <v>10797</v>
      </c>
      <c r="I1451" t="s">
        <v>11076</v>
      </c>
      <c r="J1451" t="s">
        <v>11077</v>
      </c>
      <c r="K1451" t="s">
        <v>11078</v>
      </c>
      <c r="L1451" t="s">
        <v>20</v>
      </c>
      <c r="M1451" t="s">
        <v>11057</v>
      </c>
      <c r="N1451" t="s">
        <v>11058</v>
      </c>
      <c r="O1451" t="s">
        <v>11079</v>
      </c>
      <c r="P1451" t="s">
        <v>11080</v>
      </c>
    </row>
    <row r="1452" spans="1:16" x14ac:dyDescent="0.35">
      <c r="A1452" t="s">
        <v>11081</v>
      </c>
      <c r="B1452" t="s">
        <v>55</v>
      </c>
      <c r="C1452" t="s">
        <v>691</v>
      </c>
      <c r="D1452" t="s">
        <v>304</v>
      </c>
      <c r="E1452" t="s">
        <v>11082</v>
      </c>
      <c r="F1452" t="s">
        <v>11083</v>
      </c>
      <c r="G1452" t="s">
        <v>11084</v>
      </c>
      <c r="H1452" t="s">
        <v>10908</v>
      </c>
      <c r="I1452" t="s">
        <v>1718</v>
      </c>
      <c r="J1452" t="s">
        <v>11085</v>
      </c>
      <c r="K1452" t="s">
        <v>19</v>
      </c>
      <c r="L1452" t="s">
        <v>20</v>
      </c>
      <c r="M1452" t="s">
        <v>11057</v>
      </c>
      <c r="N1452" t="s">
        <v>11058</v>
      </c>
      <c r="O1452" t="s">
        <v>11086</v>
      </c>
      <c r="P1452" t="s">
        <v>11087</v>
      </c>
    </row>
    <row r="1453" spans="1:16" x14ac:dyDescent="0.35">
      <c r="A1453" t="s">
        <v>11088</v>
      </c>
      <c r="B1453" t="s">
        <v>55</v>
      </c>
      <c r="C1453" t="s">
        <v>28</v>
      </c>
      <c r="D1453" t="s">
        <v>28</v>
      </c>
      <c r="E1453" t="s">
        <v>11089</v>
      </c>
      <c r="F1453" t="s">
        <v>11090</v>
      </c>
      <c r="G1453" t="s">
        <v>10999</v>
      </c>
      <c r="H1453" t="s">
        <v>10797</v>
      </c>
      <c r="I1453" t="s">
        <v>28</v>
      </c>
      <c r="J1453" t="s">
        <v>11091</v>
      </c>
      <c r="K1453" t="s">
        <v>19</v>
      </c>
      <c r="L1453" t="s">
        <v>20</v>
      </c>
      <c r="M1453" t="s">
        <v>11057</v>
      </c>
      <c r="N1453" t="s">
        <v>11058</v>
      </c>
      <c r="O1453" t="s">
        <v>11092</v>
      </c>
      <c r="P1453" t="s">
        <v>11093</v>
      </c>
    </row>
    <row r="1454" spans="1:16" x14ac:dyDescent="0.35">
      <c r="A1454" t="s">
        <v>11094</v>
      </c>
      <c r="B1454" t="s">
        <v>55</v>
      </c>
      <c r="C1454" t="s">
        <v>15</v>
      </c>
      <c r="D1454" t="s">
        <v>16</v>
      </c>
      <c r="E1454" t="s">
        <v>11095</v>
      </c>
      <c r="F1454" t="s">
        <v>11096</v>
      </c>
      <c r="G1454" t="s">
        <v>11097</v>
      </c>
      <c r="H1454" t="s">
        <v>10797</v>
      </c>
      <c r="I1454" t="s">
        <v>28</v>
      </c>
      <c r="J1454" t="s">
        <v>28</v>
      </c>
      <c r="K1454" t="s">
        <v>19</v>
      </c>
      <c r="L1454" t="s">
        <v>20</v>
      </c>
      <c r="M1454" t="s">
        <v>11057</v>
      </c>
      <c r="N1454" t="s">
        <v>11058</v>
      </c>
      <c r="O1454" t="s">
        <v>11098</v>
      </c>
      <c r="P1454" t="s">
        <v>11099</v>
      </c>
    </row>
    <row r="1455" spans="1:16" x14ac:dyDescent="0.35">
      <c r="A1455" t="s">
        <v>11102</v>
      </c>
      <c r="B1455" t="s">
        <v>32</v>
      </c>
      <c r="C1455" t="s">
        <v>25</v>
      </c>
      <c r="D1455" t="s">
        <v>16</v>
      </c>
      <c r="E1455" t="s">
        <v>11103</v>
      </c>
      <c r="F1455" t="s">
        <v>11104</v>
      </c>
      <c r="G1455" t="s">
        <v>11105</v>
      </c>
      <c r="H1455" t="s">
        <v>10908</v>
      </c>
      <c r="I1455" t="s">
        <v>28</v>
      </c>
      <c r="J1455" t="s">
        <v>11106</v>
      </c>
      <c r="K1455" t="s">
        <v>19</v>
      </c>
      <c r="L1455" t="s">
        <v>20</v>
      </c>
      <c r="M1455" t="s">
        <v>11100</v>
      </c>
      <c r="N1455" t="s">
        <v>11101</v>
      </c>
      <c r="O1455" t="s">
        <v>11107</v>
      </c>
      <c r="P1455" t="s">
        <v>11108</v>
      </c>
    </row>
    <row r="1456" spans="1:16" x14ac:dyDescent="0.35">
      <c r="A1456" t="s">
        <v>11110</v>
      </c>
      <c r="B1456" t="s">
        <v>55</v>
      </c>
      <c r="C1456" t="s">
        <v>117</v>
      </c>
      <c r="D1456" t="s">
        <v>16</v>
      </c>
      <c r="E1456" t="s">
        <v>11111</v>
      </c>
      <c r="F1456" t="s">
        <v>11112</v>
      </c>
      <c r="G1456" t="s">
        <v>10796</v>
      </c>
      <c r="H1456" t="s">
        <v>10797</v>
      </c>
      <c r="I1456" t="s">
        <v>28</v>
      </c>
      <c r="J1456" t="s">
        <v>28</v>
      </c>
      <c r="K1456" t="s">
        <v>19</v>
      </c>
      <c r="L1456" t="s">
        <v>20</v>
      </c>
      <c r="M1456" t="s">
        <v>11113</v>
      </c>
      <c r="N1456" t="s">
        <v>11114</v>
      </c>
      <c r="O1456" t="s">
        <v>11115</v>
      </c>
      <c r="P1456" t="s">
        <v>11116</v>
      </c>
    </row>
    <row r="1457" spans="1:16" x14ac:dyDescent="0.35">
      <c r="A1457" t="s">
        <v>11117</v>
      </c>
      <c r="B1457" t="s">
        <v>55</v>
      </c>
      <c r="C1457" t="s">
        <v>311</v>
      </c>
      <c r="D1457" t="s">
        <v>1328</v>
      </c>
      <c r="E1457" t="s">
        <v>11118</v>
      </c>
      <c r="F1457" t="s">
        <v>11119</v>
      </c>
      <c r="G1457" t="s">
        <v>10796</v>
      </c>
      <c r="H1457" t="s">
        <v>10797</v>
      </c>
      <c r="I1457" t="s">
        <v>11120</v>
      </c>
      <c r="J1457" t="s">
        <v>11121</v>
      </c>
      <c r="K1457" t="s">
        <v>19</v>
      </c>
      <c r="L1457" t="s">
        <v>20</v>
      </c>
      <c r="M1457" t="s">
        <v>11113</v>
      </c>
      <c r="N1457" t="s">
        <v>11114</v>
      </c>
      <c r="O1457" t="s">
        <v>11122</v>
      </c>
      <c r="P1457" t="s">
        <v>11123</v>
      </c>
    </row>
    <row r="1458" spans="1:16" x14ac:dyDescent="0.35">
      <c r="A1458" t="s">
        <v>11124</v>
      </c>
      <c r="B1458" t="s">
        <v>55</v>
      </c>
      <c r="C1458" t="s">
        <v>311</v>
      </c>
      <c r="D1458" t="s">
        <v>79</v>
      </c>
      <c r="E1458" t="s">
        <v>11125</v>
      </c>
      <c r="F1458" t="s">
        <v>11126</v>
      </c>
      <c r="G1458" t="s">
        <v>10796</v>
      </c>
      <c r="H1458" t="s">
        <v>10797</v>
      </c>
      <c r="I1458" t="s">
        <v>11127</v>
      </c>
      <c r="J1458" t="s">
        <v>11128</v>
      </c>
      <c r="K1458" t="s">
        <v>19</v>
      </c>
      <c r="L1458" t="s">
        <v>20</v>
      </c>
      <c r="M1458" t="s">
        <v>11113</v>
      </c>
      <c r="N1458" t="s">
        <v>11114</v>
      </c>
      <c r="O1458" t="s">
        <v>11129</v>
      </c>
      <c r="P1458" t="s">
        <v>11130</v>
      </c>
    </row>
    <row r="1459" spans="1:16" x14ac:dyDescent="0.35">
      <c r="A1459" t="s">
        <v>11131</v>
      </c>
      <c r="B1459" t="s">
        <v>55</v>
      </c>
      <c r="C1459" t="s">
        <v>311</v>
      </c>
      <c r="D1459" t="s">
        <v>282</v>
      </c>
      <c r="E1459" t="s">
        <v>11132</v>
      </c>
      <c r="F1459" t="s">
        <v>11133</v>
      </c>
      <c r="G1459" t="s">
        <v>10796</v>
      </c>
      <c r="H1459" t="s">
        <v>10797</v>
      </c>
      <c r="I1459" t="s">
        <v>11134</v>
      </c>
      <c r="J1459" t="s">
        <v>11135</v>
      </c>
      <c r="K1459" t="s">
        <v>19</v>
      </c>
      <c r="L1459" t="s">
        <v>20</v>
      </c>
      <c r="M1459" t="s">
        <v>11113</v>
      </c>
      <c r="N1459" t="s">
        <v>11114</v>
      </c>
      <c r="O1459" t="s">
        <v>11136</v>
      </c>
      <c r="P1459" t="s">
        <v>11137</v>
      </c>
    </row>
    <row r="1460" spans="1:16" x14ac:dyDescent="0.35">
      <c r="A1460" t="s">
        <v>2159</v>
      </c>
      <c r="B1460" t="s">
        <v>55</v>
      </c>
      <c r="C1460" t="s">
        <v>26</v>
      </c>
      <c r="D1460" t="s">
        <v>1959</v>
      </c>
      <c r="E1460" t="s">
        <v>11138</v>
      </c>
      <c r="F1460" t="s">
        <v>11139</v>
      </c>
      <c r="G1460" t="s">
        <v>10796</v>
      </c>
      <c r="H1460" t="s">
        <v>10797</v>
      </c>
      <c r="I1460" t="s">
        <v>82</v>
      </c>
      <c r="J1460" t="s">
        <v>11140</v>
      </c>
      <c r="K1460" t="s">
        <v>84</v>
      </c>
      <c r="L1460" t="s">
        <v>20</v>
      </c>
      <c r="M1460" t="s">
        <v>11113</v>
      </c>
      <c r="N1460" t="s">
        <v>11114</v>
      </c>
      <c r="O1460" t="s">
        <v>11141</v>
      </c>
      <c r="P1460" t="s">
        <v>11142</v>
      </c>
    </row>
    <row r="1461" spans="1:16" x14ac:dyDescent="0.35">
      <c r="A1461" t="s">
        <v>11143</v>
      </c>
      <c r="B1461" t="s">
        <v>55</v>
      </c>
      <c r="C1461" t="s">
        <v>241</v>
      </c>
      <c r="D1461" t="s">
        <v>700</v>
      </c>
      <c r="E1461" t="s">
        <v>11144</v>
      </c>
      <c r="F1461" t="s">
        <v>11145</v>
      </c>
      <c r="G1461" t="s">
        <v>10902</v>
      </c>
      <c r="H1461" t="s">
        <v>10797</v>
      </c>
      <c r="I1461" t="s">
        <v>11146</v>
      </c>
      <c r="J1461" t="s">
        <v>11147</v>
      </c>
      <c r="K1461" t="s">
        <v>11148</v>
      </c>
      <c r="L1461" t="s">
        <v>20</v>
      </c>
      <c r="M1461" t="s">
        <v>11113</v>
      </c>
      <c r="N1461" t="s">
        <v>11114</v>
      </c>
      <c r="O1461" t="s">
        <v>11149</v>
      </c>
      <c r="P1461" t="s">
        <v>11150</v>
      </c>
    </row>
    <row r="1462" spans="1:16" x14ac:dyDescent="0.35">
      <c r="A1462" t="s">
        <v>11151</v>
      </c>
      <c r="B1462" t="s">
        <v>55</v>
      </c>
      <c r="C1462" t="s">
        <v>15</v>
      </c>
      <c r="D1462" t="s">
        <v>16</v>
      </c>
      <c r="E1462" t="s">
        <v>11152</v>
      </c>
      <c r="F1462" t="s">
        <v>11153</v>
      </c>
      <c r="G1462" t="s">
        <v>10796</v>
      </c>
      <c r="H1462" t="s">
        <v>10797</v>
      </c>
      <c r="I1462" t="s">
        <v>28</v>
      </c>
      <c r="J1462" t="s">
        <v>11154</v>
      </c>
      <c r="K1462" t="s">
        <v>19</v>
      </c>
      <c r="L1462" t="s">
        <v>20</v>
      </c>
      <c r="M1462" t="s">
        <v>11155</v>
      </c>
      <c r="N1462" t="s">
        <v>11156</v>
      </c>
      <c r="O1462" t="s">
        <v>11157</v>
      </c>
      <c r="P1462" t="s">
        <v>11158</v>
      </c>
    </row>
    <row r="1463" spans="1:16" x14ac:dyDescent="0.35">
      <c r="A1463" t="s">
        <v>10834</v>
      </c>
      <c r="B1463" t="s">
        <v>55</v>
      </c>
      <c r="C1463" t="s">
        <v>28</v>
      </c>
      <c r="D1463" t="s">
        <v>28</v>
      </c>
      <c r="E1463" t="s">
        <v>11159</v>
      </c>
      <c r="F1463" t="s">
        <v>11160</v>
      </c>
      <c r="G1463" t="s">
        <v>11161</v>
      </c>
      <c r="H1463" t="s">
        <v>11162</v>
      </c>
      <c r="I1463" t="s">
        <v>10837</v>
      </c>
      <c r="J1463" t="s">
        <v>11163</v>
      </c>
      <c r="K1463" t="s">
        <v>10839</v>
      </c>
      <c r="L1463" t="s">
        <v>20</v>
      </c>
      <c r="M1463" t="s">
        <v>11164</v>
      </c>
      <c r="N1463" t="s">
        <v>11165</v>
      </c>
      <c r="O1463" t="s">
        <v>11166</v>
      </c>
      <c r="P1463" t="s">
        <v>11167</v>
      </c>
    </row>
    <row r="1464" spans="1:16" x14ac:dyDescent="0.35">
      <c r="A1464" t="s">
        <v>11170</v>
      </c>
      <c r="B1464" t="s">
        <v>194</v>
      </c>
      <c r="C1464" t="s">
        <v>357</v>
      </c>
      <c r="D1464" t="s">
        <v>449</v>
      </c>
      <c r="E1464" t="s">
        <v>11171</v>
      </c>
      <c r="F1464" t="s">
        <v>11172</v>
      </c>
      <c r="G1464" t="s">
        <v>11173</v>
      </c>
      <c r="H1464" t="s">
        <v>10797</v>
      </c>
      <c r="I1464" t="s">
        <v>28</v>
      </c>
      <c r="J1464" t="s">
        <v>11174</v>
      </c>
      <c r="K1464" t="s">
        <v>19</v>
      </c>
      <c r="L1464" t="s">
        <v>20</v>
      </c>
      <c r="M1464" t="s">
        <v>11168</v>
      </c>
      <c r="N1464" t="s">
        <v>11169</v>
      </c>
      <c r="O1464" t="s">
        <v>11175</v>
      </c>
      <c r="P1464" t="s">
        <v>11176</v>
      </c>
    </row>
    <row r="1465" spans="1:16" x14ac:dyDescent="0.35">
      <c r="A1465" t="s">
        <v>11177</v>
      </c>
      <c r="B1465" t="s">
        <v>55</v>
      </c>
      <c r="C1465" t="s">
        <v>15</v>
      </c>
      <c r="D1465" t="s">
        <v>449</v>
      </c>
      <c r="E1465" t="s">
        <v>11178</v>
      </c>
      <c r="F1465" t="s">
        <v>11179</v>
      </c>
      <c r="G1465" t="s">
        <v>10796</v>
      </c>
      <c r="H1465" t="s">
        <v>10797</v>
      </c>
      <c r="I1465" t="s">
        <v>28</v>
      </c>
      <c r="J1465" t="s">
        <v>11180</v>
      </c>
      <c r="K1465" t="s">
        <v>19</v>
      </c>
      <c r="L1465" t="s">
        <v>20</v>
      </c>
      <c r="M1465" t="s">
        <v>11168</v>
      </c>
      <c r="N1465" t="s">
        <v>11169</v>
      </c>
      <c r="O1465" t="s">
        <v>11181</v>
      </c>
      <c r="P1465" t="s">
        <v>11182</v>
      </c>
    </row>
    <row r="1466" spans="1:16" x14ac:dyDescent="0.35">
      <c r="A1466" t="s">
        <v>11183</v>
      </c>
      <c r="B1466" t="s">
        <v>55</v>
      </c>
      <c r="C1466" t="s">
        <v>311</v>
      </c>
      <c r="D1466" t="s">
        <v>1286</v>
      </c>
      <c r="E1466" t="s">
        <v>11184</v>
      </c>
      <c r="F1466" t="s">
        <v>11185</v>
      </c>
      <c r="G1466" t="s">
        <v>10902</v>
      </c>
      <c r="H1466" t="s">
        <v>10908</v>
      </c>
      <c r="I1466" t="s">
        <v>11186</v>
      </c>
      <c r="J1466" t="s">
        <v>11187</v>
      </c>
      <c r="K1466" t="s">
        <v>19</v>
      </c>
      <c r="L1466" t="s">
        <v>20</v>
      </c>
      <c r="M1466" t="s">
        <v>11188</v>
      </c>
      <c r="N1466" t="s">
        <v>11189</v>
      </c>
      <c r="O1466" t="s">
        <v>11190</v>
      </c>
      <c r="P1466" t="s">
        <v>11191</v>
      </c>
    </row>
    <row r="1467" spans="1:16" x14ac:dyDescent="0.35">
      <c r="A1467" t="s">
        <v>11192</v>
      </c>
      <c r="B1467" t="s">
        <v>55</v>
      </c>
      <c r="C1467" t="s">
        <v>28</v>
      </c>
      <c r="D1467" t="s">
        <v>28</v>
      </c>
      <c r="E1467" t="s">
        <v>11193</v>
      </c>
      <c r="F1467" t="s">
        <v>11194</v>
      </c>
      <c r="G1467" t="s">
        <v>10796</v>
      </c>
      <c r="H1467" t="s">
        <v>10797</v>
      </c>
      <c r="I1467" t="s">
        <v>11195</v>
      </c>
      <c r="J1467" t="s">
        <v>11196</v>
      </c>
      <c r="K1467" t="s">
        <v>11197</v>
      </c>
      <c r="L1467" t="s">
        <v>20</v>
      </c>
      <c r="M1467" t="s">
        <v>11188</v>
      </c>
      <c r="N1467" t="s">
        <v>11189</v>
      </c>
      <c r="O1467" t="s">
        <v>11198</v>
      </c>
      <c r="P1467" t="s">
        <v>11199</v>
      </c>
    </row>
    <row r="1468" spans="1:16" x14ac:dyDescent="0.35">
      <c r="A1468" t="s">
        <v>11200</v>
      </c>
      <c r="B1468" t="s">
        <v>55</v>
      </c>
      <c r="C1468" t="s">
        <v>357</v>
      </c>
      <c r="D1468" t="s">
        <v>282</v>
      </c>
      <c r="E1468" t="s">
        <v>11201</v>
      </c>
      <c r="F1468" t="s">
        <v>11202</v>
      </c>
      <c r="G1468" t="s">
        <v>10902</v>
      </c>
      <c r="H1468" t="s">
        <v>10797</v>
      </c>
      <c r="I1468" t="s">
        <v>11203</v>
      </c>
      <c r="J1468" t="s">
        <v>11204</v>
      </c>
      <c r="K1468" t="s">
        <v>11205</v>
      </c>
      <c r="L1468" t="s">
        <v>20</v>
      </c>
      <c r="M1468" t="s">
        <v>11188</v>
      </c>
      <c r="N1468" t="s">
        <v>11189</v>
      </c>
      <c r="O1468" t="s">
        <v>11206</v>
      </c>
      <c r="P1468" t="s">
        <v>11207</v>
      </c>
    </row>
    <row r="1469" spans="1:16" x14ac:dyDescent="0.35">
      <c r="A1469" t="s">
        <v>538</v>
      </c>
      <c r="B1469" t="s">
        <v>55</v>
      </c>
      <c r="C1469" t="s">
        <v>691</v>
      </c>
      <c r="D1469" t="s">
        <v>16</v>
      </c>
      <c r="E1469" t="s">
        <v>11208</v>
      </c>
      <c r="F1469" t="s">
        <v>11209</v>
      </c>
      <c r="G1469" t="s">
        <v>11210</v>
      </c>
      <c r="H1469" t="s">
        <v>11162</v>
      </c>
      <c r="I1469" t="s">
        <v>82</v>
      </c>
      <c r="J1469" t="s">
        <v>11211</v>
      </c>
      <c r="K1469" t="s">
        <v>84</v>
      </c>
      <c r="L1469" t="s">
        <v>20</v>
      </c>
      <c r="M1469" t="s">
        <v>11212</v>
      </c>
      <c r="N1469" t="s">
        <v>11213</v>
      </c>
      <c r="O1469" t="s">
        <v>11214</v>
      </c>
      <c r="P1469" t="s">
        <v>11215</v>
      </c>
    </row>
    <row r="1470" spans="1:16" x14ac:dyDescent="0.35">
      <c r="A1470" t="s">
        <v>11216</v>
      </c>
      <c r="B1470" t="s">
        <v>55</v>
      </c>
      <c r="C1470" t="s">
        <v>78</v>
      </c>
      <c r="D1470" t="s">
        <v>68</v>
      </c>
      <c r="E1470" t="s">
        <v>11217</v>
      </c>
      <c r="F1470" t="s">
        <v>11218</v>
      </c>
      <c r="G1470" t="s">
        <v>10796</v>
      </c>
      <c r="H1470" t="s">
        <v>10797</v>
      </c>
      <c r="I1470" t="s">
        <v>11219</v>
      </c>
      <c r="J1470" t="s">
        <v>11220</v>
      </c>
      <c r="K1470" t="s">
        <v>11221</v>
      </c>
      <c r="L1470" t="s">
        <v>20</v>
      </c>
      <c r="M1470" t="s">
        <v>11222</v>
      </c>
      <c r="N1470" t="s">
        <v>11223</v>
      </c>
      <c r="O1470" t="s">
        <v>11224</v>
      </c>
      <c r="P1470" t="s">
        <v>11225</v>
      </c>
    </row>
    <row r="1471" spans="1:16" x14ac:dyDescent="0.35">
      <c r="A1471" t="s">
        <v>11226</v>
      </c>
      <c r="B1471" t="s">
        <v>55</v>
      </c>
      <c r="C1471" t="s">
        <v>311</v>
      </c>
      <c r="D1471" t="s">
        <v>449</v>
      </c>
      <c r="E1471" t="s">
        <v>11227</v>
      </c>
      <c r="F1471" t="s">
        <v>11228</v>
      </c>
      <c r="G1471" t="s">
        <v>10796</v>
      </c>
      <c r="H1471" t="s">
        <v>10797</v>
      </c>
      <c r="I1471" t="s">
        <v>28</v>
      </c>
      <c r="J1471" t="s">
        <v>11229</v>
      </c>
      <c r="K1471" t="s">
        <v>19</v>
      </c>
      <c r="L1471" t="s">
        <v>20</v>
      </c>
      <c r="M1471" t="s">
        <v>11222</v>
      </c>
      <c r="N1471" t="s">
        <v>11223</v>
      </c>
      <c r="O1471" t="s">
        <v>11230</v>
      </c>
      <c r="P1471" t="s">
        <v>11231</v>
      </c>
    </row>
    <row r="1472" spans="1:16" x14ac:dyDescent="0.35">
      <c r="A1472" t="s">
        <v>11232</v>
      </c>
      <c r="B1472" t="s">
        <v>55</v>
      </c>
      <c r="C1472" t="s">
        <v>548</v>
      </c>
      <c r="D1472" t="s">
        <v>348</v>
      </c>
      <c r="E1472" t="s">
        <v>11233</v>
      </c>
      <c r="F1472" t="s">
        <v>11234</v>
      </c>
      <c r="G1472" t="s">
        <v>11000</v>
      </c>
      <c r="H1472" t="s">
        <v>10797</v>
      </c>
      <c r="I1472" t="s">
        <v>11186</v>
      </c>
      <c r="J1472" t="s">
        <v>11235</v>
      </c>
      <c r="K1472" t="s">
        <v>19</v>
      </c>
      <c r="L1472" t="s">
        <v>20</v>
      </c>
      <c r="M1472" t="s">
        <v>11236</v>
      </c>
      <c r="N1472" t="s">
        <v>11237</v>
      </c>
      <c r="O1472" t="s">
        <v>11238</v>
      </c>
      <c r="P1472" t="s">
        <v>11239</v>
      </c>
    </row>
    <row r="1473" spans="1:16" x14ac:dyDescent="0.35">
      <c r="A1473" t="s">
        <v>10946</v>
      </c>
      <c r="B1473" t="s">
        <v>55</v>
      </c>
      <c r="C1473" t="s">
        <v>341</v>
      </c>
      <c r="D1473" t="s">
        <v>124</v>
      </c>
      <c r="E1473" t="s">
        <v>11240</v>
      </c>
      <c r="F1473" t="s">
        <v>11241</v>
      </c>
      <c r="G1473" t="s">
        <v>11011</v>
      </c>
      <c r="H1473" t="s">
        <v>10797</v>
      </c>
      <c r="I1473" t="s">
        <v>28</v>
      </c>
      <c r="J1473" t="s">
        <v>11242</v>
      </c>
      <c r="K1473" t="s">
        <v>19</v>
      </c>
      <c r="L1473" t="s">
        <v>20</v>
      </c>
      <c r="M1473" t="s">
        <v>11243</v>
      </c>
      <c r="N1473" t="s">
        <v>11244</v>
      </c>
      <c r="O1473" t="s">
        <v>11245</v>
      </c>
      <c r="P1473" t="s">
        <v>11246</v>
      </c>
    </row>
    <row r="1474" spans="1:16" x14ac:dyDescent="0.35">
      <c r="A1474" t="s">
        <v>11247</v>
      </c>
      <c r="B1474" t="s">
        <v>107</v>
      </c>
      <c r="C1474" t="s">
        <v>28</v>
      </c>
      <c r="D1474" t="s">
        <v>28</v>
      </c>
      <c r="E1474" t="s">
        <v>11248</v>
      </c>
      <c r="F1474" t="s">
        <v>11249</v>
      </c>
      <c r="G1474" t="s">
        <v>11250</v>
      </c>
      <c r="H1474" t="s">
        <v>10797</v>
      </c>
      <c r="I1474" t="s">
        <v>3049</v>
      </c>
      <c r="J1474" t="s">
        <v>11251</v>
      </c>
      <c r="K1474" t="s">
        <v>19</v>
      </c>
      <c r="L1474" t="s">
        <v>20</v>
      </c>
      <c r="M1474" t="s">
        <v>11252</v>
      </c>
      <c r="N1474" t="s">
        <v>11253</v>
      </c>
      <c r="O1474" t="s">
        <v>11254</v>
      </c>
      <c r="P1474" t="s">
        <v>915</v>
      </c>
    </row>
    <row r="1475" spans="1:16" x14ac:dyDescent="0.35">
      <c r="A1475" t="s">
        <v>538</v>
      </c>
      <c r="B1475" t="s">
        <v>194</v>
      </c>
      <c r="C1475" t="s">
        <v>28</v>
      </c>
      <c r="D1475" t="s">
        <v>28</v>
      </c>
      <c r="E1475" t="s">
        <v>11255</v>
      </c>
      <c r="F1475" t="s">
        <v>11256</v>
      </c>
      <c r="G1475" t="s">
        <v>10796</v>
      </c>
      <c r="H1475" t="s">
        <v>10797</v>
      </c>
      <c r="I1475" t="s">
        <v>82</v>
      </c>
      <c r="J1475" t="s">
        <v>28</v>
      </c>
      <c r="K1475" t="s">
        <v>84</v>
      </c>
      <c r="L1475" t="s">
        <v>20</v>
      </c>
      <c r="M1475" t="s">
        <v>11252</v>
      </c>
      <c r="N1475" t="s">
        <v>11253</v>
      </c>
      <c r="O1475" t="s">
        <v>11257</v>
      </c>
      <c r="P1475" t="s">
        <v>11258</v>
      </c>
    </row>
    <row r="1476" spans="1:16" x14ac:dyDescent="0.35">
      <c r="A1476" t="s">
        <v>310</v>
      </c>
      <c r="B1476" t="s">
        <v>55</v>
      </c>
      <c r="C1476" t="s">
        <v>691</v>
      </c>
      <c r="D1476" t="s">
        <v>449</v>
      </c>
      <c r="E1476" t="s">
        <v>11259</v>
      </c>
      <c r="F1476" t="s">
        <v>11260</v>
      </c>
      <c r="G1476" t="s">
        <v>10806</v>
      </c>
      <c r="H1476" t="s">
        <v>10797</v>
      </c>
      <c r="I1476" t="s">
        <v>82</v>
      </c>
      <c r="J1476" t="s">
        <v>11261</v>
      </c>
      <c r="K1476" t="s">
        <v>84</v>
      </c>
      <c r="L1476" t="s">
        <v>20</v>
      </c>
      <c r="M1476" t="s">
        <v>11252</v>
      </c>
      <c r="N1476" t="s">
        <v>11253</v>
      </c>
      <c r="O1476" t="s">
        <v>11262</v>
      </c>
      <c r="P1476" t="s">
        <v>11263</v>
      </c>
    </row>
    <row r="1477" spans="1:16" x14ac:dyDescent="0.35">
      <c r="A1477" t="s">
        <v>11264</v>
      </c>
      <c r="B1477" t="s">
        <v>55</v>
      </c>
      <c r="C1477" t="s">
        <v>177</v>
      </c>
      <c r="D1477" t="s">
        <v>68</v>
      </c>
      <c r="E1477" t="s">
        <v>11265</v>
      </c>
      <c r="F1477" t="s">
        <v>11266</v>
      </c>
      <c r="G1477" t="s">
        <v>10932</v>
      </c>
      <c r="H1477" t="s">
        <v>10908</v>
      </c>
      <c r="I1477" t="s">
        <v>28</v>
      </c>
      <c r="J1477" t="s">
        <v>11267</v>
      </c>
      <c r="K1477" t="s">
        <v>19</v>
      </c>
      <c r="L1477" t="s">
        <v>20</v>
      </c>
      <c r="M1477" t="s">
        <v>11268</v>
      </c>
      <c r="N1477" t="s">
        <v>11269</v>
      </c>
      <c r="O1477" t="s">
        <v>11270</v>
      </c>
      <c r="P1477" t="s">
        <v>11271</v>
      </c>
    </row>
    <row r="1478" spans="1:16" x14ac:dyDescent="0.35">
      <c r="A1478" t="s">
        <v>11276</v>
      </c>
      <c r="B1478" t="s">
        <v>55</v>
      </c>
      <c r="C1478" t="s">
        <v>28</v>
      </c>
      <c r="D1478" t="s">
        <v>28</v>
      </c>
      <c r="E1478" t="s">
        <v>11277</v>
      </c>
      <c r="F1478" t="s">
        <v>11278</v>
      </c>
      <c r="G1478" t="s">
        <v>10796</v>
      </c>
      <c r="H1478" t="s">
        <v>10797</v>
      </c>
      <c r="I1478" t="s">
        <v>11279</v>
      </c>
      <c r="J1478" t="s">
        <v>11280</v>
      </c>
      <c r="K1478" t="s">
        <v>11281</v>
      </c>
      <c r="L1478" t="s">
        <v>20</v>
      </c>
      <c r="M1478" t="s">
        <v>11274</v>
      </c>
      <c r="N1478" t="s">
        <v>11275</v>
      </c>
      <c r="O1478" t="s">
        <v>11282</v>
      </c>
      <c r="P1478" t="s">
        <v>11283</v>
      </c>
    </row>
    <row r="1479" spans="1:16" x14ac:dyDescent="0.35">
      <c r="A1479" t="s">
        <v>11284</v>
      </c>
      <c r="B1479" t="s">
        <v>55</v>
      </c>
      <c r="C1479" t="s">
        <v>26</v>
      </c>
      <c r="D1479" t="s">
        <v>2718</v>
      </c>
      <c r="E1479" t="s">
        <v>11285</v>
      </c>
      <c r="F1479" t="s">
        <v>11286</v>
      </c>
      <c r="G1479" t="s">
        <v>10914</v>
      </c>
      <c r="H1479" t="s">
        <v>10797</v>
      </c>
      <c r="I1479" t="s">
        <v>11186</v>
      </c>
      <c r="J1479" t="s">
        <v>11287</v>
      </c>
      <c r="K1479" t="s">
        <v>19</v>
      </c>
      <c r="L1479" t="s">
        <v>20</v>
      </c>
      <c r="M1479" t="s">
        <v>11274</v>
      </c>
      <c r="N1479" t="s">
        <v>11275</v>
      </c>
      <c r="O1479" t="s">
        <v>11288</v>
      </c>
      <c r="P1479" t="s">
        <v>11289</v>
      </c>
    </row>
    <row r="1480" spans="1:16" x14ac:dyDescent="0.35">
      <c r="A1480" t="s">
        <v>11290</v>
      </c>
      <c r="B1480" t="s">
        <v>55</v>
      </c>
      <c r="C1480" t="s">
        <v>28</v>
      </c>
      <c r="D1480" t="s">
        <v>28</v>
      </c>
      <c r="E1480" t="s">
        <v>11291</v>
      </c>
      <c r="F1480" t="s">
        <v>11292</v>
      </c>
      <c r="G1480" t="s">
        <v>10796</v>
      </c>
      <c r="H1480" t="s">
        <v>10797</v>
      </c>
      <c r="I1480" t="s">
        <v>3049</v>
      </c>
      <c r="J1480" t="s">
        <v>11293</v>
      </c>
      <c r="K1480" t="s">
        <v>19</v>
      </c>
      <c r="L1480" t="s">
        <v>20</v>
      </c>
      <c r="M1480" t="s">
        <v>11274</v>
      </c>
      <c r="N1480" t="s">
        <v>11275</v>
      </c>
      <c r="O1480" t="s">
        <v>11294</v>
      </c>
      <c r="P1480" t="s">
        <v>11295</v>
      </c>
    </row>
    <row r="1481" spans="1:16" x14ac:dyDescent="0.35">
      <c r="A1481" t="s">
        <v>11296</v>
      </c>
      <c r="B1481" t="s">
        <v>55</v>
      </c>
      <c r="C1481" t="s">
        <v>117</v>
      </c>
      <c r="D1481" t="s">
        <v>16</v>
      </c>
      <c r="E1481" t="s">
        <v>11297</v>
      </c>
      <c r="F1481" t="s">
        <v>11298</v>
      </c>
      <c r="G1481" t="s">
        <v>11299</v>
      </c>
      <c r="H1481" t="s">
        <v>10908</v>
      </c>
      <c r="I1481" t="s">
        <v>11134</v>
      </c>
      <c r="J1481" t="s">
        <v>11300</v>
      </c>
      <c r="K1481" t="s">
        <v>19</v>
      </c>
      <c r="L1481" t="s">
        <v>20</v>
      </c>
      <c r="M1481" t="s">
        <v>11274</v>
      </c>
      <c r="N1481" t="s">
        <v>11275</v>
      </c>
      <c r="O1481" t="s">
        <v>11301</v>
      </c>
      <c r="P1481" t="s">
        <v>11302</v>
      </c>
    </row>
    <row r="1482" spans="1:16" x14ac:dyDescent="0.35">
      <c r="A1482" t="s">
        <v>11305</v>
      </c>
      <c r="B1482" t="s">
        <v>55</v>
      </c>
      <c r="C1482" t="s">
        <v>205</v>
      </c>
      <c r="D1482" t="s">
        <v>774</v>
      </c>
      <c r="E1482" t="s">
        <v>11306</v>
      </c>
      <c r="F1482" t="s">
        <v>11307</v>
      </c>
      <c r="G1482" t="s">
        <v>11109</v>
      </c>
      <c r="H1482" t="s">
        <v>10797</v>
      </c>
      <c r="I1482" t="s">
        <v>11186</v>
      </c>
      <c r="J1482" t="s">
        <v>11308</v>
      </c>
      <c r="K1482" t="s">
        <v>19</v>
      </c>
      <c r="L1482" t="s">
        <v>20</v>
      </c>
      <c r="M1482" t="s">
        <v>11303</v>
      </c>
      <c r="N1482" t="s">
        <v>11304</v>
      </c>
      <c r="O1482" t="s">
        <v>11309</v>
      </c>
      <c r="P1482" t="s">
        <v>11310</v>
      </c>
    </row>
    <row r="1483" spans="1:16" x14ac:dyDescent="0.35">
      <c r="A1483" t="s">
        <v>11311</v>
      </c>
      <c r="B1483" t="s">
        <v>55</v>
      </c>
      <c r="C1483" t="s">
        <v>548</v>
      </c>
      <c r="D1483" t="s">
        <v>2718</v>
      </c>
      <c r="E1483" t="s">
        <v>11312</v>
      </c>
      <c r="F1483" t="s">
        <v>11313</v>
      </c>
      <c r="G1483" t="s">
        <v>10828</v>
      </c>
      <c r="H1483" t="s">
        <v>10797</v>
      </c>
      <c r="I1483" t="s">
        <v>11186</v>
      </c>
      <c r="J1483" t="s">
        <v>11314</v>
      </c>
      <c r="K1483" t="s">
        <v>19</v>
      </c>
      <c r="L1483" t="s">
        <v>20</v>
      </c>
      <c r="M1483" t="s">
        <v>11303</v>
      </c>
      <c r="N1483" t="s">
        <v>11304</v>
      </c>
      <c r="O1483" t="s">
        <v>11315</v>
      </c>
      <c r="P1483" t="s">
        <v>11316</v>
      </c>
    </row>
    <row r="1484" spans="1:16" x14ac:dyDescent="0.35">
      <c r="A1484" t="s">
        <v>11317</v>
      </c>
      <c r="B1484" t="s">
        <v>55</v>
      </c>
      <c r="C1484" t="s">
        <v>177</v>
      </c>
      <c r="D1484" t="s">
        <v>348</v>
      </c>
      <c r="E1484" t="s">
        <v>11318</v>
      </c>
      <c r="F1484" t="s">
        <v>11319</v>
      </c>
      <c r="G1484" t="s">
        <v>11320</v>
      </c>
      <c r="H1484" t="s">
        <v>10908</v>
      </c>
      <c r="I1484" t="s">
        <v>3049</v>
      </c>
      <c r="J1484" t="s">
        <v>11321</v>
      </c>
      <c r="K1484" t="s">
        <v>19</v>
      </c>
      <c r="L1484" t="s">
        <v>20</v>
      </c>
      <c r="M1484" t="s">
        <v>11303</v>
      </c>
      <c r="N1484" t="s">
        <v>11304</v>
      </c>
      <c r="O1484" t="s">
        <v>11322</v>
      </c>
      <c r="P1484" t="s">
        <v>11323</v>
      </c>
    </row>
    <row r="1485" spans="1:16" x14ac:dyDescent="0.35">
      <c r="A1485" t="s">
        <v>11324</v>
      </c>
      <c r="B1485" t="s">
        <v>55</v>
      </c>
      <c r="C1485" t="s">
        <v>78</v>
      </c>
      <c r="D1485" t="s">
        <v>2990</v>
      </c>
      <c r="E1485" t="s">
        <v>11227</v>
      </c>
      <c r="F1485" t="s">
        <v>11228</v>
      </c>
      <c r="G1485" t="s">
        <v>10796</v>
      </c>
      <c r="H1485" t="s">
        <v>10797</v>
      </c>
      <c r="I1485" t="s">
        <v>28</v>
      </c>
      <c r="J1485" t="s">
        <v>11325</v>
      </c>
      <c r="K1485" t="s">
        <v>19</v>
      </c>
      <c r="L1485" t="s">
        <v>20</v>
      </c>
      <c r="M1485" t="s">
        <v>11303</v>
      </c>
      <c r="N1485" t="s">
        <v>11304</v>
      </c>
      <c r="O1485" t="s">
        <v>11326</v>
      </c>
      <c r="P1485" t="s">
        <v>11327</v>
      </c>
    </row>
    <row r="1486" spans="1:16" x14ac:dyDescent="0.35">
      <c r="A1486" t="s">
        <v>11328</v>
      </c>
      <c r="B1486" t="s">
        <v>55</v>
      </c>
      <c r="C1486" t="s">
        <v>548</v>
      </c>
      <c r="D1486" t="s">
        <v>11329</v>
      </c>
      <c r="E1486" t="s">
        <v>11330</v>
      </c>
      <c r="F1486" t="s">
        <v>11331</v>
      </c>
      <c r="G1486" t="s">
        <v>9427</v>
      </c>
      <c r="H1486" t="s">
        <v>11273</v>
      </c>
      <c r="I1486" t="s">
        <v>11332</v>
      </c>
      <c r="J1486" t="s">
        <v>11333</v>
      </c>
      <c r="K1486" t="s">
        <v>19</v>
      </c>
      <c r="L1486" t="s">
        <v>20</v>
      </c>
      <c r="M1486" t="s">
        <v>11334</v>
      </c>
      <c r="N1486" t="s">
        <v>11335</v>
      </c>
      <c r="O1486" t="s">
        <v>11336</v>
      </c>
      <c r="P1486" t="s">
        <v>11337</v>
      </c>
    </row>
    <row r="1487" spans="1:16" x14ac:dyDescent="0.35">
      <c r="A1487" t="s">
        <v>11338</v>
      </c>
      <c r="B1487" t="s">
        <v>32</v>
      </c>
      <c r="C1487" t="s">
        <v>28</v>
      </c>
      <c r="D1487" t="s">
        <v>28</v>
      </c>
      <c r="E1487" t="s">
        <v>11339</v>
      </c>
      <c r="F1487" t="s">
        <v>11340</v>
      </c>
      <c r="G1487" t="s">
        <v>9427</v>
      </c>
      <c r="H1487" t="s">
        <v>9428</v>
      </c>
      <c r="I1487" t="s">
        <v>11341</v>
      </c>
      <c r="J1487" t="s">
        <v>11342</v>
      </c>
      <c r="K1487" t="s">
        <v>11343</v>
      </c>
      <c r="L1487" t="s">
        <v>20</v>
      </c>
      <c r="M1487" t="s">
        <v>11344</v>
      </c>
      <c r="N1487" t="s">
        <v>11345</v>
      </c>
      <c r="O1487" t="s">
        <v>11346</v>
      </c>
      <c r="P1487" t="s">
        <v>11347</v>
      </c>
    </row>
    <row r="1488" spans="1:16" x14ac:dyDescent="0.35">
      <c r="A1488" t="s">
        <v>11348</v>
      </c>
      <c r="B1488" t="s">
        <v>32</v>
      </c>
      <c r="C1488" t="s">
        <v>497</v>
      </c>
      <c r="D1488" t="s">
        <v>348</v>
      </c>
      <c r="E1488" t="s">
        <v>11349</v>
      </c>
      <c r="F1488" t="s">
        <v>11350</v>
      </c>
      <c r="G1488" t="s">
        <v>9427</v>
      </c>
      <c r="H1488" t="s">
        <v>9428</v>
      </c>
      <c r="I1488" t="s">
        <v>11332</v>
      </c>
      <c r="J1488" t="s">
        <v>11351</v>
      </c>
      <c r="K1488" t="s">
        <v>19</v>
      </c>
      <c r="L1488" t="s">
        <v>20</v>
      </c>
      <c r="M1488" t="s">
        <v>11344</v>
      </c>
      <c r="N1488" t="s">
        <v>11345</v>
      </c>
      <c r="O1488" t="s">
        <v>11352</v>
      </c>
      <c r="P1488" t="s">
        <v>11353</v>
      </c>
    </row>
    <row r="1489" spans="1:16" x14ac:dyDescent="0.35">
      <c r="A1489" t="s">
        <v>5705</v>
      </c>
      <c r="B1489" t="s">
        <v>55</v>
      </c>
      <c r="C1489" t="s">
        <v>15</v>
      </c>
      <c r="D1489" t="s">
        <v>27</v>
      </c>
      <c r="E1489" t="s">
        <v>11354</v>
      </c>
      <c r="F1489" t="s">
        <v>11355</v>
      </c>
      <c r="G1489" t="s">
        <v>9427</v>
      </c>
      <c r="H1489" t="s">
        <v>9428</v>
      </c>
      <c r="I1489" t="s">
        <v>945</v>
      </c>
      <c r="J1489" t="s">
        <v>11356</v>
      </c>
      <c r="K1489" t="s">
        <v>947</v>
      </c>
      <c r="L1489" t="s">
        <v>20</v>
      </c>
      <c r="M1489" t="s">
        <v>11344</v>
      </c>
      <c r="N1489" t="s">
        <v>11345</v>
      </c>
      <c r="O1489" t="s">
        <v>11357</v>
      </c>
      <c r="P1489" t="s">
        <v>11358</v>
      </c>
    </row>
    <row r="1490" spans="1:16" x14ac:dyDescent="0.35">
      <c r="A1490" t="s">
        <v>11359</v>
      </c>
      <c r="B1490" t="s">
        <v>32</v>
      </c>
      <c r="C1490" t="s">
        <v>117</v>
      </c>
      <c r="D1490" t="s">
        <v>348</v>
      </c>
      <c r="E1490" t="s">
        <v>11360</v>
      </c>
      <c r="F1490" t="s">
        <v>11361</v>
      </c>
      <c r="G1490" t="s">
        <v>9427</v>
      </c>
      <c r="H1490" t="s">
        <v>11273</v>
      </c>
      <c r="I1490" t="s">
        <v>11341</v>
      </c>
      <c r="J1490" t="s">
        <v>11362</v>
      </c>
      <c r="K1490" t="s">
        <v>11343</v>
      </c>
      <c r="L1490" t="s">
        <v>20</v>
      </c>
      <c r="M1490" t="s">
        <v>11344</v>
      </c>
      <c r="N1490" t="s">
        <v>11345</v>
      </c>
      <c r="O1490" t="s">
        <v>11363</v>
      </c>
      <c r="P1490" t="s">
        <v>11364</v>
      </c>
    </row>
    <row r="1491" spans="1:16" x14ac:dyDescent="0.35">
      <c r="A1491" t="s">
        <v>11365</v>
      </c>
      <c r="B1491" t="s">
        <v>55</v>
      </c>
      <c r="C1491" t="s">
        <v>26</v>
      </c>
      <c r="D1491" t="s">
        <v>11366</v>
      </c>
      <c r="E1491" t="s">
        <v>11367</v>
      </c>
      <c r="F1491" t="s">
        <v>11368</v>
      </c>
      <c r="G1491" t="s">
        <v>9427</v>
      </c>
      <c r="H1491" t="s">
        <v>9428</v>
      </c>
      <c r="I1491" t="s">
        <v>11369</v>
      </c>
      <c r="J1491" t="s">
        <v>11370</v>
      </c>
      <c r="K1491" t="s">
        <v>19</v>
      </c>
      <c r="L1491" t="s">
        <v>20</v>
      </c>
      <c r="M1491" t="s">
        <v>11344</v>
      </c>
      <c r="N1491" t="s">
        <v>11345</v>
      </c>
      <c r="O1491" t="s">
        <v>11371</v>
      </c>
      <c r="P1491" t="s">
        <v>11372</v>
      </c>
    </row>
    <row r="1492" spans="1:16" x14ac:dyDescent="0.35">
      <c r="A1492" t="s">
        <v>11373</v>
      </c>
      <c r="B1492" t="s">
        <v>55</v>
      </c>
      <c r="C1492" t="s">
        <v>26</v>
      </c>
      <c r="D1492" t="s">
        <v>27</v>
      </c>
      <c r="E1492" t="s">
        <v>11374</v>
      </c>
      <c r="F1492" t="s">
        <v>11375</v>
      </c>
      <c r="G1492" t="s">
        <v>11376</v>
      </c>
      <c r="H1492" t="s">
        <v>11273</v>
      </c>
      <c r="I1492" t="s">
        <v>11377</v>
      </c>
      <c r="J1492" t="s">
        <v>11378</v>
      </c>
      <c r="K1492" t="s">
        <v>11379</v>
      </c>
      <c r="L1492" t="s">
        <v>20</v>
      </c>
      <c r="M1492" t="s">
        <v>11344</v>
      </c>
      <c r="N1492" t="s">
        <v>11345</v>
      </c>
      <c r="O1492" t="s">
        <v>11380</v>
      </c>
      <c r="P1492" t="s">
        <v>11381</v>
      </c>
    </row>
    <row r="1493" spans="1:16" x14ac:dyDescent="0.35">
      <c r="A1493" t="s">
        <v>11382</v>
      </c>
      <c r="B1493" t="s">
        <v>55</v>
      </c>
      <c r="C1493" t="s">
        <v>25</v>
      </c>
      <c r="D1493" t="s">
        <v>16</v>
      </c>
      <c r="E1493" t="s">
        <v>11383</v>
      </c>
      <c r="F1493" t="s">
        <v>11384</v>
      </c>
      <c r="G1493" t="s">
        <v>9427</v>
      </c>
      <c r="H1493" t="s">
        <v>11273</v>
      </c>
      <c r="I1493" t="s">
        <v>28</v>
      </c>
      <c r="J1493" t="s">
        <v>11385</v>
      </c>
      <c r="K1493" t="s">
        <v>19</v>
      </c>
      <c r="L1493" t="s">
        <v>20</v>
      </c>
      <c r="M1493" t="s">
        <v>11386</v>
      </c>
      <c r="N1493" t="s">
        <v>11387</v>
      </c>
      <c r="O1493" t="s">
        <v>11388</v>
      </c>
      <c r="P1493" t="s">
        <v>11389</v>
      </c>
    </row>
    <row r="1494" spans="1:16" x14ac:dyDescent="0.35">
      <c r="A1494" t="s">
        <v>11390</v>
      </c>
      <c r="B1494" t="s">
        <v>55</v>
      </c>
      <c r="C1494" t="s">
        <v>117</v>
      </c>
      <c r="D1494" t="s">
        <v>16</v>
      </c>
      <c r="E1494" t="s">
        <v>11391</v>
      </c>
      <c r="F1494" t="s">
        <v>11392</v>
      </c>
      <c r="G1494" t="s">
        <v>9427</v>
      </c>
      <c r="H1494" t="s">
        <v>9428</v>
      </c>
      <c r="I1494" t="s">
        <v>28</v>
      </c>
      <c r="J1494" t="s">
        <v>28</v>
      </c>
      <c r="K1494" t="s">
        <v>19</v>
      </c>
      <c r="L1494" t="s">
        <v>20</v>
      </c>
      <c r="M1494" t="s">
        <v>11386</v>
      </c>
      <c r="N1494" t="s">
        <v>11387</v>
      </c>
      <c r="O1494" t="s">
        <v>11393</v>
      </c>
      <c r="P1494" t="s">
        <v>11394</v>
      </c>
    </row>
    <row r="1495" spans="1:16" x14ac:dyDescent="0.35">
      <c r="A1495" t="s">
        <v>11395</v>
      </c>
      <c r="B1495" t="s">
        <v>55</v>
      </c>
      <c r="C1495" t="s">
        <v>28</v>
      </c>
      <c r="D1495" t="s">
        <v>28</v>
      </c>
      <c r="E1495" t="s">
        <v>11396</v>
      </c>
      <c r="F1495" t="s">
        <v>11397</v>
      </c>
      <c r="G1495" t="s">
        <v>11398</v>
      </c>
      <c r="H1495" t="s">
        <v>9428</v>
      </c>
      <c r="I1495" t="s">
        <v>28</v>
      </c>
      <c r="J1495" t="s">
        <v>11399</v>
      </c>
      <c r="K1495" t="s">
        <v>19</v>
      </c>
      <c r="L1495" t="s">
        <v>20</v>
      </c>
      <c r="M1495" t="s">
        <v>11400</v>
      </c>
      <c r="N1495" t="s">
        <v>11401</v>
      </c>
      <c r="O1495" t="s">
        <v>11402</v>
      </c>
      <c r="P1495" t="s">
        <v>11403</v>
      </c>
    </row>
    <row r="1496" spans="1:16" x14ac:dyDescent="0.35">
      <c r="A1496" t="s">
        <v>11404</v>
      </c>
      <c r="B1496" t="s">
        <v>55</v>
      </c>
      <c r="C1496" t="s">
        <v>15</v>
      </c>
      <c r="D1496" t="s">
        <v>27</v>
      </c>
      <c r="E1496" t="s">
        <v>11405</v>
      </c>
      <c r="F1496" t="s">
        <v>11406</v>
      </c>
      <c r="G1496" t="s">
        <v>9427</v>
      </c>
      <c r="H1496" t="s">
        <v>9428</v>
      </c>
      <c r="I1496" t="s">
        <v>11407</v>
      </c>
      <c r="J1496" t="s">
        <v>28</v>
      </c>
      <c r="K1496" t="s">
        <v>11408</v>
      </c>
      <c r="L1496" t="s">
        <v>20</v>
      </c>
      <c r="M1496" t="s">
        <v>11409</v>
      </c>
      <c r="N1496" t="s">
        <v>11410</v>
      </c>
      <c r="O1496" t="s">
        <v>11411</v>
      </c>
      <c r="P1496" t="s">
        <v>11412</v>
      </c>
    </row>
    <row r="1497" spans="1:16" x14ac:dyDescent="0.35">
      <c r="A1497" t="s">
        <v>11413</v>
      </c>
      <c r="B1497" t="s">
        <v>55</v>
      </c>
      <c r="C1497" t="s">
        <v>28</v>
      </c>
      <c r="D1497" t="s">
        <v>28</v>
      </c>
      <c r="E1497" t="s">
        <v>11414</v>
      </c>
      <c r="F1497" t="s">
        <v>11415</v>
      </c>
      <c r="G1497" t="s">
        <v>9427</v>
      </c>
      <c r="H1497" t="s">
        <v>11273</v>
      </c>
      <c r="I1497" t="s">
        <v>11416</v>
      </c>
      <c r="J1497" t="s">
        <v>11417</v>
      </c>
      <c r="K1497" t="s">
        <v>19</v>
      </c>
      <c r="L1497" t="s">
        <v>20</v>
      </c>
      <c r="M1497" t="s">
        <v>11409</v>
      </c>
      <c r="N1497" t="s">
        <v>11410</v>
      </c>
      <c r="O1497" t="s">
        <v>11418</v>
      </c>
      <c r="P1497" t="s">
        <v>11419</v>
      </c>
    </row>
    <row r="1498" spans="1:16" x14ac:dyDescent="0.35">
      <c r="A1498" t="s">
        <v>11420</v>
      </c>
      <c r="B1498" t="s">
        <v>32</v>
      </c>
      <c r="C1498" t="s">
        <v>28</v>
      </c>
      <c r="D1498" t="s">
        <v>28</v>
      </c>
      <c r="E1498" t="s">
        <v>11360</v>
      </c>
      <c r="F1498" t="s">
        <v>11361</v>
      </c>
      <c r="G1498" t="s">
        <v>9427</v>
      </c>
      <c r="H1498" t="s">
        <v>11273</v>
      </c>
      <c r="I1498" t="s">
        <v>11341</v>
      </c>
      <c r="J1498" t="s">
        <v>11421</v>
      </c>
      <c r="K1498" t="s">
        <v>11343</v>
      </c>
      <c r="L1498" t="s">
        <v>20</v>
      </c>
      <c r="M1498" t="s">
        <v>11422</v>
      </c>
      <c r="N1498" t="s">
        <v>11423</v>
      </c>
      <c r="O1498" t="s">
        <v>11424</v>
      </c>
      <c r="P1498" t="s">
        <v>11425</v>
      </c>
    </row>
    <row r="1499" spans="1:16" x14ac:dyDescent="0.35">
      <c r="A1499" t="s">
        <v>169</v>
      </c>
      <c r="B1499" t="s">
        <v>55</v>
      </c>
      <c r="C1499" t="s">
        <v>28</v>
      </c>
      <c r="D1499" t="s">
        <v>28</v>
      </c>
      <c r="E1499" t="s">
        <v>11426</v>
      </c>
      <c r="F1499" t="s">
        <v>11427</v>
      </c>
      <c r="G1499" t="s">
        <v>9427</v>
      </c>
      <c r="H1499" t="s">
        <v>9428</v>
      </c>
      <c r="I1499" t="s">
        <v>28</v>
      </c>
      <c r="J1499" t="s">
        <v>11428</v>
      </c>
      <c r="K1499" t="s">
        <v>19</v>
      </c>
      <c r="L1499" t="s">
        <v>20</v>
      </c>
      <c r="M1499" t="s">
        <v>11429</v>
      </c>
      <c r="N1499" t="s">
        <v>11430</v>
      </c>
      <c r="O1499" t="s">
        <v>11431</v>
      </c>
      <c r="P1499" t="s">
        <v>11432</v>
      </c>
    </row>
    <row r="1500" spans="1:16" x14ac:dyDescent="0.35">
      <c r="A1500" t="s">
        <v>11433</v>
      </c>
      <c r="B1500" t="s">
        <v>55</v>
      </c>
      <c r="C1500" t="s">
        <v>15</v>
      </c>
      <c r="D1500" t="s">
        <v>27</v>
      </c>
      <c r="E1500" t="s">
        <v>11434</v>
      </c>
      <c r="F1500" t="s">
        <v>11435</v>
      </c>
      <c r="G1500" t="s">
        <v>9427</v>
      </c>
      <c r="H1500" t="s">
        <v>11273</v>
      </c>
      <c r="I1500" t="s">
        <v>28</v>
      </c>
      <c r="J1500" t="s">
        <v>11436</v>
      </c>
      <c r="K1500" t="s">
        <v>19</v>
      </c>
      <c r="L1500" t="s">
        <v>20</v>
      </c>
      <c r="M1500" t="s">
        <v>11437</v>
      </c>
      <c r="N1500" t="s">
        <v>11438</v>
      </c>
      <c r="O1500" t="s">
        <v>11439</v>
      </c>
      <c r="P1500" t="s">
        <v>11440</v>
      </c>
    </row>
    <row r="1501" spans="1:16" x14ac:dyDescent="0.35">
      <c r="A1501" t="s">
        <v>11441</v>
      </c>
      <c r="B1501" t="s">
        <v>55</v>
      </c>
      <c r="C1501" t="s">
        <v>28</v>
      </c>
      <c r="D1501" t="s">
        <v>28</v>
      </c>
      <c r="E1501" t="s">
        <v>11442</v>
      </c>
      <c r="F1501" t="s">
        <v>11443</v>
      </c>
      <c r="G1501" t="s">
        <v>9427</v>
      </c>
      <c r="H1501" t="s">
        <v>9428</v>
      </c>
      <c r="I1501" t="s">
        <v>11444</v>
      </c>
      <c r="J1501" t="s">
        <v>11445</v>
      </c>
      <c r="K1501" t="s">
        <v>11446</v>
      </c>
      <c r="L1501" t="s">
        <v>20</v>
      </c>
      <c r="M1501" t="s">
        <v>11437</v>
      </c>
      <c r="N1501" t="s">
        <v>11438</v>
      </c>
      <c r="O1501" t="s">
        <v>11447</v>
      </c>
      <c r="P1501" t="s">
        <v>11448</v>
      </c>
    </row>
    <row r="1502" spans="1:16" x14ac:dyDescent="0.35">
      <c r="A1502" t="s">
        <v>11449</v>
      </c>
      <c r="B1502" t="s">
        <v>55</v>
      </c>
      <c r="C1502" t="s">
        <v>117</v>
      </c>
      <c r="D1502" t="s">
        <v>16</v>
      </c>
      <c r="E1502" t="s">
        <v>11450</v>
      </c>
      <c r="F1502" t="s">
        <v>11451</v>
      </c>
      <c r="G1502" t="s">
        <v>9427</v>
      </c>
      <c r="H1502" t="s">
        <v>9428</v>
      </c>
      <c r="I1502" t="s">
        <v>28</v>
      </c>
      <c r="J1502" t="s">
        <v>11452</v>
      </c>
      <c r="K1502" t="s">
        <v>19</v>
      </c>
      <c r="L1502" t="s">
        <v>20</v>
      </c>
      <c r="M1502" t="s">
        <v>11453</v>
      </c>
      <c r="N1502" t="s">
        <v>11454</v>
      </c>
      <c r="O1502" t="s">
        <v>11455</v>
      </c>
      <c r="P1502" t="s">
        <v>11456</v>
      </c>
    </row>
    <row r="1503" spans="1:16" x14ac:dyDescent="0.35">
      <c r="A1503" t="s">
        <v>11457</v>
      </c>
      <c r="B1503" t="s">
        <v>55</v>
      </c>
      <c r="C1503" t="s">
        <v>140</v>
      </c>
      <c r="D1503" t="s">
        <v>374</v>
      </c>
      <c r="E1503" t="s">
        <v>11458</v>
      </c>
      <c r="F1503" t="s">
        <v>11459</v>
      </c>
      <c r="G1503" t="s">
        <v>9427</v>
      </c>
      <c r="H1503" t="s">
        <v>9428</v>
      </c>
      <c r="I1503" t="s">
        <v>11460</v>
      </c>
      <c r="J1503" t="s">
        <v>11461</v>
      </c>
      <c r="K1503" t="s">
        <v>11462</v>
      </c>
      <c r="L1503" t="s">
        <v>20</v>
      </c>
      <c r="M1503" t="s">
        <v>11453</v>
      </c>
      <c r="N1503" t="s">
        <v>11454</v>
      </c>
      <c r="O1503" t="s">
        <v>11463</v>
      </c>
      <c r="P1503" t="s">
        <v>11464</v>
      </c>
    </row>
    <row r="1504" spans="1:16" x14ac:dyDescent="0.35">
      <c r="A1504" t="s">
        <v>11465</v>
      </c>
      <c r="B1504" t="s">
        <v>55</v>
      </c>
      <c r="C1504" t="s">
        <v>26</v>
      </c>
      <c r="D1504" t="s">
        <v>963</v>
      </c>
      <c r="E1504" t="s">
        <v>11466</v>
      </c>
      <c r="F1504" t="s">
        <v>11467</v>
      </c>
      <c r="G1504" t="s">
        <v>9427</v>
      </c>
      <c r="H1504" t="s">
        <v>11273</v>
      </c>
      <c r="I1504" t="s">
        <v>11468</v>
      </c>
      <c r="J1504" t="s">
        <v>11469</v>
      </c>
      <c r="K1504" t="s">
        <v>11470</v>
      </c>
      <c r="L1504" t="s">
        <v>20</v>
      </c>
      <c r="M1504" t="s">
        <v>11471</v>
      </c>
      <c r="N1504" t="s">
        <v>11472</v>
      </c>
      <c r="O1504" t="s">
        <v>11473</v>
      </c>
      <c r="P1504" t="s">
        <v>11474</v>
      </c>
    </row>
    <row r="1505" spans="1:16" x14ac:dyDescent="0.35">
      <c r="A1505" t="s">
        <v>11475</v>
      </c>
      <c r="B1505" t="s">
        <v>55</v>
      </c>
      <c r="C1505" t="s">
        <v>28</v>
      </c>
      <c r="D1505" t="s">
        <v>28</v>
      </c>
      <c r="E1505" t="s">
        <v>11476</v>
      </c>
      <c r="F1505" t="s">
        <v>11477</v>
      </c>
      <c r="G1505" t="s">
        <v>9427</v>
      </c>
      <c r="H1505" t="s">
        <v>11273</v>
      </c>
      <c r="I1505" t="s">
        <v>11478</v>
      </c>
      <c r="J1505" t="s">
        <v>11479</v>
      </c>
      <c r="K1505" t="s">
        <v>11480</v>
      </c>
      <c r="L1505" t="s">
        <v>20</v>
      </c>
      <c r="M1505" t="s">
        <v>11481</v>
      </c>
      <c r="N1505" t="s">
        <v>11482</v>
      </c>
      <c r="O1505" t="s">
        <v>11483</v>
      </c>
      <c r="P1505" t="s">
        <v>11484</v>
      </c>
    </row>
    <row r="1506" spans="1:16" x14ac:dyDescent="0.35">
      <c r="A1506" t="s">
        <v>11485</v>
      </c>
      <c r="B1506" t="s">
        <v>55</v>
      </c>
      <c r="C1506" t="s">
        <v>158</v>
      </c>
      <c r="D1506" t="s">
        <v>374</v>
      </c>
      <c r="E1506" t="s">
        <v>11486</v>
      </c>
      <c r="F1506" t="s">
        <v>11487</v>
      </c>
      <c r="G1506" t="s">
        <v>9427</v>
      </c>
      <c r="H1506" t="s">
        <v>9428</v>
      </c>
      <c r="I1506" t="s">
        <v>11488</v>
      </c>
      <c r="J1506" t="s">
        <v>11489</v>
      </c>
      <c r="K1506" t="s">
        <v>19</v>
      </c>
      <c r="L1506" t="s">
        <v>20</v>
      </c>
      <c r="M1506" t="s">
        <v>11481</v>
      </c>
      <c r="N1506" t="s">
        <v>11482</v>
      </c>
      <c r="O1506" t="s">
        <v>11490</v>
      </c>
      <c r="P1506" t="s">
        <v>11491</v>
      </c>
    </row>
    <row r="1507" spans="1:16" x14ac:dyDescent="0.35">
      <c r="A1507" t="s">
        <v>11413</v>
      </c>
      <c r="B1507" t="s">
        <v>55</v>
      </c>
      <c r="C1507" t="s">
        <v>15</v>
      </c>
      <c r="D1507" t="s">
        <v>374</v>
      </c>
      <c r="E1507" t="s">
        <v>28</v>
      </c>
      <c r="F1507" t="s">
        <v>28</v>
      </c>
      <c r="G1507" t="s">
        <v>11492</v>
      </c>
      <c r="H1507" t="s">
        <v>28</v>
      </c>
      <c r="I1507" t="s">
        <v>11416</v>
      </c>
      <c r="J1507" t="s">
        <v>11493</v>
      </c>
      <c r="K1507" t="s">
        <v>19</v>
      </c>
      <c r="L1507" t="s">
        <v>20</v>
      </c>
      <c r="M1507" t="s">
        <v>11481</v>
      </c>
      <c r="N1507" t="s">
        <v>11482</v>
      </c>
      <c r="O1507" t="s">
        <v>11494</v>
      </c>
      <c r="P1507" t="s">
        <v>11495</v>
      </c>
    </row>
    <row r="1508" spans="1:16" x14ac:dyDescent="0.35">
      <c r="A1508" t="s">
        <v>11496</v>
      </c>
      <c r="B1508" t="s">
        <v>55</v>
      </c>
      <c r="C1508" t="s">
        <v>15</v>
      </c>
      <c r="D1508" t="s">
        <v>68</v>
      </c>
      <c r="E1508" t="s">
        <v>11497</v>
      </c>
      <c r="F1508" t="s">
        <v>11498</v>
      </c>
      <c r="G1508" t="s">
        <v>9427</v>
      </c>
      <c r="H1508" t="s">
        <v>9428</v>
      </c>
      <c r="I1508" t="s">
        <v>28</v>
      </c>
      <c r="J1508" t="s">
        <v>28</v>
      </c>
      <c r="K1508" t="s">
        <v>19</v>
      </c>
      <c r="L1508" t="s">
        <v>20</v>
      </c>
      <c r="M1508" t="s">
        <v>11481</v>
      </c>
      <c r="N1508" t="s">
        <v>11482</v>
      </c>
      <c r="O1508" t="s">
        <v>11499</v>
      </c>
      <c r="P1508" t="s">
        <v>11500</v>
      </c>
    </row>
    <row r="1509" spans="1:16" x14ac:dyDescent="0.35">
      <c r="A1509" t="s">
        <v>11390</v>
      </c>
      <c r="B1509" t="s">
        <v>55</v>
      </c>
      <c r="C1509" t="s">
        <v>28</v>
      </c>
      <c r="D1509" t="s">
        <v>28</v>
      </c>
      <c r="E1509" t="s">
        <v>11501</v>
      </c>
      <c r="F1509" t="s">
        <v>11502</v>
      </c>
      <c r="G1509" t="s">
        <v>9427</v>
      </c>
      <c r="H1509" t="s">
        <v>11273</v>
      </c>
      <c r="I1509" t="s">
        <v>28</v>
      </c>
      <c r="J1509" t="s">
        <v>28</v>
      </c>
      <c r="K1509" t="s">
        <v>19</v>
      </c>
      <c r="L1509" t="s">
        <v>20</v>
      </c>
      <c r="M1509" t="s">
        <v>11503</v>
      </c>
      <c r="N1509" t="s">
        <v>11504</v>
      </c>
      <c r="O1509" t="s">
        <v>11505</v>
      </c>
      <c r="P1509" t="s">
        <v>11506</v>
      </c>
    </row>
    <row r="1510" spans="1:16" x14ac:dyDescent="0.35">
      <c r="A1510" t="s">
        <v>11507</v>
      </c>
      <c r="B1510" t="s">
        <v>55</v>
      </c>
      <c r="C1510" t="s">
        <v>15</v>
      </c>
      <c r="D1510" t="s">
        <v>27</v>
      </c>
      <c r="E1510" t="s">
        <v>11508</v>
      </c>
      <c r="F1510" t="s">
        <v>11509</v>
      </c>
      <c r="G1510" t="s">
        <v>9427</v>
      </c>
      <c r="H1510" t="s">
        <v>9428</v>
      </c>
      <c r="I1510" t="s">
        <v>28</v>
      </c>
      <c r="J1510" t="s">
        <v>11510</v>
      </c>
      <c r="K1510" t="s">
        <v>19</v>
      </c>
      <c r="L1510" t="s">
        <v>20</v>
      </c>
      <c r="M1510" t="s">
        <v>11503</v>
      </c>
      <c r="N1510" t="s">
        <v>11504</v>
      </c>
      <c r="O1510" t="s">
        <v>11511</v>
      </c>
      <c r="P1510" t="s">
        <v>11512</v>
      </c>
    </row>
    <row r="1511" spans="1:16" x14ac:dyDescent="0.35">
      <c r="A1511" t="s">
        <v>11513</v>
      </c>
      <c r="B1511" t="s">
        <v>55</v>
      </c>
      <c r="C1511" t="s">
        <v>497</v>
      </c>
      <c r="D1511" t="s">
        <v>16</v>
      </c>
      <c r="E1511" t="s">
        <v>11514</v>
      </c>
      <c r="F1511" t="s">
        <v>11515</v>
      </c>
      <c r="G1511" t="s">
        <v>9427</v>
      </c>
      <c r="H1511" t="s">
        <v>9428</v>
      </c>
      <c r="I1511" t="s">
        <v>11516</v>
      </c>
      <c r="J1511" t="s">
        <v>11517</v>
      </c>
      <c r="K1511" t="s">
        <v>11518</v>
      </c>
      <c r="L1511" t="s">
        <v>20</v>
      </c>
      <c r="M1511" t="s">
        <v>11503</v>
      </c>
      <c r="N1511" t="s">
        <v>11504</v>
      </c>
      <c r="O1511" t="s">
        <v>11519</v>
      </c>
      <c r="P1511" t="s">
        <v>11520</v>
      </c>
    </row>
    <row r="1512" spans="1:16" x14ac:dyDescent="0.35">
      <c r="A1512" t="s">
        <v>11521</v>
      </c>
      <c r="B1512" t="s">
        <v>55</v>
      </c>
      <c r="C1512" t="s">
        <v>28</v>
      </c>
      <c r="D1512" t="s">
        <v>28</v>
      </c>
      <c r="E1512" t="s">
        <v>11522</v>
      </c>
      <c r="F1512" t="s">
        <v>11523</v>
      </c>
      <c r="G1512" t="s">
        <v>9427</v>
      </c>
      <c r="H1512" t="s">
        <v>9428</v>
      </c>
      <c r="I1512" t="s">
        <v>28</v>
      </c>
      <c r="J1512" t="s">
        <v>28</v>
      </c>
      <c r="K1512" t="s">
        <v>19</v>
      </c>
      <c r="L1512" t="s">
        <v>20</v>
      </c>
      <c r="M1512" t="s">
        <v>11524</v>
      </c>
      <c r="N1512" t="s">
        <v>11525</v>
      </c>
      <c r="O1512" t="s">
        <v>11526</v>
      </c>
      <c r="P1512" t="s">
        <v>11527</v>
      </c>
    </row>
    <row r="1513" spans="1:16" x14ac:dyDescent="0.35">
      <c r="A1513" t="s">
        <v>11528</v>
      </c>
      <c r="B1513" t="s">
        <v>55</v>
      </c>
      <c r="C1513" t="s">
        <v>311</v>
      </c>
      <c r="D1513" t="s">
        <v>282</v>
      </c>
      <c r="E1513" t="s">
        <v>11529</v>
      </c>
      <c r="F1513" t="s">
        <v>11530</v>
      </c>
      <c r="G1513" t="s">
        <v>9427</v>
      </c>
      <c r="H1513" t="s">
        <v>11273</v>
      </c>
      <c r="I1513" t="s">
        <v>11516</v>
      </c>
      <c r="J1513" t="s">
        <v>11531</v>
      </c>
      <c r="K1513" t="s">
        <v>11518</v>
      </c>
      <c r="L1513" t="s">
        <v>20</v>
      </c>
      <c r="M1513" t="s">
        <v>11532</v>
      </c>
      <c r="N1513" t="s">
        <v>11533</v>
      </c>
      <c r="O1513" t="s">
        <v>11534</v>
      </c>
      <c r="P1513" t="s">
        <v>11535</v>
      </c>
    </row>
    <row r="1514" spans="1:16" x14ac:dyDescent="0.35">
      <c r="A1514" t="s">
        <v>11536</v>
      </c>
      <c r="B1514" t="s">
        <v>107</v>
      </c>
      <c r="C1514" t="s">
        <v>28</v>
      </c>
      <c r="D1514" t="s">
        <v>28</v>
      </c>
      <c r="E1514" t="s">
        <v>11537</v>
      </c>
      <c r="F1514" t="s">
        <v>11538</v>
      </c>
      <c r="G1514" t="s">
        <v>11539</v>
      </c>
      <c r="H1514" t="s">
        <v>11273</v>
      </c>
      <c r="I1514" t="s">
        <v>28</v>
      </c>
      <c r="J1514" t="s">
        <v>28</v>
      </c>
      <c r="K1514" t="s">
        <v>19</v>
      </c>
      <c r="L1514" t="s">
        <v>20</v>
      </c>
      <c r="M1514" t="s">
        <v>11540</v>
      </c>
      <c r="N1514" t="s">
        <v>11541</v>
      </c>
      <c r="O1514" t="s">
        <v>11542</v>
      </c>
      <c r="P1514" t="s">
        <v>11543</v>
      </c>
    </row>
    <row r="1515" spans="1:16" x14ac:dyDescent="0.35">
      <c r="A1515" t="s">
        <v>11544</v>
      </c>
      <c r="B1515" t="s">
        <v>55</v>
      </c>
      <c r="C1515" t="s">
        <v>28</v>
      </c>
      <c r="D1515" t="s">
        <v>28</v>
      </c>
      <c r="E1515" t="s">
        <v>11545</v>
      </c>
      <c r="F1515" t="s">
        <v>11546</v>
      </c>
      <c r="G1515" t="s">
        <v>11272</v>
      </c>
      <c r="H1515" t="s">
        <v>9428</v>
      </c>
      <c r="I1515" t="s">
        <v>11547</v>
      </c>
      <c r="J1515" t="s">
        <v>11548</v>
      </c>
      <c r="K1515" t="s">
        <v>11549</v>
      </c>
      <c r="L1515" t="s">
        <v>20</v>
      </c>
      <c r="M1515" t="s">
        <v>11550</v>
      </c>
      <c r="N1515" t="s">
        <v>11551</v>
      </c>
      <c r="O1515" t="s">
        <v>11552</v>
      </c>
      <c r="P1515" t="s">
        <v>11553</v>
      </c>
    </row>
    <row r="1516" spans="1:16" x14ac:dyDescent="0.35">
      <c r="A1516" t="s">
        <v>11554</v>
      </c>
      <c r="B1516" t="s">
        <v>55</v>
      </c>
      <c r="C1516" t="s">
        <v>28</v>
      </c>
      <c r="D1516" t="s">
        <v>28</v>
      </c>
      <c r="E1516" t="s">
        <v>11555</v>
      </c>
      <c r="F1516" t="s">
        <v>11556</v>
      </c>
      <c r="G1516" t="s">
        <v>11557</v>
      </c>
      <c r="H1516" t="s">
        <v>9428</v>
      </c>
      <c r="I1516" t="s">
        <v>11369</v>
      </c>
      <c r="J1516" t="s">
        <v>11558</v>
      </c>
      <c r="K1516" t="s">
        <v>19</v>
      </c>
      <c r="L1516" t="s">
        <v>20</v>
      </c>
      <c r="M1516" t="s">
        <v>11559</v>
      </c>
      <c r="N1516" t="s">
        <v>11560</v>
      </c>
      <c r="O1516" t="s">
        <v>11561</v>
      </c>
      <c r="P1516" t="s">
        <v>915</v>
      </c>
    </row>
    <row r="1517" spans="1:16" x14ac:dyDescent="0.35">
      <c r="A1517" t="s">
        <v>11562</v>
      </c>
      <c r="B1517" t="s">
        <v>55</v>
      </c>
      <c r="C1517" t="s">
        <v>341</v>
      </c>
      <c r="D1517" t="s">
        <v>124</v>
      </c>
      <c r="E1517" t="s">
        <v>11563</v>
      </c>
      <c r="F1517" t="s">
        <v>11564</v>
      </c>
      <c r="G1517" t="s">
        <v>11565</v>
      </c>
      <c r="H1517" t="s">
        <v>11162</v>
      </c>
      <c r="I1517" t="s">
        <v>11566</v>
      </c>
      <c r="J1517" t="s">
        <v>11567</v>
      </c>
      <c r="K1517" t="s">
        <v>19</v>
      </c>
      <c r="L1517" t="s">
        <v>20</v>
      </c>
      <c r="M1517" t="s">
        <v>11568</v>
      </c>
      <c r="N1517" t="s">
        <v>11569</v>
      </c>
      <c r="O1517" t="s">
        <v>11570</v>
      </c>
      <c r="P1517" t="s">
        <v>11571</v>
      </c>
    </row>
    <row r="1518" spans="1:16" x14ac:dyDescent="0.35">
      <c r="A1518" t="s">
        <v>11572</v>
      </c>
      <c r="B1518" t="s">
        <v>32</v>
      </c>
      <c r="C1518" t="s">
        <v>28</v>
      </c>
      <c r="D1518" t="s">
        <v>28</v>
      </c>
      <c r="E1518" t="s">
        <v>11573</v>
      </c>
      <c r="F1518" t="s">
        <v>11574</v>
      </c>
      <c r="G1518" t="s">
        <v>11575</v>
      </c>
      <c r="H1518" t="s">
        <v>11162</v>
      </c>
      <c r="I1518" t="s">
        <v>28</v>
      </c>
      <c r="J1518" t="s">
        <v>11576</v>
      </c>
      <c r="K1518" t="s">
        <v>19</v>
      </c>
      <c r="L1518" t="s">
        <v>20</v>
      </c>
      <c r="M1518" t="s">
        <v>11577</v>
      </c>
      <c r="N1518" t="s">
        <v>11578</v>
      </c>
      <c r="O1518" t="s">
        <v>11579</v>
      </c>
      <c r="P1518" t="s">
        <v>11580</v>
      </c>
    </row>
    <row r="1519" spans="1:16" x14ac:dyDescent="0.35">
      <c r="A1519" t="s">
        <v>11581</v>
      </c>
      <c r="B1519" t="s">
        <v>32</v>
      </c>
      <c r="C1519" t="s">
        <v>15</v>
      </c>
      <c r="D1519" t="s">
        <v>16</v>
      </c>
      <c r="E1519" t="s">
        <v>11582</v>
      </c>
      <c r="F1519" t="s">
        <v>11583</v>
      </c>
      <c r="G1519" t="s">
        <v>11584</v>
      </c>
      <c r="H1519" t="s">
        <v>11162</v>
      </c>
      <c r="I1519" t="s">
        <v>28</v>
      </c>
      <c r="J1519" t="s">
        <v>11585</v>
      </c>
      <c r="K1519" t="s">
        <v>19</v>
      </c>
      <c r="L1519" t="s">
        <v>20</v>
      </c>
      <c r="M1519" t="s">
        <v>11586</v>
      </c>
      <c r="N1519" t="s">
        <v>11587</v>
      </c>
      <c r="O1519" t="s">
        <v>11588</v>
      </c>
      <c r="P1519" t="s">
        <v>11589</v>
      </c>
    </row>
    <row r="1520" spans="1:16" x14ac:dyDescent="0.35">
      <c r="A1520" t="s">
        <v>11590</v>
      </c>
      <c r="B1520" t="s">
        <v>55</v>
      </c>
      <c r="C1520" t="s">
        <v>28</v>
      </c>
      <c r="D1520" t="s">
        <v>28</v>
      </c>
      <c r="E1520" t="s">
        <v>11591</v>
      </c>
      <c r="F1520" t="s">
        <v>11592</v>
      </c>
      <c r="G1520" t="s">
        <v>11593</v>
      </c>
      <c r="H1520" t="s">
        <v>11162</v>
      </c>
      <c r="I1520" t="s">
        <v>11594</v>
      </c>
      <c r="J1520" t="s">
        <v>11595</v>
      </c>
      <c r="K1520" t="s">
        <v>11596</v>
      </c>
      <c r="L1520" t="s">
        <v>20</v>
      </c>
      <c r="M1520" t="s">
        <v>11586</v>
      </c>
      <c r="N1520" t="s">
        <v>11587</v>
      </c>
      <c r="O1520" t="s">
        <v>11597</v>
      </c>
      <c r="P1520" t="s">
        <v>11598</v>
      </c>
    </row>
    <row r="1521" spans="1:16" x14ac:dyDescent="0.35">
      <c r="A1521" t="s">
        <v>11572</v>
      </c>
      <c r="B1521" t="s">
        <v>32</v>
      </c>
      <c r="C1521" t="s">
        <v>28</v>
      </c>
      <c r="D1521" t="s">
        <v>28</v>
      </c>
      <c r="E1521" t="s">
        <v>11600</v>
      </c>
      <c r="F1521" t="s">
        <v>11601</v>
      </c>
      <c r="G1521" t="s">
        <v>11602</v>
      </c>
      <c r="H1521" t="s">
        <v>11162</v>
      </c>
      <c r="I1521" t="s">
        <v>28</v>
      </c>
      <c r="J1521" t="s">
        <v>11603</v>
      </c>
      <c r="K1521" t="s">
        <v>19</v>
      </c>
      <c r="L1521" t="s">
        <v>20</v>
      </c>
      <c r="M1521" t="s">
        <v>11586</v>
      </c>
      <c r="N1521" t="s">
        <v>11587</v>
      </c>
      <c r="O1521" t="s">
        <v>11604</v>
      </c>
      <c r="P1521" t="s">
        <v>11605</v>
      </c>
    </row>
    <row r="1522" spans="1:16" x14ac:dyDescent="0.35">
      <c r="A1522" t="s">
        <v>11606</v>
      </c>
      <c r="B1522" t="s">
        <v>32</v>
      </c>
      <c r="C1522" t="s">
        <v>205</v>
      </c>
      <c r="D1522" t="s">
        <v>68</v>
      </c>
      <c r="E1522" t="s">
        <v>11591</v>
      </c>
      <c r="F1522" t="s">
        <v>11607</v>
      </c>
      <c r="G1522" t="s">
        <v>11593</v>
      </c>
      <c r="H1522" t="s">
        <v>11162</v>
      </c>
      <c r="I1522" t="s">
        <v>28</v>
      </c>
      <c r="J1522" t="s">
        <v>28</v>
      </c>
      <c r="K1522" t="s">
        <v>19</v>
      </c>
      <c r="L1522" t="s">
        <v>20</v>
      </c>
      <c r="M1522" t="s">
        <v>11586</v>
      </c>
      <c r="N1522" t="s">
        <v>11587</v>
      </c>
      <c r="O1522" t="s">
        <v>11608</v>
      </c>
      <c r="P1522" t="s">
        <v>11609</v>
      </c>
    </row>
    <row r="1523" spans="1:16" x14ac:dyDescent="0.35">
      <c r="A1523" t="s">
        <v>11611</v>
      </c>
      <c r="B1523" t="s">
        <v>55</v>
      </c>
      <c r="C1523" t="s">
        <v>28</v>
      </c>
      <c r="D1523" t="s">
        <v>28</v>
      </c>
      <c r="E1523" t="s">
        <v>11612</v>
      </c>
      <c r="F1523" t="s">
        <v>11613</v>
      </c>
      <c r="G1523" t="s">
        <v>11602</v>
      </c>
      <c r="H1523" t="s">
        <v>11162</v>
      </c>
      <c r="I1523" t="s">
        <v>28</v>
      </c>
      <c r="J1523" t="s">
        <v>11614</v>
      </c>
      <c r="K1523" t="s">
        <v>19</v>
      </c>
      <c r="L1523" t="s">
        <v>20</v>
      </c>
      <c r="M1523" t="s">
        <v>11568</v>
      </c>
      <c r="N1523" t="s">
        <v>11569</v>
      </c>
      <c r="O1523" t="s">
        <v>11615</v>
      </c>
      <c r="P1523" t="s">
        <v>11616</v>
      </c>
    </row>
    <row r="1524" spans="1:16" x14ac:dyDescent="0.35">
      <c r="A1524" t="s">
        <v>11617</v>
      </c>
      <c r="B1524" t="s">
        <v>55</v>
      </c>
      <c r="C1524" t="s">
        <v>26</v>
      </c>
      <c r="D1524" t="s">
        <v>304</v>
      </c>
      <c r="E1524" t="s">
        <v>11618</v>
      </c>
      <c r="F1524" t="s">
        <v>11619</v>
      </c>
      <c r="G1524" t="s">
        <v>11565</v>
      </c>
      <c r="H1524" t="s">
        <v>11162</v>
      </c>
      <c r="I1524" t="s">
        <v>11620</v>
      </c>
      <c r="J1524" t="s">
        <v>11621</v>
      </c>
      <c r="K1524" t="s">
        <v>11622</v>
      </c>
      <c r="L1524" t="s">
        <v>20</v>
      </c>
      <c r="M1524" t="s">
        <v>11568</v>
      </c>
      <c r="N1524" t="s">
        <v>11569</v>
      </c>
      <c r="O1524" t="s">
        <v>11623</v>
      </c>
      <c r="P1524" t="s">
        <v>11624</v>
      </c>
    </row>
    <row r="1525" spans="1:16" x14ac:dyDescent="0.35">
      <c r="A1525" t="s">
        <v>11627</v>
      </c>
      <c r="B1525" t="s">
        <v>55</v>
      </c>
      <c r="C1525" t="s">
        <v>699</v>
      </c>
      <c r="D1525" t="s">
        <v>700</v>
      </c>
      <c r="E1525" t="s">
        <v>11628</v>
      </c>
      <c r="F1525" t="s">
        <v>11629</v>
      </c>
      <c r="G1525" t="s">
        <v>11565</v>
      </c>
      <c r="H1525" t="s">
        <v>11162</v>
      </c>
      <c r="I1525" t="s">
        <v>11630</v>
      </c>
      <c r="J1525" t="s">
        <v>11631</v>
      </c>
      <c r="K1525" t="s">
        <v>11632</v>
      </c>
      <c r="L1525" t="s">
        <v>20</v>
      </c>
      <c r="M1525" t="s">
        <v>11625</v>
      </c>
      <c r="N1525" t="s">
        <v>11626</v>
      </c>
      <c r="O1525" t="s">
        <v>11633</v>
      </c>
      <c r="P1525" t="s">
        <v>11634</v>
      </c>
    </row>
    <row r="1526" spans="1:16" x14ac:dyDescent="0.35">
      <c r="A1526" t="s">
        <v>11635</v>
      </c>
      <c r="B1526" t="s">
        <v>55</v>
      </c>
      <c r="C1526" t="s">
        <v>28</v>
      </c>
      <c r="D1526" t="s">
        <v>28</v>
      </c>
      <c r="E1526" t="s">
        <v>11636</v>
      </c>
      <c r="F1526" t="s">
        <v>11637</v>
      </c>
      <c r="G1526" t="s">
        <v>11599</v>
      </c>
      <c r="H1526" t="s">
        <v>11162</v>
      </c>
      <c r="I1526" t="s">
        <v>28</v>
      </c>
      <c r="J1526" t="s">
        <v>11638</v>
      </c>
      <c r="K1526" t="s">
        <v>19</v>
      </c>
      <c r="L1526" t="s">
        <v>20</v>
      </c>
      <c r="M1526" t="s">
        <v>11639</v>
      </c>
      <c r="N1526" t="s">
        <v>11640</v>
      </c>
      <c r="O1526" t="s">
        <v>11641</v>
      </c>
      <c r="P1526" t="s">
        <v>11642</v>
      </c>
    </row>
    <row r="1527" spans="1:16" x14ac:dyDescent="0.35">
      <c r="A1527" t="s">
        <v>11643</v>
      </c>
      <c r="B1527" t="s">
        <v>32</v>
      </c>
      <c r="C1527" t="s">
        <v>158</v>
      </c>
      <c r="D1527" t="s">
        <v>348</v>
      </c>
      <c r="E1527" t="s">
        <v>11644</v>
      </c>
      <c r="F1527" t="s">
        <v>11645</v>
      </c>
      <c r="G1527" t="s">
        <v>11646</v>
      </c>
      <c r="H1527" t="s">
        <v>11162</v>
      </c>
      <c r="I1527" t="s">
        <v>11647</v>
      </c>
      <c r="J1527" t="s">
        <v>11648</v>
      </c>
      <c r="K1527" t="s">
        <v>11649</v>
      </c>
      <c r="L1527" t="s">
        <v>20</v>
      </c>
      <c r="M1527" t="s">
        <v>11650</v>
      </c>
      <c r="N1527" t="s">
        <v>11651</v>
      </c>
      <c r="O1527" t="s">
        <v>11652</v>
      </c>
      <c r="P1527" t="s">
        <v>11653</v>
      </c>
    </row>
    <row r="1528" spans="1:16" x14ac:dyDescent="0.35">
      <c r="A1528" t="s">
        <v>11654</v>
      </c>
      <c r="B1528" t="s">
        <v>55</v>
      </c>
      <c r="C1528" t="s">
        <v>28</v>
      </c>
      <c r="D1528" t="s">
        <v>28</v>
      </c>
      <c r="E1528" t="s">
        <v>11655</v>
      </c>
      <c r="F1528" t="s">
        <v>11656</v>
      </c>
      <c r="G1528" t="s">
        <v>11565</v>
      </c>
      <c r="H1528" t="s">
        <v>11162</v>
      </c>
      <c r="I1528" t="s">
        <v>11657</v>
      </c>
      <c r="J1528" t="s">
        <v>11658</v>
      </c>
      <c r="K1528" t="s">
        <v>11659</v>
      </c>
      <c r="L1528" t="s">
        <v>20</v>
      </c>
      <c r="M1528" t="s">
        <v>11660</v>
      </c>
      <c r="N1528" t="s">
        <v>11661</v>
      </c>
      <c r="O1528" t="s">
        <v>11662</v>
      </c>
      <c r="P1528" t="s">
        <v>11663</v>
      </c>
    </row>
    <row r="1529" spans="1:16" x14ac:dyDescent="0.35">
      <c r="A1529" t="s">
        <v>11664</v>
      </c>
      <c r="B1529" t="s">
        <v>55</v>
      </c>
      <c r="C1529" t="s">
        <v>28</v>
      </c>
      <c r="D1529" t="s">
        <v>28</v>
      </c>
      <c r="E1529" t="s">
        <v>11665</v>
      </c>
      <c r="F1529" t="s">
        <v>11666</v>
      </c>
      <c r="G1529" t="s">
        <v>11565</v>
      </c>
      <c r="H1529" t="s">
        <v>11162</v>
      </c>
      <c r="I1529" t="s">
        <v>28</v>
      </c>
      <c r="J1529" t="s">
        <v>11667</v>
      </c>
      <c r="K1529" t="s">
        <v>19</v>
      </c>
      <c r="L1529" t="s">
        <v>20</v>
      </c>
      <c r="M1529" t="s">
        <v>11660</v>
      </c>
      <c r="N1529" t="s">
        <v>11661</v>
      </c>
      <c r="O1529" t="s">
        <v>11668</v>
      </c>
      <c r="P1529" t="s">
        <v>11669</v>
      </c>
    </row>
    <row r="1530" spans="1:16" x14ac:dyDescent="0.35">
      <c r="A1530" t="s">
        <v>11670</v>
      </c>
      <c r="B1530" t="s">
        <v>55</v>
      </c>
      <c r="C1530" t="s">
        <v>26</v>
      </c>
      <c r="D1530" t="s">
        <v>27</v>
      </c>
      <c r="E1530" t="s">
        <v>11671</v>
      </c>
      <c r="F1530" t="s">
        <v>11672</v>
      </c>
      <c r="G1530" t="s">
        <v>11565</v>
      </c>
      <c r="H1530" t="s">
        <v>11162</v>
      </c>
      <c r="I1530" t="s">
        <v>28</v>
      </c>
      <c r="J1530" t="s">
        <v>11673</v>
      </c>
      <c r="K1530" t="s">
        <v>19</v>
      </c>
      <c r="L1530" t="s">
        <v>20</v>
      </c>
      <c r="M1530" t="s">
        <v>11660</v>
      </c>
      <c r="N1530" t="s">
        <v>11661</v>
      </c>
      <c r="O1530" t="s">
        <v>11674</v>
      </c>
      <c r="P1530" t="s">
        <v>11675</v>
      </c>
    </row>
    <row r="1531" spans="1:16" x14ac:dyDescent="0.35">
      <c r="A1531" t="s">
        <v>11676</v>
      </c>
      <c r="B1531" t="s">
        <v>55</v>
      </c>
      <c r="C1531" t="s">
        <v>28</v>
      </c>
      <c r="D1531" t="s">
        <v>28</v>
      </c>
      <c r="E1531" t="s">
        <v>11677</v>
      </c>
      <c r="F1531" t="s">
        <v>11678</v>
      </c>
      <c r="G1531" t="s">
        <v>11679</v>
      </c>
      <c r="H1531" t="s">
        <v>11162</v>
      </c>
      <c r="I1531" t="s">
        <v>28</v>
      </c>
      <c r="J1531" t="s">
        <v>28</v>
      </c>
      <c r="K1531" t="s">
        <v>19</v>
      </c>
      <c r="L1531" t="s">
        <v>20</v>
      </c>
      <c r="M1531" t="s">
        <v>11680</v>
      </c>
      <c r="N1531" t="s">
        <v>11681</v>
      </c>
      <c r="O1531" t="s">
        <v>11682</v>
      </c>
      <c r="P1531" t="s">
        <v>11683</v>
      </c>
    </row>
    <row r="1532" spans="1:16" x14ac:dyDescent="0.35">
      <c r="A1532" t="s">
        <v>11684</v>
      </c>
      <c r="B1532" t="s">
        <v>107</v>
      </c>
      <c r="C1532" t="s">
        <v>699</v>
      </c>
      <c r="D1532" t="s">
        <v>348</v>
      </c>
      <c r="E1532" t="s">
        <v>11685</v>
      </c>
      <c r="F1532" t="s">
        <v>11686</v>
      </c>
      <c r="G1532" t="s">
        <v>11687</v>
      </c>
      <c r="H1532" t="s">
        <v>11162</v>
      </c>
      <c r="I1532" t="s">
        <v>11688</v>
      </c>
      <c r="J1532" t="s">
        <v>11689</v>
      </c>
      <c r="K1532" t="s">
        <v>11690</v>
      </c>
      <c r="L1532" t="s">
        <v>20</v>
      </c>
      <c r="M1532" t="s">
        <v>11691</v>
      </c>
      <c r="N1532" t="s">
        <v>11692</v>
      </c>
      <c r="O1532" t="s">
        <v>11693</v>
      </c>
      <c r="P1532" t="s">
        <v>11694</v>
      </c>
    </row>
    <row r="1533" spans="1:16" x14ac:dyDescent="0.35">
      <c r="A1533" t="s">
        <v>11697</v>
      </c>
      <c r="B1533" t="s">
        <v>55</v>
      </c>
      <c r="C1533" t="s">
        <v>548</v>
      </c>
      <c r="D1533" t="s">
        <v>812</v>
      </c>
      <c r="E1533" t="s">
        <v>11698</v>
      </c>
      <c r="F1533" t="s">
        <v>11699</v>
      </c>
      <c r="G1533" t="s">
        <v>11565</v>
      </c>
      <c r="H1533" t="s">
        <v>11162</v>
      </c>
      <c r="I1533" t="s">
        <v>11700</v>
      </c>
      <c r="J1533" t="s">
        <v>11701</v>
      </c>
      <c r="K1533" t="s">
        <v>19</v>
      </c>
      <c r="L1533" t="s">
        <v>20</v>
      </c>
      <c r="M1533" t="s">
        <v>11695</v>
      </c>
      <c r="N1533" t="s">
        <v>11696</v>
      </c>
      <c r="O1533" t="s">
        <v>11702</v>
      </c>
      <c r="P1533" t="s">
        <v>11703</v>
      </c>
    </row>
    <row r="1534" spans="1:16" x14ac:dyDescent="0.35">
      <c r="A1534" t="s">
        <v>11704</v>
      </c>
      <c r="B1534" t="s">
        <v>55</v>
      </c>
      <c r="C1534" t="s">
        <v>311</v>
      </c>
      <c r="D1534" t="s">
        <v>774</v>
      </c>
      <c r="E1534" t="s">
        <v>11705</v>
      </c>
      <c r="F1534" t="s">
        <v>11706</v>
      </c>
      <c r="G1534" t="s">
        <v>11565</v>
      </c>
      <c r="H1534" t="s">
        <v>11162</v>
      </c>
      <c r="I1534" t="s">
        <v>11707</v>
      </c>
      <c r="J1534" t="s">
        <v>11708</v>
      </c>
      <c r="K1534" t="s">
        <v>11709</v>
      </c>
      <c r="L1534" t="s">
        <v>20</v>
      </c>
      <c r="M1534" t="s">
        <v>11695</v>
      </c>
      <c r="N1534" t="s">
        <v>11696</v>
      </c>
      <c r="O1534" t="s">
        <v>11710</v>
      </c>
      <c r="P1534" t="s">
        <v>11711</v>
      </c>
    </row>
    <row r="1535" spans="1:16" x14ac:dyDescent="0.35">
      <c r="A1535" t="s">
        <v>11712</v>
      </c>
      <c r="B1535" t="s">
        <v>55</v>
      </c>
      <c r="C1535" t="s">
        <v>96</v>
      </c>
      <c r="D1535" t="s">
        <v>304</v>
      </c>
      <c r="E1535" t="s">
        <v>11713</v>
      </c>
      <c r="F1535" t="s">
        <v>11714</v>
      </c>
      <c r="G1535" t="s">
        <v>11565</v>
      </c>
      <c r="H1535" t="s">
        <v>11162</v>
      </c>
      <c r="I1535" t="s">
        <v>28</v>
      </c>
      <c r="J1535" t="s">
        <v>11715</v>
      </c>
      <c r="K1535" t="s">
        <v>19</v>
      </c>
      <c r="L1535" t="s">
        <v>20</v>
      </c>
      <c r="M1535" t="s">
        <v>11695</v>
      </c>
      <c r="N1535" t="s">
        <v>11696</v>
      </c>
      <c r="O1535" t="s">
        <v>11716</v>
      </c>
      <c r="P1535" t="s">
        <v>11717</v>
      </c>
    </row>
    <row r="1536" spans="1:16" x14ac:dyDescent="0.35">
      <c r="A1536" t="s">
        <v>11718</v>
      </c>
      <c r="B1536" t="s">
        <v>55</v>
      </c>
      <c r="C1536" t="s">
        <v>28</v>
      </c>
      <c r="D1536" t="s">
        <v>28</v>
      </c>
      <c r="E1536" t="s">
        <v>11719</v>
      </c>
      <c r="F1536" t="s">
        <v>11720</v>
      </c>
      <c r="G1536" t="s">
        <v>11565</v>
      </c>
      <c r="H1536" t="s">
        <v>11162</v>
      </c>
      <c r="I1536" t="s">
        <v>28</v>
      </c>
      <c r="J1536" t="s">
        <v>11721</v>
      </c>
      <c r="K1536" t="s">
        <v>19</v>
      </c>
      <c r="L1536" t="s">
        <v>20</v>
      </c>
      <c r="M1536" t="s">
        <v>11695</v>
      </c>
      <c r="N1536" t="s">
        <v>11696</v>
      </c>
      <c r="O1536" t="s">
        <v>11722</v>
      </c>
      <c r="P1536" t="s">
        <v>11723</v>
      </c>
    </row>
    <row r="1537" spans="1:16" x14ac:dyDescent="0.35">
      <c r="A1537" t="s">
        <v>11724</v>
      </c>
      <c r="B1537" t="s">
        <v>55</v>
      </c>
      <c r="C1537" t="s">
        <v>15</v>
      </c>
      <c r="D1537" t="s">
        <v>27</v>
      </c>
      <c r="E1537" t="s">
        <v>11725</v>
      </c>
      <c r="F1537" t="s">
        <v>11726</v>
      </c>
      <c r="G1537" t="s">
        <v>11727</v>
      </c>
      <c r="H1537" t="s">
        <v>11162</v>
      </c>
      <c r="I1537" t="s">
        <v>11728</v>
      </c>
      <c r="J1537" t="s">
        <v>11729</v>
      </c>
      <c r="K1537" t="s">
        <v>11622</v>
      </c>
      <c r="L1537" t="s">
        <v>20</v>
      </c>
      <c r="M1537" t="s">
        <v>11730</v>
      </c>
      <c r="N1537" t="s">
        <v>11731</v>
      </c>
      <c r="O1537" t="s">
        <v>11732</v>
      </c>
      <c r="P1537" t="s">
        <v>11733</v>
      </c>
    </row>
    <row r="1538" spans="1:16" x14ac:dyDescent="0.35">
      <c r="A1538" t="s">
        <v>11734</v>
      </c>
      <c r="B1538" t="s">
        <v>55</v>
      </c>
      <c r="C1538" t="s">
        <v>28</v>
      </c>
      <c r="D1538" t="s">
        <v>28</v>
      </c>
      <c r="E1538" t="s">
        <v>11735</v>
      </c>
      <c r="F1538" t="s">
        <v>11736</v>
      </c>
      <c r="G1538" t="s">
        <v>11737</v>
      </c>
      <c r="H1538" t="s">
        <v>11162</v>
      </c>
      <c r="I1538" t="s">
        <v>28</v>
      </c>
      <c r="J1538" t="s">
        <v>11738</v>
      </c>
      <c r="K1538" t="s">
        <v>19</v>
      </c>
      <c r="L1538" t="s">
        <v>20</v>
      </c>
      <c r="M1538" t="s">
        <v>11739</v>
      </c>
      <c r="N1538" t="s">
        <v>11740</v>
      </c>
      <c r="O1538" t="s">
        <v>11741</v>
      </c>
      <c r="P1538" t="s">
        <v>11742</v>
      </c>
    </row>
    <row r="1539" spans="1:16" x14ac:dyDescent="0.35">
      <c r="A1539" t="s">
        <v>310</v>
      </c>
      <c r="B1539" t="s">
        <v>55</v>
      </c>
      <c r="C1539" t="s">
        <v>158</v>
      </c>
      <c r="D1539" t="s">
        <v>206</v>
      </c>
      <c r="E1539" t="s">
        <v>11743</v>
      </c>
      <c r="F1539" t="s">
        <v>11744</v>
      </c>
      <c r="G1539" t="s">
        <v>11565</v>
      </c>
      <c r="H1539" t="s">
        <v>11162</v>
      </c>
      <c r="I1539" t="s">
        <v>82</v>
      </c>
      <c r="J1539" t="s">
        <v>11745</v>
      </c>
      <c r="K1539" t="s">
        <v>84</v>
      </c>
      <c r="L1539" t="s">
        <v>20</v>
      </c>
      <c r="M1539" t="s">
        <v>11746</v>
      </c>
      <c r="N1539" t="s">
        <v>11747</v>
      </c>
      <c r="O1539" t="s">
        <v>11748</v>
      </c>
      <c r="P1539" t="s">
        <v>11749</v>
      </c>
    </row>
    <row r="1540" spans="1:16" x14ac:dyDescent="0.35">
      <c r="A1540" t="s">
        <v>11750</v>
      </c>
      <c r="B1540" t="s">
        <v>55</v>
      </c>
      <c r="C1540" t="s">
        <v>117</v>
      </c>
      <c r="D1540" t="s">
        <v>68</v>
      </c>
      <c r="E1540" t="s">
        <v>11751</v>
      </c>
      <c r="F1540" t="s">
        <v>11752</v>
      </c>
      <c r="G1540" t="s">
        <v>11602</v>
      </c>
      <c r="H1540" t="s">
        <v>11162</v>
      </c>
      <c r="I1540" t="s">
        <v>11753</v>
      </c>
      <c r="J1540" t="s">
        <v>11754</v>
      </c>
      <c r="K1540" t="s">
        <v>11755</v>
      </c>
      <c r="L1540" t="s">
        <v>20</v>
      </c>
      <c r="M1540" t="s">
        <v>11746</v>
      </c>
      <c r="N1540" t="s">
        <v>11747</v>
      </c>
      <c r="O1540" t="s">
        <v>11756</v>
      </c>
      <c r="P1540" t="s">
        <v>915</v>
      </c>
    </row>
    <row r="1541" spans="1:16" x14ac:dyDescent="0.35">
      <c r="A1541" t="s">
        <v>11757</v>
      </c>
      <c r="B1541" t="s">
        <v>55</v>
      </c>
      <c r="C1541" t="s">
        <v>15</v>
      </c>
      <c r="D1541" t="s">
        <v>68</v>
      </c>
      <c r="E1541" t="s">
        <v>11758</v>
      </c>
      <c r="F1541" t="s">
        <v>11759</v>
      </c>
      <c r="G1541" t="s">
        <v>11565</v>
      </c>
      <c r="H1541" t="s">
        <v>11162</v>
      </c>
      <c r="I1541" t="s">
        <v>3106</v>
      </c>
      <c r="J1541" t="s">
        <v>11760</v>
      </c>
      <c r="K1541" t="s">
        <v>3108</v>
      </c>
      <c r="L1541" t="s">
        <v>20</v>
      </c>
      <c r="M1541" t="s">
        <v>11568</v>
      </c>
      <c r="N1541" t="s">
        <v>11569</v>
      </c>
      <c r="O1541" t="s">
        <v>11761</v>
      </c>
      <c r="P1541" t="s">
        <v>11762</v>
      </c>
    </row>
    <row r="1542" spans="1:16" x14ac:dyDescent="0.35">
      <c r="A1542" t="s">
        <v>780</v>
      </c>
      <c r="B1542" t="s">
        <v>55</v>
      </c>
      <c r="C1542" t="s">
        <v>25</v>
      </c>
      <c r="D1542" t="s">
        <v>16</v>
      </c>
      <c r="E1542" t="s">
        <v>11763</v>
      </c>
      <c r="F1542" t="s">
        <v>11764</v>
      </c>
      <c r="G1542" t="s">
        <v>11565</v>
      </c>
      <c r="H1542" t="s">
        <v>11162</v>
      </c>
      <c r="I1542" t="s">
        <v>28</v>
      </c>
      <c r="J1542" t="s">
        <v>11765</v>
      </c>
      <c r="K1542" t="s">
        <v>19</v>
      </c>
      <c r="L1542" t="s">
        <v>20</v>
      </c>
      <c r="M1542" t="s">
        <v>11568</v>
      </c>
      <c r="N1542" t="s">
        <v>11569</v>
      </c>
      <c r="O1542" t="s">
        <v>11766</v>
      </c>
      <c r="P1542" t="s">
        <v>11767</v>
      </c>
    </row>
    <row r="1543" spans="1:16" x14ac:dyDescent="0.35">
      <c r="A1543" t="s">
        <v>11770</v>
      </c>
      <c r="B1543" t="s">
        <v>55</v>
      </c>
      <c r="C1543" t="s">
        <v>250</v>
      </c>
      <c r="D1543" t="s">
        <v>1578</v>
      </c>
      <c r="E1543" t="s">
        <v>11771</v>
      </c>
      <c r="F1543" t="s">
        <v>11772</v>
      </c>
      <c r="G1543" t="s">
        <v>11565</v>
      </c>
      <c r="H1543" t="s">
        <v>11162</v>
      </c>
      <c r="I1543" t="s">
        <v>11773</v>
      </c>
      <c r="J1543" t="s">
        <v>11774</v>
      </c>
      <c r="K1543" t="s">
        <v>8024</v>
      </c>
      <c r="L1543" t="s">
        <v>20</v>
      </c>
      <c r="M1543" t="s">
        <v>11768</v>
      </c>
      <c r="N1543" t="s">
        <v>11769</v>
      </c>
      <c r="O1543" t="s">
        <v>11775</v>
      </c>
      <c r="P1543" t="s">
        <v>11776</v>
      </c>
    </row>
    <row r="1544" spans="1:16" x14ac:dyDescent="0.35">
      <c r="A1544" t="s">
        <v>11780</v>
      </c>
      <c r="B1544" t="s">
        <v>55</v>
      </c>
      <c r="C1544" t="s">
        <v>15</v>
      </c>
      <c r="D1544" t="s">
        <v>27</v>
      </c>
      <c r="E1544" t="s">
        <v>11781</v>
      </c>
      <c r="F1544" t="s">
        <v>11782</v>
      </c>
      <c r="G1544" t="s">
        <v>11565</v>
      </c>
      <c r="H1544" t="s">
        <v>11162</v>
      </c>
      <c r="I1544" t="s">
        <v>11783</v>
      </c>
      <c r="J1544" t="s">
        <v>11784</v>
      </c>
      <c r="K1544" t="s">
        <v>11785</v>
      </c>
      <c r="L1544" t="s">
        <v>20</v>
      </c>
      <c r="M1544" t="s">
        <v>11778</v>
      </c>
      <c r="N1544" t="s">
        <v>11779</v>
      </c>
      <c r="O1544" t="s">
        <v>11786</v>
      </c>
      <c r="P1544" t="s">
        <v>915</v>
      </c>
    </row>
    <row r="1545" spans="1:16" x14ac:dyDescent="0.35">
      <c r="A1545" t="s">
        <v>11787</v>
      </c>
      <c r="B1545" t="s">
        <v>55</v>
      </c>
      <c r="C1545" t="s">
        <v>15</v>
      </c>
      <c r="D1545" t="s">
        <v>449</v>
      </c>
      <c r="E1545" t="s">
        <v>11719</v>
      </c>
      <c r="F1545" t="s">
        <v>11788</v>
      </c>
      <c r="G1545" t="s">
        <v>11565</v>
      </c>
      <c r="H1545" t="s">
        <v>11162</v>
      </c>
      <c r="I1545" t="s">
        <v>11789</v>
      </c>
      <c r="J1545" t="s">
        <v>11790</v>
      </c>
      <c r="K1545" t="s">
        <v>11791</v>
      </c>
      <c r="L1545" t="s">
        <v>20</v>
      </c>
      <c r="M1545" t="s">
        <v>11778</v>
      </c>
      <c r="N1545" t="s">
        <v>11779</v>
      </c>
      <c r="O1545" t="s">
        <v>11792</v>
      </c>
      <c r="P1545" t="s">
        <v>11793</v>
      </c>
    </row>
    <row r="1546" spans="1:16" x14ac:dyDescent="0.35">
      <c r="A1546" t="s">
        <v>11794</v>
      </c>
      <c r="B1546" t="s">
        <v>55</v>
      </c>
      <c r="C1546" t="s">
        <v>357</v>
      </c>
      <c r="D1546" t="s">
        <v>11795</v>
      </c>
      <c r="E1546" t="s">
        <v>11796</v>
      </c>
      <c r="F1546" t="s">
        <v>11797</v>
      </c>
      <c r="G1546" t="s">
        <v>11777</v>
      </c>
      <c r="H1546" t="s">
        <v>11162</v>
      </c>
      <c r="I1546" t="s">
        <v>3049</v>
      </c>
      <c r="J1546" t="s">
        <v>11798</v>
      </c>
      <c r="K1546" t="s">
        <v>19</v>
      </c>
      <c r="L1546" t="s">
        <v>20</v>
      </c>
      <c r="M1546" t="s">
        <v>11778</v>
      </c>
      <c r="N1546" t="s">
        <v>11779</v>
      </c>
      <c r="O1546" t="s">
        <v>11799</v>
      </c>
      <c r="P1546" t="s">
        <v>11800</v>
      </c>
    </row>
    <row r="1547" spans="1:16" x14ac:dyDescent="0.35">
      <c r="A1547" t="s">
        <v>11627</v>
      </c>
      <c r="B1547" t="s">
        <v>55</v>
      </c>
      <c r="C1547" t="s">
        <v>28</v>
      </c>
      <c r="D1547" t="s">
        <v>28</v>
      </c>
      <c r="E1547" t="s">
        <v>11801</v>
      </c>
      <c r="F1547" t="s">
        <v>11802</v>
      </c>
      <c r="G1547" t="s">
        <v>11727</v>
      </c>
      <c r="H1547" t="s">
        <v>11162</v>
      </c>
      <c r="I1547" t="s">
        <v>28</v>
      </c>
      <c r="J1547" t="s">
        <v>11803</v>
      </c>
      <c r="K1547" t="s">
        <v>19</v>
      </c>
      <c r="L1547" t="s">
        <v>20</v>
      </c>
      <c r="M1547" t="s">
        <v>11804</v>
      </c>
      <c r="N1547" t="s">
        <v>11805</v>
      </c>
      <c r="O1547" t="s">
        <v>11806</v>
      </c>
      <c r="P1547" t="s">
        <v>11807</v>
      </c>
    </row>
    <row r="1548" spans="1:16" x14ac:dyDescent="0.35">
      <c r="A1548" t="s">
        <v>11808</v>
      </c>
      <c r="B1548" t="s">
        <v>55</v>
      </c>
      <c r="C1548" t="s">
        <v>28</v>
      </c>
      <c r="D1548" t="s">
        <v>28</v>
      </c>
      <c r="E1548" t="s">
        <v>11809</v>
      </c>
      <c r="F1548" t="s">
        <v>11810</v>
      </c>
      <c r="G1548" t="s">
        <v>11210</v>
      </c>
      <c r="H1548" t="s">
        <v>11162</v>
      </c>
      <c r="I1548" t="s">
        <v>28</v>
      </c>
      <c r="J1548" t="s">
        <v>11811</v>
      </c>
      <c r="K1548" t="s">
        <v>19</v>
      </c>
      <c r="L1548" t="s">
        <v>20</v>
      </c>
      <c r="M1548" t="s">
        <v>11812</v>
      </c>
      <c r="N1548" t="s">
        <v>11813</v>
      </c>
      <c r="O1548" t="s">
        <v>11814</v>
      </c>
      <c r="P1548" t="s">
        <v>11815</v>
      </c>
    </row>
    <row r="1549" spans="1:16" x14ac:dyDescent="0.35">
      <c r="A1549" t="s">
        <v>11816</v>
      </c>
      <c r="B1549" t="s">
        <v>55</v>
      </c>
      <c r="C1549" t="s">
        <v>78</v>
      </c>
      <c r="D1549" t="s">
        <v>9904</v>
      </c>
      <c r="E1549" t="s">
        <v>11817</v>
      </c>
      <c r="F1549" t="s">
        <v>11818</v>
      </c>
      <c r="G1549" t="s">
        <v>11565</v>
      </c>
      <c r="H1549" t="s">
        <v>11162</v>
      </c>
      <c r="I1549" t="s">
        <v>162</v>
      </c>
      <c r="J1549" t="s">
        <v>11819</v>
      </c>
      <c r="K1549" t="s">
        <v>164</v>
      </c>
      <c r="L1549" t="s">
        <v>20</v>
      </c>
      <c r="M1549" t="s">
        <v>11820</v>
      </c>
      <c r="N1549" t="s">
        <v>11821</v>
      </c>
      <c r="O1549" t="s">
        <v>11822</v>
      </c>
      <c r="P1549" t="s">
        <v>11823</v>
      </c>
    </row>
    <row r="1550" spans="1:16" x14ac:dyDescent="0.35">
      <c r="A1550" t="s">
        <v>11824</v>
      </c>
      <c r="B1550" t="s">
        <v>55</v>
      </c>
      <c r="C1550" t="s">
        <v>28</v>
      </c>
      <c r="D1550" t="s">
        <v>28</v>
      </c>
      <c r="E1550" t="s">
        <v>11825</v>
      </c>
      <c r="F1550" t="s">
        <v>11826</v>
      </c>
      <c r="G1550" t="s">
        <v>11777</v>
      </c>
      <c r="H1550" t="s">
        <v>11162</v>
      </c>
      <c r="I1550" t="s">
        <v>11827</v>
      </c>
      <c r="J1550" t="s">
        <v>11828</v>
      </c>
      <c r="K1550" t="s">
        <v>11829</v>
      </c>
      <c r="L1550" t="s">
        <v>20</v>
      </c>
      <c r="M1550" t="s">
        <v>11830</v>
      </c>
      <c r="N1550" t="s">
        <v>11831</v>
      </c>
      <c r="O1550" t="s">
        <v>11832</v>
      </c>
      <c r="P1550" t="s">
        <v>11833</v>
      </c>
    </row>
    <row r="1551" spans="1:16" x14ac:dyDescent="0.35">
      <c r="A1551" t="s">
        <v>11834</v>
      </c>
      <c r="B1551" t="s">
        <v>55</v>
      </c>
      <c r="C1551" t="s">
        <v>497</v>
      </c>
      <c r="D1551" t="s">
        <v>16</v>
      </c>
      <c r="E1551" t="s">
        <v>11835</v>
      </c>
      <c r="F1551" t="s">
        <v>11836</v>
      </c>
      <c r="G1551" t="s">
        <v>11565</v>
      </c>
      <c r="H1551" t="s">
        <v>11162</v>
      </c>
      <c r="I1551" t="s">
        <v>11837</v>
      </c>
      <c r="J1551" t="s">
        <v>11838</v>
      </c>
      <c r="K1551" t="s">
        <v>11839</v>
      </c>
      <c r="L1551" t="s">
        <v>20</v>
      </c>
      <c r="M1551" t="s">
        <v>11830</v>
      </c>
      <c r="N1551" t="s">
        <v>11831</v>
      </c>
      <c r="O1551" t="s">
        <v>11840</v>
      </c>
      <c r="P1551" t="s">
        <v>11841</v>
      </c>
    </row>
    <row r="1552" spans="1:16" x14ac:dyDescent="0.35">
      <c r="A1552" t="s">
        <v>11842</v>
      </c>
      <c r="B1552" t="s">
        <v>55</v>
      </c>
      <c r="C1552" t="s">
        <v>1128</v>
      </c>
      <c r="D1552" t="s">
        <v>124</v>
      </c>
      <c r="E1552" t="s">
        <v>11843</v>
      </c>
      <c r="F1552" t="s">
        <v>11844</v>
      </c>
      <c r="G1552" t="s">
        <v>11646</v>
      </c>
      <c r="H1552" t="s">
        <v>11162</v>
      </c>
      <c r="I1552" t="s">
        <v>28</v>
      </c>
      <c r="J1552" t="s">
        <v>11845</v>
      </c>
      <c r="K1552" t="s">
        <v>19</v>
      </c>
      <c r="L1552" t="s">
        <v>20</v>
      </c>
      <c r="M1552" t="s">
        <v>11830</v>
      </c>
      <c r="N1552" t="s">
        <v>11831</v>
      </c>
      <c r="O1552" t="s">
        <v>11846</v>
      </c>
      <c r="P1552" t="s">
        <v>11847</v>
      </c>
    </row>
    <row r="1553" spans="1:16" x14ac:dyDescent="0.35">
      <c r="A1553" t="s">
        <v>11848</v>
      </c>
      <c r="B1553" t="s">
        <v>55</v>
      </c>
      <c r="C1553" t="s">
        <v>28</v>
      </c>
      <c r="D1553" t="s">
        <v>28</v>
      </c>
      <c r="E1553" t="s">
        <v>11849</v>
      </c>
      <c r="F1553" t="s">
        <v>11850</v>
      </c>
      <c r="G1553" t="s">
        <v>11610</v>
      </c>
      <c r="H1553" t="s">
        <v>11162</v>
      </c>
      <c r="I1553" t="s">
        <v>162</v>
      </c>
      <c r="J1553" t="s">
        <v>11851</v>
      </c>
      <c r="K1553" t="s">
        <v>164</v>
      </c>
      <c r="L1553" t="s">
        <v>20</v>
      </c>
      <c r="M1553" t="s">
        <v>11852</v>
      </c>
      <c r="N1553" t="s">
        <v>11853</v>
      </c>
      <c r="O1553" t="s">
        <v>11854</v>
      </c>
      <c r="P1553" t="s">
        <v>11855</v>
      </c>
    </row>
    <row r="1554" spans="1:16" x14ac:dyDescent="0.35">
      <c r="A1554" t="s">
        <v>11856</v>
      </c>
      <c r="B1554" t="s">
        <v>55</v>
      </c>
      <c r="C1554" t="s">
        <v>177</v>
      </c>
      <c r="D1554" t="s">
        <v>68</v>
      </c>
      <c r="E1554" t="s">
        <v>11857</v>
      </c>
      <c r="F1554" t="s">
        <v>11858</v>
      </c>
      <c r="G1554" t="s">
        <v>11859</v>
      </c>
      <c r="H1554" t="s">
        <v>10797</v>
      </c>
      <c r="I1554" t="s">
        <v>28</v>
      </c>
      <c r="J1554" t="s">
        <v>11860</v>
      </c>
      <c r="K1554" t="s">
        <v>19</v>
      </c>
      <c r="L1554" t="s">
        <v>20</v>
      </c>
      <c r="M1554" t="s">
        <v>11861</v>
      </c>
      <c r="N1554" t="s">
        <v>11862</v>
      </c>
      <c r="O1554" t="s">
        <v>11863</v>
      </c>
      <c r="P1554" t="s">
        <v>11864</v>
      </c>
    </row>
    <row r="1555" spans="1:16" x14ac:dyDescent="0.35">
      <c r="A1555" t="s">
        <v>11865</v>
      </c>
      <c r="B1555" t="s">
        <v>55</v>
      </c>
      <c r="C1555" t="s">
        <v>28</v>
      </c>
      <c r="D1555" t="s">
        <v>28</v>
      </c>
      <c r="E1555" t="s">
        <v>11866</v>
      </c>
      <c r="F1555" t="s">
        <v>11867</v>
      </c>
      <c r="G1555" t="s">
        <v>11610</v>
      </c>
      <c r="H1555" t="s">
        <v>11162</v>
      </c>
      <c r="I1555" t="s">
        <v>28</v>
      </c>
      <c r="J1555" t="s">
        <v>11868</v>
      </c>
      <c r="K1555" t="s">
        <v>19</v>
      </c>
      <c r="L1555" t="s">
        <v>20</v>
      </c>
      <c r="M1555" t="s">
        <v>11568</v>
      </c>
      <c r="N1555" t="s">
        <v>11569</v>
      </c>
      <c r="O1555" t="s">
        <v>11869</v>
      </c>
      <c r="P1555" t="s">
        <v>11870</v>
      </c>
    </row>
    <row r="1556" spans="1:16" x14ac:dyDescent="0.35">
      <c r="A1556" t="s">
        <v>11871</v>
      </c>
      <c r="B1556" t="s">
        <v>55</v>
      </c>
      <c r="C1556" t="s">
        <v>28</v>
      </c>
      <c r="D1556" t="s">
        <v>28</v>
      </c>
      <c r="E1556" t="s">
        <v>11872</v>
      </c>
      <c r="F1556" t="s">
        <v>11873</v>
      </c>
      <c r="G1556" t="s">
        <v>11646</v>
      </c>
      <c r="H1556" t="s">
        <v>11162</v>
      </c>
      <c r="I1556" t="s">
        <v>28</v>
      </c>
      <c r="J1556" t="s">
        <v>11874</v>
      </c>
      <c r="K1556" t="s">
        <v>19</v>
      </c>
      <c r="L1556" t="s">
        <v>20</v>
      </c>
      <c r="M1556" t="s">
        <v>11875</v>
      </c>
      <c r="N1556" t="s">
        <v>11876</v>
      </c>
      <c r="O1556" t="s">
        <v>11877</v>
      </c>
      <c r="P1556" t="s">
        <v>11878</v>
      </c>
    </row>
    <row r="1557" spans="1:16" x14ac:dyDescent="0.35">
      <c r="A1557" t="s">
        <v>11879</v>
      </c>
      <c r="B1557" t="s">
        <v>55</v>
      </c>
      <c r="C1557" t="s">
        <v>15</v>
      </c>
      <c r="D1557" t="s">
        <v>16</v>
      </c>
      <c r="E1557" t="s">
        <v>11880</v>
      </c>
      <c r="F1557" t="s">
        <v>11881</v>
      </c>
      <c r="G1557" t="s">
        <v>11882</v>
      </c>
      <c r="H1557" t="s">
        <v>11162</v>
      </c>
      <c r="I1557" t="s">
        <v>162</v>
      </c>
      <c r="J1557" t="s">
        <v>28</v>
      </c>
      <c r="K1557" t="s">
        <v>164</v>
      </c>
      <c r="L1557" t="s">
        <v>20</v>
      </c>
      <c r="M1557" t="s">
        <v>11883</v>
      </c>
      <c r="N1557" t="s">
        <v>11884</v>
      </c>
      <c r="O1557" t="s">
        <v>11885</v>
      </c>
      <c r="P1557" t="s">
        <v>11886</v>
      </c>
    </row>
    <row r="1558" spans="1:16" x14ac:dyDescent="0.35">
      <c r="A1558" t="s">
        <v>11887</v>
      </c>
      <c r="B1558" t="s">
        <v>55</v>
      </c>
      <c r="C1558" t="s">
        <v>15</v>
      </c>
      <c r="D1558" t="s">
        <v>27</v>
      </c>
      <c r="E1558" t="s">
        <v>11888</v>
      </c>
      <c r="F1558" t="s">
        <v>11889</v>
      </c>
      <c r="G1558" t="s">
        <v>11565</v>
      </c>
      <c r="H1558" t="s">
        <v>11162</v>
      </c>
      <c r="I1558" t="s">
        <v>1725</v>
      </c>
      <c r="J1558" t="s">
        <v>11890</v>
      </c>
      <c r="K1558" t="s">
        <v>19</v>
      </c>
      <c r="L1558" t="s">
        <v>20</v>
      </c>
      <c r="M1558" t="s">
        <v>11891</v>
      </c>
      <c r="N1558" t="s">
        <v>11892</v>
      </c>
      <c r="O1558" t="s">
        <v>11893</v>
      </c>
      <c r="P1558" t="s">
        <v>11894</v>
      </c>
    </row>
    <row r="1559" spans="1:16" x14ac:dyDescent="0.35">
      <c r="A1559" t="s">
        <v>11895</v>
      </c>
      <c r="B1559" t="s">
        <v>55</v>
      </c>
      <c r="C1559" t="s">
        <v>26</v>
      </c>
      <c r="D1559" t="s">
        <v>549</v>
      </c>
      <c r="E1559" t="s">
        <v>11896</v>
      </c>
      <c r="F1559" t="s">
        <v>11897</v>
      </c>
      <c r="G1559" t="s">
        <v>11777</v>
      </c>
      <c r="H1559" t="s">
        <v>11162</v>
      </c>
      <c r="I1559" t="s">
        <v>162</v>
      </c>
      <c r="J1559" t="s">
        <v>11898</v>
      </c>
      <c r="K1559" t="s">
        <v>164</v>
      </c>
      <c r="L1559" t="s">
        <v>20</v>
      </c>
      <c r="M1559" t="s">
        <v>11891</v>
      </c>
      <c r="N1559" t="s">
        <v>11892</v>
      </c>
      <c r="O1559" t="s">
        <v>11899</v>
      </c>
      <c r="P1559" t="s">
        <v>11900</v>
      </c>
    </row>
    <row r="1560" spans="1:16" x14ac:dyDescent="0.35">
      <c r="A1560" t="s">
        <v>11901</v>
      </c>
      <c r="B1560" t="s">
        <v>55</v>
      </c>
      <c r="C1560" t="s">
        <v>241</v>
      </c>
      <c r="D1560" t="s">
        <v>614</v>
      </c>
      <c r="E1560" t="s">
        <v>11902</v>
      </c>
      <c r="F1560" t="s">
        <v>11903</v>
      </c>
      <c r="G1560" t="s">
        <v>11882</v>
      </c>
      <c r="H1560" t="s">
        <v>11162</v>
      </c>
      <c r="I1560" t="s">
        <v>162</v>
      </c>
      <c r="J1560" t="s">
        <v>11904</v>
      </c>
      <c r="K1560" t="s">
        <v>164</v>
      </c>
      <c r="L1560" t="s">
        <v>20</v>
      </c>
      <c r="M1560" t="s">
        <v>11905</v>
      </c>
      <c r="N1560" t="s">
        <v>11906</v>
      </c>
      <c r="O1560" t="s">
        <v>11907</v>
      </c>
      <c r="P1560" t="s">
        <v>11908</v>
      </c>
    </row>
    <row r="1561" spans="1:16" x14ac:dyDescent="0.35">
      <c r="A1561" t="s">
        <v>11909</v>
      </c>
      <c r="B1561" t="s">
        <v>55</v>
      </c>
      <c r="C1561" t="s">
        <v>357</v>
      </c>
      <c r="D1561" t="s">
        <v>124</v>
      </c>
      <c r="E1561" t="s">
        <v>11910</v>
      </c>
      <c r="F1561" t="s">
        <v>11911</v>
      </c>
      <c r="G1561" t="s">
        <v>11912</v>
      </c>
      <c r="H1561" t="s">
        <v>11162</v>
      </c>
      <c r="I1561" t="s">
        <v>28</v>
      </c>
      <c r="J1561" t="s">
        <v>11913</v>
      </c>
      <c r="K1561" t="s">
        <v>19</v>
      </c>
      <c r="L1561" t="s">
        <v>20</v>
      </c>
      <c r="M1561" t="s">
        <v>11914</v>
      </c>
      <c r="N1561" t="s">
        <v>11915</v>
      </c>
      <c r="O1561" t="s">
        <v>11916</v>
      </c>
      <c r="P1561" t="s">
        <v>11917</v>
      </c>
    </row>
    <row r="1562" spans="1:16" x14ac:dyDescent="0.35">
      <c r="A1562" t="s">
        <v>11918</v>
      </c>
      <c r="B1562" t="s">
        <v>107</v>
      </c>
      <c r="C1562" t="s">
        <v>311</v>
      </c>
      <c r="D1562" t="s">
        <v>141</v>
      </c>
      <c r="E1562" t="s">
        <v>11919</v>
      </c>
      <c r="F1562" t="s">
        <v>11920</v>
      </c>
      <c r="G1562" t="s">
        <v>11921</v>
      </c>
      <c r="H1562" t="s">
        <v>11162</v>
      </c>
      <c r="I1562" t="s">
        <v>11922</v>
      </c>
      <c r="J1562" t="s">
        <v>11923</v>
      </c>
      <c r="K1562" t="s">
        <v>11924</v>
      </c>
      <c r="L1562" t="s">
        <v>20</v>
      </c>
      <c r="M1562" t="s">
        <v>11925</v>
      </c>
      <c r="N1562" t="s">
        <v>11926</v>
      </c>
      <c r="O1562" t="s">
        <v>11927</v>
      </c>
      <c r="P1562" t="s">
        <v>11928</v>
      </c>
    </row>
  </sheetData>
  <autoFilter ref="A1:Z1562" xr:uid="{221EFDE0-1FBE-4295-B47F-13663F8063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A21F-8415-4880-ADF3-BBC49064D759}">
  <dimension ref="A1:G9"/>
  <sheetViews>
    <sheetView tabSelected="1" workbookViewId="0">
      <selection activeCell="F37" sqref="F37"/>
    </sheetView>
  </sheetViews>
  <sheetFormatPr baseColWidth="10" defaultRowHeight="14.5" x14ac:dyDescent="0.35"/>
  <cols>
    <col min="1" max="1" width="21.90625" customWidth="1"/>
    <col min="2" max="2" width="27.90625" customWidth="1"/>
    <col min="3" max="3" width="15.6328125" customWidth="1"/>
    <col min="4" max="4" width="21.81640625" customWidth="1"/>
    <col min="5" max="5" width="22.26953125" customWidth="1"/>
    <col min="6" max="6" width="25.6328125" customWidth="1"/>
    <col min="7" max="7" width="31.1796875" customWidth="1"/>
  </cols>
  <sheetData>
    <row r="1" spans="1:7" s="2" customFormat="1" x14ac:dyDescent="0.35">
      <c r="A1" s="2" t="s">
        <v>11930</v>
      </c>
      <c r="B1" s="2" t="s">
        <v>11931</v>
      </c>
      <c r="C1" s="2" t="s">
        <v>11932</v>
      </c>
      <c r="D1" s="2" t="s">
        <v>11933</v>
      </c>
      <c r="E1" s="2" t="s">
        <v>11934</v>
      </c>
      <c r="F1" s="2" t="s">
        <v>11935</v>
      </c>
      <c r="G1" s="2" t="s">
        <v>11936</v>
      </c>
    </row>
    <row r="2" spans="1:7" x14ac:dyDescent="0.35">
      <c r="A2">
        <f>COUNTIF('centraldecomunicacion.es'!A2:'centraldecomunicacion.es'!A19472,"*")</f>
        <v>1561</v>
      </c>
      <c r="B2">
        <f>COUNTIF('centraldecomunicacion.es'!K2:'centraldecomunicacion.es'!K19472,"*@*")</f>
        <v>611</v>
      </c>
      <c r="C2">
        <f>COUNTIF('centraldecomunicacion.es'!I2:'centraldecomunicacion.es'!I19472,"*.*")</f>
        <v>928</v>
      </c>
      <c r="D2">
        <f>COUNTIF('centraldecomunicacion.es'!J2:'centraldecomunicacion.es'!J19472,"6*")+COUNTIF('centraldecomunicacion.es'!J2:'centraldecomunicacion.es'!J19472,"9*")</f>
        <v>1395</v>
      </c>
      <c r="E2">
        <f>COUNTIF('centraldecomunicacion.es'!J2:'centraldecomunicacion.es'!J19472,"9*")</f>
        <v>1274</v>
      </c>
      <c r="F2">
        <f>COUNTIF('centraldecomunicacion.es'!J2:'centraldecomunicacion.es'!J19472,"6*")</f>
        <v>121</v>
      </c>
      <c r="G2" t="str" cm="1">
        <f t="array" ref="G2:G9">_xlfn.UNIQUE('centraldecomunicacion.es'!B2:'centraldecomunicacion.es'!B19472)</f>
        <v>Delegación de Servicios Sociales</v>
      </c>
    </row>
    <row r="3" spans="1:7" x14ac:dyDescent="0.35">
      <c r="G3" t="str">
        <v>Organización de servicios sociales</v>
      </c>
    </row>
    <row r="4" spans="1:7" x14ac:dyDescent="0.35">
      <c r="G4" t="str">
        <v>Tribunal social</v>
      </c>
    </row>
    <row r="5" spans="1:7" x14ac:dyDescent="0.35">
      <c r="G5" t="str">
        <v>Centro de bienestar social</v>
      </c>
    </row>
    <row r="6" spans="1:7" x14ac:dyDescent="0.35">
      <c r="G6" t="str">
        <v>Servicios sociales</v>
      </c>
    </row>
    <row r="7" spans="1:7" x14ac:dyDescent="0.35">
      <c r="G7" t="str">
        <v>Asistente social</v>
      </c>
    </row>
    <row r="8" spans="1:7" x14ac:dyDescent="0.35">
      <c r="G8" t="str">
        <v>Comedor social</v>
      </c>
    </row>
    <row r="9" spans="1:7" x14ac:dyDescent="0.35">
      <c r="G9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E005-AC80-46FA-8569-1DAF96C4A8EE}">
  <dimension ref="A1"/>
  <sheetViews>
    <sheetView workbookViewId="0">
      <selection activeCell="A12" sqref="A12"/>
    </sheetView>
  </sheetViews>
  <sheetFormatPr baseColWidth="10" defaultRowHeight="14.5" x14ac:dyDescent="0.35"/>
  <cols>
    <col min="1" max="1" width="76.36328125" customWidth="1"/>
  </cols>
  <sheetData>
    <row r="1" spans="1:1" ht="87" x14ac:dyDescent="0.35">
      <c r="A1" s="1" t="s">
        <v>11929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7" ma:contentTypeDescription="Crear nuevo documento." ma:contentTypeScope="" ma:versionID="b980d3f43dfa3fbbff016fde7fe80e84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53df8ed34c9d12663b58eecad8acea55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DA9C0C-C8F7-4A92-A5BC-3B6FF863DE6C}"/>
</file>

<file path=customXml/itemProps2.xml><?xml version="1.0" encoding="utf-8"?>
<ds:datastoreItem xmlns:ds="http://schemas.openxmlformats.org/officeDocument/2006/customXml" ds:itemID="{FE9CB8A9-3233-4CA3-8DBB-078FA6D3C2F3}"/>
</file>

<file path=customXml/itemProps3.xml><?xml version="1.0" encoding="utf-8"?>
<ds:datastoreItem xmlns:ds="http://schemas.openxmlformats.org/officeDocument/2006/customXml" ds:itemID="{9CD895A1-BB94-4457-B0FE-F019889548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centraldecomunicacion.es</vt:lpstr>
      <vt:lpstr>Estadísticas</vt:lpstr>
      <vt:lpstr>Copyright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Juan Villena Oliver</cp:lastModifiedBy>
  <dcterms:created xsi:type="dcterms:W3CDTF">2021-10-19T09:42:54Z</dcterms:created>
  <dcterms:modified xsi:type="dcterms:W3CDTF">2022-10-27T09:02:12Z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</Properties>
</file>