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Marketing" sheetId="1" r:id="rId4"/>
    <sheet state="visible" name="Estructura de Precios - Área Té" sheetId="2" r:id="rId5"/>
    <sheet state="visible" name="Clientes actuales" sheetId="3" r:id="rId6"/>
    <sheet state="visible" name="Clientes perdidos " sheetId="4" r:id="rId7"/>
  </sheets>
  <definedNames/>
  <calcPr/>
  <extLst>
    <ext uri="GoogleSheetsCustomDataVersion2">
      <go:sheetsCustomData xmlns:go="http://customooxmlschemas.google.com/" r:id="rId8" roundtripDataChecksum="y3g9WeR8BVyJU3NU99QsvAeJvygVY6IIzKkEUX5zNKE="/>
    </ext>
  </extLst>
</workbook>
</file>

<file path=xl/sharedStrings.xml><?xml version="1.0" encoding="utf-8"?>
<sst xmlns="http://schemas.openxmlformats.org/spreadsheetml/2006/main" count="265" uniqueCount="178">
  <si>
    <t>Servicio</t>
  </si>
  <si>
    <t>Precio Estimado España</t>
  </si>
  <si>
    <t>Consultoría estratégica de marca</t>
  </si>
  <si>
    <t>€1.500 – €3.000</t>
  </si>
  <si>
    <t>Acompañamiento estratégico mensual</t>
  </si>
  <si>
    <t>€350 – €900/mes</t>
  </si>
  <si>
    <t>Identidad visual completa</t>
  </si>
  <si>
    <t>€1.200 – €3.000</t>
  </si>
  <si>
    <t>Rebranding</t>
  </si>
  <si>
    <t>€1.000 – €2.500</t>
  </si>
  <si>
    <t>Estrategia de comunicación</t>
  </si>
  <si>
    <t>€600 – €2.500</t>
  </si>
  <si>
    <t>Web corporativa simple</t>
  </si>
  <si>
    <t>€1.500 – €2.500</t>
  </si>
  <si>
    <t>Web profesional</t>
  </si>
  <si>
    <t>€2.500 – €5.000</t>
  </si>
  <si>
    <t>Web avanzada</t>
  </si>
  <si>
    <t>€5.000 – €15.000</t>
  </si>
  <si>
    <t>Landing page premium</t>
  </si>
  <si>
    <t>€900 – €2.000</t>
  </si>
  <si>
    <t>Optimización web (WPO)</t>
  </si>
  <si>
    <t>€500 – €2.000</t>
  </si>
  <si>
    <t>Asesoría en estructura web</t>
  </si>
  <si>
    <t>€200 – €500</t>
  </si>
  <si>
    <t>E-commerce básico</t>
  </si>
  <si>
    <t>€2.000 – €3.500</t>
  </si>
  <si>
    <t>E-commerce completo</t>
  </si>
  <si>
    <t>€3.500 – €7.000</t>
  </si>
  <si>
    <t>Configuración email marketing</t>
  </si>
  <si>
    <t>€150 – €300</t>
  </si>
  <si>
    <t>Newsletter / campaña</t>
  </si>
  <si>
    <t>Gestión mensual Ads (bajo presupuesto)</t>
  </si>
  <si>
    <t>€300 – €500/mes</t>
  </si>
  <si>
    <t>Gestión mensual Ads (alto presupuesto)</t>
  </si>
  <si>
    <t>€500 – €1.500/mes</t>
  </si>
  <si>
    <t>Auditoría de ventas</t>
  </si>
  <si>
    <t>€500 – €3.000</t>
  </si>
  <si>
    <t>Optimización proceso comercial</t>
  </si>
  <si>
    <t>€800 – €2.000</t>
  </si>
  <si>
    <t>Speech de ventas</t>
  </si>
  <si>
    <t>Entrenamiento comercial</t>
  </si>
  <si>
    <t>€900 – €3.000</t>
  </si>
  <si>
    <t>Telemarketing y acciones de Venta</t>
  </si>
  <si>
    <t>€500 a 2.000/mes</t>
  </si>
  <si>
    <t>Precio Estimado (España/Intl)</t>
  </si>
  <si>
    <t>Notas / Entregable</t>
  </si>
  <si>
    <t>ODOO (ERP)</t>
  </si>
  <si>
    <t>Odoo - Desarrollo de Módulos Personalizados</t>
  </si>
  <si>
    <t>€500 – €6.000</t>
  </si>
  <si>
    <t>Precio por módulo según complejidad lógica.</t>
  </si>
  <si>
    <t>Odoo - Migración de Versiones y Datos</t>
  </si>
  <si>
    <t>€3.00 – €5.000</t>
  </si>
  <si>
    <t>Depende del volumen y limpieza de datos origen.</t>
  </si>
  <si>
    <t>Odoo - Integraciones API (Rest / XML-RPC)</t>
  </si>
  <si>
    <t>€1.200 – €5.000</t>
  </si>
  <si>
    <t>Conexión con software externo (Logística, Ecom).</t>
  </si>
  <si>
    <t>Odoo - Auditoría Técnica y Performance</t>
  </si>
  <si>
    <t>€1.200 – €3.500</t>
  </si>
  <si>
    <t>Informe de diagnóstico y plan de acción.</t>
  </si>
  <si>
    <t>Odoo - Mantenimiento Evolutivo (Bolsa de Horas)</t>
  </si>
  <si>
    <t>€20 – €95 / hora</t>
  </si>
  <si>
    <t>Soporte Nivel 3 (Programación experta).</t>
  </si>
  <si>
    <t>Odoo - Implementación Completa (Mid-Market)</t>
  </si>
  <si>
    <t>€2.000 – €45.000</t>
  </si>
  <si>
    <t>Proyecto llave en mano (Análisis + Config + Dev).</t>
  </si>
  <si>
    <t>DESARROLLO WEB (React / Next.js / Django)</t>
  </si>
  <si>
    <t>Web App / SaaS (MVP Completo)</t>
  </si>
  <si>
    <t>€9.000 – €25.000</t>
  </si>
  <si>
    <t>Panel de control, Dashboard, Lógica compleja.</t>
  </si>
  <si>
    <t>Web Corporativa High-Performance (Next.js)</t>
  </si>
  <si>
    <t>€3.500 – €9.000</t>
  </si>
  <si>
    <t>Optimización SEO técnico, carga &lt; 1s.</t>
  </si>
  <si>
    <t>E-commerce Avanzado / Marketplace B2B</t>
  </si>
  <si>
    <t>€12.000 – €35.000</t>
  </si>
  <si>
    <t>Reglas de precios complejas, multi-vendedor.</t>
  </si>
  <si>
    <t>Plataforma Educativa (LMS) a Medida</t>
  </si>
  <si>
    <t>€7.000 – €18.000</t>
  </si>
  <si>
    <t>Gestión de alumnos, cursos, pagos recurrentes.</t>
  </si>
  <si>
    <t>Portal de Clientes / Intranet Segura</t>
  </si>
  <si>
    <t>€5.000 – €12.000</t>
  </si>
  <si>
    <t>Área privada conectada a ERP/Base de datos.</t>
  </si>
  <si>
    <t>Mantenimiento Web y Servidor (Mensual)</t>
  </si>
  <si>
    <t>€250 – €800 / mes</t>
  </si>
  <si>
    <t>Incluye monitoreo, updates y seguridad.</t>
  </si>
  <si>
    <t>DESARROLLO WEB (Wordpress , shopify u otros CMS)</t>
  </si>
  <si>
    <t>€500 – €2.500</t>
  </si>
  <si>
    <t>€2.000 – €10.000</t>
  </si>
  <si>
    <t>€2.000 – €12.000</t>
  </si>
  <si>
    <t>€50 – €800 / mes</t>
  </si>
  <si>
    <t>AUTOMATIZACIÓN (n8n)</t>
  </si>
  <si>
    <t>n8n - Instalación Self-Hosted (Infraestructura)</t>
  </si>
  <si>
    <t>€600 – €1.500</t>
  </si>
  <si>
    <t>Pago único. Setup en VPS propio del cliente.</t>
  </si>
  <si>
    <t>n8n - Diseño de Workflow Complejo</t>
  </si>
  <si>
    <t>€400 – €2.000</t>
  </si>
  <si>
    <t>Precio por flujo automatizado (cross-platform).</t>
  </si>
  <si>
    <t>n8n - Nodos Custom (JavaScript)</t>
  </si>
  <si>
    <t>€500 – €1.500</t>
  </si>
  <si>
    <t>Desarrollo de scripts para datos complejos.</t>
  </si>
  <si>
    <t>n8n - Mantenimiento de Automatizaciones (Mensual)</t>
  </si>
  <si>
    <t>€300 – €1.200 / mes</t>
  </si>
  <si>
    <t>Monitoreo de errores y uptime de flujos.</t>
  </si>
  <si>
    <t>Cliente</t>
  </si>
  <si>
    <t>Empresa</t>
  </si>
  <si>
    <t>Total</t>
  </si>
  <si>
    <t>Pago mensual?</t>
  </si>
  <si>
    <t>Vale la pena mantener?</t>
  </si>
  <si>
    <t>Reformular propuesta?</t>
  </si>
  <si>
    <t>¿Propuesta de hosting?</t>
  </si>
  <si>
    <t>¿Propuesta de Mantenimiento Mensual?</t>
  </si>
  <si>
    <t>Climatechnik</t>
  </si>
  <si>
    <t>Redes Sociales</t>
  </si>
  <si>
    <t xml:space="preserve">GMOL </t>
  </si>
  <si>
    <t>Sí</t>
  </si>
  <si>
    <t>Si no se revalua el valor no</t>
  </si>
  <si>
    <t>*</t>
  </si>
  <si>
    <t>Publicidad</t>
  </si>
  <si>
    <t>Spanish lawyer</t>
  </si>
  <si>
    <t>Creative</t>
  </si>
  <si>
    <t>Analizar forma de pago (actualmente es cada 60 días)</t>
  </si>
  <si>
    <t>La Tonada</t>
  </si>
  <si>
    <t>Fixius</t>
  </si>
  <si>
    <t>Matías</t>
  </si>
  <si>
    <t>Rasel</t>
  </si>
  <si>
    <t>Naturanimal</t>
  </si>
  <si>
    <t>Marketing</t>
  </si>
  <si>
    <t>Sí, debemos represupuestar</t>
  </si>
  <si>
    <t>Cymar</t>
  </si>
  <si>
    <t>SEO</t>
  </si>
  <si>
    <t>Web</t>
  </si>
  <si>
    <t>Sí, ofrecer mantenimiento</t>
  </si>
  <si>
    <t>Eixos Creativa</t>
  </si>
  <si>
    <t>Mant. Web (bono 10h)</t>
  </si>
  <si>
    <t>Tendriamos mantenimiento</t>
  </si>
  <si>
    <t>D - Livering</t>
  </si>
  <si>
    <t>Diseño gráfico (11 creatividades para Linkedln)</t>
  </si>
  <si>
    <t>Esmeralda Guío</t>
  </si>
  <si>
    <t>Situación dificil</t>
  </si>
  <si>
    <t>Marian Moron</t>
  </si>
  <si>
    <t>Dueña de Fixius</t>
  </si>
  <si>
    <t>Fyme</t>
  </si>
  <si>
    <t>Mant. Web</t>
  </si>
  <si>
    <t>Sí, sentarnos para ofrecer propuesta, cliente importante</t>
  </si>
  <si>
    <t xml:space="preserve">Qsana </t>
  </si>
  <si>
    <t>Mantenimiento web y quizas SEO, dando resultados</t>
  </si>
  <si>
    <t>No</t>
  </si>
  <si>
    <t>Fundación Ultzama</t>
  </si>
  <si>
    <t>Mant. Web (bono 30h)</t>
  </si>
  <si>
    <t>Sí, aunque hay represupuestar (dificiles)</t>
  </si>
  <si>
    <t>Paulis</t>
  </si>
  <si>
    <t>Cliente argentino</t>
  </si>
  <si>
    <t>Total Mensual</t>
  </si>
  <si>
    <t>Pulicarteras</t>
  </si>
  <si>
    <t>Redes sociales</t>
  </si>
  <si>
    <t>No vale la pena</t>
  </si>
  <si>
    <t>Nelson</t>
  </si>
  <si>
    <t>Desarroollo webb</t>
  </si>
  <si>
    <t>Romina</t>
  </si>
  <si>
    <t>Desarroollo web - ex potatos</t>
  </si>
  <si>
    <t>Rocio</t>
  </si>
  <si>
    <t>Kipit</t>
  </si>
  <si>
    <t>Goodes cup</t>
  </si>
  <si>
    <t xml:space="preserve">debe alojamiento en server </t>
  </si>
  <si>
    <t>Easy Mercamos</t>
  </si>
  <si>
    <t>Desarrollo y maarketting</t>
  </si>
  <si>
    <t>Web Facil</t>
  </si>
  <si>
    <t>Desarrollo y diseño</t>
  </si>
  <si>
    <t>Clientes</t>
  </si>
  <si>
    <t>Arata Arquitectura</t>
  </si>
  <si>
    <t>Web y Marketing</t>
  </si>
  <si>
    <t>Soluglass</t>
  </si>
  <si>
    <t>3Dids (Partner)</t>
  </si>
  <si>
    <t>Web y Programación</t>
  </si>
  <si>
    <t xml:space="preserve">Continuare armando está lista durante el día domingo </t>
  </si>
  <si>
    <t>DataMarketing</t>
  </si>
  <si>
    <t>partner</t>
  </si>
  <si>
    <t>Marcelo</t>
  </si>
  <si>
    <t>Desarrollo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</si>
</sst>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;[Red]\-[$€-2]\ #,##0"/>
    <numFmt numFmtId="165" formatCode="_-[$€-2]\ * #,##0.00_-;\-[$€-2]\ * #,##0.00_-;_-[$€-2]\ * &quot;-&quot;??_-;_-@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rgb="FF1F1F1F"/>
      <name val="Arial"/>
    </font>
    <font>
      <color theme="1"/>
      <name val="Arial"/>
    </font>
    <font>
      <b/>
      <sz val="10.0"/>
      <color rgb="FF1F1F1F"/>
      <name val="Arial"/>
    </font>
    <font>
      <sz val="10.0"/>
      <color rgb="FF1F1F1F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2" fillId="2" fontId="3" numFmtId="0" xfId="0" applyBorder="1" applyFill="1" applyFont="1"/>
    <xf borderId="2" fillId="3" fontId="3" numFmtId="0" xfId="0" applyBorder="1" applyFill="1" applyFont="1"/>
    <xf borderId="2" fillId="3" fontId="3" numFmtId="165" xfId="0" applyAlignment="1" applyBorder="1" applyFont="1" applyNumberFormat="1">
      <alignment horizontal="left"/>
    </xf>
    <xf borderId="0" fillId="0" fontId="3" numFmtId="0" xfId="0" applyAlignment="1" applyFont="1">
      <alignment horizontal="center"/>
    </xf>
    <xf borderId="0" fillId="0" fontId="3" numFmtId="165" xfId="0" applyFont="1" applyNumberFormat="1"/>
    <xf borderId="2" fillId="3" fontId="3" numFmtId="165" xfId="0" applyBorder="1" applyFont="1" applyNumberFormat="1"/>
    <xf borderId="3" fillId="3" fontId="3" numFmtId="0" xfId="0" applyAlignment="1" applyBorder="1" applyFont="1">
      <alignment horizontal="center"/>
    </xf>
    <xf borderId="4" fillId="0" fontId="8" numFmtId="0" xfId="0" applyBorder="1" applyFont="1"/>
    <xf borderId="5" fillId="0" fontId="8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29"/>
    <col customWidth="1" min="2" max="2" width="33.29"/>
    <col customWidth="1" min="3" max="26" width="9.14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11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 ht="15.75" customHeight="1">
      <c r="A21" s="2" t="s">
        <v>39</v>
      </c>
      <c r="B21" s="3">
        <v>500.0</v>
      </c>
    </row>
    <row r="22" ht="15.75" customHeight="1">
      <c r="A22" s="2" t="s">
        <v>40</v>
      </c>
      <c r="B22" s="2" t="s">
        <v>41</v>
      </c>
    </row>
    <row r="23" ht="15.75" customHeight="1">
      <c r="A23" s="2" t="s">
        <v>42</v>
      </c>
      <c r="B23" s="2" t="s">
        <v>43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6.29"/>
    <col customWidth="1" min="2" max="2" width="30.71"/>
    <col customWidth="1" min="3" max="3" width="47.43"/>
  </cols>
  <sheetData>
    <row r="1">
      <c r="A1" s="4" t="s">
        <v>0</v>
      </c>
      <c r="B1" s="4" t="s">
        <v>44</v>
      </c>
      <c r="C1" s="4" t="s">
        <v>45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47</v>
      </c>
      <c r="B3" s="7" t="s">
        <v>48</v>
      </c>
      <c r="C3" s="7" t="s">
        <v>49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50</v>
      </c>
      <c r="B4" s="7" t="s">
        <v>51</v>
      </c>
      <c r="C4" s="7" t="s">
        <v>52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53</v>
      </c>
      <c r="B5" s="7" t="s">
        <v>54</v>
      </c>
      <c r="C5" s="7" t="s">
        <v>55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56</v>
      </c>
      <c r="B6" s="7" t="s">
        <v>57</v>
      </c>
      <c r="C6" s="7" t="s">
        <v>58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59</v>
      </c>
      <c r="B7" s="7" t="s">
        <v>60</v>
      </c>
      <c r="C7" s="7" t="s">
        <v>61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62</v>
      </c>
      <c r="B8" s="7" t="s">
        <v>63</v>
      </c>
      <c r="C8" s="7" t="s">
        <v>64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65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66</v>
      </c>
      <c r="B10" s="7" t="s">
        <v>67</v>
      </c>
      <c r="C10" s="7" t="s">
        <v>68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69</v>
      </c>
      <c r="B11" s="7" t="s">
        <v>70</v>
      </c>
      <c r="C11" s="7" t="s">
        <v>71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72</v>
      </c>
      <c r="B12" s="7" t="s">
        <v>73</v>
      </c>
      <c r="C12" s="7" t="s">
        <v>74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75</v>
      </c>
      <c r="B13" s="7" t="s">
        <v>76</v>
      </c>
      <c r="C13" s="7" t="s">
        <v>77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78</v>
      </c>
      <c r="B14" s="7" t="s">
        <v>79</v>
      </c>
      <c r="C14" s="7" t="s">
        <v>80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81</v>
      </c>
      <c r="B15" s="7" t="s">
        <v>82</v>
      </c>
      <c r="C15" s="7" t="s">
        <v>83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84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69</v>
      </c>
      <c r="B17" s="7" t="s">
        <v>85</v>
      </c>
      <c r="C17" s="7" t="s">
        <v>71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72</v>
      </c>
      <c r="B18" s="7" t="s">
        <v>86</v>
      </c>
      <c r="C18" s="7" t="s">
        <v>74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75</v>
      </c>
      <c r="B19" s="7" t="s">
        <v>86</v>
      </c>
      <c r="C19" s="7" t="s">
        <v>77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78</v>
      </c>
      <c r="B20" s="7" t="s">
        <v>87</v>
      </c>
      <c r="C20" s="7" t="s">
        <v>80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81</v>
      </c>
      <c r="B21" s="7" t="s">
        <v>88</v>
      </c>
      <c r="C21" s="7" t="s">
        <v>83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89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90</v>
      </c>
      <c r="B23" s="7" t="s">
        <v>91</v>
      </c>
      <c r="C23" s="7" t="s">
        <v>92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93</v>
      </c>
      <c r="B24" s="7" t="s">
        <v>94</v>
      </c>
      <c r="C24" s="7" t="s">
        <v>95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96</v>
      </c>
      <c r="B25" s="7" t="s">
        <v>97</v>
      </c>
      <c r="C25" s="7" t="s">
        <v>98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 t="s">
        <v>99</v>
      </c>
      <c r="B26" s="7" t="s">
        <v>100</v>
      </c>
      <c r="C26" s="7" t="s">
        <v>101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A2:C2"/>
    <mergeCell ref="A9:C9"/>
    <mergeCell ref="A16:C16"/>
    <mergeCell ref="A22:C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42.86"/>
    <col customWidth="1" min="3" max="3" width="14.57"/>
    <col customWidth="1" min="4" max="4" width="10.71"/>
    <col customWidth="1" min="5" max="5" width="14.29"/>
    <col customWidth="1" min="6" max="6" width="24.71"/>
    <col customWidth="1" min="7" max="7" width="21.71"/>
    <col customWidth="1" min="8" max="8" width="22.86"/>
    <col customWidth="1" min="9" max="9" width="37.71"/>
    <col customWidth="1" min="10" max="26" width="10.71"/>
  </cols>
  <sheetData>
    <row r="1">
      <c r="A1" s="8" t="s">
        <v>102</v>
      </c>
      <c r="B1" s="8" t="s">
        <v>0</v>
      </c>
      <c r="C1" s="8" t="s">
        <v>103</v>
      </c>
      <c r="D1" s="8" t="s">
        <v>104</v>
      </c>
      <c r="E1" s="8" t="s">
        <v>105</v>
      </c>
      <c r="F1" s="8" t="s">
        <v>106</v>
      </c>
      <c r="G1" s="8" t="s">
        <v>107</v>
      </c>
      <c r="H1" s="8" t="s">
        <v>108</v>
      </c>
      <c r="I1" s="8" t="s">
        <v>109</v>
      </c>
    </row>
    <row r="2">
      <c r="A2" s="9" t="s">
        <v>110</v>
      </c>
      <c r="B2" s="9" t="s">
        <v>111</v>
      </c>
      <c r="C2" s="9" t="s">
        <v>112</v>
      </c>
      <c r="D2" s="10">
        <v>160.0</v>
      </c>
      <c r="E2" s="11" t="s">
        <v>113</v>
      </c>
      <c r="F2" s="2" t="s">
        <v>114</v>
      </c>
      <c r="G2" s="11" t="s">
        <v>115</v>
      </c>
    </row>
    <row r="3">
      <c r="A3" s="9" t="s">
        <v>110</v>
      </c>
      <c r="B3" s="9" t="s">
        <v>116</v>
      </c>
      <c r="C3" s="9" t="s">
        <v>112</v>
      </c>
      <c r="D3" s="10">
        <v>125.0</v>
      </c>
      <c r="E3" s="11" t="s">
        <v>113</v>
      </c>
      <c r="F3" s="2" t="s">
        <v>114</v>
      </c>
      <c r="G3" s="11" t="s">
        <v>115</v>
      </c>
    </row>
    <row r="4">
      <c r="A4" s="9" t="s">
        <v>117</v>
      </c>
      <c r="B4" s="9" t="s">
        <v>111</v>
      </c>
      <c r="C4" s="9" t="s">
        <v>118</v>
      </c>
      <c r="D4" s="10">
        <v>180.0</v>
      </c>
      <c r="E4" s="11" t="s">
        <v>113</v>
      </c>
      <c r="F4" s="2" t="s">
        <v>119</v>
      </c>
      <c r="G4" s="11" t="s">
        <v>115</v>
      </c>
    </row>
    <row r="5">
      <c r="A5" s="9" t="s">
        <v>120</v>
      </c>
      <c r="B5" s="9" t="s">
        <v>111</v>
      </c>
      <c r="C5" s="9" t="s">
        <v>118</v>
      </c>
      <c r="D5" s="10">
        <v>200.0</v>
      </c>
      <c r="E5" s="11" t="s">
        <v>113</v>
      </c>
      <c r="F5" s="2" t="s">
        <v>119</v>
      </c>
      <c r="G5" s="11" t="s">
        <v>115</v>
      </c>
    </row>
    <row r="6">
      <c r="A6" s="9" t="s">
        <v>121</v>
      </c>
      <c r="B6" s="9" t="s">
        <v>111</v>
      </c>
      <c r="C6" s="9" t="s">
        <v>122</v>
      </c>
      <c r="D6" s="10">
        <v>250.0</v>
      </c>
      <c r="E6" s="11" t="s">
        <v>113</v>
      </c>
      <c r="F6" s="2" t="s">
        <v>113</v>
      </c>
      <c r="G6" s="11" t="s">
        <v>115</v>
      </c>
      <c r="H6" s="2" t="s">
        <v>113</v>
      </c>
      <c r="I6" s="2" t="s">
        <v>113</v>
      </c>
    </row>
    <row r="7">
      <c r="A7" s="9" t="s">
        <v>123</v>
      </c>
      <c r="B7" s="9" t="s">
        <v>111</v>
      </c>
      <c r="C7" s="9" t="s">
        <v>122</v>
      </c>
      <c r="D7" s="10">
        <v>300.0</v>
      </c>
      <c r="E7" s="11" t="s">
        <v>113</v>
      </c>
      <c r="F7" s="2" t="s">
        <v>113</v>
      </c>
      <c r="G7" s="11" t="s">
        <v>115</v>
      </c>
    </row>
    <row r="8">
      <c r="A8" s="9" t="s">
        <v>124</v>
      </c>
      <c r="B8" s="9" t="s">
        <v>125</v>
      </c>
      <c r="C8" s="9" t="s">
        <v>122</v>
      </c>
      <c r="D8" s="10">
        <v>900.0</v>
      </c>
      <c r="E8" s="11" t="s">
        <v>113</v>
      </c>
      <c r="F8" s="2" t="s">
        <v>126</v>
      </c>
      <c r="G8" s="11" t="s">
        <v>115</v>
      </c>
    </row>
    <row r="9">
      <c r="A9" s="9" t="s">
        <v>127</v>
      </c>
      <c r="B9" s="9" t="s">
        <v>111</v>
      </c>
      <c r="C9" s="9" t="s">
        <v>122</v>
      </c>
      <c r="D9" s="10">
        <v>250.0</v>
      </c>
      <c r="E9" s="11" t="s">
        <v>113</v>
      </c>
      <c r="F9" s="2" t="s">
        <v>113</v>
      </c>
      <c r="G9" s="11" t="s">
        <v>115</v>
      </c>
    </row>
    <row r="10">
      <c r="A10" s="9" t="s">
        <v>127</v>
      </c>
      <c r="B10" s="9" t="s">
        <v>128</v>
      </c>
      <c r="C10" s="9" t="s">
        <v>122</v>
      </c>
      <c r="D10" s="10">
        <v>800.0</v>
      </c>
      <c r="E10" s="11" t="s">
        <v>113</v>
      </c>
      <c r="F10" s="2" t="s">
        <v>113</v>
      </c>
      <c r="G10" s="11"/>
    </row>
    <row r="11">
      <c r="A11" s="2" t="s">
        <v>127</v>
      </c>
      <c r="B11" s="2" t="s">
        <v>129</v>
      </c>
      <c r="C11" s="2" t="s">
        <v>112</v>
      </c>
      <c r="D11" s="12">
        <v>250.0</v>
      </c>
      <c r="E11" s="11"/>
      <c r="F11" s="2" t="s">
        <v>130</v>
      </c>
      <c r="G11" s="11" t="s">
        <v>115</v>
      </c>
      <c r="H11" s="2" t="s">
        <v>113</v>
      </c>
    </row>
    <row r="12">
      <c r="A12" s="2" t="s">
        <v>131</v>
      </c>
      <c r="B12" s="2" t="s">
        <v>132</v>
      </c>
      <c r="C12" s="2" t="s">
        <v>112</v>
      </c>
      <c r="D12" s="12">
        <v>415.0</v>
      </c>
      <c r="E12" s="11"/>
      <c r="F12" s="2" t="s">
        <v>133</v>
      </c>
      <c r="G12" s="11" t="s">
        <v>115</v>
      </c>
      <c r="H12" s="2" t="s">
        <v>113</v>
      </c>
    </row>
    <row r="13">
      <c r="A13" s="2" t="s">
        <v>134</v>
      </c>
      <c r="B13" s="2" t="s">
        <v>135</v>
      </c>
      <c r="C13" s="2" t="s">
        <v>136</v>
      </c>
      <c r="D13" s="12">
        <v>350.0</v>
      </c>
      <c r="E13" s="11"/>
      <c r="F13" s="2" t="s">
        <v>137</v>
      </c>
      <c r="G13" s="11"/>
    </row>
    <row r="14">
      <c r="A14" s="2" t="s">
        <v>138</v>
      </c>
      <c r="B14" s="2" t="s">
        <v>132</v>
      </c>
      <c r="C14" s="2" t="s">
        <v>122</v>
      </c>
      <c r="D14" s="12">
        <v>415.0</v>
      </c>
      <c r="E14" s="11"/>
      <c r="F14" s="2" t="s">
        <v>139</v>
      </c>
      <c r="G14" s="11"/>
      <c r="H14" s="2" t="s">
        <v>113</v>
      </c>
    </row>
    <row r="15">
      <c r="A15" s="9" t="s">
        <v>140</v>
      </c>
      <c r="B15" s="9" t="s">
        <v>141</v>
      </c>
      <c r="C15" s="9" t="s">
        <v>112</v>
      </c>
      <c r="D15" s="10">
        <v>240.0</v>
      </c>
      <c r="E15" s="11" t="s">
        <v>113</v>
      </c>
      <c r="F15" s="2" t="s">
        <v>142</v>
      </c>
      <c r="G15" s="11" t="s">
        <v>115</v>
      </c>
      <c r="H15" s="2" t="s">
        <v>113</v>
      </c>
    </row>
    <row r="16">
      <c r="A16" s="2" t="s">
        <v>143</v>
      </c>
      <c r="B16" s="2" t="s">
        <v>132</v>
      </c>
      <c r="C16" s="2" t="s">
        <v>112</v>
      </c>
      <c r="D16" s="12">
        <v>415.0</v>
      </c>
      <c r="E16" s="11"/>
      <c r="F16" s="2" t="s">
        <v>144</v>
      </c>
      <c r="G16" s="11" t="s">
        <v>115</v>
      </c>
      <c r="H16" s="2" t="s">
        <v>145</v>
      </c>
      <c r="I16" s="2" t="s">
        <v>113</v>
      </c>
    </row>
    <row r="17">
      <c r="A17" s="2" t="s">
        <v>146</v>
      </c>
      <c r="B17" s="2" t="s">
        <v>147</v>
      </c>
      <c r="C17" s="2" t="s">
        <v>122</v>
      </c>
      <c r="D17" s="12">
        <v>1170.0</v>
      </c>
      <c r="E17" s="11"/>
      <c r="F17" s="2" t="s">
        <v>148</v>
      </c>
      <c r="G17" s="11" t="s">
        <v>115</v>
      </c>
      <c r="H17" s="2" t="s">
        <v>145</v>
      </c>
      <c r="I17" s="2" t="s">
        <v>113</v>
      </c>
    </row>
    <row r="18">
      <c r="A18" s="9" t="s">
        <v>149</v>
      </c>
      <c r="B18" s="9" t="s">
        <v>111</v>
      </c>
      <c r="C18" s="9" t="s">
        <v>122</v>
      </c>
      <c r="D18" s="13">
        <v>400.0</v>
      </c>
      <c r="E18" s="11" t="s">
        <v>113</v>
      </c>
      <c r="F18" s="2" t="s">
        <v>150</v>
      </c>
      <c r="G18" s="11" t="s">
        <v>115</v>
      </c>
      <c r="H18" s="2" t="s">
        <v>145</v>
      </c>
      <c r="I18" s="2" t="s">
        <v>145</v>
      </c>
    </row>
    <row r="19">
      <c r="D19" s="12"/>
      <c r="E19" s="11"/>
      <c r="G19" s="11"/>
    </row>
    <row r="20">
      <c r="A20" s="14" t="s">
        <v>151</v>
      </c>
      <c r="B20" s="15"/>
      <c r="C20" s="16"/>
      <c r="D20" s="13">
        <f>SUM(D2:D10,D15,D18)</f>
        <v>3805</v>
      </c>
      <c r="E20" s="11"/>
      <c r="G20" s="11"/>
    </row>
    <row r="21" ht="15.75" customHeight="1"/>
    <row r="22" ht="15.75" customHeight="1">
      <c r="A22" s="2" t="s">
        <v>152</v>
      </c>
      <c r="B22" s="2" t="s">
        <v>153</v>
      </c>
      <c r="C22" s="2" t="s">
        <v>122</v>
      </c>
      <c r="D22" s="12">
        <v>200.0</v>
      </c>
      <c r="E22" s="11" t="s">
        <v>113</v>
      </c>
      <c r="F22" s="2" t="s">
        <v>154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A29" s="17" t="s">
        <v>155</v>
      </c>
      <c r="B29" s="17" t="s">
        <v>156</v>
      </c>
    </row>
    <row r="30" ht="15.75" customHeight="1">
      <c r="A30" s="17" t="s">
        <v>157</v>
      </c>
      <c r="B30" s="17" t="s">
        <v>158</v>
      </c>
    </row>
    <row r="31" ht="15.75" customHeight="1">
      <c r="A31" s="17" t="s">
        <v>159</v>
      </c>
      <c r="B31" s="17" t="s">
        <v>156</v>
      </c>
    </row>
    <row r="32" ht="15.75" customHeight="1">
      <c r="A32" s="17" t="s">
        <v>160</v>
      </c>
      <c r="B32" s="17" t="s">
        <v>156</v>
      </c>
    </row>
    <row r="33" ht="15.75" customHeight="1">
      <c r="A33" s="17" t="s">
        <v>161</v>
      </c>
      <c r="B33" s="17" t="s">
        <v>156</v>
      </c>
      <c r="C33" s="17" t="s">
        <v>162</v>
      </c>
    </row>
    <row r="34" ht="15.75" customHeight="1">
      <c r="A34" s="17" t="s">
        <v>163</v>
      </c>
      <c r="B34" s="17" t="s">
        <v>164</v>
      </c>
    </row>
    <row r="35" ht="15.75" customHeight="1">
      <c r="A35" s="17" t="s">
        <v>165</v>
      </c>
      <c r="B35" s="17" t="s">
        <v>166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C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2.86"/>
    <col customWidth="1" min="3" max="26" width="10.71"/>
  </cols>
  <sheetData>
    <row r="1">
      <c r="A1" s="8" t="s">
        <v>167</v>
      </c>
      <c r="B1" s="8" t="s">
        <v>0</v>
      </c>
    </row>
    <row r="2">
      <c r="A2" s="2" t="s">
        <v>168</v>
      </c>
      <c r="B2" s="2" t="s">
        <v>169</v>
      </c>
    </row>
    <row r="3">
      <c r="A3" s="2" t="s">
        <v>170</v>
      </c>
      <c r="B3" s="2" t="s">
        <v>125</v>
      </c>
    </row>
    <row r="4">
      <c r="A4" s="2" t="s">
        <v>171</v>
      </c>
      <c r="B4" s="2" t="s">
        <v>172</v>
      </c>
    </row>
    <row r="5">
      <c r="A5" s="2" t="s">
        <v>173</v>
      </c>
    </row>
    <row r="13">
      <c r="A13" s="17" t="s">
        <v>174</v>
      </c>
      <c r="B13" s="17" t="s">
        <v>166</v>
      </c>
      <c r="C13" s="17" t="s">
        <v>175</v>
      </c>
    </row>
    <row r="14">
      <c r="A14" s="17" t="s">
        <v>176</v>
      </c>
      <c r="B14" s="17" t="s">
        <v>177</v>
      </c>
      <c r="C14" s="17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2025-12-07T12:12:05Z</dcterms:created>
</cp:coreProperties>
</file>